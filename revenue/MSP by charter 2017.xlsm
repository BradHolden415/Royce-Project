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Grayson\Documents\CLP\royce\"/>
    </mc:Choice>
  </mc:AlternateContent>
  <xr:revisionPtr revIDLastSave="0" documentId="8_{3995AF52-A67C-4CA0-A893-7922A7C21893}" xr6:coauthVersionLast="47" xr6:coauthVersionMax="47" xr10:uidLastSave="{00000000-0000-0000-0000-000000000000}"/>
  <bookViews>
    <workbookView xWindow="-120" yWindow="-120" windowWidth="29040" windowHeight="15840" tabRatio="843" xr2:uid="{00000000-000D-0000-FFFF-FFFF00000000}"/>
  </bookViews>
  <sheets>
    <sheet name="OPA" sheetId="13" r:id="rId1"/>
    <sheet name="APA" sheetId="38" r:id="rId2"/>
    <sheet name="Walden" sheetId="44" r:id="rId3"/>
    <sheet name="Freedom" sheetId="43" r:id="rId4"/>
    <sheet name="AMES" sheetId="42" r:id="rId5"/>
    <sheet name="Pinnacle" sheetId="39" r:id="rId6"/>
    <sheet name="City Aca" sheetId="37" r:id="rId7"/>
    <sheet name="Soldier" sheetId="35" r:id="rId8"/>
    <sheet name="Tuacahn" sheetId="34" r:id="rId9"/>
    <sheet name="Uintah" sheetId="33" r:id="rId10"/>
    <sheet name="Hancock" sheetId="32" r:id="rId11"/>
    <sheet name="Edison" sheetId="31" r:id="rId12"/>
    <sheet name="Timp" sheetId="29" r:id="rId13"/>
    <sheet name="SLArts" sheetId="28" r:id="rId14"/>
    <sheet name="FastForward" sheetId="27" r:id="rId15"/>
    <sheet name="NUAMES" sheetId="26" r:id="rId16"/>
    <sheet name="Ranches" sheetId="25" r:id="rId17"/>
    <sheet name="DaVinci" sheetId="24" r:id="rId18"/>
    <sheet name="Summit" sheetId="23" r:id="rId19"/>
    <sheet name="Itineris" sheetId="21" r:id="rId20"/>
    <sheet name="NDavisPrep" sheetId="22" r:id="rId21"/>
    <sheet name="Moab" sheetId="20" r:id="rId22"/>
    <sheet name="East Hollywood" sheetId="45" r:id="rId23"/>
    <sheet name="Success Iron" sheetId="56" r:id="rId24"/>
    <sheet name="UCAS" sheetId="55" r:id="rId25"/>
    <sheet name="Lincoln" sheetId="54" r:id="rId26"/>
    <sheet name="Beehive" sheetId="53" r:id="rId27"/>
    <sheet name="Wasatch Peak" sheetId="52" r:id="rId28"/>
    <sheet name="North Star" sheetId="51" r:id="rId29"/>
    <sheet name="Reagan" sheetId="49" r:id="rId30"/>
    <sheet name="Amer Leadership" sheetId="48" r:id="rId31"/>
    <sheet name="Navigator Point" sheetId="47" r:id="rId32"/>
    <sheet name="Odyssey" sheetId="46" r:id="rId33"/>
    <sheet name="Intech" sheetId="70" r:id="rId34"/>
    <sheet name="Entheos" sheetId="69" r:id="rId35"/>
    <sheet name="Lakeview" sheetId="68" r:id="rId36"/>
    <sheet name="Legacy" sheetId="67" r:id="rId37"/>
    <sheet name="Monticello" sheetId="65" r:id="rId38"/>
    <sheet name="Mountainville" sheetId="64" r:id="rId39"/>
    <sheet name="Paradigm" sheetId="63" r:id="rId40"/>
    <sheet name="Rennaissance" sheetId="62" r:id="rId41"/>
    <sheet name="Channing" sheetId="61" r:id="rId42"/>
    <sheet name="Spectrum" sheetId="112" r:id="rId43"/>
    <sheet name="Syracuse" sheetId="59" r:id="rId44"/>
    <sheet name="Wash" sheetId="58" r:id="rId45"/>
    <sheet name="Noah Webster" sheetId="57" r:id="rId46"/>
    <sheet name="Salt Lake SPA" sheetId="77" r:id="rId47"/>
    <sheet name="Open Classroom" sheetId="76" r:id="rId48"/>
    <sheet name="Canyon Rim" sheetId="75" r:id="rId49"/>
    <sheet name="Guadalupe" sheetId="78" r:id="rId50"/>
    <sheet name="Maeser" sheetId="74" r:id="rId51"/>
    <sheet name="C.S. Lews" sheetId="73" r:id="rId52"/>
    <sheet name="Dual Imm" sheetId="72" r:id="rId53"/>
    <sheet name="Edith Bowen" sheetId="71" r:id="rId54"/>
    <sheet name="Gateway Prep" sheetId="81" r:id="rId55"/>
    <sheet name="Merit" sheetId="82" r:id="rId56"/>
    <sheet name="Providence" sheetId="83" r:id="rId57"/>
    <sheet name="Quest" sheetId="84" r:id="rId58"/>
    <sheet name="Rockwell" sheetId="88" r:id="rId59"/>
    <sheet name="Venture" sheetId="87" r:id="rId60"/>
    <sheet name="Ctr Science" sheetId="86" r:id="rId61"/>
    <sheet name="Ut Virtual Acdy" sheetId="85" r:id="rId62"/>
    <sheet name="The Early Light" sheetId="89" r:id="rId63"/>
    <sheet name="Excelsior Academy" sheetId="90" r:id="rId64"/>
    <sheet name="Hawthorn Academy" sheetId="91" r:id="rId65"/>
    <sheet name="Mountain Heights" sheetId="92" r:id="rId66"/>
    <sheet name="Jefferson" sheetId="93" r:id="rId67"/>
    <sheet name="Vista at Entrada" sheetId="94" r:id="rId68"/>
    <sheet name="Bear River" sheetId="96" r:id="rId69"/>
    <sheet name="Montessori" sheetId="97" r:id="rId70"/>
    <sheet name="Canyon Grove" sheetId="98" r:id="rId71"/>
    <sheet name="Weilenmann" sheetId="99" r:id="rId72"/>
    <sheet name="Summit Academy" sheetId="100" r:id="rId73"/>
    <sheet name="Good Foundations" sheetId="79" r:id="rId74"/>
    <sheet name="Utah Connections" sheetId="104" r:id="rId75"/>
    <sheet name="Endeavor" sheetId="103" r:id="rId76"/>
    <sheet name="Aristotle" sheetId="106" r:id="rId77"/>
    <sheet name="High Mark" sheetId="107" r:id="rId78"/>
    <sheet name="Promontory" sheetId="108" r:id="rId79"/>
    <sheet name="Pacific Heritage" sheetId="109" r:id="rId80"/>
    <sheet name="Valley Arts" sheetId="110" r:id="rId81"/>
    <sheet name="Pioneer" sheetId="111" r:id="rId82"/>
    <sheet name="Utah Intern'l" sheetId="113" r:id="rId83"/>
    <sheet name="Esperanza" sheetId="114" r:id="rId84"/>
    <sheet name="Leadership Learning" sheetId="115" r:id="rId85"/>
    <sheet name="Mana" sheetId="116" r:id="rId86"/>
    <sheet name="Voyage" sheetId="117" r:id="rId87"/>
    <sheet name="WSU" sheetId="119" r:id="rId88"/>
    <sheet name="Winter Sports" sheetId="120" r:id="rId89"/>
    <sheet name="Utah Career Path HS" sheetId="121" r:id="rId90"/>
    <sheet name="AmerIntnl" sheetId="122" r:id="rId91"/>
    <sheet name="Ascent" sheetId="123" r:id="rId92"/>
    <sheet name="Dixie" sheetId="124" r:id="rId93"/>
    <sheet name="Kairos" sheetId="125" r:id="rId94"/>
    <sheet name="MtnWest" sheetId="126" r:id="rId95"/>
    <sheet name="Scholar" sheetId="127" r:id="rId96"/>
    <sheet name="Greenwood" sheetId="128" r:id="rId97"/>
    <sheet name="Terra" sheetId="129" r:id="rId98"/>
    <sheet name="Lumen" sheetId="130" r:id="rId99"/>
    <sheet name="Vanguard" sheetId="131" r:id="rId100"/>
    <sheet name="Utah Military" sheetId="132" r:id="rId101"/>
    <sheet name="Roots" sheetId="133" r:id="rId102"/>
    <sheet name="Anthenian" sheetId="134" r:id="rId103"/>
    <sheet name="WasatchWaldorf" sheetId="135" r:id="rId104"/>
    <sheet name="Franklin Disscovery" sheetId="136" r:id="rId105"/>
    <sheet name="Wallace Stegner" sheetId="137" r:id="rId106"/>
    <sheet name="AmerAcadInnovation" sheetId="138" r:id="rId107"/>
    <sheet name="Athlos Academy" sheetId="139" r:id="rId108"/>
  </sheets>
  <externalReferences>
    <externalReference r:id="rId109"/>
    <externalReference r:id="rId110"/>
    <externalReference r:id="rId111"/>
    <externalReference r:id="rId112"/>
    <externalReference r:id="rId113"/>
  </externalReferences>
  <definedNames>
    <definedName name="_xlnm.Print_Area" localSheetId="30">'Amer Leadership'!$A$31:$D$80</definedName>
    <definedName name="_xlnm.Print_Area" localSheetId="90">AmerIntnl!$A$99:$D$146</definedName>
    <definedName name="_xlnm.Print_Area" localSheetId="4">AMES!$A$5:$D$54</definedName>
    <definedName name="_xlnm.Print_Area" localSheetId="102">Anthenian!$A$111:$D$160</definedName>
    <definedName name="_xlnm.Print_Area" localSheetId="1">APA!$A$2:$D$51</definedName>
    <definedName name="_xlnm.Print_Area" localSheetId="76">Aristotle!$A$84:$D$133</definedName>
    <definedName name="_xlnm.Print_Area" localSheetId="91">Ascent!$A$100:$D$149</definedName>
    <definedName name="_xlnm.Print_Area" localSheetId="68">'Bear River'!$A$75:$D$124</definedName>
    <definedName name="_xlnm.Print_Area" localSheetId="26">Beehive!$A$27:$D$76</definedName>
    <definedName name="_xlnm.Print_Area" localSheetId="51">'C.S. Lews'!$A$58:$D$107</definedName>
    <definedName name="_xlnm.Print_Area" localSheetId="70">'Canyon Grove'!$A$77:$D$126</definedName>
    <definedName name="_xlnm.Print_Area" localSheetId="48">'Canyon Rim'!$A$55:$D$104</definedName>
    <definedName name="_xlnm.Print_Area" localSheetId="41">Channing!$A$43:$D$92</definedName>
    <definedName name="_xlnm.Print_Area" localSheetId="6">'City Aca'!$A$7:$D$56</definedName>
    <definedName name="_xlnm.Print_Area" localSheetId="60">'Ctr Science'!$A$67:$D$116</definedName>
    <definedName name="_xlnm.Print_Area" localSheetId="17">DaVinci!$A$18:$D$67</definedName>
    <definedName name="_xlnm.Print_Area" localSheetId="92">Dixie!$A$101:$D$150</definedName>
    <definedName name="_xlnm.Print_Area" localSheetId="52">'Dual Imm'!$A$59:$D$108</definedName>
    <definedName name="_xlnm.Print_Area" localSheetId="22">'East Hollywood'!$A$23:$D$72</definedName>
    <definedName name="_xlnm.Print_Area" localSheetId="11">Edison!$A$12:$D$61</definedName>
    <definedName name="_xlnm.Print_Area" localSheetId="53">'Edith Bowen'!$A$60:$D$109</definedName>
    <definedName name="_xlnm.Print_Area" localSheetId="75">Endeavor!$A$83:$D$132</definedName>
    <definedName name="_xlnm.Print_Area" localSheetId="34">Entheos!$A$35:$D$84</definedName>
    <definedName name="_xlnm.Print_Area" localSheetId="83">Esperanza!$A$91:$D$140</definedName>
    <definedName name="_xlnm.Print_Area" localSheetId="63">'Excelsior Academy'!$A$70:$D$119</definedName>
    <definedName name="_xlnm.Print_Area" localSheetId="14">FastForward!$A$15:$D$64</definedName>
    <definedName name="_xlnm.Print_Area" localSheetId="3">Freedom!$A$4:$D$53</definedName>
    <definedName name="_xlnm.Print_Area" localSheetId="54">'Gateway Prep'!$A$61:$D$110</definedName>
    <definedName name="_xlnm.Print_Area" localSheetId="73">'Good Foundations'!$A$80:$D$129</definedName>
    <definedName name="_xlnm.Print_Area" localSheetId="96">Greenwood!$A$105:$D$154</definedName>
    <definedName name="_xlnm.Print_Area" localSheetId="49">Guadalupe!$A$56:$D$105</definedName>
    <definedName name="_xlnm.Print_Area" localSheetId="10">Hancock!$A$11:$D$60</definedName>
    <definedName name="_xlnm.Print_Area" localSheetId="64">'Hawthorn Academy'!$A$71:$D$120</definedName>
    <definedName name="_xlnm.Print_Area" localSheetId="77">'High Mark'!$A$85:$D$134</definedName>
    <definedName name="_xlnm.Print_Area" localSheetId="33">Intech!$A$34:$D$83</definedName>
    <definedName name="_xlnm.Print_Area" localSheetId="19">Itineris!$A$20:$D$69</definedName>
    <definedName name="_xlnm.Print_Area" localSheetId="66">Jefferson!$A$73:$D$122</definedName>
    <definedName name="_xlnm.Print_Area" localSheetId="93">Kairos!$A$102:$D$151</definedName>
    <definedName name="_xlnm.Print_Area" localSheetId="35">Lakeview!$A$36:$D$85</definedName>
    <definedName name="_xlnm.Print_Area" localSheetId="84">'Leadership Learning'!$A$92:$D$141</definedName>
    <definedName name="_xlnm.Print_Area" localSheetId="36">Legacy!$A$37:$D$86</definedName>
    <definedName name="_xlnm.Print_Area" localSheetId="25">Lincoln!$A$26:$D$75</definedName>
    <definedName name="_xlnm.Print_Area" localSheetId="98">Lumen!$A$107:$D$156</definedName>
    <definedName name="_xlnm.Print_Area" localSheetId="50">Maeser!$A$57:$D$106</definedName>
    <definedName name="_xlnm.Print_Area" localSheetId="85">Mana!$A$93:$D$142</definedName>
    <definedName name="_xlnm.Print_Area" localSheetId="55">Merit!$A$62:$D$111</definedName>
    <definedName name="_xlnm.Print_Area" localSheetId="21">Moab!$A$22:$D$71</definedName>
    <definedName name="_xlnm.Print_Area" localSheetId="69">Montessori!$A$76:$D$125</definedName>
    <definedName name="_xlnm.Print_Area" localSheetId="37">Monticello!$A$39:$D$88</definedName>
    <definedName name="_xlnm.Print_Area" localSheetId="65">'Mountain Heights'!$A$72:$D$122</definedName>
    <definedName name="_xlnm.Print_Area" localSheetId="38">Mountainville!$A$40:$D$89</definedName>
    <definedName name="_xlnm.Print_Area" localSheetId="94">MtnWest!$A$103:$D$152</definedName>
    <definedName name="_xlnm.Print_Area" localSheetId="31">'Navigator Point'!$A$32:$D$81</definedName>
    <definedName name="_xlnm.Print_Area" localSheetId="20">NDavisPrep!$A$21:$D$70</definedName>
    <definedName name="_xlnm.Print_Area" localSheetId="45">'Noah Webster'!$A$47:$D$96</definedName>
    <definedName name="_xlnm.Print_Area" localSheetId="28">'North Star'!$A$29:$D$78</definedName>
    <definedName name="_xlnm.Print_Area" localSheetId="15">NUAMES!$A$16:$D$65</definedName>
    <definedName name="_xlnm.Print_Area" localSheetId="32">Odyssey!$A$33:$D$82</definedName>
    <definedName name="_xlnm.Print_Area" localSheetId="0">OPA!$A$1:$D$55</definedName>
    <definedName name="_xlnm.Print_Area" localSheetId="47">'Open Classroom'!$A$54:$D$103</definedName>
    <definedName name="_xlnm.Print_Area" localSheetId="79">'Pacific Heritage'!$A$87:$D$136</definedName>
    <definedName name="_xlnm.Print_Area" localSheetId="39">Paradigm!$A$41:$D$90</definedName>
    <definedName name="_xlnm.Print_Area" localSheetId="5">Pinnacle!$A$6:$D$55</definedName>
    <definedName name="_xlnm.Print_Area" localSheetId="81">Pioneer!$A$89:$D$138</definedName>
    <definedName name="_xlnm.Print_Area" localSheetId="78">Promontory!$A$86:$D$135</definedName>
    <definedName name="_xlnm.Print_Area" localSheetId="56">Providence!$A$63:$D$112</definedName>
    <definedName name="_xlnm.Print_Area" localSheetId="57">Quest!$A$64:$D$113</definedName>
    <definedName name="_xlnm.Print_Area" localSheetId="16">Ranches!$A$17:$D$66</definedName>
    <definedName name="_xlnm.Print_Area" localSheetId="29">Reagan!$A$30:$D$79</definedName>
    <definedName name="_xlnm.Print_Area" localSheetId="40">Rennaissance!$A$42:$D$91</definedName>
    <definedName name="_xlnm.Print_Area" localSheetId="58">Rockwell!$A$65:$D$114</definedName>
    <definedName name="_xlnm.Print_Area" localSheetId="101">Roots!$A$110:$D$159</definedName>
    <definedName name="_xlnm.Print_Area" localSheetId="46">'Salt Lake SPA'!$A$53:$D$102</definedName>
    <definedName name="_xlnm.Print_Area" localSheetId="95">Scholar!$A$104:$D$153</definedName>
    <definedName name="_xlnm.Print_Area" localSheetId="13">SLArts!$A$14:$D$63</definedName>
    <definedName name="_xlnm.Print_Area" localSheetId="7">Soldier!$A$8:$D$57</definedName>
    <definedName name="_xlnm.Print_Area" localSheetId="42">Spectrum!$A$44:$D$93</definedName>
    <definedName name="_xlnm.Print_Area" localSheetId="23">'Success Iron'!$A$24:$D$73</definedName>
    <definedName name="_xlnm.Print_Area" localSheetId="18">Summit!$A$19:$D$68</definedName>
    <definedName name="_xlnm.Print_Area" localSheetId="72">'Summit Academy'!$A$79:$D$128</definedName>
    <definedName name="_xlnm.Print_Area" localSheetId="43">Syracuse!$A$45:$D$94</definedName>
    <definedName name="_xlnm.Print_Area" localSheetId="97">Terra!$A$106:$D$155</definedName>
    <definedName name="_xlnm.Print_Area" localSheetId="62">'The Early Light'!$A$69:$D$118</definedName>
    <definedName name="_xlnm.Print_Area" localSheetId="12">Timp!$A$13:$D$62</definedName>
    <definedName name="_xlnm.Print_Area" localSheetId="8">Tuacahn!$A$9:$D$58</definedName>
    <definedName name="_xlnm.Print_Area" localSheetId="24">UCAS!$A$25:$D$74</definedName>
    <definedName name="_xlnm.Print_Area" localSheetId="9">Uintah!$A$10:$D$59</definedName>
    <definedName name="_xlnm.Print_Area" localSheetId="61">'Ut Virtual Acdy'!$A$68:$D$117</definedName>
    <definedName name="_xlnm.Print_Area" localSheetId="89">'Utah Career Path HS'!$A$98:$D$147</definedName>
    <definedName name="_xlnm.Print_Area" localSheetId="74">'Utah Connections'!$A$82:$D$131</definedName>
    <definedName name="_xlnm.Print_Area" localSheetId="82">'Utah Intern''l'!$A$90:$D$139</definedName>
    <definedName name="_xlnm.Print_Area" localSheetId="100">'Utah Military'!$A$109:$D$158</definedName>
    <definedName name="_xlnm.Print_Area" localSheetId="80">'Valley Arts'!$A$88:$D$137</definedName>
    <definedName name="_xlnm.Print_Area" localSheetId="99">Vanguard!$A$108:$D$157</definedName>
    <definedName name="_xlnm.Print_Area" localSheetId="59">Venture!$A$66:$D$115</definedName>
    <definedName name="_xlnm.Print_Area" localSheetId="67">'Vista at Entrada'!$A$74:$D$123</definedName>
    <definedName name="_xlnm.Print_Area" localSheetId="86">Voyage!$A$94:$D$143</definedName>
    <definedName name="_xlnm.Print_Area" localSheetId="2">Walden!$A$3:$D$52</definedName>
    <definedName name="_xlnm.Print_Area" localSheetId="27">'Wasatch Peak'!$A$30:$D$77</definedName>
    <definedName name="_xlnm.Print_Area" localSheetId="44">Wash!$A$46:$D$95</definedName>
    <definedName name="_xlnm.Print_Area" localSheetId="71">Weilenmann!$A$78:$D$127</definedName>
    <definedName name="_xlnm.Print_Area" localSheetId="88">'Winter Sports'!$A$97:$D$146</definedName>
    <definedName name="_xlnm.Print_Area" localSheetId="87">WSU!$A$96:$D$145</definedName>
  </definedNames>
  <calcPr calcId="191029" fullPrecision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69" i="136" l="1"/>
  <c r="D165" i="132"/>
  <c r="D157" i="124"/>
  <c r="D151" i="121"/>
  <c r="D134" i="100"/>
  <c r="D122" i="86"/>
  <c r="D116" i="81"/>
  <c r="D112" i="74"/>
  <c r="D100" i="59"/>
  <c r="D87" i="48"/>
  <c r="D58" i="38"/>
  <c r="D172" i="139"/>
  <c r="D158" i="125"/>
  <c r="D159" i="126"/>
  <c r="D161" i="128"/>
  <c r="D163" i="130"/>
  <c r="D164" i="131"/>
  <c r="D166" i="133"/>
  <c r="D167" i="134"/>
  <c r="D170" i="137"/>
  <c r="D171" i="138"/>
  <c r="D155" i="122"/>
  <c r="D110" i="75"/>
  <c r="D111" i="78"/>
  <c r="D114" i="72"/>
  <c r="D117" i="82"/>
  <c r="D118" i="83"/>
  <c r="D116" i="88"/>
  <c r="D120" i="88"/>
  <c r="D121" i="87"/>
  <c r="D123" i="85"/>
  <c r="D124" i="89"/>
  <c r="D126" i="91"/>
  <c r="D124" i="93"/>
  <c r="D128" i="93"/>
  <c r="D130" i="96"/>
  <c r="D131" i="97"/>
  <c r="D133" i="99"/>
  <c r="D135" i="79"/>
  <c r="D136" i="104"/>
  <c r="D137" i="103"/>
  <c r="D138" i="106"/>
  <c r="D140" i="108"/>
  <c r="D138" i="110"/>
  <c r="D142" i="110"/>
  <c r="D144" i="113"/>
  <c r="D145" i="114"/>
  <c r="D147" i="116"/>
  <c r="D149" i="119"/>
  <c r="D150" i="120"/>
  <c r="D109" i="76"/>
  <c r="D59" i="44"/>
  <c r="D60" i="43"/>
  <c r="D61" i="42"/>
  <c r="D62" i="39"/>
  <c r="D63" i="37"/>
  <c r="D64" i="35"/>
  <c r="D66" i="33"/>
  <c r="D68" i="31"/>
  <c r="D69" i="29"/>
  <c r="D71" i="27"/>
  <c r="D73" i="25"/>
  <c r="D71" i="23"/>
  <c r="D75" i="23"/>
  <c r="D76" i="21"/>
  <c r="D77" i="22"/>
  <c r="D78" i="20"/>
  <c r="D79" i="45"/>
  <c r="D81" i="55"/>
  <c r="D79" i="53"/>
  <c r="D83" i="53"/>
  <c r="D84" i="52"/>
  <c r="D86" i="49"/>
  <c r="D88" i="47"/>
  <c r="D89" i="46"/>
  <c r="D90" i="70"/>
  <c r="D91" i="69"/>
  <c r="D92" i="68"/>
  <c r="D93" i="67"/>
  <c r="D94" i="65"/>
  <c r="D95" i="64"/>
  <c r="D93" i="62"/>
  <c r="D97" i="62"/>
  <c r="D99" i="112"/>
  <c r="D101" i="58"/>
  <c r="D102" i="57"/>
  <c r="D57" i="13"/>
  <c r="D156" i="123"/>
  <c r="D70" i="28"/>
  <c r="D148" i="117"/>
  <c r="D132" i="98"/>
  <c r="D129" i="94"/>
  <c r="D85" i="51"/>
  <c r="D115" i="71"/>
  <c r="D168" i="135"/>
  <c r="D168" i="139"/>
  <c r="D167" i="138"/>
  <c r="D166" i="137"/>
  <c r="D165" i="136"/>
  <c r="D164" i="135"/>
  <c r="D163" i="134"/>
  <c r="D162" i="133"/>
  <c r="D161" i="132"/>
  <c r="D160" i="131"/>
  <c r="D159" i="130"/>
  <c r="D162" i="129"/>
  <c r="D158" i="129"/>
  <c r="D160" i="127"/>
  <c r="D156" i="127"/>
  <c r="D155" i="126"/>
  <c r="D154" i="125"/>
  <c r="D153" i="124"/>
  <c r="D152" i="123"/>
  <c r="D151" i="122"/>
  <c r="D147" i="121"/>
  <c r="D146" i="120"/>
  <c r="D145" i="119"/>
  <c r="D144" i="117"/>
  <c r="D143" i="116"/>
  <c r="D142" i="115"/>
  <c r="D141" i="114"/>
  <c r="D140" i="113"/>
  <c r="D143" i="111"/>
  <c r="D139" i="111"/>
  <c r="D141" i="109"/>
  <c r="D137" i="109"/>
  <c r="D139" i="107"/>
  <c r="D135" i="107"/>
  <c r="D134" i="106"/>
  <c r="D133" i="103"/>
  <c r="D132" i="104"/>
  <c r="D131" i="79"/>
  <c r="D130" i="100"/>
  <c r="D129" i="99"/>
  <c r="D128" i="98"/>
  <c r="D127" i="97"/>
  <c r="D125" i="94"/>
  <c r="D123" i="92"/>
  <c r="D125" i="90"/>
  <c r="D121" i="90"/>
  <c r="D120" i="89"/>
  <c r="D119" i="85"/>
  <c r="D118" i="86"/>
  <c r="D117" i="87"/>
  <c r="D115" i="84"/>
  <c r="D113" i="82"/>
  <c r="D112" i="81"/>
  <c r="D111" i="71"/>
  <c r="D110" i="72"/>
  <c r="D113" i="73"/>
  <c r="D109" i="73"/>
  <c r="D108" i="74"/>
  <c r="D107" i="78"/>
  <c r="D106" i="75"/>
  <c r="D105" i="76"/>
  <c r="D104" i="77"/>
  <c r="D98" i="57"/>
  <c r="D96" i="59"/>
  <c r="D95" i="112"/>
  <c r="D98" i="61"/>
  <c r="D94" i="61"/>
  <c r="D92" i="63"/>
  <c r="D91" i="64"/>
  <c r="D90" i="65"/>
  <c r="D89" i="67"/>
  <c r="D88" i="68"/>
  <c r="D87" i="69"/>
  <c r="D86" i="70"/>
  <c r="D85" i="46"/>
  <c r="D84" i="47"/>
  <c r="D83" i="48"/>
  <c r="D82" i="49"/>
  <c r="D81" i="51"/>
  <c r="D80" i="52"/>
  <c r="D82" i="54"/>
  <c r="D78" i="54"/>
  <c r="D80" i="56"/>
  <c r="D76" i="56"/>
  <c r="D75" i="45"/>
  <c r="D74" i="20"/>
  <c r="D73" i="22"/>
  <c r="D72" i="21"/>
  <c r="D74" i="24"/>
  <c r="D70" i="24"/>
  <c r="D72" i="26"/>
  <c r="D68" i="26"/>
  <c r="D67" i="27"/>
  <c r="D66" i="28"/>
  <c r="D65" i="29"/>
  <c r="D64" i="31"/>
  <c r="D63" i="32"/>
  <c r="D62" i="33"/>
  <c r="D65" i="34"/>
  <c r="D61" i="34"/>
  <c r="D60" i="35"/>
  <c r="D58" i="39"/>
  <c r="D57" i="42"/>
  <c r="D56" i="43"/>
  <c r="D55" i="44"/>
  <c r="D54" i="38"/>
  <c r="D164" i="139"/>
  <c r="D163" i="139"/>
  <c r="D162" i="139"/>
  <c r="D161" i="139"/>
  <c r="F160" i="139"/>
  <c r="D159" i="139"/>
  <c r="D158" i="139"/>
  <c r="D157" i="139"/>
  <c r="D156" i="139"/>
  <c r="H155" i="139"/>
  <c r="D155" i="139"/>
  <c r="D154" i="139"/>
  <c r="D153" i="139"/>
  <c r="D152" i="139"/>
  <c r="D151" i="139"/>
  <c r="F150" i="139"/>
  <c r="D150" i="139"/>
  <c r="D149" i="139"/>
  <c r="D148" i="139"/>
  <c r="D147" i="139"/>
  <c r="F146" i="139"/>
  <c r="D146" i="139"/>
  <c r="D145" i="139"/>
  <c r="D144" i="139"/>
  <c r="D143" i="139"/>
  <c r="H142" i="139"/>
  <c r="D142" i="139"/>
  <c r="D163" i="138"/>
  <c r="D162" i="138"/>
  <c r="D161" i="138"/>
  <c r="D160" i="138"/>
  <c r="F159" i="138"/>
  <c r="D158" i="138"/>
  <c r="D157" i="138"/>
  <c r="D156" i="138"/>
  <c r="D155" i="138"/>
  <c r="H154" i="138"/>
  <c r="D154" i="138"/>
  <c r="D153" i="138"/>
  <c r="D152" i="138"/>
  <c r="D151" i="138"/>
  <c r="D150" i="138"/>
  <c r="F149" i="138"/>
  <c r="D149" i="138"/>
  <c r="D148" i="138"/>
  <c r="D147" i="138"/>
  <c r="D146" i="138"/>
  <c r="F145" i="138"/>
  <c r="D145" i="138"/>
  <c r="D144" i="138"/>
  <c r="D143" i="138"/>
  <c r="D142" i="138"/>
  <c r="H141" i="138"/>
  <c r="D141" i="138"/>
  <c r="D162" i="137"/>
  <c r="D161" i="137"/>
  <c r="D160" i="137"/>
  <c r="D159" i="137"/>
  <c r="F158" i="137"/>
  <c r="D157" i="137"/>
  <c r="D156" i="137"/>
  <c r="D155" i="137"/>
  <c r="D154" i="137"/>
  <c r="H153" i="137"/>
  <c r="D153" i="137"/>
  <c r="D152" i="137"/>
  <c r="D151" i="137"/>
  <c r="D150" i="137"/>
  <c r="D149" i="137"/>
  <c r="F148" i="137"/>
  <c r="D148" i="137"/>
  <c r="D147" i="137"/>
  <c r="D146" i="137"/>
  <c r="D145" i="137"/>
  <c r="F144" i="137"/>
  <c r="D144" i="137"/>
  <c r="D143" i="137"/>
  <c r="D142" i="137"/>
  <c r="D141" i="137"/>
  <c r="H140" i="137"/>
  <c r="D140" i="137"/>
  <c r="D161" i="136"/>
  <c r="D160" i="136"/>
  <c r="D159" i="136"/>
  <c r="D158" i="136"/>
  <c r="F157" i="136"/>
  <c r="D156" i="136"/>
  <c r="D155" i="136"/>
  <c r="D154" i="136"/>
  <c r="D153" i="136"/>
  <c r="H152" i="136"/>
  <c r="D152" i="136"/>
  <c r="D151" i="136"/>
  <c r="D150" i="136"/>
  <c r="D149" i="136"/>
  <c r="D148" i="136"/>
  <c r="F147" i="136"/>
  <c r="D147" i="136"/>
  <c r="D146" i="136"/>
  <c r="D145" i="136"/>
  <c r="D144" i="136"/>
  <c r="F143" i="136"/>
  <c r="D143" i="136"/>
  <c r="D142" i="136"/>
  <c r="D141" i="136"/>
  <c r="D140" i="136"/>
  <c r="H139" i="136"/>
  <c r="D139" i="136"/>
  <c r="D160" i="135"/>
  <c r="D159" i="135"/>
  <c r="D158" i="135"/>
  <c r="D157" i="135"/>
  <c r="F156" i="135"/>
  <c r="D155" i="135"/>
  <c r="D154" i="135"/>
  <c r="D153" i="135"/>
  <c r="D152" i="135"/>
  <c r="H151" i="135"/>
  <c r="D151" i="135"/>
  <c r="D150" i="135"/>
  <c r="D149" i="135"/>
  <c r="D148" i="135"/>
  <c r="D147" i="135"/>
  <c r="F146" i="135"/>
  <c r="D146" i="135"/>
  <c r="D145" i="135"/>
  <c r="D144" i="135"/>
  <c r="D143" i="135"/>
  <c r="F142" i="135"/>
  <c r="D142" i="135"/>
  <c r="D141" i="135"/>
  <c r="D140" i="135"/>
  <c r="D139" i="135"/>
  <c r="H138" i="135"/>
  <c r="D138" i="135"/>
  <c r="D159" i="134"/>
  <c r="D158" i="134"/>
  <c r="D157" i="134"/>
  <c r="D156" i="134"/>
  <c r="F155" i="134"/>
  <c r="D154" i="134"/>
  <c r="D153" i="134"/>
  <c r="D152" i="134"/>
  <c r="D151" i="134"/>
  <c r="H150" i="134"/>
  <c r="D150" i="134"/>
  <c r="D149" i="134"/>
  <c r="D148" i="134"/>
  <c r="D147" i="134"/>
  <c r="D146" i="134"/>
  <c r="F145" i="134"/>
  <c r="D145" i="134"/>
  <c r="D144" i="134"/>
  <c r="D143" i="134"/>
  <c r="D142" i="134"/>
  <c r="F141" i="134"/>
  <c r="D141" i="134"/>
  <c r="D140" i="134"/>
  <c r="D139" i="134"/>
  <c r="D138" i="134"/>
  <c r="H137" i="134"/>
  <c r="D137" i="134"/>
  <c r="D158" i="133"/>
  <c r="D157" i="133"/>
  <c r="D156" i="133"/>
  <c r="D155" i="133"/>
  <c r="F154" i="133"/>
  <c r="D153" i="133"/>
  <c r="D152" i="133"/>
  <c r="D151" i="133"/>
  <c r="D150" i="133"/>
  <c r="H149" i="133"/>
  <c r="D149" i="133"/>
  <c r="D148" i="133"/>
  <c r="D147" i="133"/>
  <c r="D146" i="133"/>
  <c r="D145" i="133"/>
  <c r="F144" i="133"/>
  <c r="D144" i="133"/>
  <c r="D143" i="133"/>
  <c r="D142" i="133"/>
  <c r="D141" i="133"/>
  <c r="F140" i="133"/>
  <c r="D140" i="133"/>
  <c r="D139" i="133"/>
  <c r="D138" i="133"/>
  <c r="D137" i="133"/>
  <c r="H136" i="133"/>
  <c r="D136" i="133"/>
  <c r="D157" i="132"/>
  <c r="D156" i="132"/>
  <c r="D155" i="132"/>
  <c r="D154" i="132"/>
  <c r="F153" i="132"/>
  <c r="D152" i="132"/>
  <c r="D151" i="132"/>
  <c r="D150" i="132"/>
  <c r="D149" i="132"/>
  <c r="H148" i="132"/>
  <c r="D148" i="132"/>
  <c r="D147" i="132"/>
  <c r="D146" i="132"/>
  <c r="D145" i="132"/>
  <c r="D144" i="132"/>
  <c r="F143" i="132"/>
  <c r="D143" i="132"/>
  <c r="D142" i="132"/>
  <c r="D141" i="132"/>
  <c r="D140" i="132"/>
  <c r="F139" i="132"/>
  <c r="D139" i="132"/>
  <c r="D138" i="132"/>
  <c r="D137" i="132"/>
  <c r="D136" i="132"/>
  <c r="H135" i="132"/>
  <c r="D135" i="132"/>
  <c r="D156" i="131"/>
  <c r="D155" i="131"/>
  <c r="D154" i="131"/>
  <c r="D153" i="131"/>
  <c r="F152" i="131"/>
  <c r="D151" i="131"/>
  <c r="D150" i="131"/>
  <c r="D149" i="131"/>
  <c r="D148" i="131"/>
  <c r="H147" i="131"/>
  <c r="D147" i="131"/>
  <c r="D146" i="131"/>
  <c r="D145" i="131"/>
  <c r="D144" i="131"/>
  <c r="D143" i="131"/>
  <c r="F142" i="131"/>
  <c r="D142" i="131"/>
  <c r="D141" i="131"/>
  <c r="D140" i="131"/>
  <c r="D139" i="131"/>
  <c r="F138" i="131"/>
  <c r="D138" i="131"/>
  <c r="D137" i="131"/>
  <c r="D136" i="131"/>
  <c r="D135" i="131"/>
  <c r="H134" i="131"/>
  <c r="D134" i="131"/>
  <c r="D155" i="130"/>
  <c r="D154" i="130"/>
  <c r="D153" i="130"/>
  <c r="D152" i="130"/>
  <c r="F151" i="130"/>
  <c r="D150" i="130"/>
  <c r="D149" i="130"/>
  <c r="D148" i="130"/>
  <c r="D147" i="130"/>
  <c r="H146" i="130"/>
  <c r="D146" i="130"/>
  <c r="D145" i="130"/>
  <c r="D144" i="130"/>
  <c r="D143" i="130"/>
  <c r="D142" i="130"/>
  <c r="F141" i="130"/>
  <c r="D141" i="130"/>
  <c r="D140" i="130"/>
  <c r="D139" i="130"/>
  <c r="D138" i="130"/>
  <c r="F137" i="130"/>
  <c r="D137" i="130"/>
  <c r="D136" i="130"/>
  <c r="D135" i="130"/>
  <c r="D134" i="130"/>
  <c r="H133" i="130"/>
  <c r="D133" i="130"/>
  <c r="D154" i="129"/>
  <c r="D153" i="129"/>
  <c r="D152" i="129"/>
  <c r="D151" i="129"/>
  <c r="F150" i="129"/>
  <c r="D149" i="129"/>
  <c r="D148" i="129"/>
  <c r="D147" i="129"/>
  <c r="D146" i="129"/>
  <c r="H145" i="129"/>
  <c r="D145" i="129"/>
  <c r="D144" i="129"/>
  <c r="D143" i="129"/>
  <c r="D142" i="129"/>
  <c r="D141" i="129"/>
  <c r="F140" i="129"/>
  <c r="D140" i="129"/>
  <c r="D139" i="129"/>
  <c r="D138" i="129"/>
  <c r="D137" i="129"/>
  <c r="F136" i="129"/>
  <c r="D136" i="129"/>
  <c r="D135" i="129"/>
  <c r="D134" i="129"/>
  <c r="D133" i="129"/>
  <c r="H132" i="129"/>
  <c r="D132" i="129"/>
  <c r="D153" i="128"/>
  <c r="D152" i="128"/>
  <c r="D151" i="128"/>
  <c r="D150" i="128"/>
  <c r="F149" i="128"/>
  <c r="D148" i="128"/>
  <c r="D147" i="128"/>
  <c r="D146" i="128"/>
  <c r="D145" i="128"/>
  <c r="H144" i="128"/>
  <c r="D144" i="128"/>
  <c r="D143" i="128"/>
  <c r="D142" i="128"/>
  <c r="D141" i="128"/>
  <c r="D140" i="128"/>
  <c r="F139" i="128"/>
  <c r="D139" i="128"/>
  <c r="D138" i="128"/>
  <c r="D137" i="128"/>
  <c r="D136" i="128"/>
  <c r="F135" i="128"/>
  <c r="D135" i="128"/>
  <c r="D134" i="128"/>
  <c r="D133" i="128"/>
  <c r="D132" i="128"/>
  <c r="H131" i="128"/>
  <c r="D131" i="128"/>
  <c r="D152" i="127"/>
  <c r="D151" i="127"/>
  <c r="D150" i="127"/>
  <c r="D149" i="127"/>
  <c r="F148" i="127"/>
  <c r="D147" i="127"/>
  <c r="D146" i="127"/>
  <c r="D145" i="127"/>
  <c r="D144" i="127"/>
  <c r="H143" i="127"/>
  <c r="D143" i="127"/>
  <c r="D142" i="127"/>
  <c r="D141" i="127"/>
  <c r="D140" i="127"/>
  <c r="D139" i="127"/>
  <c r="F138" i="127"/>
  <c r="D138" i="127"/>
  <c r="D137" i="127"/>
  <c r="D136" i="127"/>
  <c r="D135" i="127"/>
  <c r="F134" i="127"/>
  <c r="D134" i="127"/>
  <c r="D133" i="127"/>
  <c r="D132" i="127"/>
  <c r="D131" i="127"/>
  <c r="H130" i="127"/>
  <c r="D130" i="127"/>
  <c r="D151" i="126"/>
  <c r="D150" i="126"/>
  <c r="D149" i="126"/>
  <c r="D148" i="126"/>
  <c r="F147" i="126"/>
  <c r="D146" i="126"/>
  <c r="D145" i="126"/>
  <c r="D144" i="126"/>
  <c r="D143" i="126"/>
  <c r="H142" i="126"/>
  <c r="D142" i="126"/>
  <c r="D141" i="126"/>
  <c r="D140" i="126"/>
  <c r="D139" i="126"/>
  <c r="D138" i="126"/>
  <c r="F137" i="126"/>
  <c r="D137" i="126"/>
  <c r="D136" i="126"/>
  <c r="D135" i="126"/>
  <c r="D134" i="126"/>
  <c r="F133" i="126"/>
  <c r="D133" i="126"/>
  <c r="D132" i="126"/>
  <c r="D131" i="126"/>
  <c r="D130" i="126"/>
  <c r="H129" i="126"/>
  <c r="D129" i="126"/>
  <c r="D150" i="125"/>
  <c r="D149" i="125"/>
  <c r="D148" i="125"/>
  <c r="D147" i="125"/>
  <c r="F146" i="125"/>
  <c r="D145" i="125"/>
  <c r="D144" i="125"/>
  <c r="D143" i="125"/>
  <c r="D142" i="125"/>
  <c r="H141" i="125"/>
  <c r="D141" i="125"/>
  <c r="D140" i="125"/>
  <c r="D139" i="125"/>
  <c r="D138" i="125"/>
  <c r="D137" i="125"/>
  <c r="F136" i="125"/>
  <c r="D136" i="125"/>
  <c r="D135" i="125"/>
  <c r="D134" i="125"/>
  <c r="D133" i="125"/>
  <c r="F132" i="125"/>
  <c r="D132" i="125"/>
  <c r="D131" i="125"/>
  <c r="D130" i="125"/>
  <c r="D129" i="125"/>
  <c r="H128" i="125"/>
  <c r="D128" i="125"/>
  <c r="D149" i="124"/>
  <c r="D148" i="124"/>
  <c r="D147" i="124"/>
  <c r="D146" i="124"/>
  <c r="F145" i="124"/>
  <c r="D144" i="124"/>
  <c r="D143" i="124"/>
  <c r="D142" i="124"/>
  <c r="D141" i="124"/>
  <c r="H140" i="124"/>
  <c r="D140" i="124"/>
  <c r="D139" i="124"/>
  <c r="D138" i="124"/>
  <c r="D137" i="124"/>
  <c r="D136" i="124"/>
  <c r="F135" i="124"/>
  <c r="D135" i="124"/>
  <c r="D134" i="124"/>
  <c r="D133" i="124"/>
  <c r="D132" i="124"/>
  <c r="F131" i="124"/>
  <c r="D131" i="124"/>
  <c r="D130" i="124"/>
  <c r="D129" i="124"/>
  <c r="D128" i="124"/>
  <c r="H127" i="124"/>
  <c r="D127" i="124"/>
  <c r="D148" i="123"/>
  <c r="D147" i="123"/>
  <c r="D146" i="123"/>
  <c r="D145" i="123"/>
  <c r="F144" i="123"/>
  <c r="D143" i="123"/>
  <c r="D142" i="123"/>
  <c r="D141" i="123"/>
  <c r="D140" i="123"/>
  <c r="H139" i="123"/>
  <c r="D139" i="123"/>
  <c r="D138" i="123"/>
  <c r="D137" i="123"/>
  <c r="D136" i="123"/>
  <c r="D135" i="123"/>
  <c r="F134" i="123"/>
  <c r="D134" i="123"/>
  <c r="D133" i="123"/>
  <c r="D132" i="123"/>
  <c r="D131" i="123"/>
  <c r="F130" i="123"/>
  <c r="D130" i="123"/>
  <c r="D129" i="123"/>
  <c r="D128" i="123"/>
  <c r="D127" i="123"/>
  <c r="H126" i="123"/>
  <c r="D126" i="123"/>
  <c r="D147" i="122"/>
  <c r="D146" i="122"/>
  <c r="D145" i="122"/>
  <c r="D144" i="122"/>
  <c r="F143" i="122"/>
  <c r="D142" i="122"/>
  <c r="D141" i="122"/>
  <c r="D140" i="122"/>
  <c r="D139" i="122"/>
  <c r="H138" i="122"/>
  <c r="D138" i="122"/>
  <c r="D137" i="122"/>
  <c r="D136" i="122"/>
  <c r="D135" i="122"/>
  <c r="D134" i="122"/>
  <c r="F133" i="122"/>
  <c r="D133" i="122"/>
  <c r="D132" i="122"/>
  <c r="D131" i="122"/>
  <c r="D130" i="122"/>
  <c r="F129" i="122"/>
  <c r="D129" i="122"/>
  <c r="D128" i="122"/>
  <c r="D127" i="122"/>
  <c r="D126" i="122"/>
  <c r="H125" i="122"/>
  <c r="D125" i="122"/>
  <c r="D143" i="121"/>
  <c r="D142" i="121"/>
  <c r="D141" i="121"/>
  <c r="D140" i="121"/>
  <c r="F139" i="121"/>
  <c r="D138" i="121"/>
  <c r="D137" i="121"/>
  <c r="D136" i="121"/>
  <c r="D135" i="121"/>
  <c r="H134" i="121"/>
  <c r="D134" i="121"/>
  <c r="D133" i="121"/>
  <c r="D132" i="121"/>
  <c r="D131" i="121"/>
  <c r="D130" i="121"/>
  <c r="F129" i="121"/>
  <c r="D129" i="121"/>
  <c r="D128" i="121"/>
  <c r="D127" i="121"/>
  <c r="D126" i="121"/>
  <c r="F125" i="121"/>
  <c r="D125" i="121"/>
  <c r="D124" i="121"/>
  <c r="D123" i="121"/>
  <c r="D122" i="121"/>
  <c r="H121" i="121"/>
  <c r="D121" i="121"/>
  <c r="D142" i="120"/>
  <c r="D141" i="120"/>
  <c r="D140" i="120"/>
  <c r="D139" i="120"/>
  <c r="F138" i="120"/>
  <c r="D137" i="120"/>
  <c r="D136" i="120"/>
  <c r="D135" i="120"/>
  <c r="D134" i="120"/>
  <c r="H133" i="120"/>
  <c r="D133" i="120"/>
  <c r="D132" i="120"/>
  <c r="D131" i="120"/>
  <c r="D130" i="120"/>
  <c r="D129" i="120"/>
  <c r="F128" i="120"/>
  <c r="D128" i="120"/>
  <c r="D127" i="120"/>
  <c r="D126" i="120"/>
  <c r="D125" i="120"/>
  <c r="F124" i="120"/>
  <c r="D124" i="120"/>
  <c r="D123" i="120"/>
  <c r="D122" i="120"/>
  <c r="D121" i="120"/>
  <c r="H120" i="120"/>
  <c r="D120" i="120"/>
  <c r="D141" i="119"/>
  <c r="D140" i="119"/>
  <c r="D139" i="119"/>
  <c r="D138" i="119"/>
  <c r="F137" i="119"/>
  <c r="D136" i="119"/>
  <c r="D135" i="119"/>
  <c r="D134" i="119"/>
  <c r="D133" i="119"/>
  <c r="H132" i="119"/>
  <c r="D132" i="119"/>
  <c r="D131" i="119"/>
  <c r="D130" i="119"/>
  <c r="D129" i="119"/>
  <c r="D128" i="119"/>
  <c r="F127" i="119"/>
  <c r="D127" i="119"/>
  <c r="D126" i="119"/>
  <c r="D125" i="119"/>
  <c r="D124" i="119"/>
  <c r="F123" i="119"/>
  <c r="D123" i="119"/>
  <c r="D122" i="119"/>
  <c r="D121" i="119"/>
  <c r="D120" i="119"/>
  <c r="H119" i="119"/>
  <c r="D119" i="119"/>
  <c r="D140" i="117"/>
  <c r="D139" i="117"/>
  <c r="D138" i="117"/>
  <c r="D137" i="117"/>
  <c r="F136" i="117"/>
  <c r="D135" i="117"/>
  <c r="D134" i="117"/>
  <c r="D133" i="117"/>
  <c r="D132" i="117"/>
  <c r="H131" i="117"/>
  <c r="D131" i="117"/>
  <c r="D130" i="117"/>
  <c r="D129" i="117"/>
  <c r="D128" i="117"/>
  <c r="D127" i="117"/>
  <c r="F126" i="117"/>
  <c r="D126" i="117"/>
  <c r="D125" i="117"/>
  <c r="D124" i="117"/>
  <c r="D123" i="117"/>
  <c r="F122" i="117"/>
  <c r="D122" i="117"/>
  <c r="D121" i="117"/>
  <c r="D120" i="117"/>
  <c r="D119" i="117"/>
  <c r="H118" i="117"/>
  <c r="D118" i="117"/>
  <c r="D139" i="116"/>
  <c r="D138" i="116"/>
  <c r="D137" i="116"/>
  <c r="D136" i="116"/>
  <c r="F135" i="116"/>
  <c r="D134" i="116"/>
  <c r="D133" i="116"/>
  <c r="D132" i="116"/>
  <c r="D131" i="116"/>
  <c r="H130" i="116"/>
  <c r="D130" i="116"/>
  <c r="D129" i="116"/>
  <c r="D128" i="116"/>
  <c r="D127" i="116"/>
  <c r="D126" i="116"/>
  <c r="F125" i="116"/>
  <c r="D125" i="116"/>
  <c r="D124" i="116"/>
  <c r="D123" i="116"/>
  <c r="D122" i="116"/>
  <c r="F121" i="116"/>
  <c r="D121" i="116"/>
  <c r="D120" i="116"/>
  <c r="D119" i="116"/>
  <c r="D118" i="116"/>
  <c r="H117" i="116"/>
  <c r="D117" i="116"/>
  <c r="D138" i="115"/>
  <c r="D137" i="115"/>
  <c r="D136" i="115"/>
  <c r="D135" i="115"/>
  <c r="F134" i="115"/>
  <c r="D133" i="115"/>
  <c r="D132" i="115"/>
  <c r="D131" i="115"/>
  <c r="D130" i="115"/>
  <c r="H129" i="115"/>
  <c r="D129" i="115"/>
  <c r="D128" i="115"/>
  <c r="D127" i="115"/>
  <c r="D126" i="115"/>
  <c r="D125" i="115"/>
  <c r="F124" i="115"/>
  <c r="D124" i="115"/>
  <c r="D123" i="115"/>
  <c r="D122" i="115"/>
  <c r="D121" i="115"/>
  <c r="F120" i="115"/>
  <c r="D120" i="115"/>
  <c r="D119" i="115"/>
  <c r="D118" i="115"/>
  <c r="D117" i="115"/>
  <c r="H116" i="115"/>
  <c r="D116" i="115"/>
  <c r="D137" i="114"/>
  <c r="D136" i="114"/>
  <c r="D135" i="114"/>
  <c r="D134" i="114"/>
  <c r="F133" i="114"/>
  <c r="D132" i="114"/>
  <c r="D131" i="114"/>
  <c r="D130" i="114"/>
  <c r="D129" i="114"/>
  <c r="H128" i="114"/>
  <c r="D128" i="114"/>
  <c r="D127" i="114"/>
  <c r="D126" i="114"/>
  <c r="D125" i="114"/>
  <c r="D124" i="114"/>
  <c r="F123" i="114"/>
  <c r="D123" i="114"/>
  <c r="D122" i="114"/>
  <c r="D121" i="114"/>
  <c r="D120" i="114"/>
  <c r="F119" i="114"/>
  <c r="D119" i="114"/>
  <c r="D118" i="114"/>
  <c r="D117" i="114"/>
  <c r="D116" i="114"/>
  <c r="H115" i="114"/>
  <c r="D115" i="114"/>
  <c r="D136" i="113"/>
  <c r="D135" i="113"/>
  <c r="D134" i="113"/>
  <c r="D133" i="113"/>
  <c r="F132" i="113"/>
  <c r="D131" i="113"/>
  <c r="D130" i="113"/>
  <c r="D129" i="113"/>
  <c r="D128" i="113"/>
  <c r="H127" i="113"/>
  <c r="D127" i="113"/>
  <c r="D126" i="113"/>
  <c r="D125" i="113"/>
  <c r="D124" i="113"/>
  <c r="D123" i="113"/>
  <c r="F122" i="113"/>
  <c r="D122" i="113"/>
  <c r="D121" i="113"/>
  <c r="D120" i="113"/>
  <c r="D119" i="113"/>
  <c r="F118" i="113"/>
  <c r="D118" i="113"/>
  <c r="D117" i="113"/>
  <c r="D116" i="113"/>
  <c r="D115" i="113"/>
  <c r="H114" i="113"/>
  <c r="D114" i="113"/>
  <c r="D135" i="111"/>
  <c r="D134" i="111"/>
  <c r="D133" i="111"/>
  <c r="D132" i="111"/>
  <c r="F131" i="111"/>
  <c r="D130" i="111"/>
  <c r="D129" i="111"/>
  <c r="D128" i="111"/>
  <c r="D127" i="111"/>
  <c r="H126" i="111"/>
  <c r="D126" i="111"/>
  <c r="D125" i="111"/>
  <c r="D124" i="111"/>
  <c r="D123" i="111"/>
  <c r="D122" i="111"/>
  <c r="F121" i="111"/>
  <c r="D121" i="111"/>
  <c r="D120" i="111"/>
  <c r="D119" i="111"/>
  <c r="D118" i="111"/>
  <c r="F117" i="111"/>
  <c r="D117" i="111"/>
  <c r="D116" i="111"/>
  <c r="D115" i="111"/>
  <c r="D114" i="111"/>
  <c r="H113" i="111"/>
  <c r="D113" i="111"/>
  <c r="D134" i="110"/>
  <c r="D133" i="110"/>
  <c r="D132" i="110"/>
  <c r="D131" i="110"/>
  <c r="F130" i="110"/>
  <c r="D129" i="110"/>
  <c r="D128" i="110"/>
  <c r="D127" i="110"/>
  <c r="D126" i="110"/>
  <c r="H125" i="110"/>
  <c r="D125" i="110"/>
  <c r="D124" i="110"/>
  <c r="D123" i="110"/>
  <c r="D122" i="110"/>
  <c r="D121" i="110"/>
  <c r="F120" i="110"/>
  <c r="D120" i="110"/>
  <c r="D119" i="110"/>
  <c r="D118" i="110"/>
  <c r="D117" i="110"/>
  <c r="F116" i="110"/>
  <c r="D116" i="110"/>
  <c r="D115" i="110"/>
  <c r="D114" i="110"/>
  <c r="D113" i="110"/>
  <c r="H112" i="110"/>
  <c r="D112" i="110"/>
  <c r="D133" i="109"/>
  <c r="D132" i="109"/>
  <c r="D131" i="109"/>
  <c r="D130" i="109"/>
  <c r="F129" i="109"/>
  <c r="D128" i="109"/>
  <c r="D127" i="109"/>
  <c r="D126" i="109"/>
  <c r="D125" i="109"/>
  <c r="H124" i="109"/>
  <c r="D124" i="109"/>
  <c r="D123" i="109"/>
  <c r="D122" i="109"/>
  <c r="D121" i="109"/>
  <c r="D120" i="109"/>
  <c r="F119" i="109"/>
  <c r="D119" i="109"/>
  <c r="D118" i="109"/>
  <c r="D117" i="109"/>
  <c r="D116" i="109"/>
  <c r="F115" i="109"/>
  <c r="D115" i="109"/>
  <c r="D114" i="109"/>
  <c r="D113" i="109"/>
  <c r="D112" i="109"/>
  <c r="H111" i="109"/>
  <c r="D111" i="109"/>
  <c r="D132" i="108"/>
  <c r="D131" i="108"/>
  <c r="D130" i="108"/>
  <c r="D129" i="108"/>
  <c r="F128" i="108"/>
  <c r="D127" i="108"/>
  <c r="D126" i="108"/>
  <c r="D125" i="108"/>
  <c r="D124" i="108"/>
  <c r="H123" i="108"/>
  <c r="D123" i="108"/>
  <c r="D122" i="108"/>
  <c r="D121" i="108"/>
  <c r="D120" i="108"/>
  <c r="D119" i="108"/>
  <c r="F118" i="108"/>
  <c r="D118" i="108"/>
  <c r="D117" i="108"/>
  <c r="D116" i="108"/>
  <c r="D115" i="108"/>
  <c r="F114" i="108"/>
  <c r="D114" i="108"/>
  <c r="D113" i="108"/>
  <c r="D112" i="108"/>
  <c r="D111" i="108"/>
  <c r="H110" i="108"/>
  <c r="D110" i="108"/>
  <c r="D131" i="107"/>
  <c r="D130" i="107"/>
  <c r="D129" i="107"/>
  <c r="D128" i="107"/>
  <c r="F127" i="107"/>
  <c r="D126" i="107"/>
  <c r="D125" i="107"/>
  <c r="D124" i="107"/>
  <c r="D123" i="107"/>
  <c r="H122" i="107"/>
  <c r="D122" i="107"/>
  <c r="D121" i="107"/>
  <c r="D120" i="107"/>
  <c r="D119" i="107"/>
  <c r="D118" i="107"/>
  <c r="F117" i="107"/>
  <c r="D117" i="107"/>
  <c r="D116" i="107"/>
  <c r="D115" i="107"/>
  <c r="D114" i="107"/>
  <c r="F113" i="107"/>
  <c r="D113" i="107"/>
  <c r="D112" i="107"/>
  <c r="D111" i="107"/>
  <c r="D110" i="107"/>
  <c r="H109" i="107"/>
  <c r="D109" i="107"/>
  <c r="D130" i="106"/>
  <c r="D129" i="106"/>
  <c r="D128" i="106"/>
  <c r="D127" i="106"/>
  <c r="F126" i="106"/>
  <c r="D125" i="106"/>
  <c r="D124" i="106"/>
  <c r="D123" i="106"/>
  <c r="D122" i="106"/>
  <c r="H121" i="106"/>
  <c r="D121" i="106"/>
  <c r="D120" i="106"/>
  <c r="D119" i="106"/>
  <c r="D118" i="106"/>
  <c r="D117" i="106"/>
  <c r="F116" i="106"/>
  <c r="D116" i="106"/>
  <c r="D115" i="106"/>
  <c r="D114" i="106"/>
  <c r="D113" i="106"/>
  <c r="F112" i="106"/>
  <c r="D112" i="106"/>
  <c r="D111" i="106"/>
  <c r="D110" i="106"/>
  <c r="D109" i="106"/>
  <c r="H108" i="106"/>
  <c r="D108" i="106"/>
  <c r="D129" i="103"/>
  <c r="D128" i="103"/>
  <c r="D127" i="103"/>
  <c r="D126" i="103"/>
  <c r="F125" i="103"/>
  <c r="D124" i="103"/>
  <c r="D123" i="103"/>
  <c r="D122" i="103"/>
  <c r="D121" i="103"/>
  <c r="H120" i="103"/>
  <c r="D120" i="103"/>
  <c r="D119" i="103"/>
  <c r="D118" i="103"/>
  <c r="D117" i="103"/>
  <c r="D116" i="103"/>
  <c r="F115" i="103"/>
  <c r="D115" i="103"/>
  <c r="D114" i="103"/>
  <c r="D113" i="103"/>
  <c r="D112" i="103"/>
  <c r="F111" i="103"/>
  <c r="D111" i="103"/>
  <c r="D110" i="103"/>
  <c r="D109" i="103"/>
  <c r="D108" i="103"/>
  <c r="H107" i="103"/>
  <c r="D107" i="103"/>
  <c r="D128" i="104"/>
  <c r="D127" i="104"/>
  <c r="D126" i="104"/>
  <c r="D125" i="104"/>
  <c r="F124" i="104"/>
  <c r="D123" i="104"/>
  <c r="D122" i="104"/>
  <c r="D121" i="104"/>
  <c r="D120" i="104"/>
  <c r="H119" i="104"/>
  <c r="D119" i="104"/>
  <c r="D118" i="104"/>
  <c r="D117" i="104"/>
  <c r="D116" i="104"/>
  <c r="D115" i="104"/>
  <c r="F114" i="104"/>
  <c r="D114" i="104"/>
  <c r="D113" i="104"/>
  <c r="D112" i="104"/>
  <c r="D111" i="104"/>
  <c r="F110" i="104"/>
  <c r="D110" i="104"/>
  <c r="D109" i="104"/>
  <c r="D108" i="104"/>
  <c r="D107" i="104"/>
  <c r="H106" i="104"/>
  <c r="D106" i="104"/>
  <c r="D127" i="79"/>
  <c r="D126" i="79"/>
  <c r="D125" i="79"/>
  <c r="D124" i="79"/>
  <c r="F123" i="79"/>
  <c r="D122" i="79"/>
  <c r="D121" i="79"/>
  <c r="D120" i="79"/>
  <c r="D119" i="79"/>
  <c r="H118" i="79"/>
  <c r="D118" i="79"/>
  <c r="D117" i="79"/>
  <c r="D116" i="79"/>
  <c r="D115" i="79"/>
  <c r="D114" i="79"/>
  <c r="F113" i="79"/>
  <c r="D113" i="79"/>
  <c r="D112" i="79"/>
  <c r="D111" i="79"/>
  <c r="D110" i="79"/>
  <c r="F109" i="79"/>
  <c r="D109" i="79"/>
  <c r="D108" i="79"/>
  <c r="D107" i="79"/>
  <c r="D106" i="79"/>
  <c r="H105" i="79"/>
  <c r="D105" i="79"/>
  <c r="D126" i="100"/>
  <c r="D125" i="100"/>
  <c r="D124" i="100"/>
  <c r="D123" i="100"/>
  <c r="F122" i="100"/>
  <c r="D121" i="100"/>
  <c r="D120" i="100"/>
  <c r="D119" i="100"/>
  <c r="D118" i="100"/>
  <c r="H117" i="100"/>
  <c r="D117" i="100"/>
  <c r="D116" i="100"/>
  <c r="D115" i="100"/>
  <c r="D114" i="100"/>
  <c r="D113" i="100"/>
  <c r="F112" i="100"/>
  <c r="D112" i="100"/>
  <c r="D111" i="100"/>
  <c r="D110" i="100"/>
  <c r="D109" i="100"/>
  <c r="F108" i="100"/>
  <c r="D108" i="100"/>
  <c r="D107" i="100"/>
  <c r="D106" i="100"/>
  <c r="D105" i="100"/>
  <c r="H104" i="100"/>
  <c r="D104" i="100"/>
  <c r="D125" i="99"/>
  <c r="D124" i="99"/>
  <c r="D123" i="99"/>
  <c r="D122" i="99"/>
  <c r="F121" i="99"/>
  <c r="D120" i="99"/>
  <c r="D119" i="99"/>
  <c r="D118" i="99"/>
  <c r="D117" i="99"/>
  <c r="H116" i="99"/>
  <c r="D116" i="99"/>
  <c r="D115" i="99"/>
  <c r="D114" i="99"/>
  <c r="D113" i="99"/>
  <c r="D112" i="99"/>
  <c r="F111" i="99"/>
  <c r="D111" i="99"/>
  <c r="D110" i="99"/>
  <c r="D109" i="99"/>
  <c r="D108" i="99"/>
  <c r="F107" i="99"/>
  <c r="D107" i="99"/>
  <c r="D106" i="99"/>
  <c r="D105" i="99"/>
  <c r="D104" i="99"/>
  <c r="H103" i="99"/>
  <c r="D103" i="99"/>
  <c r="D124" i="98"/>
  <c r="D123" i="98"/>
  <c r="D122" i="98"/>
  <c r="D121" i="98"/>
  <c r="F120" i="98"/>
  <c r="D119" i="98"/>
  <c r="D118" i="98"/>
  <c r="D117" i="98"/>
  <c r="D116" i="98"/>
  <c r="H115" i="98"/>
  <c r="D115" i="98"/>
  <c r="D114" i="98"/>
  <c r="D113" i="98"/>
  <c r="D112" i="98"/>
  <c r="D111" i="98"/>
  <c r="F110" i="98"/>
  <c r="D110" i="98"/>
  <c r="D109" i="98"/>
  <c r="D108" i="98"/>
  <c r="D107" i="98"/>
  <c r="F106" i="98"/>
  <c r="D106" i="98"/>
  <c r="D105" i="98"/>
  <c r="D104" i="98"/>
  <c r="D103" i="98"/>
  <c r="H102" i="98"/>
  <c r="D102" i="98"/>
  <c r="D123" i="97"/>
  <c r="D122" i="97"/>
  <c r="D121" i="97"/>
  <c r="D120" i="97"/>
  <c r="F119" i="97"/>
  <c r="D118" i="97"/>
  <c r="D117" i="97"/>
  <c r="D116" i="97"/>
  <c r="D115" i="97"/>
  <c r="H114" i="97"/>
  <c r="D114" i="97"/>
  <c r="D113" i="97"/>
  <c r="D112" i="97"/>
  <c r="D111" i="97"/>
  <c r="D110" i="97"/>
  <c r="F109" i="97"/>
  <c r="D109" i="97"/>
  <c r="D108" i="97"/>
  <c r="D107" i="97"/>
  <c r="D106" i="97"/>
  <c r="F105" i="97"/>
  <c r="D105" i="97"/>
  <c r="D104" i="97"/>
  <c r="D103" i="97"/>
  <c r="D102" i="97"/>
  <c r="H101" i="97"/>
  <c r="D101" i="97"/>
  <c r="D122" i="96"/>
  <c r="D121" i="96"/>
  <c r="D120" i="96"/>
  <c r="D119" i="96"/>
  <c r="F118" i="96"/>
  <c r="D117" i="96"/>
  <c r="D116" i="96"/>
  <c r="D115" i="96"/>
  <c r="D114" i="96"/>
  <c r="H113" i="96"/>
  <c r="D113" i="96"/>
  <c r="D112" i="96"/>
  <c r="D111" i="96"/>
  <c r="D110" i="96"/>
  <c r="D109" i="96"/>
  <c r="F108" i="96"/>
  <c r="D108" i="96"/>
  <c r="D107" i="96"/>
  <c r="D106" i="96"/>
  <c r="D105" i="96"/>
  <c r="F104" i="96"/>
  <c r="D104" i="96"/>
  <c r="D103" i="96"/>
  <c r="D102" i="96"/>
  <c r="D101" i="96"/>
  <c r="H100" i="96"/>
  <c r="D100" i="96"/>
  <c r="D121" i="94"/>
  <c r="D120" i="94"/>
  <c r="D119" i="94"/>
  <c r="D118" i="94"/>
  <c r="F117" i="94"/>
  <c r="D116" i="94"/>
  <c r="D115" i="94"/>
  <c r="D114" i="94"/>
  <c r="D113" i="94"/>
  <c r="H112" i="94"/>
  <c r="D112" i="94"/>
  <c r="D111" i="94"/>
  <c r="D110" i="94"/>
  <c r="D109" i="94"/>
  <c r="D108" i="94"/>
  <c r="F107" i="94"/>
  <c r="D107" i="94"/>
  <c r="D106" i="94"/>
  <c r="D105" i="94"/>
  <c r="D104" i="94"/>
  <c r="F103" i="94"/>
  <c r="D103" i="94"/>
  <c r="D102" i="94"/>
  <c r="D101" i="94"/>
  <c r="D100" i="94"/>
  <c r="H99" i="94"/>
  <c r="D99" i="94"/>
  <c r="D120" i="93"/>
  <c r="D119" i="93"/>
  <c r="D118" i="93"/>
  <c r="D117" i="93"/>
  <c r="F116" i="93"/>
  <c r="D115" i="93"/>
  <c r="D114" i="93"/>
  <c r="D113" i="93"/>
  <c r="D112" i="93"/>
  <c r="H111" i="93"/>
  <c r="D111" i="93"/>
  <c r="D110" i="93"/>
  <c r="D109" i="93"/>
  <c r="D108" i="93"/>
  <c r="D107" i="93"/>
  <c r="F106" i="93"/>
  <c r="D106" i="93"/>
  <c r="D105" i="93"/>
  <c r="D104" i="93"/>
  <c r="D103" i="93"/>
  <c r="F102" i="93"/>
  <c r="D102" i="93"/>
  <c r="D101" i="93"/>
  <c r="D100" i="93"/>
  <c r="D99" i="93"/>
  <c r="H98" i="93"/>
  <c r="D98" i="93"/>
  <c r="D119" i="92"/>
  <c r="D118" i="92"/>
  <c r="D117" i="92"/>
  <c r="D116" i="92"/>
  <c r="F115" i="92"/>
  <c r="D114" i="92"/>
  <c r="D113" i="92"/>
  <c r="D112" i="92"/>
  <c r="D111" i="92"/>
  <c r="H110" i="92"/>
  <c r="D110" i="92"/>
  <c r="D109" i="92"/>
  <c r="D108" i="92"/>
  <c r="D107" i="92"/>
  <c r="D106" i="92"/>
  <c r="F105" i="92"/>
  <c r="D105" i="92"/>
  <c r="D104" i="92"/>
  <c r="D103" i="92"/>
  <c r="D102" i="92"/>
  <c r="F101" i="92"/>
  <c r="D101" i="92"/>
  <c r="D100" i="92"/>
  <c r="D99" i="92"/>
  <c r="D98" i="92"/>
  <c r="H97" i="92"/>
  <c r="D97" i="92"/>
  <c r="D118" i="91"/>
  <c r="D117" i="91"/>
  <c r="D116" i="91"/>
  <c r="D115" i="91"/>
  <c r="F114" i="91"/>
  <c r="D113" i="91"/>
  <c r="D112" i="91"/>
  <c r="D111" i="91"/>
  <c r="D110" i="91"/>
  <c r="H109" i="91"/>
  <c r="D109" i="91"/>
  <c r="D108" i="91"/>
  <c r="D107" i="91"/>
  <c r="D106" i="91"/>
  <c r="D105" i="91"/>
  <c r="F104" i="91"/>
  <c r="D104" i="91"/>
  <c r="D103" i="91"/>
  <c r="D102" i="91"/>
  <c r="D101" i="91"/>
  <c r="F100" i="91"/>
  <c r="D100" i="91"/>
  <c r="D99" i="91"/>
  <c r="D98" i="91"/>
  <c r="D97" i="91"/>
  <c r="H96" i="91"/>
  <c r="D96" i="91"/>
  <c r="D117" i="90"/>
  <c r="D116" i="90"/>
  <c r="D115" i="90"/>
  <c r="D114" i="90"/>
  <c r="F113" i="90"/>
  <c r="D112" i="90"/>
  <c r="D111" i="90"/>
  <c r="D110" i="90"/>
  <c r="D109" i="90"/>
  <c r="H108" i="90"/>
  <c r="D108" i="90"/>
  <c r="D107" i="90"/>
  <c r="D106" i="90"/>
  <c r="D105" i="90"/>
  <c r="D104" i="90"/>
  <c r="F103" i="90"/>
  <c r="D103" i="90"/>
  <c r="D102" i="90"/>
  <c r="D101" i="90"/>
  <c r="D100" i="90"/>
  <c r="F99" i="90"/>
  <c r="D99" i="90"/>
  <c r="D98" i="90"/>
  <c r="D97" i="90"/>
  <c r="D96" i="90"/>
  <c r="H95" i="90"/>
  <c r="D95" i="90"/>
  <c r="D116" i="89"/>
  <c r="D115" i="89"/>
  <c r="D114" i="89"/>
  <c r="D113" i="89"/>
  <c r="F112" i="89"/>
  <c r="D111" i="89"/>
  <c r="D110" i="89"/>
  <c r="D109" i="89"/>
  <c r="D108" i="89"/>
  <c r="H107" i="89"/>
  <c r="D107" i="89"/>
  <c r="D106" i="89"/>
  <c r="D105" i="89"/>
  <c r="D104" i="89"/>
  <c r="D103" i="89"/>
  <c r="F102" i="89"/>
  <c r="D102" i="89"/>
  <c r="D101" i="89"/>
  <c r="D100" i="89"/>
  <c r="D99" i="89"/>
  <c r="F98" i="89"/>
  <c r="D98" i="89"/>
  <c r="D97" i="89"/>
  <c r="D96" i="89"/>
  <c r="D95" i="89"/>
  <c r="H94" i="89"/>
  <c r="D94" i="89"/>
  <c r="D115" i="85"/>
  <c r="D114" i="85"/>
  <c r="D113" i="85"/>
  <c r="D112" i="85"/>
  <c r="F111" i="85"/>
  <c r="D110" i="85"/>
  <c r="D109" i="85"/>
  <c r="D108" i="85"/>
  <c r="D107" i="85"/>
  <c r="H106" i="85"/>
  <c r="D106" i="85"/>
  <c r="D105" i="85"/>
  <c r="D104" i="85"/>
  <c r="D103" i="85"/>
  <c r="D102" i="85"/>
  <c r="F101" i="85"/>
  <c r="D101" i="85"/>
  <c r="D100" i="85"/>
  <c r="D99" i="85"/>
  <c r="D98" i="85"/>
  <c r="F97" i="85"/>
  <c r="D97" i="85"/>
  <c r="D96" i="85"/>
  <c r="D95" i="85"/>
  <c r="D94" i="85"/>
  <c r="H93" i="85"/>
  <c r="D93" i="85"/>
  <c r="D114" i="86"/>
  <c r="D113" i="86"/>
  <c r="D112" i="86"/>
  <c r="D111" i="86"/>
  <c r="F110" i="86"/>
  <c r="D109" i="86"/>
  <c r="D108" i="86"/>
  <c r="D107" i="86"/>
  <c r="D106" i="86"/>
  <c r="H105" i="86"/>
  <c r="D105" i="86"/>
  <c r="D104" i="86"/>
  <c r="D103" i="86"/>
  <c r="D102" i="86"/>
  <c r="D101" i="86"/>
  <c r="F100" i="86"/>
  <c r="D100" i="86"/>
  <c r="D99" i="86"/>
  <c r="D98" i="86"/>
  <c r="D97" i="86"/>
  <c r="F96" i="86"/>
  <c r="D96" i="86"/>
  <c r="D95" i="86"/>
  <c r="D94" i="86"/>
  <c r="D93" i="86"/>
  <c r="H92" i="86"/>
  <c r="D92" i="86"/>
  <c r="D113" i="87"/>
  <c r="D112" i="87"/>
  <c r="D111" i="87"/>
  <c r="D110" i="87"/>
  <c r="F109" i="87"/>
  <c r="D108" i="87"/>
  <c r="D107" i="87"/>
  <c r="D106" i="87"/>
  <c r="D105" i="87"/>
  <c r="H104" i="87"/>
  <c r="D104" i="87"/>
  <c r="D103" i="87"/>
  <c r="D102" i="87"/>
  <c r="D101" i="87"/>
  <c r="D100" i="87"/>
  <c r="F99" i="87"/>
  <c r="D99" i="87"/>
  <c r="D98" i="87"/>
  <c r="D97" i="87"/>
  <c r="D96" i="87"/>
  <c r="F95" i="87"/>
  <c r="D95" i="87"/>
  <c r="D94" i="87"/>
  <c r="D93" i="87"/>
  <c r="D92" i="87"/>
  <c r="H91" i="87"/>
  <c r="D91" i="87"/>
  <c r="D112" i="88"/>
  <c r="D111" i="88"/>
  <c r="D110" i="88"/>
  <c r="D109" i="88"/>
  <c r="F108" i="88"/>
  <c r="D107" i="88"/>
  <c r="D106" i="88"/>
  <c r="D105" i="88"/>
  <c r="D104" i="88"/>
  <c r="H103" i="88"/>
  <c r="D103" i="88"/>
  <c r="D102" i="88"/>
  <c r="D101" i="88"/>
  <c r="D100" i="88"/>
  <c r="D99" i="88"/>
  <c r="F98" i="88"/>
  <c r="D98" i="88"/>
  <c r="D97" i="88"/>
  <c r="D96" i="88"/>
  <c r="D95" i="88"/>
  <c r="F94" i="88"/>
  <c r="D94" i="88"/>
  <c r="D93" i="88"/>
  <c r="D92" i="88"/>
  <c r="D91" i="88"/>
  <c r="H90" i="88"/>
  <c r="D90" i="88"/>
  <c r="D111" i="84"/>
  <c r="D110" i="84"/>
  <c r="D109" i="84"/>
  <c r="D108" i="84"/>
  <c r="F107" i="84"/>
  <c r="D106" i="84"/>
  <c r="D105" i="84"/>
  <c r="D104" i="84"/>
  <c r="D103" i="84"/>
  <c r="H102" i="84"/>
  <c r="D102" i="84"/>
  <c r="D101" i="84"/>
  <c r="D100" i="84"/>
  <c r="D99" i="84"/>
  <c r="D98" i="84"/>
  <c r="F97" i="84"/>
  <c r="D97" i="84"/>
  <c r="D96" i="84"/>
  <c r="D95" i="84"/>
  <c r="D94" i="84"/>
  <c r="F93" i="84"/>
  <c r="D93" i="84"/>
  <c r="D92" i="84"/>
  <c r="D91" i="84"/>
  <c r="D90" i="84"/>
  <c r="H89" i="84"/>
  <c r="D89" i="84"/>
  <c r="D110" i="83"/>
  <c r="D109" i="83"/>
  <c r="D108" i="83"/>
  <c r="D107" i="83"/>
  <c r="F106" i="83"/>
  <c r="D105" i="83"/>
  <c r="D104" i="83"/>
  <c r="D103" i="83"/>
  <c r="D102" i="83"/>
  <c r="H101" i="83"/>
  <c r="D101" i="83"/>
  <c r="D100" i="83"/>
  <c r="D99" i="83"/>
  <c r="D98" i="83"/>
  <c r="D97" i="83"/>
  <c r="F96" i="83"/>
  <c r="D96" i="83"/>
  <c r="D95" i="83"/>
  <c r="D94" i="83"/>
  <c r="D93" i="83"/>
  <c r="F92" i="83"/>
  <c r="D92" i="83"/>
  <c r="D91" i="83"/>
  <c r="D90" i="83"/>
  <c r="D89" i="83"/>
  <c r="H88" i="83"/>
  <c r="D88" i="83"/>
  <c r="D109" i="82"/>
  <c r="D108" i="82"/>
  <c r="D107" i="82"/>
  <c r="D106" i="82"/>
  <c r="F105" i="82"/>
  <c r="D104" i="82"/>
  <c r="D103" i="82"/>
  <c r="D102" i="82"/>
  <c r="D101" i="82"/>
  <c r="H100" i="82"/>
  <c r="D100" i="82"/>
  <c r="D99" i="82"/>
  <c r="D98" i="82"/>
  <c r="D97" i="82"/>
  <c r="D96" i="82"/>
  <c r="F95" i="82"/>
  <c r="D95" i="82"/>
  <c r="D94" i="82"/>
  <c r="D93" i="82"/>
  <c r="D92" i="82"/>
  <c r="F91" i="82"/>
  <c r="D91" i="82"/>
  <c r="D90" i="82"/>
  <c r="D89" i="82"/>
  <c r="D88" i="82"/>
  <c r="H87" i="82"/>
  <c r="D87" i="82"/>
  <c r="D108" i="81"/>
  <c r="D107" i="81"/>
  <c r="D106" i="81"/>
  <c r="D105" i="81"/>
  <c r="F104" i="81"/>
  <c r="D103" i="81"/>
  <c r="D102" i="81"/>
  <c r="D101" i="81"/>
  <c r="D100" i="81"/>
  <c r="H99" i="81"/>
  <c r="D99" i="81"/>
  <c r="D98" i="81"/>
  <c r="D97" i="81"/>
  <c r="D96" i="81"/>
  <c r="D95" i="81"/>
  <c r="F94" i="81"/>
  <c r="D94" i="81"/>
  <c r="D93" i="81"/>
  <c r="D92" i="81"/>
  <c r="D91" i="81"/>
  <c r="F90" i="81"/>
  <c r="D90" i="81"/>
  <c r="D89" i="81"/>
  <c r="D88" i="81"/>
  <c r="D87" i="81"/>
  <c r="H86" i="81"/>
  <c r="D86" i="81"/>
  <c r="D107" i="71"/>
  <c r="D106" i="71"/>
  <c r="D105" i="71"/>
  <c r="D104" i="71"/>
  <c r="F103" i="71"/>
  <c r="D102" i="71"/>
  <c r="D101" i="71"/>
  <c r="D100" i="71"/>
  <c r="D99" i="71"/>
  <c r="H98" i="71"/>
  <c r="D98" i="71"/>
  <c r="D97" i="71"/>
  <c r="D96" i="71"/>
  <c r="D95" i="71"/>
  <c r="D94" i="71"/>
  <c r="F93" i="71"/>
  <c r="D93" i="71"/>
  <c r="D92" i="71"/>
  <c r="D91" i="71"/>
  <c r="D90" i="71"/>
  <c r="F89" i="71"/>
  <c r="D89" i="71"/>
  <c r="D88" i="71"/>
  <c r="D87" i="71"/>
  <c r="D86" i="71"/>
  <c r="H85" i="71"/>
  <c r="D85" i="71"/>
  <c r="D106" i="72"/>
  <c r="D105" i="72"/>
  <c r="D104" i="72"/>
  <c r="D103" i="72"/>
  <c r="F102" i="72"/>
  <c r="D101" i="72"/>
  <c r="D100" i="72"/>
  <c r="D99" i="72"/>
  <c r="D98" i="72"/>
  <c r="H97" i="72"/>
  <c r="D97" i="72"/>
  <c r="D96" i="72"/>
  <c r="D95" i="72"/>
  <c r="D94" i="72"/>
  <c r="D93" i="72"/>
  <c r="F92" i="72"/>
  <c r="D92" i="72"/>
  <c r="D91" i="72"/>
  <c r="D90" i="72"/>
  <c r="D89" i="72"/>
  <c r="F88" i="72"/>
  <c r="D88" i="72"/>
  <c r="D87" i="72"/>
  <c r="D86" i="72"/>
  <c r="D85" i="72"/>
  <c r="H84" i="72"/>
  <c r="D84" i="72"/>
  <c r="D105" i="73"/>
  <c r="D104" i="73"/>
  <c r="D103" i="73"/>
  <c r="D102" i="73"/>
  <c r="F101" i="73"/>
  <c r="D100" i="73"/>
  <c r="D99" i="73"/>
  <c r="D98" i="73"/>
  <c r="D97" i="73"/>
  <c r="H96" i="73"/>
  <c r="D96" i="73"/>
  <c r="D95" i="73"/>
  <c r="D94" i="73"/>
  <c r="D93" i="73"/>
  <c r="D92" i="73"/>
  <c r="F91" i="73"/>
  <c r="D91" i="73"/>
  <c r="D90" i="73"/>
  <c r="D89" i="73"/>
  <c r="D88" i="73"/>
  <c r="F87" i="73"/>
  <c r="D87" i="73"/>
  <c r="D86" i="73"/>
  <c r="D85" i="73"/>
  <c r="D84" i="73"/>
  <c r="H83" i="73"/>
  <c r="D83" i="73"/>
  <c r="D104" i="74"/>
  <c r="D103" i="74"/>
  <c r="D102" i="74"/>
  <c r="D101" i="74"/>
  <c r="F100" i="74"/>
  <c r="D99" i="74"/>
  <c r="D98" i="74"/>
  <c r="D97" i="74"/>
  <c r="D96" i="74"/>
  <c r="H95" i="74"/>
  <c r="D95" i="74"/>
  <c r="D94" i="74"/>
  <c r="D93" i="74"/>
  <c r="D92" i="74"/>
  <c r="D91" i="74"/>
  <c r="F90" i="74"/>
  <c r="D90" i="74"/>
  <c r="D89" i="74"/>
  <c r="D88" i="74"/>
  <c r="D87" i="74"/>
  <c r="F86" i="74"/>
  <c r="D86" i="74"/>
  <c r="D85" i="74"/>
  <c r="D84" i="74"/>
  <c r="D83" i="74"/>
  <c r="H82" i="74"/>
  <c r="D82" i="74"/>
  <c r="D103" i="78"/>
  <c r="D102" i="78"/>
  <c r="D101" i="78"/>
  <c r="D100" i="78"/>
  <c r="F99" i="78"/>
  <c r="D98" i="78"/>
  <c r="D97" i="78"/>
  <c r="D96" i="78"/>
  <c r="D95" i="78"/>
  <c r="H94" i="78"/>
  <c r="D94" i="78"/>
  <c r="D93" i="78"/>
  <c r="D92" i="78"/>
  <c r="D91" i="78"/>
  <c r="D90" i="78"/>
  <c r="F89" i="78"/>
  <c r="D89" i="78"/>
  <c r="D88" i="78"/>
  <c r="D87" i="78"/>
  <c r="D86" i="78"/>
  <c r="F85" i="78"/>
  <c r="D85" i="78"/>
  <c r="D84" i="78"/>
  <c r="D83" i="78"/>
  <c r="D82" i="78"/>
  <c r="H81" i="78"/>
  <c r="D81" i="78"/>
  <c r="D102" i="75"/>
  <c r="D101" i="75"/>
  <c r="D100" i="75"/>
  <c r="D99" i="75"/>
  <c r="F98" i="75"/>
  <c r="D97" i="75"/>
  <c r="D96" i="75"/>
  <c r="D95" i="75"/>
  <c r="D94" i="75"/>
  <c r="H93" i="75"/>
  <c r="D93" i="75"/>
  <c r="D92" i="75"/>
  <c r="D91" i="75"/>
  <c r="D90" i="75"/>
  <c r="D89" i="75"/>
  <c r="F88" i="75"/>
  <c r="D88" i="75"/>
  <c r="D87" i="75"/>
  <c r="D86" i="75"/>
  <c r="D85" i="75"/>
  <c r="F84" i="75"/>
  <c r="D84" i="75"/>
  <c r="D83" i="75"/>
  <c r="D82" i="75"/>
  <c r="D81" i="75"/>
  <c r="H80" i="75"/>
  <c r="D80" i="75"/>
  <c r="D101" i="76"/>
  <c r="D100" i="76"/>
  <c r="D99" i="76"/>
  <c r="D98" i="76"/>
  <c r="F97" i="76"/>
  <c r="D96" i="76"/>
  <c r="D95" i="76"/>
  <c r="D94" i="76"/>
  <c r="D93" i="76"/>
  <c r="H92" i="76"/>
  <c r="D92" i="76"/>
  <c r="D91" i="76"/>
  <c r="D90" i="76"/>
  <c r="D89" i="76"/>
  <c r="D88" i="76"/>
  <c r="F87" i="76"/>
  <c r="D87" i="76"/>
  <c r="D86" i="76"/>
  <c r="D85" i="76"/>
  <c r="D84" i="76"/>
  <c r="F83" i="76"/>
  <c r="D83" i="76"/>
  <c r="D82" i="76"/>
  <c r="D81" i="76"/>
  <c r="D80" i="76"/>
  <c r="H79" i="76"/>
  <c r="D79" i="76"/>
  <c r="D100" i="77"/>
  <c r="D99" i="77"/>
  <c r="D98" i="77"/>
  <c r="D97" i="77"/>
  <c r="F96" i="77"/>
  <c r="D95" i="77"/>
  <c r="D94" i="77"/>
  <c r="D93" i="77"/>
  <c r="D92" i="77"/>
  <c r="H91" i="77"/>
  <c r="D91" i="77"/>
  <c r="D90" i="77"/>
  <c r="D89" i="77"/>
  <c r="D88" i="77"/>
  <c r="D87" i="77"/>
  <c r="F86" i="77"/>
  <c r="D86" i="77"/>
  <c r="D85" i="77"/>
  <c r="D84" i="77"/>
  <c r="D83" i="77"/>
  <c r="F82" i="77"/>
  <c r="D82" i="77"/>
  <c r="D81" i="77"/>
  <c r="D80" i="77"/>
  <c r="D79" i="77"/>
  <c r="H78" i="77"/>
  <c r="D78" i="77"/>
  <c r="D94" i="57"/>
  <c r="D93" i="57"/>
  <c r="D92" i="57"/>
  <c r="D91" i="57"/>
  <c r="F90" i="57"/>
  <c r="D89" i="57"/>
  <c r="D88" i="57"/>
  <c r="D87" i="57"/>
  <c r="D86" i="57"/>
  <c r="H85" i="57"/>
  <c r="D85" i="57"/>
  <c r="D84" i="57"/>
  <c r="D83" i="57"/>
  <c r="D82" i="57"/>
  <c r="D81" i="57"/>
  <c r="F80" i="57"/>
  <c r="D80" i="57"/>
  <c r="D79" i="57"/>
  <c r="D78" i="57"/>
  <c r="D77" i="57"/>
  <c r="F76" i="57"/>
  <c r="D76" i="57"/>
  <c r="D75" i="57"/>
  <c r="D74" i="57"/>
  <c r="D73" i="57"/>
  <c r="H72" i="57"/>
  <c r="D72" i="57"/>
  <c r="D93" i="58"/>
  <c r="D92" i="58"/>
  <c r="D91" i="58"/>
  <c r="D90" i="58"/>
  <c r="F89" i="58"/>
  <c r="D88" i="58"/>
  <c r="D87" i="58"/>
  <c r="D86" i="58"/>
  <c r="D85" i="58"/>
  <c r="H84" i="58"/>
  <c r="D84" i="58"/>
  <c r="D83" i="58"/>
  <c r="D82" i="58"/>
  <c r="D81" i="58"/>
  <c r="D80" i="58"/>
  <c r="F79" i="58"/>
  <c r="D79" i="58"/>
  <c r="D78" i="58"/>
  <c r="D77" i="58"/>
  <c r="D76" i="58"/>
  <c r="F75" i="58"/>
  <c r="D75" i="58"/>
  <c r="D74" i="58"/>
  <c r="D73" i="58"/>
  <c r="D72" i="58"/>
  <c r="H71" i="58"/>
  <c r="D71" i="58"/>
  <c r="D92" i="59"/>
  <c r="D91" i="59"/>
  <c r="D90" i="59"/>
  <c r="D89" i="59"/>
  <c r="F88" i="59"/>
  <c r="D87" i="59"/>
  <c r="D86" i="59"/>
  <c r="D85" i="59"/>
  <c r="D84" i="59"/>
  <c r="H83" i="59"/>
  <c r="D83" i="59"/>
  <c r="D82" i="59"/>
  <c r="D81" i="59"/>
  <c r="D80" i="59"/>
  <c r="D79" i="59"/>
  <c r="F78" i="59"/>
  <c r="D78" i="59"/>
  <c r="D77" i="59"/>
  <c r="D76" i="59"/>
  <c r="D75" i="59"/>
  <c r="F74" i="59"/>
  <c r="D74" i="59"/>
  <c r="D73" i="59"/>
  <c r="D72" i="59"/>
  <c r="D71" i="59"/>
  <c r="H70" i="59"/>
  <c r="D70" i="59"/>
  <c r="D91" i="112"/>
  <c r="D90" i="112"/>
  <c r="D89" i="112"/>
  <c r="D88" i="112"/>
  <c r="F87" i="112"/>
  <c r="D86" i="112"/>
  <c r="D85" i="112"/>
  <c r="D84" i="112"/>
  <c r="D83" i="112"/>
  <c r="H82" i="112"/>
  <c r="D82" i="112"/>
  <c r="D81" i="112"/>
  <c r="D80" i="112"/>
  <c r="D79" i="112"/>
  <c r="D78" i="112"/>
  <c r="F77" i="112"/>
  <c r="D77" i="112"/>
  <c r="D76" i="112"/>
  <c r="D75" i="112"/>
  <c r="D74" i="112"/>
  <c r="F73" i="112"/>
  <c r="D73" i="112"/>
  <c r="D72" i="112"/>
  <c r="D71" i="112"/>
  <c r="D70" i="112"/>
  <c r="H69" i="112"/>
  <c r="D69" i="112"/>
  <c r="D90" i="61"/>
  <c r="D89" i="61"/>
  <c r="D88" i="61"/>
  <c r="D87" i="61"/>
  <c r="F86" i="61"/>
  <c r="D85" i="61"/>
  <c r="D84" i="61"/>
  <c r="D83" i="61"/>
  <c r="D82" i="61"/>
  <c r="H81" i="61"/>
  <c r="D81" i="61"/>
  <c r="D80" i="61"/>
  <c r="D79" i="61"/>
  <c r="D78" i="61"/>
  <c r="D77" i="61"/>
  <c r="F76" i="61"/>
  <c r="D76" i="61"/>
  <c r="D75" i="61"/>
  <c r="D74" i="61"/>
  <c r="D73" i="61"/>
  <c r="F72" i="61"/>
  <c r="D72" i="61"/>
  <c r="D71" i="61"/>
  <c r="D70" i="61"/>
  <c r="D69" i="61"/>
  <c r="H68" i="61"/>
  <c r="D68" i="61"/>
  <c r="D89" i="62"/>
  <c r="D88" i="62"/>
  <c r="D87" i="62"/>
  <c r="D86" i="62"/>
  <c r="F85" i="62"/>
  <c r="D84" i="62"/>
  <c r="D83" i="62"/>
  <c r="D82" i="62"/>
  <c r="D81" i="62"/>
  <c r="H80" i="62"/>
  <c r="D80" i="62"/>
  <c r="D79" i="62"/>
  <c r="D78" i="62"/>
  <c r="D77" i="62"/>
  <c r="D76" i="62"/>
  <c r="F75" i="62"/>
  <c r="D75" i="62"/>
  <c r="D74" i="62"/>
  <c r="D73" i="62"/>
  <c r="D72" i="62"/>
  <c r="F71" i="62"/>
  <c r="D71" i="62"/>
  <c r="D70" i="62"/>
  <c r="D69" i="62"/>
  <c r="D68" i="62"/>
  <c r="H67" i="62"/>
  <c r="D67" i="62"/>
  <c r="D88" i="63"/>
  <c r="D87" i="63"/>
  <c r="D86" i="63"/>
  <c r="D85" i="63"/>
  <c r="F84" i="63"/>
  <c r="D83" i="63"/>
  <c r="D82" i="63"/>
  <c r="D81" i="63"/>
  <c r="D80" i="63"/>
  <c r="H79" i="63"/>
  <c r="D79" i="63"/>
  <c r="D78" i="63"/>
  <c r="D77" i="63"/>
  <c r="D76" i="63"/>
  <c r="D75" i="63"/>
  <c r="F74" i="63"/>
  <c r="D74" i="63"/>
  <c r="D73" i="63"/>
  <c r="D72" i="63"/>
  <c r="D71" i="63"/>
  <c r="F70" i="63"/>
  <c r="D70" i="63"/>
  <c r="D69" i="63"/>
  <c r="D68" i="63"/>
  <c r="D67" i="63"/>
  <c r="H66" i="63"/>
  <c r="D66" i="63"/>
  <c r="D87" i="64"/>
  <c r="D86" i="64"/>
  <c r="D85" i="64"/>
  <c r="D84" i="64"/>
  <c r="F83" i="64"/>
  <c r="D82" i="64"/>
  <c r="D81" i="64"/>
  <c r="D80" i="64"/>
  <c r="D79" i="64"/>
  <c r="H78" i="64"/>
  <c r="D78" i="64"/>
  <c r="D77" i="64"/>
  <c r="D76" i="64"/>
  <c r="D75" i="64"/>
  <c r="D74" i="64"/>
  <c r="F73" i="64"/>
  <c r="D73" i="64"/>
  <c r="D72" i="64"/>
  <c r="D71" i="64"/>
  <c r="D70" i="64"/>
  <c r="F69" i="64"/>
  <c r="D69" i="64"/>
  <c r="D68" i="64"/>
  <c r="D67" i="64"/>
  <c r="D66" i="64"/>
  <c r="H65" i="64"/>
  <c r="D65" i="64"/>
  <c r="D86" i="65"/>
  <c r="D85" i="65"/>
  <c r="D84" i="65"/>
  <c r="D83" i="65"/>
  <c r="F82" i="65"/>
  <c r="D81" i="65"/>
  <c r="D80" i="65"/>
  <c r="D79" i="65"/>
  <c r="D78" i="65"/>
  <c r="H77" i="65"/>
  <c r="D77" i="65"/>
  <c r="D76" i="65"/>
  <c r="D75" i="65"/>
  <c r="D74" i="65"/>
  <c r="D73" i="65"/>
  <c r="F72" i="65"/>
  <c r="D72" i="65"/>
  <c r="D71" i="65"/>
  <c r="D70" i="65"/>
  <c r="D69" i="65"/>
  <c r="F68" i="65"/>
  <c r="D68" i="65"/>
  <c r="D67" i="65"/>
  <c r="D66" i="65"/>
  <c r="D65" i="65"/>
  <c r="H64" i="65"/>
  <c r="D64" i="65"/>
  <c r="D85" i="67"/>
  <c r="D84" i="67"/>
  <c r="D83" i="67"/>
  <c r="D82" i="67"/>
  <c r="F81" i="67"/>
  <c r="D80" i="67"/>
  <c r="D79" i="67"/>
  <c r="D78" i="67"/>
  <c r="D77" i="67"/>
  <c r="H76" i="67"/>
  <c r="D76" i="67"/>
  <c r="D75" i="67"/>
  <c r="D74" i="67"/>
  <c r="D73" i="67"/>
  <c r="D72" i="67"/>
  <c r="F71" i="67"/>
  <c r="D71" i="67"/>
  <c r="D70" i="67"/>
  <c r="D69" i="67"/>
  <c r="D68" i="67"/>
  <c r="F67" i="67"/>
  <c r="D67" i="67"/>
  <c r="D66" i="67"/>
  <c r="D65" i="67"/>
  <c r="D64" i="67"/>
  <c r="H63" i="67"/>
  <c r="D63" i="67"/>
  <c r="D84" i="68"/>
  <c r="D83" i="68"/>
  <c r="D82" i="68"/>
  <c r="D81" i="68"/>
  <c r="F80" i="68"/>
  <c r="D79" i="68"/>
  <c r="D78" i="68"/>
  <c r="D77" i="68"/>
  <c r="D76" i="68"/>
  <c r="H75" i="68"/>
  <c r="D75" i="68"/>
  <c r="D74" i="68"/>
  <c r="D73" i="68"/>
  <c r="D72" i="68"/>
  <c r="D71" i="68"/>
  <c r="F70" i="68"/>
  <c r="D70" i="68"/>
  <c r="D69" i="68"/>
  <c r="D68" i="68"/>
  <c r="D67" i="68"/>
  <c r="F66" i="68"/>
  <c r="D66" i="68"/>
  <c r="D65" i="68"/>
  <c r="D64" i="68"/>
  <c r="D63" i="68"/>
  <c r="H62" i="68"/>
  <c r="D62" i="68"/>
  <c r="D83" i="69"/>
  <c r="D82" i="69"/>
  <c r="D81" i="69"/>
  <c r="D80" i="69"/>
  <c r="F79" i="69"/>
  <c r="D78" i="69"/>
  <c r="D77" i="69"/>
  <c r="D76" i="69"/>
  <c r="D75" i="69"/>
  <c r="H74" i="69"/>
  <c r="D74" i="69"/>
  <c r="D73" i="69"/>
  <c r="D72" i="69"/>
  <c r="D71" i="69"/>
  <c r="D70" i="69"/>
  <c r="F69" i="69"/>
  <c r="D69" i="69"/>
  <c r="D68" i="69"/>
  <c r="D67" i="69"/>
  <c r="D66" i="69"/>
  <c r="F65" i="69"/>
  <c r="D65" i="69"/>
  <c r="D64" i="69"/>
  <c r="D63" i="69"/>
  <c r="D62" i="69"/>
  <c r="H61" i="69"/>
  <c r="D61" i="69"/>
  <c r="D82" i="70"/>
  <c r="D81" i="70"/>
  <c r="D80" i="70"/>
  <c r="D79" i="70"/>
  <c r="F78" i="70"/>
  <c r="D77" i="70"/>
  <c r="D76" i="70"/>
  <c r="D75" i="70"/>
  <c r="D74" i="70"/>
  <c r="H73" i="70"/>
  <c r="D73" i="70"/>
  <c r="D72" i="70"/>
  <c r="D71" i="70"/>
  <c r="D70" i="70"/>
  <c r="D69" i="70"/>
  <c r="F68" i="70"/>
  <c r="D68" i="70"/>
  <c r="D67" i="70"/>
  <c r="D66" i="70"/>
  <c r="D65" i="70"/>
  <c r="F64" i="70"/>
  <c r="D64" i="70"/>
  <c r="D63" i="70"/>
  <c r="D62" i="70"/>
  <c r="D61" i="70"/>
  <c r="H60" i="70"/>
  <c r="D60" i="70"/>
  <c r="D81" i="46"/>
  <c r="D80" i="46"/>
  <c r="D79" i="46"/>
  <c r="D78" i="46"/>
  <c r="F77" i="46"/>
  <c r="D76" i="46"/>
  <c r="D75" i="46"/>
  <c r="D74" i="46"/>
  <c r="D73" i="46"/>
  <c r="H72" i="46"/>
  <c r="D72" i="46"/>
  <c r="D71" i="46"/>
  <c r="D70" i="46"/>
  <c r="D69" i="46"/>
  <c r="D68" i="46"/>
  <c r="F67" i="46"/>
  <c r="D67" i="46"/>
  <c r="D66" i="46"/>
  <c r="D65" i="46"/>
  <c r="D64" i="46"/>
  <c r="F63" i="46"/>
  <c r="D63" i="46"/>
  <c r="D62" i="46"/>
  <c r="D61" i="46"/>
  <c r="D60" i="46"/>
  <c r="H59" i="46"/>
  <c r="D59" i="46"/>
  <c r="D80" i="47"/>
  <c r="D79" i="47"/>
  <c r="D78" i="47"/>
  <c r="D77" i="47"/>
  <c r="F76" i="47"/>
  <c r="D75" i="47"/>
  <c r="D74" i="47"/>
  <c r="D73" i="47"/>
  <c r="D72" i="47"/>
  <c r="H71" i="47"/>
  <c r="D71" i="47"/>
  <c r="D70" i="47"/>
  <c r="D69" i="47"/>
  <c r="D68" i="47"/>
  <c r="D67" i="47"/>
  <c r="F66" i="47"/>
  <c r="D66" i="47"/>
  <c r="D65" i="47"/>
  <c r="D64" i="47"/>
  <c r="D63" i="47"/>
  <c r="F62" i="47"/>
  <c r="D62" i="47"/>
  <c r="D61" i="47"/>
  <c r="D60" i="47"/>
  <c r="D59" i="47"/>
  <c r="H58" i="47"/>
  <c r="D58" i="47"/>
  <c r="D79" i="48"/>
  <c r="D78" i="48"/>
  <c r="D77" i="48"/>
  <c r="D76" i="48"/>
  <c r="F75" i="48"/>
  <c r="D74" i="48"/>
  <c r="D73" i="48"/>
  <c r="D72" i="48"/>
  <c r="D71" i="48"/>
  <c r="H70" i="48"/>
  <c r="D70" i="48"/>
  <c r="D69" i="48"/>
  <c r="D68" i="48"/>
  <c r="D67" i="48"/>
  <c r="D66" i="48"/>
  <c r="F65" i="48"/>
  <c r="D65" i="48"/>
  <c r="D64" i="48"/>
  <c r="D63" i="48"/>
  <c r="D62" i="48"/>
  <c r="F61" i="48"/>
  <c r="D61" i="48"/>
  <c r="D60" i="48"/>
  <c r="D59" i="48"/>
  <c r="D58" i="48"/>
  <c r="H57" i="48"/>
  <c r="D57" i="48"/>
  <c r="D78" i="49"/>
  <c r="D77" i="49"/>
  <c r="D76" i="49"/>
  <c r="D75" i="49"/>
  <c r="F74" i="49"/>
  <c r="D73" i="49"/>
  <c r="D72" i="49"/>
  <c r="D71" i="49"/>
  <c r="D70" i="49"/>
  <c r="H69" i="49"/>
  <c r="D69" i="49"/>
  <c r="D68" i="49"/>
  <c r="D67" i="49"/>
  <c r="D66" i="49"/>
  <c r="D65" i="49"/>
  <c r="F64" i="49"/>
  <c r="D64" i="49"/>
  <c r="D63" i="49"/>
  <c r="D62" i="49"/>
  <c r="D61" i="49"/>
  <c r="F60" i="49"/>
  <c r="D60" i="49"/>
  <c r="D59" i="49"/>
  <c r="D58" i="49"/>
  <c r="D57" i="49"/>
  <c r="H56" i="49"/>
  <c r="D56" i="49"/>
  <c r="D77" i="51"/>
  <c r="D76" i="51"/>
  <c r="D75" i="51"/>
  <c r="D74" i="51"/>
  <c r="F73" i="51"/>
  <c r="D72" i="51"/>
  <c r="D71" i="51"/>
  <c r="D70" i="51"/>
  <c r="D69" i="51"/>
  <c r="H68" i="51"/>
  <c r="D68" i="51"/>
  <c r="D67" i="51"/>
  <c r="D66" i="51"/>
  <c r="D65" i="51"/>
  <c r="D64" i="51"/>
  <c r="F63" i="51"/>
  <c r="D63" i="51"/>
  <c r="D62" i="51"/>
  <c r="D61" i="51"/>
  <c r="D60" i="51"/>
  <c r="F59" i="51"/>
  <c r="D59" i="51"/>
  <c r="D58" i="51"/>
  <c r="D57" i="51"/>
  <c r="D56" i="51"/>
  <c r="H55" i="51"/>
  <c r="D55" i="51"/>
  <c r="D76" i="52"/>
  <c r="D75" i="52"/>
  <c r="D74" i="52"/>
  <c r="D73" i="52"/>
  <c r="F72" i="52"/>
  <c r="D71" i="52"/>
  <c r="D70" i="52"/>
  <c r="D69" i="52"/>
  <c r="D68" i="52"/>
  <c r="H67" i="52"/>
  <c r="D67" i="52"/>
  <c r="D66" i="52"/>
  <c r="D65" i="52"/>
  <c r="D64" i="52"/>
  <c r="D63" i="52"/>
  <c r="F62" i="52"/>
  <c r="D62" i="52"/>
  <c r="D61" i="52"/>
  <c r="D60" i="52"/>
  <c r="D59" i="52"/>
  <c r="F58" i="52"/>
  <c r="D58" i="52"/>
  <c r="D57" i="52"/>
  <c r="D56" i="52"/>
  <c r="D55" i="52"/>
  <c r="H54" i="52"/>
  <c r="D54" i="52"/>
  <c r="D75" i="53"/>
  <c r="D74" i="53"/>
  <c r="D73" i="53"/>
  <c r="D72" i="53"/>
  <c r="F71" i="53"/>
  <c r="D70" i="53"/>
  <c r="D69" i="53"/>
  <c r="D68" i="53"/>
  <c r="D67" i="53"/>
  <c r="H66" i="53"/>
  <c r="D66" i="53"/>
  <c r="D65" i="53"/>
  <c r="D64" i="53"/>
  <c r="D63" i="53"/>
  <c r="D62" i="53"/>
  <c r="F61" i="53"/>
  <c r="D61" i="53"/>
  <c r="D60" i="53"/>
  <c r="D59" i="53"/>
  <c r="D58" i="53"/>
  <c r="F57" i="53"/>
  <c r="D57" i="53"/>
  <c r="D56" i="53"/>
  <c r="D55" i="53"/>
  <c r="D54" i="53"/>
  <c r="H53" i="53"/>
  <c r="D53" i="53"/>
  <c r="D74" i="54"/>
  <c r="D73" i="54"/>
  <c r="D72" i="54"/>
  <c r="D71" i="54"/>
  <c r="F70" i="54"/>
  <c r="D69" i="54"/>
  <c r="D68" i="54"/>
  <c r="D67" i="54"/>
  <c r="D66" i="54"/>
  <c r="H65" i="54"/>
  <c r="D65" i="54"/>
  <c r="D64" i="54"/>
  <c r="D63" i="54"/>
  <c r="D62" i="54"/>
  <c r="D61" i="54"/>
  <c r="F60" i="54"/>
  <c r="D60" i="54"/>
  <c r="D59" i="54"/>
  <c r="D58" i="54"/>
  <c r="D57" i="54"/>
  <c r="F56" i="54"/>
  <c r="D56" i="54"/>
  <c r="D55" i="54"/>
  <c r="D54" i="54"/>
  <c r="D53" i="54"/>
  <c r="H52" i="54"/>
  <c r="D52" i="54"/>
  <c r="D73" i="55"/>
  <c r="D72" i="55"/>
  <c r="D71" i="55"/>
  <c r="D70" i="55"/>
  <c r="F69" i="55"/>
  <c r="D68" i="55"/>
  <c r="D67" i="55"/>
  <c r="D66" i="55"/>
  <c r="D65" i="55"/>
  <c r="H64" i="55"/>
  <c r="D64" i="55"/>
  <c r="D63" i="55"/>
  <c r="D62" i="55"/>
  <c r="D61" i="55"/>
  <c r="D60" i="55"/>
  <c r="F59" i="55"/>
  <c r="D59" i="55"/>
  <c r="D58" i="55"/>
  <c r="D57" i="55"/>
  <c r="D56" i="55"/>
  <c r="F55" i="55"/>
  <c r="D55" i="55"/>
  <c r="D54" i="55"/>
  <c r="D53" i="55"/>
  <c r="D52" i="55"/>
  <c r="H51" i="55"/>
  <c r="D51" i="55"/>
  <c r="D72" i="56"/>
  <c r="D71" i="56"/>
  <c r="D70" i="56"/>
  <c r="D69" i="56"/>
  <c r="F68" i="56"/>
  <c r="D67" i="56"/>
  <c r="D66" i="56"/>
  <c r="D65" i="56"/>
  <c r="D64" i="56"/>
  <c r="H63" i="56"/>
  <c r="D63" i="56"/>
  <c r="D62" i="56"/>
  <c r="D61" i="56"/>
  <c r="D60" i="56"/>
  <c r="D59" i="56"/>
  <c r="F58" i="56"/>
  <c r="D58" i="56"/>
  <c r="D57" i="56"/>
  <c r="D56" i="56"/>
  <c r="D55" i="56"/>
  <c r="F54" i="56"/>
  <c r="D54" i="56"/>
  <c r="D53" i="56"/>
  <c r="D52" i="56"/>
  <c r="D51" i="56"/>
  <c r="H50" i="56"/>
  <c r="D50" i="56"/>
  <c r="D71" i="45"/>
  <c r="D70" i="45"/>
  <c r="D69" i="45"/>
  <c r="D68" i="45"/>
  <c r="F67" i="45"/>
  <c r="D66" i="45"/>
  <c r="D65" i="45"/>
  <c r="D64" i="45"/>
  <c r="D63" i="45"/>
  <c r="H62" i="45"/>
  <c r="D62" i="45"/>
  <c r="D61" i="45"/>
  <c r="D60" i="45"/>
  <c r="D59" i="45"/>
  <c r="D58" i="45"/>
  <c r="F57" i="45"/>
  <c r="D57" i="45"/>
  <c r="D56" i="45"/>
  <c r="D55" i="45"/>
  <c r="D54" i="45"/>
  <c r="F53" i="45"/>
  <c r="D53" i="45"/>
  <c r="D52" i="45"/>
  <c r="D51" i="45"/>
  <c r="D50" i="45"/>
  <c r="H49" i="45"/>
  <c r="D49" i="45"/>
  <c r="D70" i="20"/>
  <c r="D69" i="20"/>
  <c r="D68" i="20"/>
  <c r="D67" i="20"/>
  <c r="F66" i="20"/>
  <c r="D65" i="20"/>
  <c r="D64" i="20"/>
  <c r="D63" i="20"/>
  <c r="D62" i="20"/>
  <c r="H61" i="20"/>
  <c r="D61" i="20"/>
  <c r="D60" i="20"/>
  <c r="D59" i="20"/>
  <c r="D58" i="20"/>
  <c r="D57" i="20"/>
  <c r="F56" i="20"/>
  <c r="D56" i="20"/>
  <c r="D55" i="20"/>
  <c r="D54" i="20"/>
  <c r="D53" i="20"/>
  <c r="F52" i="20"/>
  <c r="D52" i="20"/>
  <c r="D51" i="20"/>
  <c r="D50" i="20"/>
  <c r="D49" i="20"/>
  <c r="H48" i="20"/>
  <c r="D48" i="20"/>
  <c r="D69" i="22"/>
  <c r="D68" i="22"/>
  <c r="D67" i="22"/>
  <c r="D66" i="22"/>
  <c r="F65" i="22"/>
  <c r="D64" i="22"/>
  <c r="D63" i="22"/>
  <c r="D62" i="22"/>
  <c r="D61" i="22"/>
  <c r="H60" i="22"/>
  <c r="D60" i="22"/>
  <c r="D59" i="22"/>
  <c r="D58" i="22"/>
  <c r="D57" i="22"/>
  <c r="D56" i="22"/>
  <c r="F55" i="22"/>
  <c r="D55" i="22"/>
  <c r="D54" i="22"/>
  <c r="D53" i="22"/>
  <c r="D52" i="22"/>
  <c r="F51" i="22"/>
  <c r="D51" i="22"/>
  <c r="D50" i="22"/>
  <c r="D49" i="22"/>
  <c r="D48" i="22"/>
  <c r="H47" i="22"/>
  <c r="D47" i="22"/>
  <c r="D68" i="21"/>
  <c r="D67" i="21"/>
  <c r="D66" i="21"/>
  <c r="D65" i="21"/>
  <c r="F64" i="21"/>
  <c r="D63" i="21"/>
  <c r="D62" i="21"/>
  <c r="D61" i="21"/>
  <c r="D60" i="21"/>
  <c r="H59" i="21"/>
  <c r="D59" i="21"/>
  <c r="D58" i="21"/>
  <c r="D57" i="21"/>
  <c r="D56" i="21"/>
  <c r="D55" i="21"/>
  <c r="F54" i="21"/>
  <c r="D54" i="21"/>
  <c r="D53" i="21"/>
  <c r="D52" i="21"/>
  <c r="D51" i="21"/>
  <c r="F50" i="21"/>
  <c r="D50" i="21"/>
  <c r="D49" i="21"/>
  <c r="D48" i="21"/>
  <c r="D47" i="21"/>
  <c r="H46" i="21"/>
  <c r="D46" i="21"/>
  <c r="D67" i="23"/>
  <c r="D66" i="23"/>
  <c r="D65" i="23"/>
  <c r="D64" i="23"/>
  <c r="F63" i="23"/>
  <c r="D62" i="23"/>
  <c r="D61" i="23"/>
  <c r="D60" i="23"/>
  <c r="D59" i="23"/>
  <c r="H58" i="23"/>
  <c r="D58" i="23"/>
  <c r="D57" i="23"/>
  <c r="D56" i="23"/>
  <c r="D55" i="23"/>
  <c r="D54" i="23"/>
  <c r="F53" i="23"/>
  <c r="D53" i="23"/>
  <c r="D52" i="23"/>
  <c r="D51" i="23"/>
  <c r="D50" i="23"/>
  <c r="F49" i="23"/>
  <c r="D49" i="23"/>
  <c r="D48" i="23"/>
  <c r="D47" i="23"/>
  <c r="D46" i="23"/>
  <c r="H45" i="23"/>
  <c r="D45" i="23"/>
  <c r="D66" i="24"/>
  <c r="D65" i="24"/>
  <c r="D64" i="24"/>
  <c r="D63" i="24"/>
  <c r="F62" i="24"/>
  <c r="D61" i="24"/>
  <c r="D60" i="24"/>
  <c r="D59" i="24"/>
  <c r="D58" i="24"/>
  <c r="H57" i="24"/>
  <c r="D57" i="24"/>
  <c r="D56" i="24"/>
  <c r="D55" i="24"/>
  <c r="D54" i="24"/>
  <c r="D53" i="24"/>
  <c r="F52" i="24"/>
  <c r="D52" i="24"/>
  <c r="D51" i="24"/>
  <c r="D50" i="24"/>
  <c r="D49" i="24"/>
  <c r="F48" i="24"/>
  <c r="D48" i="24"/>
  <c r="D47" i="24"/>
  <c r="D46" i="24"/>
  <c r="D45" i="24"/>
  <c r="H44" i="24"/>
  <c r="D44" i="24"/>
  <c r="D65" i="25"/>
  <c r="D64" i="25"/>
  <c r="D63" i="25"/>
  <c r="D62" i="25"/>
  <c r="F61" i="25"/>
  <c r="D60" i="25"/>
  <c r="D59" i="25"/>
  <c r="D58" i="25"/>
  <c r="D57" i="25"/>
  <c r="H56" i="25"/>
  <c r="D56" i="25"/>
  <c r="D55" i="25"/>
  <c r="D54" i="25"/>
  <c r="D53" i="25"/>
  <c r="D52" i="25"/>
  <c r="F51" i="25"/>
  <c r="D51" i="25"/>
  <c r="D50" i="25"/>
  <c r="D49" i="25"/>
  <c r="D48" i="25"/>
  <c r="F47" i="25"/>
  <c r="D47" i="25"/>
  <c r="D46" i="25"/>
  <c r="D45" i="25"/>
  <c r="D44" i="25"/>
  <c r="H43" i="25"/>
  <c r="D43" i="25"/>
  <c r="D64" i="26"/>
  <c r="D63" i="26"/>
  <c r="D62" i="26"/>
  <c r="D61" i="26"/>
  <c r="F60" i="26"/>
  <c r="D59" i="26"/>
  <c r="D58" i="26"/>
  <c r="D57" i="26"/>
  <c r="D56" i="26"/>
  <c r="H55" i="26"/>
  <c r="D55" i="26"/>
  <c r="D54" i="26"/>
  <c r="D53" i="26"/>
  <c r="D52" i="26"/>
  <c r="D51" i="26"/>
  <c r="F50" i="26"/>
  <c r="D50" i="26"/>
  <c r="D49" i="26"/>
  <c r="D48" i="26"/>
  <c r="D47" i="26"/>
  <c r="F46" i="26"/>
  <c r="D46" i="26"/>
  <c r="D45" i="26"/>
  <c r="D44" i="26"/>
  <c r="D43" i="26"/>
  <c r="H42" i="26"/>
  <c r="D42" i="26"/>
  <c r="D63" i="27"/>
  <c r="D62" i="27"/>
  <c r="D61" i="27"/>
  <c r="D60" i="27"/>
  <c r="F59" i="27"/>
  <c r="D58" i="27"/>
  <c r="D57" i="27"/>
  <c r="D56" i="27"/>
  <c r="D55" i="27"/>
  <c r="H54" i="27"/>
  <c r="D54" i="27"/>
  <c r="D53" i="27"/>
  <c r="D52" i="27"/>
  <c r="D51" i="27"/>
  <c r="D50" i="27"/>
  <c r="F49" i="27"/>
  <c r="D49" i="27"/>
  <c r="D48" i="27"/>
  <c r="D47" i="27"/>
  <c r="D46" i="27"/>
  <c r="F45" i="27"/>
  <c r="D45" i="27"/>
  <c r="D44" i="27"/>
  <c r="D43" i="27"/>
  <c r="D42" i="27"/>
  <c r="H41" i="27"/>
  <c r="D41" i="27"/>
  <c r="D62" i="28"/>
  <c r="D61" i="28"/>
  <c r="D60" i="28"/>
  <c r="D59" i="28"/>
  <c r="F58" i="28"/>
  <c r="D57" i="28"/>
  <c r="D56" i="28"/>
  <c r="D55" i="28"/>
  <c r="D54" i="28"/>
  <c r="H53" i="28"/>
  <c r="D53" i="28"/>
  <c r="D52" i="28"/>
  <c r="D51" i="28"/>
  <c r="D50" i="28"/>
  <c r="D49" i="28"/>
  <c r="F48" i="28"/>
  <c r="D48" i="28"/>
  <c r="D47" i="28"/>
  <c r="D46" i="28"/>
  <c r="D45" i="28"/>
  <c r="F44" i="28"/>
  <c r="D44" i="28"/>
  <c r="D43" i="28"/>
  <c r="D42" i="28"/>
  <c r="D41" i="28"/>
  <c r="H40" i="28"/>
  <c r="D40" i="28"/>
  <c r="D61" i="29"/>
  <c r="D60" i="29"/>
  <c r="D59" i="29"/>
  <c r="D58" i="29"/>
  <c r="F57" i="29"/>
  <c r="D56" i="29"/>
  <c r="D55" i="29"/>
  <c r="D54" i="29"/>
  <c r="D53" i="29"/>
  <c r="H52" i="29"/>
  <c r="D52" i="29"/>
  <c r="D51" i="29"/>
  <c r="D50" i="29"/>
  <c r="D49" i="29"/>
  <c r="D48" i="29"/>
  <c r="F47" i="29"/>
  <c r="D47" i="29"/>
  <c r="D46" i="29"/>
  <c r="D45" i="29"/>
  <c r="D44" i="29"/>
  <c r="F43" i="29"/>
  <c r="D43" i="29"/>
  <c r="D42" i="29"/>
  <c r="D41" i="29"/>
  <c r="D40" i="29"/>
  <c r="H39" i="29"/>
  <c r="D39" i="29"/>
  <c r="D60" i="31"/>
  <c r="D59" i="31"/>
  <c r="D58" i="31"/>
  <c r="D57" i="31"/>
  <c r="F56" i="31"/>
  <c r="D55" i="31"/>
  <c r="D54" i="31"/>
  <c r="D53" i="31"/>
  <c r="D52" i="31"/>
  <c r="H51" i="31"/>
  <c r="D51" i="31"/>
  <c r="D50" i="31"/>
  <c r="D49" i="31"/>
  <c r="D48" i="31"/>
  <c r="D47" i="31"/>
  <c r="F46" i="31"/>
  <c r="D46" i="31"/>
  <c r="D45" i="31"/>
  <c r="D44" i="31"/>
  <c r="D43" i="31"/>
  <c r="F42" i="31"/>
  <c r="D42" i="31"/>
  <c r="D41" i="31"/>
  <c r="D40" i="31"/>
  <c r="D39" i="31"/>
  <c r="H38" i="31"/>
  <c r="D38" i="31"/>
  <c r="D59" i="32"/>
  <c r="D58" i="32"/>
  <c r="D57" i="32"/>
  <c r="D56" i="32"/>
  <c r="F55" i="32"/>
  <c r="D54" i="32"/>
  <c r="D53" i="32"/>
  <c r="D52" i="32"/>
  <c r="D51" i="32"/>
  <c r="H50" i="32"/>
  <c r="D50" i="32"/>
  <c r="D49" i="32"/>
  <c r="D48" i="32"/>
  <c r="D47" i="32"/>
  <c r="D46" i="32"/>
  <c r="F45" i="32"/>
  <c r="D45" i="32"/>
  <c r="D44" i="32"/>
  <c r="D43" i="32"/>
  <c r="D42" i="32"/>
  <c r="F41" i="32"/>
  <c r="D41" i="32"/>
  <c r="D40" i="32"/>
  <c r="D39" i="32"/>
  <c r="D38" i="32"/>
  <c r="H37" i="32"/>
  <c r="D37" i="32"/>
  <c r="D58" i="33"/>
  <c r="D57" i="33"/>
  <c r="D56" i="33"/>
  <c r="D55" i="33"/>
  <c r="F54" i="33"/>
  <c r="D53" i="33"/>
  <c r="D52" i="33"/>
  <c r="D51" i="33"/>
  <c r="D50" i="33"/>
  <c r="H49" i="33"/>
  <c r="D49" i="33"/>
  <c r="D48" i="33"/>
  <c r="D47" i="33"/>
  <c r="D46" i="33"/>
  <c r="D45" i="33"/>
  <c r="F44" i="33"/>
  <c r="D44" i="33"/>
  <c r="D43" i="33"/>
  <c r="D42" i="33"/>
  <c r="D41" i="33"/>
  <c r="F40" i="33"/>
  <c r="D40" i="33"/>
  <c r="D39" i="33"/>
  <c r="D38" i="33"/>
  <c r="D37" i="33"/>
  <c r="H36" i="33"/>
  <c r="D36" i="33"/>
  <c r="D57" i="34"/>
  <c r="D56" i="34"/>
  <c r="D55" i="34"/>
  <c r="D54" i="34"/>
  <c r="F53" i="34"/>
  <c r="D52" i="34"/>
  <c r="D51" i="34"/>
  <c r="D50" i="34"/>
  <c r="D49" i="34"/>
  <c r="H48" i="34"/>
  <c r="D48" i="34"/>
  <c r="D47" i="34"/>
  <c r="D46" i="34"/>
  <c r="D45" i="34"/>
  <c r="D44" i="34"/>
  <c r="F43" i="34"/>
  <c r="D43" i="34"/>
  <c r="D42" i="34"/>
  <c r="D41" i="34"/>
  <c r="D40" i="34"/>
  <c r="F39" i="34"/>
  <c r="D39" i="34"/>
  <c r="D38" i="34"/>
  <c r="D37" i="34"/>
  <c r="D36" i="34"/>
  <c r="H35" i="34"/>
  <c r="D35" i="34"/>
  <c r="D56" i="35"/>
  <c r="D55" i="35"/>
  <c r="D54" i="35"/>
  <c r="D53" i="35"/>
  <c r="F52" i="35"/>
  <c r="D51" i="35"/>
  <c r="D50" i="35"/>
  <c r="D49" i="35"/>
  <c r="D48" i="35"/>
  <c r="H47" i="35"/>
  <c r="D47" i="35"/>
  <c r="D46" i="35"/>
  <c r="D45" i="35"/>
  <c r="D44" i="35"/>
  <c r="D43" i="35"/>
  <c r="F42" i="35"/>
  <c r="D42" i="35"/>
  <c r="D41" i="35"/>
  <c r="D40" i="35"/>
  <c r="D39" i="35"/>
  <c r="F38" i="35"/>
  <c r="D38" i="35"/>
  <c r="D37" i="35"/>
  <c r="D36" i="35"/>
  <c r="D35" i="35"/>
  <c r="H34" i="35"/>
  <c r="D34" i="35"/>
  <c r="D55" i="37"/>
  <c r="D54" i="37"/>
  <c r="D53" i="37"/>
  <c r="D52" i="37"/>
  <c r="F51" i="37"/>
  <c r="D50" i="37"/>
  <c r="D49" i="37"/>
  <c r="D48" i="37"/>
  <c r="D47" i="37"/>
  <c r="H46" i="37"/>
  <c r="D46" i="37"/>
  <c r="D45" i="37"/>
  <c r="D44" i="37"/>
  <c r="D43" i="37"/>
  <c r="D42" i="37"/>
  <c r="F41" i="37"/>
  <c r="D41" i="37"/>
  <c r="D40" i="37"/>
  <c r="D39" i="37"/>
  <c r="D38" i="37"/>
  <c r="F37" i="37"/>
  <c r="D37" i="37"/>
  <c r="D36" i="37"/>
  <c r="D35" i="37"/>
  <c r="D34" i="37"/>
  <c r="H33" i="37"/>
  <c r="D33" i="37"/>
  <c r="D54" i="39"/>
  <c r="D53" i="39"/>
  <c r="D52" i="39"/>
  <c r="D51" i="39"/>
  <c r="F50" i="39"/>
  <c r="D49" i="39"/>
  <c r="D48" i="39"/>
  <c r="D47" i="39"/>
  <c r="D46" i="39"/>
  <c r="H45" i="39"/>
  <c r="D45" i="39"/>
  <c r="D44" i="39"/>
  <c r="D43" i="39"/>
  <c r="D42" i="39"/>
  <c r="D41" i="39"/>
  <c r="F40" i="39"/>
  <c r="D40" i="39"/>
  <c r="D39" i="39"/>
  <c r="D38" i="39"/>
  <c r="D37" i="39"/>
  <c r="F36" i="39"/>
  <c r="D36" i="39"/>
  <c r="D35" i="39"/>
  <c r="D34" i="39"/>
  <c r="D33" i="39"/>
  <c r="H32" i="39"/>
  <c r="D32" i="39"/>
  <c r="D53" i="42"/>
  <c r="D52" i="42"/>
  <c r="D51" i="42"/>
  <c r="D50" i="42"/>
  <c r="F49" i="42"/>
  <c r="D48" i="42"/>
  <c r="D47" i="42"/>
  <c r="D46" i="42"/>
  <c r="D45" i="42"/>
  <c r="H44" i="42"/>
  <c r="D44" i="42"/>
  <c r="D43" i="42"/>
  <c r="D42" i="42"/>
  <c r="D41" i="42"/>
  <c r="D40" i="42"/>
  <c r="F39" i="42"/>
  <c r="D39" i="42"/>
  <c r="D38" i="42"/>
  <c r="D37" i="42"/>
  <c r="D36" i="42"/>
  <c r="F35" i="42"/>
  <c r="D35" i="42"/>
  <c r="D34" i="42"/>
  <c r="D33" i="42"/>
  <c r="D32" i="42"/>
  <c r="H31" i="42"/>
  <c r="D31" i="42"/>
  <c r="D52" i="43"/>
  <c r="D51" i="43"/>
  <c r="D50" i="43"/>
  <c r="D49" i="43"/>
  <c r="F48" i="43"/>
  <c r="D47" i="43"/>
  <c r="D46" i="43"/>
  <c r="D45" i="43"/>
  <c r="D44" i="43"/>
  <c r="H43" i="43"/>
  <c r="D43" i="43"/>
  <c r="D42" i="43"/>
  <c r="D41" i="43"/>
  <c r="D40" i="43"/>
  <c r="D39" i="43"/>
  <c r="F38" i="43"/>
  <c r="D38" i="43"/>
  <c r="D37" i="43"/>
  <c r="D36" i="43"/>
  <c r="D35" i="43"/>
  <c r="F34" i="43"/>
  <c r="D34" i="43"/>
  <c r="D33" i="43"/>
  <c r="D32" i="43"/>
  <c r="D31" i="43"/>
  <c r="H30" i="43"/>
  <c r="D30" i="43"/>
  <c r="D51" i="44"/>
  <c r="D50" i="44"/>
  <c r="D49" i="44"/>
  <c r="D48" i="44"/>
  <c r="F47" i="44"/>
  <c r="D46" i="44"/>
  <c r="D45" i="44"/>
  <c r="D44" i="44"/>
  <c r="D43" i="44"/>
  <c r="H42" i="44"/>
  <c r="D42" i="44"/>
  <c r="D41" i="44"/>
  <c r="D40" i="44"/>
  <c r="D39" i="44"/>
  <c r="D38" i="44"/>
  <c r="F37" i="44"/>
  <c r="D37" i="44"/>
  <c r="D36" i="44"/>
  <c r="D35" i="44"/>
  <c r="D34" i="44"/>
  <c r="F33" i="44"/>
  <c r="D33" i="44"/>
  <c r="D32" i="44"/>
  <c r="D31" i="44"/>
  <c r="D30" i="44"/>
  <c r="H29" i="44"/>
  <c r="D29" i="44"/>
  <c r="D50" i="38"/>
  <c r="D49" i="38"/>
  <c r="D48" i="38"/>
  <c r="D47" i="38"/>
  <c r="F46" i="38"/>
  <c r="D45" i="38"/>
  <c r="D44" i="38"/>
  <c r="D43" i="38"/>
  <c r="D42" i="38"/>
  <c r="H41" i="38"/>
  <c r="D41" i="38"/>
  <c r="D40" i="38"/>
  <c r="D39" i="38"/>
  <c r="D38" i="38"/>
  <c r="D37" i="38"/>
  <c r="F36" i="38"/>
  <c r="D36" i="38"/>
  <c r="D35" i="38"/>
  <c r="D34" i="38"/>
  <c r="D33" i="38"/>
  <c r="F32" i="38"/>
  <c r="D32" i="38"/>
  <c r="D31" i="38"/>
  <c r="D30" i="38"/>
  <c r="D29" i="38"/>
  <c r="H28" i="38"/>
  <c r="D28" i="38"/>
  <c r="D49" i="13"/>
  <c r="D48" i="13"/>
  <c r="D47" i="13"/>
  <c r="D46" i="13"/>
  <c r="F45" i="13"/>
  <c r="D44" i="13"/>
  <c r="D43" i="13"/>
  <c r="D42" i="13"/>
  <c r="D41" i="13"/>
  <c r="H40" i="13"/>
  <c r="D40" i="13"/>
  <c r="D39" i="13"/>
  <c r="D38" i="13"/>
  <c r="D37" i="13"/>
  <c r="D36" i="13"/>
  <c r="F35" i="13"/>
  <c r="D35" i="13"/>
  <c r="D34" i="13"/>
  <c r="D33" i="13"/>
  <c r="D32" i="13"/>
  <c r="F31" i="13"/>
  <c r="D31" i="13"/>
  <c r="D30" i="13"/>
  <c r="D29" i="13"/>
  <c r="D28" i="13"/>
  <c r="H27" i="13"/>
  <c r="D27" i="13"/>
  <c r="D138" i="139"/>
  <c r="C138" i="139"/>
  <c r="D137" i="139"/>
  <c r="C137" i="139"/>
  <c r="D136" i="139"/>
  <c r="C136" i="139"/>
  <c r="D135" i="139"/>
  <c r="C135" i="139"/>
  <c r="D134" i="139"/>
  <c r="C134" i="139"/>
  <c r="D133" i="139"/>
  <c r="C133" i="139"/>
  <c r="F132" i="139"/>
  <c r="D132" i="139"/>
  <c r="C132" i="139"/>
  <c r="D131" i="139"/>
  <c r="C131" i="139"/>
  <c r="D137" i="138"/>
  <c r="C137" i="138"/>
  <c r="D136" i="138"/>
  <c r="C136" i="138"/>
  <c r="D135" i="138"/>
  <c r="C135" i="138"/>
  <c r="D134" i="138"/>
  <c r="C134" i="138"/>
  <c r="D133" i="138"/>
  <c r="C133" i="138"/>
  <c r="D132" i="138"/>
  <c r="C132" i="138"/>
  <c r="F131" i="138"/>
  <c r="D131" i="138"/>
  <c r="C131" i="138"/>
  <c r="D130" i="138"/>
  <c r="C130" i="138"/>
  <c r="D136" i="137"/>
  <c r="C136" i="137"/>
  <c r="D135" i="137"/>
  <c r="C135" i="137"/>
  <c r="D134" i="137"/>
  <c r="C134" i="137"/>
  <c r="D133" i="137"/>
  <c r="C133" i="137"/>
  <c r="D132" i="137"/>
  <c r="C132" i="137"/>
  <c r="D131" i="137"/>
  <c r="C131" i="137"/>
  <c r="F130" i="137"/>
  <c r="D130" i="137"/>
  <c r="C130" i="137"/>
  <c r="D129" i="137"/>
  <c r="C129" i="137"/>
  <c r="D135" i="136"/>
  <c r="C135" i="136"/>
  <c r="D134" i="136"/>
  <c r="C134" i="136"/>
  <c r="D133" i="136"/>
  <c r="C133" i="136"/>
  <c r="D132" i="136"/>
  <c r="C132" i="136"/>
  <c r="D131" i="136"/>
  <c r="C131" i="136"/>
  <c r="D130" i="136"/>
  <c r="C130" i="136"/>
  <c r="F129" i="136"/>
  <c r="D129" i="136"/>
  <c r="C129" i="136"/>
  <c r="D128" i="136"/>
  <c r="C128" i="136"/>
  <c r="D134" i="135"/>
  <c r="C134" i="135"/>
  <c r="D133" i="135"/>
  <c r="C133" i="135"/>
  <c r="D132" i="135"/>
  <c r="C132" i="135"/>
  <c r="D131" i="135"/>
  <c r="C131" i="135"/>
  <c r="D130" i="135"/>
  <c r="C130" i="135"/>
  <c r="D129" i="135"/>
  <c r="C129" i="135"/>
  <c r="F128" i="135"/>
  <c r="D128" i="135"/>
  <c r="C128" i="135"/>
  <c r="D127" i="135"/>
  <c r="C127" i="135"/>
  <c r="D133" i="134"/>
  <c r="C133" i="134"/>
  <c r="D132" i="134"/>
  <c r="C132" i="134"/>
  <c r="D131" i="134"/>
  <c r="C131" i="134"/>
  <c r="D130" i="134"/>
  <c r="C130" i="134"/>
  <c r="D129" i="134"/>
  <c r="C129" i="134"/>
  <c r="D128" i="134"/>
  <c r="C128" i="134"/>
  <c r="F127" i="134"/>
  <c r="D127" i="134"/>
  <c r="C127" i="134"/>
  <c r="D126" i="134"/>
  <c r="C126" i="134"/>
  <c r="D132" i="133"/>
  <c r="C132" i="133"/>
  <c r="D131" i="133"/>
  <c r="C131" i="133"/>
  <c r="D130" i="133"/>
  <c r="C130" i="133"/>
  <c r="D129" i="133"/>
  <c r="C129" i="133"/>
  <c r="D128" i="133"/>
  <c r="C128" i="133"/>
  <c r="D127" i="133"/>
  <c r="C127" i="133"/>
  <c r="F126" i="133"/>
  <c r="D126" i="133"/>
  <c r="C126" i="133"/>
  <c r="D125" i="133"/>
  <c r="C125" i="133"/>
  <c r="D131" i="132"/>
  <c r="C131" i="132"/>
  <c r="D130" i="132"/>
  <c r="C130" i="132"/>
  <c r="D129" i="132"/>
  <c r="C129" i="132"/>
  <c r="D128" i="132"/>
  <c r="C128" i="132"/>
  <c r="D127" i="132"/>
  <c r="C127" i="132"/>
  <c r="D126" i="132"/>
  <c r="C126" i="132"/>
  <c r="F125" i="132"/>
  <c r="D125" i="132"/>
  <c r="C125" i="132"/>
  <c r="D124" i="132"/>
  <c r="C124" i="132"/>
  <c r="D130" i="131"/>
  <c r="C130" i="131"/>
  <c r="D129" i="131"/>
  <c r="C129" i="131"/>
  <c r="D128" i="131"/>
  <c r="C128" i="131"/>
  <c r="D127" i="131"/>
  <c r="C127" i="131"/>
  <c r="D126" i="131"/>
  <c r="C126" i="131"/>
  <c r="D125" i="131"/>
  <c r="C125" i="131"/>
  <c r="F124" i="131"/>
  <c r="D124" i="131"/>
  <c r="C124" i="131"/>
  <c r="D123" i="131"/>
  <c r="C123" i="131"/>
  <c r="D129" i="130"/>
  <c r="C129" i="130"/>
  <c r="D128" i="130"/>
  <c r="C128" i="130"/>
  <c r="D127" i="130"/>
  <c r="C127" i="130"/>
  <c r="D126" i="130"/>
  <c r="C126" i="130"/>
  <c r="D125" i="130"/>
  <c r="C125" i="130"/>
  <c r="D124" i="130"/>
  <c r="C124" i="130"/>
  <c r="F123" i="130"/>
  <c r="D123" i="130"/>
  <c r="C123" i="130"/>
  <c r="D122" i="130"/>
  <c r="C122" i="130"/>
  <c r="D128" i="129"/>
  <c r="C128" i="129"/>
  <c r="D127" i="129"/>
  <c r="C127" i="129"/>
  <c r="D126" i="129"/>
  <c r="C126" i="129"/>
  <c r="D125" i="129"/>
  <c r="C125" i="129"/>
  <c r="D124" i="129"/>
  <c r="C124" i="129"/>
  <c r="D123" i="129"/>
  <c r="C123" i="129"/>
  <c r="F122" i="129"/>
  <c r="D122" i="129"/>
  <c r="C122" i="129"/>
  <c r="D121" i="129"/>
  <c r="C121" i="129"/>
  <c r="D127" i="128"/>
  <c r="C127" i="128"/>
  <c r="D126" i="128"/>
  <c r="C126" i="128"/>
  <c r="D125" i="128"/>
  <c r="C125" i="128"/>
  <c r="D124" i="128"/>
  <c r="C124" i="128"/>
  <c r="D123" i="128"/>
  <c r="C123" i="128"/>
  <c r="D122" i="128"/>
  <c r="C122" i="128"/>
  <c r="F121" i="128"/>
  <c r="D121" i="128"/>
  <c r="C121" i="128"/>
  <c r="D120" i="128"/>
  <c r="C120" i="128"/>
  <c r="D126" i="127"/>
  <c r="C126" i="127"/>
  <c r="D125" i="127"/>
  <c r="C125" i="127"/>
  <c r="D124" i="127"/>
  <c r="C124" i="127"/>
  <c r="D123" i="127"/>
  <c r="C123" i="127"/>
  <c r="D122" i="127"/>
  <c r="C122" i="127"/>
  <c r="D121" i="127"/>
  <c r="C121" i="127"/>
  <c r="F120" i="127"/>
  <c r="D120" i="127"/>
  <c r="C120" i="127"/>
  <c r="D119" i="127"/>
  <c r="C119" i="127"/>
  <c r="D125" i="126"/>
  <c r="C125" i="126"/>
  <c r="D124" i="126"/>
  <c r="C124" i="126"/>
  <c r="D123" i="126"/>
  <c r="C123" i="126"/>
  <c r="D122" i="126"/>
  <c r="C122" i="126"/>
  <c r="D121" i="126"/>
  <c r="C121" i="126"/>
  <c r="D120" i="126"/>
  <c r="C120" i="126"/>
  <c r="F119" i="126"/>
  <c r="D119" i="126"/>
  <c r="C119" i="126"/>
  <c r="D118" i="126"/>
  <c r="C118" i="126"/>
  <c r="D124" i="125"/>
  <c r="C124" i="125"/>
  <c r="D123" i="125"/>
  <c r="C123" i="125"/>
  <c r="D122" i="125"/>
  <c r="C122" i="125"/>
  <c r="D121" i="125"/>
  <c r="C121" i="125"/>
  <c r="D120" i="125"/>
  <c r="C120" i="125"/>
  <c r="D119" i="125"/>
  <c r="C119" i="125"/>
  <c r="F118" i="125"/>
  <c r="D118" i="125"/>
  <c r="C118" i="125"/>
  <c r="D117" i="125"/>
  <c r="C117" i="125"/>
  <c r="D123" i="124"/>
  <c r="C123" i="124"/>
  <c r="D122" i="124"/>
  <c r="C122" i="124"/>
  <c r="D121" i="124"/>
  <c r="C121" i="124"/>
  <c r="D120" i="124"/>
  <c r="C120" i="124"/>
  <c r="D119" i="124"/>
  <c r="C119" i="124"/>
  <c r="D118" i="124"/>
  <c r="C118" i="124"/>
  <c r="F117" i="124"/>
  <c r="D117" i="124"/>
  <c r="C117" i="124"/>
  <c r="D116" i="124"/>
  <c r="C116" i="124"/>
  <c r="D122" i="123"/>
  <c r="C122" i="123"/>
  <c r="D121" i="123"/>
  <c r="C121" i="123"/>
  <c r="D120" i="123"/>
  <c r="C120" i="123"/>
  <c r="D119" i="123"/>
  <c r="C119" i="123"/>
  <c r="D118" i="123"/>
  <c r="C118" i="123"/>
  <c r="D117" i="123"/>
  <c r="C117" i="123"/>
  <c r="F116" i="123"/>
  <c r="D116" i="123"/>
  <c r="C116" i="123"/>
  <c r="D115" i="123"/>
  <c r="C115" i="123"/>
  <c r="D121" i="122"/>
  <c r="C121" i="122"/>
  <c r="D120" i="122"/>
  <c r="C120" i="122"/>
  <c r="D119" i="122"/>
  <c r="C119" i="122"/>
  <c r="D118" i="122"/>
  <c r="C118" i="122"/>
  <c r="D117" i="122"/>
  <c r="C117" i="122"/>
  <c r="D116" i="122"/>
  <c r="C116" i="122"/>
  <c r="F115" i="122"/>
  <c r="D115" i="122"/>
  <c r="C115" i="122"/>
  <c r="D114" i="122"/>
  <c r="C114" i="122"/>
  <c r="D117" i="121"/>
  <c r="C117" i="121"/>
  <c r="D116" i="121"/>
  <c r="C116" i="121"/>
  <c r="D115" i="121"/>
  <c r="C115" i="121"/>
  <c r="D114" i="121"/>
  <c r="C114" i="121"/>
  <c r="D113" i="121"/>
  <c r="C113" i="121"/>
  <c r="D112" i="121"/>
  <c r="C112" i="121"/>
  <c r="F111" i="121"/>
  <c r="D111" i="121"/>
  <c r="C111" i="121"/>
  <c r="D110" i="121"/>
  <c r="C110" i="121"/>
  <c r="D116" i="120"/>
  <c r="C116" i="120"/>
  <c r="D115" i="120"/>
  <c r="C115" i="120"/>
  <c r="D114" i="120"/>
  <c r="C114" i="120"/>
  <c r="D113" i="120"/>
  <c r="C113" i="120"/>
  <c r="D112" i="120"/>
  <c r="C112" i="120"/>
  <c r="D111" i="120"/>
  <c r="C111" i="120"/>
  <c r="F110" i="120"/>
  <c r="D110" i="120"/>
  <c r="C110" i="120"/>
  <c r="D109" i="120"/>
  <c r="C109" i="120"/>
  <c r="D115" i="119"/>
  <c r="C115" i="119"/>
  <c r="D114" i="119"/>
  <c r="C114" i="119"/>
  <c r="D113" i="119"/>
  <c r="C113" i="119"/>
  <c r="D112" i="119"/>
  <c r="C112" i="119"/>
  <c r="D111" i="119"/>
  <c r="C111" i="119"/>
  <c r="D110" i="119"/>
  <c r="C110" i="119"/>
  <c r="F109" i="119"/>
  <c r="D109" i="119"/>
  <c r="C109" i="119"/>
  <c r="D108" i="119"/>
  <c r="C108" i="119"/>
  <c r="D114" i="117"/>
  <c r="C114" i="117"/>
  <c r="D113" i="117"/>
  <c r="C113" i="117"/>
  <c r="D112" i="117"/>
  <c r="C112" i="117"/>
  <c r="D111" i="117"/>
  <c r="C111" i="117"/>
  <c r="D110" i="117"/>
  <c r="C110" i="117"/>
  <c r="D109" i="117"/>
  <c r="C109" i="117"/>
  <c r="F108" i="117"/>
  <c r="D108" i="117"/>
  <c r="C108" i="117"/>
  <c r="D107" i="117"/>
  <c r="C107" i="117"/>
  <c r="D113" i="116"/>
  <c r="C113" i="116"/>
  <c r="D112" i="116"/>
  <c r="C112" i="116"/>
  <c r="D111" i="116"/>
  <c r="C111" i="116"/>
  <c r="D110" i="116"/>
  <c r="C110" i="116"/>
  <c r="D109" i="116"/>
  <c r="C109" i="116"/>
  <c r="D108" i="116"/>
  <c r="C108" i="116"/>
  <c r="F107" i="116"/>
  <c r="D107" i="116"/>
  <c r="C107" i="116"/>
  <c r="D106" i="116"/>
  <c r="C106" i="116"/>
  <c r="D112" i="115"/>
  <c r="C112" i="115"/>
  <c r="D111" i="115"/>
  <c r="C111" i="115"/>
  <c r="D110" i="115"/>
  <c r="C110" i="115"/>
  <c r="D109" i="115"/>
  <c r="C109" i="115"/>
  <c r="D108" i="115"/>
  <c r="C108" i="115"/>
  <c r="D107" i="115"/>
  <c r="C107" i="115"/>
  <c r="F106" i="115"/>
  <c r="D106" i="115"/>
  <c r="C106" i="115"/>
  <c r="D105" i="115"/>
  <c r="C105" i="115"/>
  <c r="D111" i="114"/>
  <c r="C111" i="114"/>
  <c r="D110" i="114"/>
  <c r="C110" i="114"/>
  <c r="D109" i="114"/>
  <c r="C109" i="114"/>
  <c r="D108" i="114"/>
  <c r="C108" i="114"/>
  <c r="D107" i="114"/>
  <c r="C107" i="114"/>
  <c r="D106" i="114"/>
  <c r="C106" i="114"/>
  <c r="F105" i="114"/>
  <c r="D105" i="114"/>
  <c r="C105" i="114"/>
  <c r="D104" i="114"/>
  <c r="C104" i="114"/>
  <c r="D110" i="113"/>
  <c r="C110" i="113"/>
  <c r="D109" i="113"/>
  <c r="C109" i="113"/>
  <c r="D108" i="113"/>
  <c r="C108" i="113"/>
  <c r="D107" i="113"/>
  <c r="C107" i="113"/>
  <c r="D106" i="113"/>
  <c r="C106" i="113"/>
  <c r="D105" i="113"/>
  <c r="C105" i="113"/>
  <c r="F104" i="113"/>
  <c r="D104" i="113"/>
  <c r="C104" i="113"/>
  <c r="D103" i="113"/>
  <c r="C103" i="113"/>
  <c r="D109" i="111"/>
  <c r="C109" i="111"/>
  <c r="D108" i="111"/>
  <c r="C108" i="111"/>
  <c r="D107" i="111"/>
  <c r="C107" i="111"/>
  <c r="D106" i="111"/>
  <c r="C106" i="111"/>
  <c r="D105" i="111"/>
  <c r="C105" i="111"/>
  <c r="D104" i="111"/>
  <c r="C104" i="111"/>
  <c r="F103" i="111"/>
  <c r="D103" i="111"/>
  <c r="C103" i="111"/>
  <c r="D102" i="111"/>
  <c r="C102" i="111"/>
  <c r="D108" i="110"/>
  <c r="C108" i="110"/>
  <c r="D107" i="110"/>
  <c r="C107" i="110"/>
  <c r="D106" i="110"/>
  <c r="C106" i="110"/>
  <c r="D105" i="110"/>
  <c r="C105" i="110"/>
  <c r="D104" i="110"/>
  <c r="C104" i="110"/>
  <c r="D103" i="110"/>
  <c r="C103" i="110"/>
  <c r="F102" i="110"/>
  <c r="D102" i="110"/>
  <c r="C102" i="110"/>
  <c r="D101" i="110"/>
  <c r="C101" i="110"/>
  <c r="D107" i="109"/>
  <c r="C107" i="109"/>
  <c r="D106" i="109"/>
  <c r="C106" i="109"/>
  <c r="D105" i="109"/>
  <c r="C105" i="109"/>
  <c r="D104" i="109"/>
  <c r="C104" i="109"/>
  <c r="D103" i="109"/>
  <c r="C103" i="109"/>
  <c r="D102" i="109"/>
  <c r="C102" i="109"/>
  <c r="F101" i="109"/>
  <c r="D101" i="109"/>
  <c r="C101" i="109"/>
  <c r="D100" i="109"/>
  <c r="C100" i="109"/>
  <c r="D106" i="108"/>
  <c r="C106" i="108"/>
  <c r="D105" i="108"/>
  <c r="C105" i="108"/>
  <c r="D104" i="108"/>
  <c r="C104" i="108"/>
  <c r="D103" i="108"/>
  <c r="C103" i="108"/>
  <c r="D102" i="108"/>
  <c r="C102" i="108"/>
  <c r="D101" i="108"/>
  <c r="C101" i="108"/>
  <c r="F100" i="108"/>
  <c r="D100" i="108"/>
  <c r="C100" i="108"/>
  <c r="D99" i="108"/>
  <c r="C99" i="108"/>
  <c r="D105" i="107"/>
  <c r="C105" i="107"/>
  <c r="D104" i="107"/>
  <c r="C104" i="107"/>
  <c r="D103" i="107"/>
  <c r="C103" i="107"/>
  <c r="D102" i="107"/>
  <c r="C102" i="107"/>
  <c r="D101" i="107"/>
  <c r="C101" i="107"/>
  <c r="D100" i="107"/>
  <c r="C100" i="107"/>
  <c r="F99" i="107"/>
  <c r="D99" i="107"/>
  <c r="C99" i="107"/>
  <c r="D98" i="107"/>
  <c r="C98" i="107"/>
  <c r="D104" i="106"/>
  <c r="C104" i="106"/>
  <c r="D103" i="106"/>
  <c r="C103" i="106"/>
  <c r="D102" i="106"/>
  <c r="C102" i="106"/>
  <c r="D101" i="106"/>
  <c r="C101" i="106"/>
  <c r="D100" i="106"/>
  <c r="C100" i="106"/>
  <c r="D99" i="106"/>
  <c r="C99" i="106"/>
  <c r="F98" i="106"/>
  <c r="D98" i="106"/>
  <c r="C98" i="106"/>
  <c r="D97" i="106"/>
  <c r="C97" i="106"/>
  <c r="D103" i="103"/>
  <c r="C103" i="103"/>
  <c r="D102" i="103"/>
  <c r="C102" i="103"/>
  <c r="D101" i="103"/>
  <c r="C101" i="103"/>
  <c r="D100" i="103"/>
  <c r="C100" i="103"/>
  <c r="D99" i="103"/>
  <c r="C99" i="103"/>
  <c r="D98" i="103"/>
  <c r="C98" i="103"/>
  <c r="F97" i="103"/>
  <c r="D97" i="103"/>
  <c r="C97" i="103"/>
  <c r="D96" i="103"/>
  <c r="C96" i="103"/>
  <c r="D102" i="104"/>
  <c r="C102" i="104"/>
  <c r="D101" i="104"/>
  <c r="C101" i="104"/>
  <c r="D100" i="104"/>
  <c r="C100" i="104"/>
  <c r="D99" i="104"/>
  <c r="C99" i="104"/>
  <c r="D98" i="104"/>
  <c r="C98" i="104"/>
  <c r="D97" i="104"/>
  <c r="C97" i="104"/>
  <c r="F96" i="104"/>
  <c r="D96" i="104"/>
  <c r="C96" i="104"/>
  <c r="D95" i="104"/>
  <c r="C95" i="104"/>
  <c r="D101" i="79"/>
  <c r="C101" i="79"/>
  <c r="D100" i="79"/>
  <c r="C100" i="79"/>
  <c r="D99" i="79"/>
  <c r="C99" i="79"/>
  <c r="D98" i="79"/>
  <c r="C98" i="79"/>
  <c r="D97" i="79"/>
  <c r="C97" i="79"/>
  <c r="D96" i="79"/>
  <c r="C96" i="79"/>
  <c r="F95" i="79"/>
  <c r="D95" i="79"/>
  <c r="C95" i="79"/>
  <c r="D94" i="79"/>
  <c r="C94" i="79"/>
  <c r="D100" i="100"/>
  <c r="C100" i="100"/>
  <c r="D99" i="100"/>
  <c r="C99" i="100"/>
  <c r="D98" i="100"/>
  <c r="C98" i="100"/>
  <c r="D97" i="100"/>
  <c r="C97" i="100"/>
  <c r="D96" i="100"/>
  <c r="C96" i="100"/>
  <c r="D95" i="100"/>
  <c r="C95" i="100"/>
  <c r="F94" i="100"/>
  <c r="D94" i="100"/>
  <c r="C94" i="100"/>
  <c r="D93" i="100"/>
  <c r="C93" i="100"/>
  <c r="D99" i="99"/>
  <c r="C99" i="99"/>
  <c r="D98" i="99"/>
  <c r="C98" i="99"/>
  <c r="D97" i="99"/>
  <c r="C97" i="99"/>
  <c r="D96" i="99"/>
  <c r="C96" i="99"/>
  <c r="D95" i="99"/>
  <c r="C95" i="99"/>
  <c r="D94" i="99"/>
  <c r="C94" i="99"/>
  <c r="F93" i="99"/>
  <c r="D93" i="99"/>
  <c r="C93" i="99"/>
  <c r="D92" i="99"/>
  <c r="C92" i="99"/>
  <c r="D98" i="98"/>
  <c r="C98" i="98"/>
  <c r="D97" i="98"/>
  <c r="C97" i="98"/>
  <c r="D96" i="98"/>
  <c r="C96" i="98"/>
  <c r="D95" i="98"/>
  <c r="C95" i="98"/>
  <c r="D94" i="98"/>
  <c r="C94" i="98"/>
  <c r="D93" i="98"/>
  <c r="C93" i="98"/>
  <c r="F92" i="98"/>
  <c r="D92" i="98"/>
  <c r="C92" i="98"/>
  <c r="D91" i="98"/>
  <c r="C91" i="98"/>
  <c r="D97" i="97"/>
  <c r="C97" i="97"/>
  <c r="D96" i="97"/>
  <c r="C96" i="97"/>
  <c r="D95" i="97"/>
  <c r="C95" i="97"/>
  <c r="D94" i="97"/>
  <c r="C94" i="97"/>
  <c r="D93" i="97"/>
  <c r="C93" i="97"/>
  <c r="D92" i="97"/>
  <c r="C92" i="97"/>
  <c r="F91" i="97"/>
  <c r="D91" i="97"/>
  <c r="C91" i="97"/>
  <c r="D90" i="97"/>
  <c r="C90" i="97"/>
  <c r="D96" i="96"/>
  <c r="C96" i="96"/>
  <c r="D95" i="96"/>
  <c r="C95" i="96"/>
  <c r="D94" i="96"/>
  <c r="C94" i="96"/>
  <c r="D93" i="96"/>
  <c r="C93" i="96"/>
  <c r="D92" i="96"/>
  <c r="C92" i="96"/>
  <c r="D91" i="96"/>
  <c r="C91" i="96"/>
  <c r="F90" i="96"/>
  <c r="D90" i="96"/>
  <c r="C90" i="96"/>
  <c r="D89" i="96"/>
  <c r="C89" i="96"/>
  <c r="D95" i="94"/>
  <c r="C95" i="94"/>
  <c r="D94" i="94"/>
  <c r="C94" i="94"/>
  <c r="D93" i="94"/>
  <c r="C93" i="94"/>
  <c r="D92" i="94"/>
  <c r="C92" i="94"/>
  <c r="D91" i="94"/>
  <c r="C91" i="94"/>
  <c r="D90" i="94"/>
  <c r="C90" i="94"/>
  <c r="F89" i="94"/>
  <c r="D89" i="94"/>
  <c r="C89" i="94"/>
  <c r="D88" i="94"/>
  <c r="C88" i="94"/>
  <c r="D94" i="93"/>
  <c r="C94" i="93"/>
  <c r="D93" i="93"/>
  <c r="C93" i="93"/>
  <c r="D92" i="93"/>
  <c r="C92" i="93"/>
  <c r="D91" i="93"/>
  <c r="C91" i="93"/>
  <c r="D90" i="93"/>
  <c r="C90" i="93"/>
  <c r="D89" i="93"/>
  <c r="C89" i="93"/>
  <c r="F88" i="93"/>
  <c r="D88" i="93"/>
  <c r="C88" i="93"/>
  <c r="D87" i="93"/>
  <c r="C87" i="93"/>
  <c r="D93" i="92"/>
  <c r="C93" i="92"/>
  <c r="D92" i="92"/>
  <c r="C92" i="92"/>
  <c r="D91" i="92"/>
  <c r="C91" i="92"/>
  <c r="D90" i="92"/>
  <c r="C90" i="92"/>
  <c r="D89" i="92"/>
  <c r="C89" i="92"/>
  <c r="D88" i="92"/>
  <c r="C88" i="92"/>
  <c r="F87" i="92"/>
  <c r="D87" i="92"/>
  <c r="C87" i="92"/>
  <c r="D86" i="92"/>
  <c r="C86" i="92"/>
  <c r="D92" i="91"/>
  <c r="C92" i="91"/>
  <c r="D91" i="91"/>
  <c r="C91" i="91"/>
  <c r="D90" i="91"/>
  <c r="C90" i="91"/>
  <c r="D89" i="91"/>
  <c r="C89" i="91"/>
  <c r="D88" i="91"/>
  <c r="C88" i="91"/>
  <c r="D87" i="91"/>
  <c r="C87" i="91"/>
  <c r="F86" i="91"/>
  <c r="D86" i="91"/>
  <c r="C86" i="91"/>
  <c r="D85" i="91"/>
  <c r="C85" i="91"/>
  <c r="D91" i="90"/>
  <c r="C91" i="90"/>
  <c r="D90" i="90"/>
  <c r="C90" i="90"/>
  <c r="D89" i="90"/>
  <c r="C89" i="90"/>
  <c r="D88" i="90"/>
  <c r="C88" i="90"/>
  <c r="D87" i="90"/>
  <c r="C87" i="90"/>
  <c r="D86" i="90"/>
  <c r="C86" i="90"/>
  <c r="F85" i="90"/>
  <c r="D85" i="90"/>
  <c r="C85" i="90"/>
  <c r="D84" i="90"/>
  <c r="C84" i="90"/>
  <c r="D90" i="89"/>
  <c r="C90" i="89"/>
  <c r="D89" i="89"/>
  <c r="C89" i="89"/>
  <c r="D88" i="89"/>
  <c r="C88" i="89"/>
  <c r="D87" i="89"/>
  <c r="C87" i="89"/>
  <c r="D86" i="89"/>
  <c r="C86" i="89"/>
  <c r="D85" i="89"/>
  <c r="C85" i="89"/>
  <c r="F84" i="89"/>
  <c r="D84" i="89"/>
  <c r="C84" i="89"/>
  <c r="D83" i="89"/>
  <c r="C83" i="89"/>
  <c r="D89" i="85"/>
  <c r="C89" i="85"/>
  <c r="D88" i="85"/>
  <c r="C88" i="85"/>
  <c r="D87" i="85"/>
  <c r="C87" i="85"/>
  <c r="D86" i="85"/>
  <c r="C86" i="85"/>
  <c r="D85" i="85"/>
  <c r="C85" i="85"/>
  <c r="D84" i="85"/>
  <c r="C84" i="85"/>
  <c r="F83" i="85"/>
  <c r="D83" i="85"/>
  <c r="C83" i="85"/>
  <c r="D82" i="85"/>
  <c r="C82" i="85"/>
  <c r="D88" i="86"/>
  <c r="C88" i="86"/>
  <c r="D87" i="86"/>
  <c r="C87" i="86"/>
  <c r="D86" i="86"/>
  <c r="C86" i="86"/>
  <c r="D85" i="86"/>
  <c r="C85" i="86"/>
  <c r="D84" i="86"/>
  <c r="C84" i="86"/>
  <c r="D83" i="86"/>
  <c r="C83" i="86"/>
  <c r="F82" i="86"/>
  <c r="D82" i="86"/>
  <c r="C82" i="86"/>
  <c r="D81" i="86"/>
  <c r="C81" i="86"/>
  <c r="D87" i="87"/>
  <c r="C87" i="87"/>
  <c r="D86" i="87"/>
  <c r="C86" i="87"/>
  <c r="D85" i="87"/>
  <c r="C85" i="87"/>
  <c r="D84" i="87"/>
  <c r="C84" i="87"/>
  <c r="D83" i="87"/>
  <c r="C83" i="87"/>
  <c r="D82" i="87"/>
  <c r="C82" i="87"/>
  <c r="F81" i="87"/>
  <c r="D81" i="87"/>
  <c r="C81" i="87"/>
  <c r="D80" i="87"/>
  <c r="C80" i="87"/>
  <c r="D86" i="88"/>
  <c r="C86" i="88"/>
  <c r="D85" i="88"/>
  <c r="C85" i="88"/>
  <c r="D84" i="88"/>
  <c r="C84" i="88"/>
  <c r="D83" i="88"/>
  <c r="C83" i="88"/>
  <c r="D82" i="88"/>
  <c r="C82" i="88"/>
  <c r="D81" i="88"/>
  <c r="C81" i="88"/>
  <c r="F80" i="88"/>
  <c r="D80" i="88"/>
  <c r="C80" i="88"/>
  <c r="D79" i="88"/>
  <c r="C79" i="88"/>
  <c r="D85" i="84"/>
  <c r="C85" i="84"/>
  <c r="D84" i="84"/>
  <c r="C84" i="84"/>
  <c r="D83" i="84"/>
  <c r="C83" i="84"/>
  <c r="D82" i="84"/>
  <c r="C82" i="84"/>
  <c r="D81" i="84"/>
  <c r="C81" i="84"/>
  <c r="D80" i="84"/>
  <c r="C80" i="84"/>
  <c r="F79" i="84"/>
  <c r="D79" i="84"/>
  <c r="C79" i="84"/>
  <c r="D78" i="84"/>
  <c r="C78" i="84"/>
  <c r="D84" i="83"/>
  <c r="C84" i="83"/>
  <c r="D83" i="83"/>
  <c r="C83" i="83"/>
  <c r="D82" i="83"/>
  <c r="C82" i="83"/>
  <c r="D81" i="83"/>
  <c r="C81" i="83"/>
  <c r="D80" i="83"/>
  <c r="C80" i="83"/>
  <c r="D79" i="83"/>
  <c r="C79" i="83"/>
  <c r="F78" i="83"/>
  <c r="D78" i="83"/>
  <c r="C78" i="83"/>
  <c r="D77" i="83"/>
  <c r="C77" i="83"/>
  <c r="D83" i="82"/>
  <c r="C83" i="82"/>
  <c r="D82" i="82"/>
  <c r="C82" i="82"/>
  <c r="D81" i="82"/>
  <c r="C81" i="82"/>
  <c r="D80" i="82"/>
  <c r="C80" i="82"/>
  <c r="D79" i="82"/>
  <c r="C79" i="82"/>
  <c r="D78" i="82"/>
  <c r="C78" i="82"/>
  <c r="F77" i="82"/>
  <c r="D77" i="82"/>
  <c r="C77" i="82"/>
  <c r="D76" i="82"/>
  <c r="C76" i="82"/>
  <c r="D82" i="81"/>
  <c r="C82" i="81"/>
  <c r="D81" i="81"/>
  <c r="C81" i="81"/>
  <c r="D80" i="81"/>
  <c r="C80" i="81"/>
  <c r="D79" i="81"/>
  <c r="C79" i="81"/>
  <c r="D78" i="81"/>
  <c r="C78" i="81"/>
  <c r="D77" i="81"/>
  <c r="C77" i="81"/>
  <c r="F76" i="81"/>
  <c r="D76" i="81"/>
  <c r="C76" i="81"/>
  <c r="D75" i="81"/>
  <c r="C75" i="81"/>
  <c r="D81" i="71"/>
  <c r="C81" i="71"/>
  <c r="D80" i="71"/>
  <c r="C80" i="71"/>
  <c r="D79" i="71"/>
  <c r="C79" i="71"/>
  <c r="D78" i="71"/>
  <c r="C78" i="71"/>
  <c r="D77" i="71"/>
  <c r="C77" i="71"/>
  <c r="D76" i="71"/>
  <c r="C76" i="71"/>
  <c r="F75" i="71"/>
  <c r="D75" i="71"/>
  <c r="C75" i="71"/>
  <c r="D74" i="71"/>
  <c r="C74" i="71"/>
  <c r="D80" i="72"/>
  <c r="C80" i="72"/>
  <c r="D79" i="72"/>
  <c r="C79" i="72"/>
  <c r="D78" i="72"/>
  <c r="C78" i="72"/>
  <c r="D77" i="72"/>
  <c r="C77" i="72"/>
  <c r="D76" i="72"/>
  <c r="C76" i="72"/>
  <c r="D75" i="72"/>
  <c r="C75" i="72"/>
  <c r="F74" i="72"/>
  <c r="D74" i="72"/>
  <c r="C74" i="72"/>
  <c r="D73" i="72"/>
  <c r="C73" i="72"/>
  <c r="D79" i="73"/>
  <c r="C79" i="73"/>
  <c r="D78" i="73"/>
  <c r="C78" i="73"/>
  <c r="D77" i="73"/>
  <c r="C77" i="73"/>
  <c r="D76" i="73"/>
  <c r="C76" i="73"/>
  <c r="D75" i="73"/>
  <c r="C75" i="73"/>
  <c r="D74" i="73"/>
  <c r="C74" i="73"/>
  <c r="F73" i="73"/>
  <c r="D73" i="73"/>
  <c r="C73" i="73"/>
  <c r="D72" i="73"/>
  <c r="C72" i="73"/>
  <c r="D78" i="74"/>
  <c r="C78" i="74"/>
  <c r="D77" i="74"/>
  <c r="C77" i="74"/>
  <c r="D76" i="74"/>
  <c r="C76" i="74"/>
  <c r="D75" i="74"/>
  <c r="C75" i="74"/>
  <c r="D74" i="74"/>
  <c r="C74" i="74"/>
  <c r="D73" i="74"/>
  <c r="C73" i="74"/>
  <c r="F72" i="74"/>
  <c r="D72" i="74"/>
  <c r="C72" i="74"/>
  <c r="D71" i="74"/>
  <c r="C71" i="74"/>
  <c r="D77" i="78"/>
  <c r="C77" i="78"/>
  <c r="D76" i="78"/>
  <c r="C76" i="78"/>
  <c r="D75" i="78"/>
  <c r="C75" i="78"/>
  <c r="D74" i="78"/>
  <c r="C74" i="78"/>
  <c r="D73" i="78"/>
  <c r="C73" i="78"/>
  <c r="D72" i="78"/>
  <c r="C72" i="78"/>
  <c r="F71" i="78"/>
  <c r="D71" i="78"/>
  <c r="C71" i="78"/>
  <c r="D70" i="78"/>
  <c r="C70" i="78"/>
  <c r="D76" i="75"/>
  <c r="C76" i="75"/>
  <c r="D75" i="75"/>
  <c r="C75" i="75"/>
  <c r="D74" i="75"/>
  <c r="C74" i="75"/>
  <c r="D73" i="75"/>
  <c r="C73" i="75"/>
  <c r="D72" i="75"/>
  <c r="C72" i="75"/>
  <c r="D71" i="75"/>
  <c r="C71" i="75"/>
  <c r="F70" i="75"/>
  <c r="D70" i="75"/>
  <c r="C70" i="75"/>
  <c r="D69" i="75"/>
  <c r="C69" i="75"/>
  <c r="D75" i="76"/>
  <c r="C75" i="76"/>
  <c r="D74" i="76"/>
  <c r="C74" i="76"/>
  <c r="D73" i="76"/>
  <c r="C73" i="76"/>
  <c r="D72" i="76"/>
  <c r="C72" i="76"/>
  <c r="D71" i="76"/>
  <c r="C71" i="76"/>
  <c r="D70" i="76"/>
  <c r="C70" i="76"/>
  <c r="F69" i="76"/>
  <c r="D69" i="76"/>
  <c r="C69" i="76"/>
  <c r="D68" i="76"/>
  <c r="C68" i="76"/>
  <c r="D74" i="77"/>
  <c r="C74" i="77"/>
  <c r="D73" i="77"/>
  <c r="C73" i="77"/>
  <c r="D72" i="77"/>
  <c r="C72" i="77"/>
  <c r="D71" i="77"/>
  <c r="C71" i="77"/>
  <c r="D70" i="77"/>
  <c r="C70" i="77"/>
  <c r="D69" i="77"/>
  <c r="C69" i="77"/>
  <c r="F68" i="77"/>
  <c r="D68" i="77"/>
  <c r="C68" i="77"/>
  <c r="D67" i="77"/>
  <c r="C67" i="77"/>
  <c r="D68" i="57"/>
  <c r="C68" i="57"/>
  <c r="D67" i="57"/>
  <c r="C67" i="57"/>
  <c r="D66" i="57"/>
  <c r="C66" i="57"/>
  <c r="D65" i="57"/>
  <c r="C65" i="57"/>
  <c r="D64" i="57"/>
  <c r="C64" i="57"/>
  <c r="D63" i="57"/>
  <c r="C63" i="57"/>
  <c r="F62" i="57"/>
  <c r="D62" i="57"/>
  <c r="C62" i="57"/>
  <c r="D61" i="57"/>
  <c r="C61" i="57"/>
  <c r="D67" i="58"/>
  <c r="C67" i="58"/>
  <c r="D66" i="58"/>
  <c r="C66" i="58"/>
  <c r="D65" i="58"/>
  <c r="C65" i="58"/>
  <c r="D64" i="58"/>
  <c r="C64" i="58"/>
  <c r="D63" i="58"/>
  <c r="C63" i="58"/>
  <c r="D62" i="58"/>
  <c r="C62" i="58"/>
  <c r="F61" i="58"/>
  <c r="D61" i="58"/>
  <c r="C61" i="58"/>
  <c r="D60" i="58"/>
  <c r="C60" i="58"/>
  <c r="D66" i="59"/>
  <c r="C66" i="59"/>
  <c r="D65" i="59"/>
  <c r="C65" i="59"/>
  <c r="D64" i="59"/>
  <c r="C64" i="59"/>
  <c r="D63" i="59"/>
  <c r="C63" i="59"/>
  <c r="D62" i="59"/>
  <c r="C62" i="59"/>
  <c r="D61" i="59"/>
  <c r="C61" i="59"/>
  <c r="F60" i="59"/>
  <c r="D60" i="59"/>
  <c r="C60" i="59"/>
  <c r="D59" i="59"/>
  <c r="C59" i="59"/>
  <c r="D65" i="112"/>
  <c r="C65" i="112"/>
  <c r="D64" i="112"/>
  <c r="C64" i="112"/>
  <c r="D63" i="112"/>
  <c r="C63" i="112"/>
  <c r="D62" i="112"/>
  <c r="C62" i="112"/>
  <c r="D61" i="112"/>
  <c r="C61" i="112"/>
  <c r="D60" i="112"/>
  <c r="C60" i="112"/>
  <c r="F59" i="112"/>
  <c r="D59" i="112"/>
  <c r="C59" i="112"/>
  <c r="D58" i="112"/>
  <c r="C58" i="112"/>
  <c r="D64" i="61"/>
  <c r="C64" i="61"/>
  <c r="D63" i="61"/>
  <c r="C63" i="61"/>
  <c r="D62" i="61"/>
  <c r="C62" i="61"/>
  <c r="D61" i="61"/>
  <c r="C61" i="61"/>
  <c r="D60" i="61"/>
  <c r="C60" i="61"/>
  <c r="D59" i="61"/>
  <c r="C59" i="61"/>
  <c r="F58" i="61"/>
  <c r="D58" i="61"/>
  <c r="C58" i="61"/>
  <c r="D57" i="61"/>
  <c r="C57" i="61"/>
  <c r="D63" i="62"/>
  <c r="C63" i="62"/>
  <c r="D62" i="62"/>
  <c r="C62" i="62"/>
  <c r="D61" i="62"/>
  <c r="C61" i="62"/>
  <c r="D60" i="62"/>
  <c r="C60" i="62"/>
  <c r="D59" i="62"/>
  <c r="C59" i="62"/>
  <c r="D58" i="62"/>
  <c r="C58" i="62"/>
  <c r="F57" i="62"/>
  <c r="D57" i="62"/>
  <c r="C57" i="62"/>
  <c r="D56" i="62"/>
  <c r="C56" i="62"/>
  <c r="D62" i="63"/>
  <c r="C62" i="63"/>
  <c r="D61" i="63"/>
  <c r="C61" i="63"/>
  <c r="D60" i="63"/>
  <c r="C60" i="63"/>
  <c r="D59" i="63"/>
  <c r="C59" i="63"/>
  <c r="D58" i="63"/>
  <c r="C58" i="63"/>
  <c r="D57" i="63"/>
  <c r="C57" i="63"/>
  <c r="F56" i="63"/>
  <c r="D56" i="63"/>
  <c r="C56" i="63"/>
  <c r="D55" i="63"/>
  <c r="C55" i="63"/>
  <c r="D61" i="64"/>
  <c r="C61" i="64"/>
  <c r="D60" i="64"/>
  <c r="C60" i="64"/>
  <c r="D59" i="64"/>
  <c r="C59" i="64"/>
  <c r="D58" i="64"/>
  <c r="C58" i="64"/>
  <c r="D57" i="64"/>
  <c r="C57" i="64"/>
  <c r="D56" i="64"/>
  <c r="C56" i="64"/>
  <c r="F55" i="64"/>
  <c r="D55" i="64"/>
  <c r="C55" i="64"/>
  <c r="D54" i="64"/>
  <c r="C54" i="64"/>
  <c r="D60" i="65"/>
  <c r="C60" i="65"/>
  <c r="D59" i="65"/>
  <c r="C59" i="65"/>
  <c r="D58" i="65"/>
  <c r="C58" i="65"/>
  <c r="D57" i="65"/>
  <c r="C57" i="65"/>
  <c r="D56" i="65"/>
  <c r="C56" i="65"/>
  <c r="D55" i="65"/>
  <c r="C55" i="65"/>
  <c r="F54" i="65"/>
  <c r="D54" i="65"/>
  <c r="C54" i="65"/>
  <c r="D53" i="65"/>
  <c r="C53" i="65"/>
  <c r="D59" i="67"/>
  <c r="C59" i="67"/>
  <c r="D58" i="67"/>
  <c r="C58" i="67"/>
  <c r="D57" i="67"/>
  <c r="C57" i="67"/>
  <c r="D56" i="67"/>
  <c r="C56" i="67"/>
  <c r="D55" i="67"/>
  <c r="C55" i="67"/>
  <c r="D54" i="67"/>
  <c r="C54" i="67"/>
  <c r="F53" i="67"/>
  <c r="D53" i="67"/>
  <c r="C53" i="67"/>
  <c r="D52" i="67"/>
  <c r="C52" i="67"/>
  <c r="D58" i="68"/>
  <c r="C58" i="68"/>
  <c r="D57" i="68"/>
  <c r="C57" i="68"/>
  <c r="D56" i="68"/>
  <c r="C56" i="68"/>
  <c r="D55" i="68"/>
  <c r="C55" i="68"/>
  <c r="D54" i="68"/>
  <c r="C54" i="68"/>
  <c r="D53" i="68"/>
  <c r="C53" i="68"/>
  <c r="F52" i="68"/>
  <c r="D52" i="68"/>
  <c r="C52" i="68"/>
  <c r="D51" i="68"/>
  <c r="C51" i="68"/>
  <c r="D57" i="69"/>
  <c r="C57" i="69"/>
  <c r="D56" i="69"/>
  <c r="C56" i="69"/>
  <c r="D55" i="69"/>
  <c r="C55" i="69"/>
  <c r="D54" i="69"/>
  <c r="C54" i="69"/>
  <c r="D53" i="69"/>
  <c r="C53" i="69"/>
  <c r="D52" i="69"/>
  <c r="C52" i="69"/>
  <c r="F51" i="69"/>
  <c r="D51" i="69"/>
  <c r="C51" i="69"/>
  <c r="D50" i="69"/>
  <c r="C50" i="69"/>
  <c r="D56" i="70"/>
  <c r="C56" i="70"/>
  <c r="D55" i="70"/>
  <c r="C55" i="70"/>
  <c r="D54" i="70"/>
  <c r="C54" i="70"/>
  <c r="D53" i="70"/>
  <c r="C53" i="70"/>
  <c r="D52" i="70"/>
  <c r="C52" i="70"/>
  <c r="D51" i="70"/>
  <c r="C51" i="70"/>
  <c r="F50" i="70"/>
  <c r="D50" i="70"/>
  <c r="C50" i="70"/>
  <c r="D49" i="70"/>
  <c r="C49" i="70"/>
  <c r="D55" i="46"/>
  <c r="C55" i="46"/>
  <c r="D54" i="46"/>
  <c r="C54" i="46"/>
  <c r="D53" i="46"/>
  <c r="C53" i="46"/>
  <c r="D52" i="46"/>
  <c r="C52" i="46"/>
  <c r="D51" i="46"/>
  <c r="C51" i="46"/>
  <c r="D50" i="46"/>
  <c r="C50" i="46"/>
  <c r="F49" i="46"/>
  <c r="D49" i="46"/>
  <c r="C49" i="46"/>
  <c r="D48" i="46"/>
  <c r="C48" i="46"/>
  <c r="D54" i="47"/>
  <c r="C54" i="47"/>
  <c r="D53" i="47"/>
  <c r="C53" i="47"/>
  <c r="D52" i="47"/>
  <c r="C52" i="47"/>
  <c r="D51" i="47"/>
  <c r="C51" i="47"/>
  <c r="D50" i="47"/>
  <c r="C50" i="47"/>
  <c r="D49" i="47"/>
  <c r="C49" i="47"/>
  <c r="F48" i="47"/>
  <c r="D48" i="47"/>
  <c r="C48" i="47"/>
  <c r="D47" i="47"/>
  <c r="C47" i="47"/>
  <c r="D53" i="48"/>
  <c r="C53" i="48"/>
  <c r="D52" i="48"/>
  <c r="C52" i="48"/>
  <c r="D51" i="48"/>
  <c r="C51" i="48"/>
  <c r="D50" i="48"/>
  <c r="C50" i="48"/>
  <c r="D49" i="48"/>
  <c r="C49" i="48"/>
  <c r="D48" i="48"/>
  <c r="C48" i="48"/>
  <c r="F47" i="48"/>
  <c r="D47" i="48"/>
  <c r="C47" i="48"/>
  <c r="D46" i="48"/>
  <c r="C46" i="48"/>
  <c r="D52" i="49"/>
  <c r="C52" i="49"/>
  <c r="D51" i="49"/>
  <c r="C51" i="49"/>
  <c r="D50" i="49"/>
  <c r="C50" i="49"/>
  <c r="D49" i="49"/>
  <c r="C49" i="49"/>
  <c r="D48" i="49"/>
  <c r="C48" i="49"/>
  <c r="D47" i="49"/>
  <c r="C47" i="49"/>
  <c r="F46" i="49"/>
  <c r="D46" i="49"/>
  <c r="C46" i="49"/>
  <c r="D45" i="49"/>
  <c r="C45" i="49"/>
  <c r="D51" i="51"/>
  <c r="C51" i="51"/>
  <c r="D50" i="51"/>
  <c r="C50" i="51"/>
  <c r="D49" i="51"/>
  <c r="C49" i="51"/>
  <c r="D48" i="51"/>
  <c r="C48" i="51"/>
  <c r="D47" i="51"/>
  <c r="C47" i="51"/>
  <c r="D46" i="51"/>
  <c r="C46" i="51"/>
  <c r="F45" i="51"/>
  <c r="D45" i="51"/>
  <c r="C45" i="51"/>
  <c r="D44" i="51"/>
  <c r="C44" i="51"/>
  <c r="D50" i="52"/>
  <c r="C50" i="52"/>
  <c r="D49" i="52"/>
  <c r="C49" i="52"/>
  <c r="D48" i="52"/>
  <c r="C48" i="52"/>
  <c r="D47" i="52"/>
  <c r="C47" i="52"/>
  <c r="D46" i="52"/>
  <c r="C46" i="52"/>
  <c r="D45" i="52"/>
  <c r="C45" i="52"/>
  <c r="F44" i="52"/>
  <c r="D44" i="52"/>
  <c r="C44" i="52"/>
  <c r="D43" i="52"/>
  <c r="C43" i="52"/>
  <c r="D49" i="53"/>
  <c r="C49" i="53"/>
  <c r="D48" i="53"/>
  <c r="C48" i="53"/>
  <c r="D47" i="53"/>
  <c r="C47" i="53"/>
  <c r="D46" i="53"/>
  <c r="C46" i="53"/>
  <c r="D45" i="53"/>
  <c r="C45" i="53"/>
  <c r="D44" i="53"/>
  <c r="C44" i="53"/>
  <c r="F43" i="53"/>
  <c r="D43" i="53"/>
  <c r="C43" i="53"/>
  <c r="D42" i="53"/>
  <c r="C42" i="53"/>
  <c r="D48" i="54"/>
  <c r="C48" i="54"/>
  <c r="D47" i="54"/>
  <c r="C47" i="54"/>
  <c r="D46" i="54"/>
  <c r="C46" i="54"/>
  <c r="D45" i="54"/>
  <c r="C45" i="54"/>
  <c r="D44" i="54"/>
  <c r="C44" i="54"/>
  <c r="D43" i="54"/>
  <c r="C43" i="54"/>
  <c r="F42" i="54"/>
  <c r="D42" i="54"/>
  <c r="C42" i="54"/>
  <c r="D41" i="54"/>
  <c r="C41" i="54"/>
  <c r="D47" i="55"/>
  <c r="C47" i="55"/>
  <c r="D46" i="55"/>
  <c r="C46" i="55"/>
  <c r="D45" i="55"/>
  <c r="C45" i="55"/>
  <c r="D44" i="55"/>
  <c r="C44" i="55"/>
  <c r="D43" i="55"/>
  <c r="C43" i="55"/>
  <c r="D42" i="55"/>
  <c r="C42" i="55"/>
  <c r="F41" i="55"/>
  <c r="D41" i="55"/>
  <c r="C41" i="55"/>
  <c r="D40" i="55"/>
  <c r="C40" i="55"/>
  <c r="D46" i="56"/>
  <c r="C46" i="56"/>
  <c r="D45" i="56"/>
  <c r="C45" i="56"/>
  <c r="D44" i="56"/>
  <c r="C44" i="56"/>
  <c r="D43" i="56"/>
  <c r="C43" i="56"/>
  <c r="D42" i="56"/>
  <c r="C42" i="56"/>
  <c r="D41" i="56"/>
  <c r="C41" i="56"/>
  <c r="F40" i="56"/>
  <c r="D40" i="56"/>
  <c r="C40" i="56"/>
  <c r="D39" i="56"/>
  <c r="C39" i="56"/>
  <c r="D45" i="45"/>
  <c r="C45" i="45"/>
  <c r="D44" i="45"/>
  <c r="C44" i="45"/>
  <c r="D43" i="45"/>
  <c r="C43" i="45"/>
  <c r="D42" i="45"/>
  <c r="C42" i="45"/>
  <c r="D41" i="45"/>
  <c r="C41" i="45"/>
  <c r="D40" i="45"/>
  <c r="C40" i="45"/>
  <c r="F39" i="45"/>
  <c r="D39" i="45"/>
  <c r="C39" i="45"/>
  <c r="D38" i="45"/>
  <c r="C38" i="45"/>
  <c r="D44" i="20"/>
  <c r="C44" i="20"/>
  <c r="D43" i="20"/>
  <c r="C43" i="20"/>
  <c r="D42" i="20"/>
  <c r="C42" i="20"/>
  <c r="D41" i="20"/>
  <c r="C41" i="20"/>
  <c r="D40" i="20"/>
  <c r="C40" i="20"/>
  <c r="D39" i="20"/>
  <c r="C39" i="20"/>
  <c r="F38" i="20"/>
  <c r="D38" i="20"/>
  <c r="C38" i="20"/>
  <c r="D37" i="20"/>
  <c r="C37" i="20"/>
  <c r="D43" i="22"/>
  <c r="C43" i="22"/>
  <c r="D42" i="22"/>
  <c r="C42" i="22"/>
  <c r="D41" i="22"/>
  <c r="C41" i="22"/>
  <c r="D40" i="22"/>
  <c r="C40" i="22"/>
  <c r="D39" i="22"/>
  <c r="C39" i="22"/>
  <c r="D38" i="22"/>
  <c r="C38" i="22"/>
  <c r="F37" i="22"/>
  <c r="D37" i="22"/>
  <c r="C37" i="22"/>
  <c r="D36" i="22"/>
  <c r="C36" i="22"/>
  <c r="D42" i="21"/>
  <c r="C42" i="21"/>
  <c r="D41" i="21"/>
  <c r="C41" i="21"/>
  <c r="D40" i="21"/>
  <c r="C40" i="21"/>
  <c r="D39" i="21"/>
  <c r="C39" i="21"/>
  <c r="D38" i="21"/>
  <c r="C38" i="21"/>
  <c r="D37" i="21"/>
  <c r="C37" i="21"/>
  <c r="F36" i="21"/>
  <c r="D36" i="21"/>
  <c r="C36" i="21"/>
  <c r="D35" i="21"/>
  <c r="C35" i="21"/>
  <c r="D41" i="23"/>
  <c r="C41" i="23"/>
  <c r="D40" i="23"/>
  <c r="C40" i="23"/>
  <c r="D39" i="23"/>
  <c r="C39" i="23"/>
  <c r="D38" i="23"/>
  <c r="C38" i="23"/>
  <c r="D37" i="23"/>
  <c r="C37" i="23"/>
  <c r="D36" i="23"/>
  <c r="C36" i="23"/>
  <c r="F35" i="23"/>
  <c r="D35" i="23"/>
  <c r="C35" i="23"/>
  <c r="D34" i="23"/>
  <c r="C34" i="23"/>
  <c r="D40" i="24"/>
  <c r="C40" i="24"/>
  <c r="D39" i="24"/>
  <c r="C39" i="24"/>
  <c r="D38" i="24"/>
  <c r="C38" i="24"/>
  <c r="D37" i="24"/>
  <c r="C37" i="24"/>
  <c r="D36" i="24"/>
  <c r="C36" i="24"/>
  <c r="D35" i="24"/>
  <c r="C35" i="24"/>
  <c r="F34" i="24"/>
  <c r="D34" i="24"/>
  <c r="C34" i="24"/>
  <c r="D33" i="24"/>
  <c r="C33" i="24"/>
  <c r="D39" i="25"/>
  <c r="C39" i="25"/>
  <c r="D38" i="25"/>
  <c r="C38" i="25"/>
  <c r="D37" i="25"/>
  <c r="C37" i="25"/>
  <c r="D36" i="25"/>
  <c r="C36" i="25"/>
  <c r="D35" i="25"/>
  <c r="C35" i="25"/>
  <c r="D34" i="25"/>
  <c r="C34" i="25"/>
  <c r="F33" i="25"/>
  <c r="D33" i="25"/>
  <c r="C33" i="25"/>
  <c r="D32" i="25"/>
  <c r="C32" i="25"/>
  <c r="D38" i="26"/>
  <c r="C38" i="26"/>
  <c r="D37" i="26"/>
  <c r="C37" i="26"/>
  <c r="D36" i="26"/>
  <c r="C36" i="26"/>
  <c r="D35" i="26"/>
  <c r="C35" i="26"/>
  <c r="D34" i="26"/>
  <c r="C34" i="26"/>
  <c r="D33" i="26"/>
  <c r="C33" i="26"/>
  <c r="F32" i="26"/>
  <c r="D32" i="26"/>
  <c r="C32" i="26"/>
  <c r="D31" i="26"/>
  <c r="C31" i="26"/>
  <c r="D37" i="27"/>
  <c r="C37" i="27"/>
  <c r="D36" i="27"/>
  <c r="C36" i="27"/>
  <c r="D35" i="27"/>
  <c r="C35" i="27"/>
  <c r="D34" i="27"/>
  <c r="C34" i="27"/>
  <c r="D33" i="27"/>
  <c r="C33" i="27"/>
  <c r="D32" i="27"/>
  <c r="C32" i="27"/>
  <c r="F31" i="27"/>
  <c r="D31" i="27"/>
  <c r="C31" i="27"/>
  <c r="D30" i="27"/>
  <c r="C30" i="27"/>
  <c r="D36" i="28"/>
  <c r="C36" i="28"/>
  <c r="D35" i="28"/>
  <c r="C35" i="28"/>
  <c r="D34" i="28"/>
  <c r="C34" i="28"/>
  <c r="D33" i="28"/>
  <c r="C33" i="28"/>
  <c r="D32" i="28"/>
  <c r="C32" i="28"/>
  <c r="D31" i="28"/>
  <c r="C31" i="28"/>
  <c r="F30" i="28"/>
  <c r="D30" i="28"/>
  <c r="C30" i="28"/>
  <c r="D29" i="28"/>
  <c r="C29" i="28"/>
  <c r="D35" i="29"/>
  <c r="C35" i="29"/>
  <c r="D34" i="29"/>
  <c r="C34" i="29"/>
  <c r="D33" i="29"/>
  <c r="C33" i="29"/>
  <c r="D32" i="29"/>
  <c r="C32" i="29"/>
  <c r="D31" i="29"/>
  <c r="C31" i="29"/>
  <c r="D30" i="29"/>
  <c r="C30" i="29"/>
  <c r="F29" i="29"/>
  <c r="D29" i="29"/>
  <c r="C29" i="29"/>
  <c r="D28" i="29"/>
  <c r="C28" i="29"/>
  <c r="D34" i="31"/>
  <c r="C34" i="31"/>
  <c r="D33" i="31"/>
  <c r="C33" i="31"/>
  <c r="D32" i="31"/>
  <c r="C32" i="31"/>
  <c r="D31" i="31"/>
  <c r="C31" i="31"/>
  <c r="D30" i="31"/>
  <c r="C30" i="31"/>
  <c r="D29" i="31"/>
  <c r="C29" i="31"/>
  <c r="F28" i="31"/>
  <c r="D28" i="31"/>
  <c r="C28" i="31"/>
  <c r="D27" i="31"/>
  <c r="C27" i="31"/>
  <c r="D33" i="32"/>
  <c r="C33" i="32"/>
  <c r="D32" i="32"/>
  <c r="C32" i="32"/>
  <c r="D31" i="32"/>
  <c r="C31" i="32"/>
  <c r="D30" i="32"/>
  <c r="C30" i="32"/>
  <c r="D29" i="32"/>
  <c r="C29" i="32"/>
  <c r="D28" i="32"/>
  <c r="C28" i="32"/>
  <c r="F27" i="32"/>
  <c r="D27" i="32"/>
  <c r="C27" i="32"/>
  <c r="D26" i="32"/>
  <c r="C26" i="32"/>
  <c r="D32" i="33"/>
  <c r="C32" i="33"/>
  <c r="D31" i="33"/>
  <c r="C31" i="33"/>
  <c r="D30" i="33"/>
  <c r="C30" i="33"/>
  <c r="D29" i="33"/>
  <c r="C29" i="33"/>
  <c r="D28" i="33"/>
  <c r="C28" i="33"/>
  <c r="D27" i="33"/>
  <c r="C27" i="33"/>
  <c r="F26" i="33"/>
  <c r="D26" i="33"/>
  <c r="C26" i="33"/>
  <c r="D25" i="33"/>
  <c r="C25" i="33"/>
  <c r="D31" i="34"/>
  <c r="C31" i="34"/>
  <c r="D30" i="34"/>
  <c r="C30" i="34"/>
  <c r="D29" i="34"/>
  <c r="C29" i="34"/>
  <c r="D28" i="34"/>
  <c r="C28" i="34"/>
  <c r="D27" i="34"/>
  <c r="C27" i="34"/>
  <c r="D26" i="34"/>
  <c r="C26" i="34"/>
  <c r="F25" i="34"/>
  <c r="D25" i="34"/>
  <c r="C25" i="34"/>
  <c r="D24" i="34"/>
  <c r="C24" i="34"/>
  <c r="D30" i="35"/>
  <c r="C30" i="35"/>
  <c r="D29" i="35"/>
  <c r="C29" i="35"/>
  <c r="D28" i="35"/>
  <c r="C28" i="35"/>
  <c r="D27" i="35"/>
  <c r="C27" i="35"/>
  <c r="D26" i="35"/>
  <c r="C26" i="35"/>
  <c r="D25" i="35"/>
  <c r="C25" i="35"/>
  <c r="F24" i="35"/>
  <c r="D24" i="35"/>
  <c r="C24" i="35"/>
  <c r="D23" i="35"/>
  <c r="C23" i="35"/>
  <c r="D29" i="37"/>
  <c r="C29" i="37"/>
  <c r="D28" i="37"/>
  <c r="C28" i="37"/>
  <c r="D27" i="37"/>
  <c r="C27" i="37"/>
  <c r="D26" i="37"/>
  <c r="C26" i="37"/>
  <c r="D25" i="37"/>
  <c r="C25" i="37"/>
  <c r="D24" i="37"/>
  <c r="C24" i="37"/>
  <c r="F23" i="37"/>
  <c r="D23" i="37"/>
  <c r="C23" i="37"/>
  <c r="D22" i="37"/>
  <c r="C22" i="37"/>
  <c r="D28" i="39"/>
  <c r="C28" i="39"/>
  <c r="D27" i="39"/>
  <c r="C27" i="39"/>
  <c r="D26" i="39"/>
  <c r="C26" i="39"/>
  <c r="D25" i="39"/>
  <c r="C25" i="39"/>
  <c r="D24" i="39"/>
  <c r="C24" i="39"/>
  <c r="D23" i="39"/>
  <c r="C23" i="39"/>
  <c r="F22" i="39"/>
  <c r="D22" i="39"/>
  <c r="C22" i="39"/>
  <c r="D21" i="39"/>
  <c r="C21" i="39"/>
  <c r="D27" i="42"/>
  <c r="C27" i="42"/>
  <c r="D26" i="42"/>
  <c r="C26" i="42"/>
  <c r="D25" i="42"/>
  <c r="C25" i="42"/>
  <c r="D24" i="42"/>
  <c r="C24" i="42"/>
  <c r="D23" i="42"/>
  <c r="C23" i="42"/>
  <c r="D22" i="42"/>
  <c r="C22" i="42"/>
  <c r="F21" i="42"/>
  <c r="D21" i="42"/>
  <c r="C21" i="42"/>
  <c r="D20" i="42"/>
  <c r="C20" i="42"/>
  <c r="D26" i="43"/>
  <c r="C26" i="43"/>
  <c r="D25" i="43"/>
  <c r="C25" i="43"/>
  <c r="D24" i="43"/>
  <c r="C24" i="43"/>
  <c r="D23" i="43"/>
  <c r="C23" i="43"/>
  <c r="D22" i="43"/>
  <c r="C22" i="43"/>
  <c r="D21" i="43"/>
  <c r="C21" i="43"/>
  <c r="F20" i="43"/>
  <c r="D20" i="43"/>
  <c r="C20" i="43"/>
  <c r="D19" i="43"/>
  <c r="C19" i="43"/>
  <c r="D25" i="44"/>
  <c r="C25" i="44"/>
  <c r="D24" i="44"/>
  <c r="C24" i="44"/>
  <c r="D23" i="44"/>
  <c r="C23" i="44"/>
  <c r="D22" i="44"/>
  <c r="C22" i="44"/>
  <c r="D21" i="44"/>
  <c r="C21" i="44"/>
  <c r="D20" i="44"/>
  <c r="C20" i="44"/>
  <c r="F19" i="44"/>
  <c r="D19" i="44"/>
  <c r="C19" i="44"/>
  <c r="D18" i="44"/>
  <c r="C18" i="44"/>
  <c r="D24" i="38"/>
  <c r="C24" i="38"/>
  <c r="D23" i="38"/>
  <c r="C23" i="38"/>
  <c r="D22" i="38"/>
  <c r="C22" i="38"/>
  <c r="D21" i="38"/>
  <c r="C21" i="38"/>
  <c r="D20" i="38"/>
  <c r="C20" i="38"/>
  <c r="D19" i="38"/>
  <c r="C19" i="38"/>
  <c r="F18" i="38"/>
  <c r="D18" i="38"/>
  <c r="C18" i="38"/>
  <c r="D17" i="38"/>
  <c r="C17" i="38"/>
  <c r="D23" i="13"/>
  <c r="C23" i="13"/>
  <c r="D22" i="13"/>
  <c r="C22" i="13"/>
  <c r="D21" i="13"/>
  <c r="C21" i="13"/>
  <c r="D20" i="13"/>
  <c r="C20" i="13"/>
  <c r="D19" i="13"/>
  <c r="C19" i="13"/>
  <c r="D18" i="13"/>
  <c r="C18" i="13"/>
  <c r="F17" i="13"/>
  <c r="D17" i="13"/>
  <c r="C17" i="13"/>
  <c r="D16" i="13"/>
  <c r="C16" i="13"/>
  <c r="D139" i="139"/>
  <c r="C139" i="139"/>
  <c r="F137" i="139"/>
  <c r="H127" i="139"/>
  <c r="D138" i="138"/>
  <c r="C138" i="138"/>
  <c r="F136" i="138"/>
  <c r="H126" i="138"/>
  <c r="D137" i="137"/>
  <c r="C137" i="137"/>
  <c r="F135" i="137"/>
  <c r="H125" i="137"/>
  <c r="D136" i="136"/>
  <c r="C136" i="136"/>
  <c r="F134" i="136"/>
  <c r="H124" i="136"/>
  <c r="D135" i="135"/>
  <c r="C135" i="135"/>
  <c r="F133" i="135"/>
  <c r="H123" i="135"/>
  <c r="D134" i="134"/>
  <c r="C134" i="134"/>
  <c r="F132" i="134"/>
  <c r="H122" i="134"/>
  <c r="D133" i="133"/>
  <c r="C133" i="133"/>
  <c r="F131" i="133"/>
  <c r="H121" i="133"/>
  <c r="D132" i="132"/>
  <c r="C132" i="132"/>
  <c r="F130" i="132"/>
  <c r="H120" i="132"/>
  <c r="D131" i="131"/>
  <c r="C131" i="131"/>
  <c r="F129" i="131"/>
  <c r="H119" i="131"/>
  <c r="D130" i="130"/>
  <c r="C130" i="130"/>
  <c r="F128" i="130"/>
  <c r="H118" i="130"/>
  <c r="D129" i="129"/>
  <c r="C129" i="129"/>
  <c r="F127" i="129"/>
  <c r="H117" i="129"/>
  <c r="D128" i="128"/>
  <c r="C128" i="128"/>
  <c r="F126" i="128"/>
  <c r="H116" i="128"/>
  <c r="D127" i="127"/>
  <c r="C127" i="127"/>
  <c r="F125" i="127"/>
  <c r="H115" i="127"/>
  <c r="D126" i="126"/>
  <c r="C126" i="126"/>
  <c r="F124" i="126"/>
  <c r="H114" i="126"/>
  <c r="D125" i="125"/>
  <c r="C125" i="125"/>
  <c r="F123" i="125"/>
  <c r="H113" i="125"/>
  <c r="D124" i="124"/>
  <c r="C124" i="124"/>
  <c r="F122" i="124"/>
  <c r="H112" i="124"/>
  <c r="D123" i="123"/>
  <c r="C123" i="123"/>
  <c r="F121" i="123"/>
  <c r="H111" i="123"/>
  <c r="D122" i="122"/>
  <c r="C122" i="122"/>
  <c r="F120" i="122"/>
  <c r="H110" i="122"/>
  <c r="D118" i="121"/>
  <c r="C118" i="121"/>
  <c r="F116" i="121"/>
  <c r="H106" i="121"/>
  <c r="D117" i="120"/>
  <c r="C117" i="120"/>
  <c r="F115" i="120"/>
  <c r="H105" i="120"/>
  <c r="D116" i="119"/>
  <c r="C116" i="119"/>
  <c r="F114" i="119"/>
  <c r="H104" i="119"/>
  <c r="D115" i="117"/>
  <c r="C115" i="117"/>
  <c r="F113" i="117"/>
  <c r="H103" i="117"/>
  <c r="D114" i="116"/>
  <c r="C114" i="116"/>
  <c r="F112" i="116"/>
  <c r="H102" i="116"/>
  <c r="D113" i="115"/>
  <c r="C113" i="115"/>
  <c r="F111" i="115"/>
  <c r="H101" i="115"/>
  <c r="D112" i="114"/>
  <c r="C112" i="114"/>
  <c r="F110" i="114"/>
  <c r="H100" i="114"/>
  <c r="D111" i="113"/>
  <c r="C111" i="113"/>
  <c r="F109" i="113"/>
  <c r="H99" i="113"/>
  <c r="D110" i="111"/>
  <c r="C110" i="111"/>
  <c r="F108" i="111"/>
  <c r="H98" i="111"/>
  <c r="D109" i="110"/>
  <c r="C109" i="110"/>
  <c r="F107" i="110"/>
  <c r="H97" i="110"/>
  <c r="D108" i="109"/>
  <c r="C108" i="109"/>
  <c r="F106" i="109"/>
  <c r="H96" i="109"/>
  <c r="D107" i="108"/>
  <c r="C107" i="108"/>
  <c r="F105" i="108"/>
  <c r="H95" i="108"/>
  <c r="D106" i="107"/>
  <c r="C106" i="107"/>
  <c r="F104" i="107"/>
  <c r="H94" i="107"/>
  <c r="D105" i="106"/>
  <c r="C105" i="106"/>
  <c r="F103" i="106"/>
  <c r="H93" i="106"/>
  <c r="D104" i="103"/>
  <c r="C104" i="103"/>
  <c r="F102" i="103"/>
  <c r="H92" i="103"/>
  <c r="D103" i="104"/>
  <c r="C103" i="104"/>
  <c r="F101" i="104"/>
  <c r="H91" i="104"/>
  <c r="D102" i="79"/>
  <c r="C102" i="79"/>
  <c r="F100" i="79"/>
  <c r="H90" i="79"/>
  <c r="D101" i="100"/>
  <c r="C101" i="100"/>
  <c r="F99" i="100"/>
  <c r="H89" i="100"/>
  <c r="D100" i="99"/>
  <c r="C100" i="99"/>
  <c r="F98" i="99"/>
  <c r="H88" i="99"/>
  <c r="D99" i="98"/>
  <c r="C99" i="98"/>
  <c r="F97" i="98"/>
  <c r="H87" i="98"/>
  <c r="D98" i="97"/>
  <c r="C98" i="97"/>
  <c r="F96" i="97"/>
  <c r="H86" i="97"/>
  <c r="D97" i="96"/>
  <c r="C97" i="96"/>
  <c r="F95" i="96"/>
  <c r="H85" i="96"/>
  <c r="D96" i="94"/>
  <c r="C96" i="94"/>
  <c r="F94" i="94"/>
  <c r="H84" i="94"/>
  <c r="D95" i="93"/>
  <c r="C95" i="93"/>
  <c r="F93" i="93"/>
  <c r="H83" i="93"/>
  <c r="D94" i="92"/>
  <c r="C94" i="92"/>
  <c r="F92" i="92"/>
  <c r="H82" i="92"/>
  <c r="D93" i="91"/>
  <c r="C93" i="91"/>
  <c r="F91" i="91"/>
  <c r="H81" i="91"/>
  <c r="D92" i="90"/>
  <c r="C92" i="90"/>
  <c r="F90" i="90"/>
  <c r="H80" i="90"/>
  <c r="D91" i="89"/>
  <c r="C91" i="89"/>
  <c r="F89" i="89"/>
  <c r="H79" i="89"/>
  <c r="D90" i="85"/>
  <c r="C90" i="85"/>
  <c r="F88" i="85"/>
  <c r="H78" i="85"/>
  <c r="D89" i="86"/>
  <c r="C89" i="86"/>
  <c r="F87" i="86"/>
  <c r="H77" i="86"/>
  <c r="D88" i="87"/>
  <c r="C88" i="87"/>
  <c r="F86" i="87"/>
  <c r="H76" i="87"/>
  <c r="D87" i="88"/>
  <c r="C87" i="88"/>
  <c r="F85" i="88"/>
  <c r="H75" i="88"/>
  <c r="D86" i="84"/>
  <c r="C86" i="84"/>
  <c r="F84" i="84"/>
  <c r="H74" i="84"/>
  <c r="D85" i="83"/>
  <c r="C85" i="83"/>
  <c r="F83" i="83"/>
  <c r="H73" i="83"/>
  <c r="D84" i="82"/>
  <c r="C84" i="82"/>
  <c r="F82" i="82"/>
  <c r="H72" i="82"/>
  <c r="D83" i="81"/>
  <c r="C83" i="81"/>
  <c r="F81" i="81"/>
  <c r="H71" i="81"/>
  <c r="D82" i="71"/>
  <c r="C82" i="71"/>
  <c r="F80" i="71"/>
  <c r="H70" i="71"/>
  <c r="D81" i="72"/>
  <c r="C81" i="72"/>
  <c r="F79" i="72"/>
  <c r="H69" i="72"/>
  <c r="D80" i="73"/>
  <c r="C80" i="73"/>
  <c r="F78" i="73"/>
  <c r="H68" i="73"/>
  <c r="D79" i="74"/>
  <c r="C79" i="74"/>
  <c r="F77" i="74"/>
  <c r="H67" i="74"/>
  <c r="D78" i="78"/>
  <c r="C78" i="78"/>
  <c r="F76" i="78"/>
  <c r="H66" i="78"/>
  <c r="D77" i="75"/>
  <c r="C77" i="75"/>
  <c r="F75" i="75"/>
  <c r="H65" i="75"/>
  <c r="D76" i="76"/>
  <c r="C76" i="76"/>
  <c r="F74" i="76"/>
  <c r="H64" i="76"/>
  <c r="D75" i="77"/>
  <c r="C75" i="77"/>
  <c r="F73" i="77"/>
  <c r="H63" i="77"/>
  <c r="D69" i="57"/>
  <c r="C69" i="57"/>
  <c r="F67" i="57"/>
  <c r="H57" i="57"/>
  <c r="D68" i="58"/>
  <c r="C68" i="58"/>
  <c r="F66" i="58"/>
  <c r="H56" i="58"/>
  <c r="D67" i="59"/>
  <c r="C67" i="59"/>
  <c r="F65" i="59"/>
  <c r="H55" i="59"/>
  <c r="D66" i="112"/>
  <c r="C66" i="112"/>
  <c r="F64" i="112"/>
  <c r="H54" i="112"/>
  <c r="D65" i="61"/>
  <c r="C65" i="61"/>
  <c r="F63" i="61"/>
  <c r="H53" i="61"/>
  <c r="D64" i="62"/>
  <c r="C64" i="62"/>
  <c r="F62" i="62"/>
  <c r="H52" i="62"/>
  <c r="D63" i="63"/>
  <c r="C63" i="63"/>
  <c r="F61" i="63"/>
  <c r="H51" i="63"/>
  <c r="D62" i="64"/>
  <c r="C62" i="64"/>
  <c r="F60" i="64"/>
  <c r="H50" i="64"/>
  <c r="D61" i="65"/>
  <c r="C61" i="65"/>
  <c r="F59" i="65"/>
  <c r="H49" i="65"/>
  <c r="D60" i="67"/>
  <c r="C60" i="67"/>
  <c r="F58" i="67"/>
  <c r="H48" i="67"/>
  <c r="D59" i="68"/>
  <c r="C59" i="68"/>
  <c r="F57" i="68"/>
  <c r="H47" i="68"/>
  <c r="D58" i="69"/>
  <c r="C58" i="69"/>
  <c r="F56" i="69"/>
  <c r="H46" i="69"/>
  <c r="D57" i="70"/>
  <c r="C57" i="70"/>
  <c r="F55" i="70"/>
  <c r="H45" i="70"/>
  <c r="D56" i="46"/>
  <c r="C56" i="46"/>
  <c r="F54" i="46"/>
  <c r="H44" i="46"/>
  <c r="D55" i="47"/>
  <c r="C55" i="47"/>
  <c r="F53" i="47"/>
  <c r="H43" i="47"/>
  <c r="D54" i="48"/>
  <c r="C54" i="48"/>
  <c r="F52" i="48"/>
  <c r="H42" i="48"/>
  <c r="D53" i="49"/>
  <c r="C53" i="49"/>
  <c r="F51" i="49"/>
  <c r="H41" i="49"/>
  <c r="D52" i="51"/>
  <c r="C52" i="51"/>
  <c r="F50" i="51"/>
  <c r="H40" i="51"/>
  <c r="D51" i="52"/>
  <c r="C51" i="52"/>
  <c r="F49" i="52"/>
  <c r="H39" i="52"/>
  <c r="D50" i="53"/>
  <c r="C50" i="53"/>
  <c r="F48" i="53"/>
  <c r="H38" i="53"/>
  <c r="D49" i="54"/>
  <c r="C49" i="54"/>
  <c r="F47" i="54"/>
  <c r="H37" i="54"/>
  <c r="D48" i="55"/>
  <c r="C48" i="55"/>
  <c r="F46" i="55"/>
  <c r="H36" i="55"/>
  <c r="D47" i="56"/>
  <c r="C47" i="56"/>
  <c r="F45" i="56"/>
  <c r="H35" i="56"/>
  <c r="D46" i="45"/>
  <c r="C46" i="45"/>
  <c r="F44" i="45"/>
  <c r="H34" i="45"/>
  <c r="D45" i="20"/>
  <c r="C45" i="20"/>
  <c r="F43" i="20"/>
  <c r="H33" i="20"/>
  <c r="D44" i="22"/>
  <c r="C44" i="22"/>
  <c r="F42" i="22"/>
  <c r="H32" i="22"/>
  <c r="D43" i="21"/>
  <c r="C43" i="21"/>
  <c r="F41" i="21"/>
  <c r="H31" i="21"/>
  <c r="D42" i="23"/>
  <c r="C42" i="23"/>
  <c r="F40" i="23"/>
  <c r="H30" i="23"/>
  <c r="D41" i="24"/>
  <c r="C41" i="24"/>
  <c r="F39" i="24"/>
  <c r="H29" i="24"/>
  <c r="D40" i="25"/>
  <c r="C40" i="25"/>
  <c r="F38" i="25"/>
  <c r="H28" i="25"/>
  <c r="D39" i="26"/>
  <c r="C39" i="26"/>
  <c r="F37" i="26"/>
  <c r="H27" i="26"/>
  <c r="D38" i="27"/>
  <c r="C38" i="27"/>
  <c r="F36" i="27"/>
  <c r="H26" i="27"/>
  <c r="D37" i="28"/>
  <c r="C37" i="28"/>
  <c r="F35" i="28"/>
  <c r="H25" i="28"/>
  <c r="D36" i="29"/>
  <c r="C36" i="29"/>
  <c r="F34" i="29"/>
  <c r="H24" i="29"/>
  <c r="D35" i="31"/>
  <c r="C35" i="31"/>
  <c r="F33" i="31"/>
  <c r="H23" i="31"/>
  <c r="D34" i="32"/>
  <c r="C34" i="32"/>
  <c r="F32" i="32"/>
  <c r="H22" i="32"/>
  <c r="D33" i="33"/>
  <c r="C33" i="33"/>
  <c r="F31" i="33"/>
  <c r="H21" i="33"/>
  <c r="D32" i="34"/>
  <c r="C32" i="34"/>
  <c r="F30" i="34"/>
  <c r="H20" i="34"/>
  <c r="D31" i="35"/>
  <c r="C31" i="35"/>
  <c r="F29" i="35"/>
  <c r="H19" i="35"/>
  <c r="D30" i="37"/>
  <c r="C30" i="37"/>
  <c r="F28" i="37"/>
  <c r="H18" i="37"/>
  <c r="D29" i="39"/>
  <c r="C29" i="39"/>
  <c r="F27" i="39"/>
  <c r="H17" i="39"/>
  <c r="D28" i="42"/>
  <c r="C28" i="42"/>
  <c r="F26" i="42"/>
  <c r="H16" i="42"/>
  <c r="D27" i="43"/>
  <c r="C27" i="43"/>
  <c r="F25" i="43"/>
  <c r="H15" i="43"/>
  <c r="D26" i="44"/>
  <c r="C26" i="44"/>
  <c r="F24" i="44"/>
  <c r="H14" i="44"/>
  <c r="D25" i="38"/>
  <c r="C25" i="38"/>
  <c r="F23" i="38"/>
  <c r="H13" i="38"/>
  <c r="D24" i="13"/>
  <c r="C24" i="13"/>
  <c r="F22" i="13"/>
  <c r="H12" i="13"/>
  <c r="D129" i="139"/>
  <c r="C129" i="139"/>
  <c r="D128" i="139"/>
  <c r="C128" i="139"/>
  <c r="F127" i="139"/>
  <c r="D127" i="139"/>
  <c r="C127" i="139"/>
  <c r="B124" i="139"/>
  <c r="B122" i="139"/>
  <c r="B120" i="139"/>
  <c r="D128" i="138"/>
  <c r="C128" i="138"/>
  <c r="D127" i="138"/>
  <c r="C127" i="138"/>
  <c r="F126" i="138"/>
  <c r="D126" i="138"/>
  <c r="C126" i="138"/>
  <c r="B123" i="138"/>
  <c r="B121" i="138"/>
  <c r="B119" i="138"/>
  <c r="D127" i="137"/>
  <c r="C127" i="137"/>
  <c r="D126" i="137"/>
  <c r="C126" i="137"/>
  <c r="F125" i="137"/>
  <c r="D125" i="137"/>
  <c r="C125" i="137"/>
  <c r="B122" i="137"/>
  <c r="B120" i="137"/>
  <c r="B118" i="137"/>
  <c r="D126" i="136"/>
  <c r="C126" i="136"/>
  <c r="D125" i="136"/>
  <c r="C125" i="136"/>
  <c r="F124" i="136"/>
  <c r="D124" i="136"/>
  <c r="C124" i="136"/>
  <c r="B121" i="136"/>
  <c r="B119" i="136"/>
  <c r="B117" i="136"/>
  <c r="D125" i="135"/>
  <c r="C125" i="135"/>
  <c r="D124" i="135"/>
  <c r="C124" i="135"/>
  <c r="F123" i="135"/>
  <c r="D123" i="135"/>
  <c r="C123" i="135"/>
  <c r="B120" i="135"/>
  <c r="B118" i="135"/>
  <c r="B116" i="135"/>
  <c r="D124" i="134"/>
  <c r="C124" i="134"/>
  <c r="D123" i="134"/>
  <c r="C123" i="134"/>
  <c r="F122" i="134"/>
  <c r="D122" i="134"/>
  <c r="C122" i="134"/>
  <c r="B119" i="134"/>
  <c r="B117" i="134"/>
  <c r="B115" i="134"/>
  <c r="D123" i="133"/>
  <c r="C123" i="133"/>
  <c r="D122" i="133"/>
  <c r="C122" i="133"/>
  <c r="F121" i="133"/>
  <c r="D121" i="133"/>
  <c r="C121" i="133"/>
  <c r="B118" i="133"/>
  <c r="B116" i="133"/>
  <c r="B114" i="133"/>
  <c r="D122" i="132"/>
  <c r="C122" i="132"/>
  <c r="D121" i="132"/>
  <c r="C121" i="132"/>
  <c r="F120" i="132"/>
  <c r="D120" i="132"/>
  <c r="C120" i="132"/>
  <c r="B117" i="132"/>
  <c r="B115" i="132"/>
  <c r="B113" i="132"/>
  <c r="D121" i="131"/>
  <c r="C121" i="131"/>
  <c r="D120" i="131"/>
  <c r="C120" i="131"/>
  <c r="F119" i="131"/>
  <c r="D119" i="131"/>
  <c r="C119" i="131"/>
  <c r="B116" i="131"/>
  <c r="B114" i="131"/>
  <c r="B112" i="131"/>
  <c r="D120" i="130"/>
  <c r="C120" i="130"/>
  <c r="D119" i="130"/>
  <c r="C119" i="130"/>
  <c r="F118" i="130"/>
  <c r="D118" i="130"/>
  <c r="C118" i="130"/>
  <c r="B115" i="130"/>
  <c r="B113" i="130"/>
  <c r="B111" i="130"/>
  <c r="D119" i="129"/>
  <c r="C119" i="129"/>
  <c r="D118" i="129"/>
  <c r="C118" i="129"/>
  <c r="F117" i="129"/>
  <c r="D117" i="129"/>
  <c r="C117" i="129"/>
  <c r="B114" i="129"/>
  <c r="B112" i="129"/>
  <c r="B110" i="129"/>
  <c r="D118" i="128"/>
  <c r="C118" i="128"/>
  <c r="D117" i="128"/>
  <c r="C117" i="128"/>
  <c r="F116" i="128"/>
  <c r="D116" i="128"/>
  <c r="C116" i="128"/>
  <c r="B113" i="128"/>
  <c r="B111" i="128"/>
  <c r="B109" i="128"/>
  <c r="D117" i="127"/>
  <c r="C117" i="127"/>
  <c r="D116" i="127"/>
  <c r="C116" i="127"/>
  <c r="F115" i="127"/>
  <c r="D115" i="127"/>
  <c r="C115" i="127"/>
  <c r="B112" i="127"/>
  <c r="B110" i="127"/>
  <c r="B108" i="127"/>
  <c r="D116" i="126"/>
  <c r="C116" i="126"/>
  <c r="D115" i="126"/>
  <c r="C115" i="126"/>
  <c r="F114" i="126"/>
  <c r="D114" i="126"/>
  <c r="C114" i="126"/>
  <c r="B111" i="126"/>
  <c r="B109" i="126"/>
  <c r="B107" i="126"/>
  <c r="D115" i="125"/>
  <c r="C115" i="125"/>
  <c r="D114" i="125"/>
  <c r="C114" i="125"/>
  <c r="F113" i="125"/>
  <c r="D113" i="125"/>
  <c r="C113" i="125"/>
  <c r="B110" i="125"/>
  <c r="B108" i="125"/>
  <c r="B106" i="125"/>
  <c r="D114" i="124"/>
  <c r="C114" i="124"/>
  <c r="D113" i="124"/>
  <c r="C113" i="124"/>
  <c r="F112" i="124"/>
  <c r="D112" i="124"/>
  <c r="C112" i="124"/>
  <c r="B109" i="124"/>
  <c r="B107" i="124"/>
  <c r="B105" i="124"/>
  <c r="D113" i="123"/>
  <c r="C113" i="123"/>
  <c r="D112" i="123"/>
  <c r="C112" i="123"/>
  <c r="F111" i="123"/>
  <c r="D111" i="123"/>
  <c r="C111" i="123"/>
  <c r="B108" i="123"/>
  <c r="B106" i="123"/>
  <c r="B104" i="123"/>
  <c r="D112" i="122"/>
  <c r="C112" i="122"/>
  <c r="D111" i="122"/>
  <c r="C111" i="122"/>
  <c r="F110" i="122"/>
  <c r="D110" i="122"/>
  <c r="C110" i="122"/>
  <c r="B107" i="122"/>
  <c r="B105" i="122"/>
  <c r="B103" i="122"/>
  <c r="D108" i="121"/>
  <c r="C108" i="121"/>
  <c r="D107" i="121"/>
  <c r="C107" i="121"/>
  <c r="F106" i="121"/>
  <c r="D106" i="121"/>
  <c r="C106" i="121"/>
  <c r="B103" i="121"/>
  <c r="B101" i="121"/>
  <c r="B99" i="121"/>
  <c r="D107" i="120"/>
  <c r="C107" i="120"/>
  <c r="D106" i="120"/>
  <c r="C106" i="120"/>
  <c r="F105" i="120"/>
  <c r="D105" i="120"/>
  <c r="C105" i="120"/>
  <c r="B102" i="120"/>
  <c r="B100" i="120"/>
  <c r="B98" i="120"/>
  <c r="D106" i="119"/>
  <c r="C106" i="119"/>
  <c r="D105" i="119"/>
  <c r="C105" i="119"/>
  <c r="F104" i="119"/>
  <c r="D104" i="119"/>
  <c r="C104" i="119"/>
  <c r="B101" i="119"/>
  <c r="B99" i="119"/>
  <c r="B97" i="119"/>
  <c r="D105" i="117"/>
  <c r="C105" i="117"/>
  <c r="D104" i="117"/>
  <c r="C104" i="117"/>
  <c r="F103" i="117"/>
  <c r="D103" i="117"/>
  <c r="C103" i="117"/>
  <c r="B100" i="117"/>
  <c r="B98" i="117"/>
  <c r="B96" i="117"/>
  <c r="D104" i="116"/>
  <c r="C104" i="116"/>
  <c r="D103" i="116"/>
  <c r="C103" i="116"/>
  <c r="F102" i="116"/>
  <c r="D102" i="116"/>
  <c r="C102" i="116"/>
  <c r="B99" i="116"/>
  <c r="B97" i="116"/>
  <c r="B95" i="116"/>
  <c r="D103" i="115"/>
  <c r="C103" i="115"/>
  <c r="D102" i="115"/>
  <c r="C102" i="115"/>
  <c r="F101" i="115"/>
  <c r="D101" i="115"/>
  <c r="C101" i="115"/>
  <c r="B98" i="115"/>
  <c r="B96" i="115"/>
  <c r="B94" i="115"/>
  <c r="D102" i="114"/>
  <c r="C102" i="114"/>
  <c r="D101" i="114"/>
  <c r="C101" i="114"/>
  <c r="F100" i="114"/>
  <c r="D100" i="114"/>
  <c r="C100" i="114"/>
  <c r="B97" i="114"/>
  <c r="B95" i="114"/>
  <c r="B93" i="114"/>
  <c r="D101" i="113"/>
  <c r="C101" i="113"/>
  <c r="D100" i="113"/>
  <c r="C100" i="113"/>
  <c r="F99" i="113"/>
  <c r="D99" i="113"/>
  <c r="C99" i="113"/>
  <c r="B96" i="113"/>
  <c r="B94" i="113"/>
  <c r="B92" i="113"/>
  <c r="D100" i="111"/>
  <c r="C100" i="111"/>
  <c r="D99" i="111"/>
  <c r="C99" i="111"/>
  <c r="F98" i="111"/>
  <c r="D98" i="111"/>
  <c r="C98" i="111"/>
  <c r="B95" i="111"/>
  <c r="B93" i="111"/>
  <c r="B91" i="111"/>
  <c r="D99" i="110"/>
  <c r="C99" i="110"/>
  <c r="D98" i="110"/>
  <c r="C98" i="110"/>
  <c r="F97" i="110"/>
  <c r="D97" i="110"/>
  <c r="C97" i="110"/>
  <c r="B94" i="110"/>
  <c r="B92" i="110"/>
  <c r="B90" i="110"/>
  <c r="D98" i="109"/>
  <c r="C98" i="109"/>
  <c r="D97" i="109"/>
  <c r="C97" i="109"/>
  <c r="F96" i="109"/>
  <c r="D96" i="109"/>
  <c r="C96" i="109"/>
  <c r="B93" i="109"/>
  <c r="B91" i="109"/>
  <c r="B89" i="109"/>
  <c r="D97" i="108"/>
  <c r="C97" i="108"/>
  <c r="D96" i="108"/>
  <c r="C96" i="108"/>
  <c r="F95" i="108"/>
  <c r="D95" i="108"/>
  <c r="C95" i="108"/>
  <c r="B92" i="108"/>
  <c r="B90" i="108"/>
  <c r="B88" i="108"/>
  <c r="D96" i="107"/>
  <c r="C96" i="107"/>
  <c r="D95" i="107"/>
  <c r="C95" i="107"/>
  <c r="F94" i="107"/>
  <c r="D94" i="107"/>
  <c r="C94" i="107"/>
  <c r="B91" i="107"/>
  <c r="B89" i="107"/>
  <c r="B87" i="107"/>
  <c r="D95" i="106"/>
  <c r="C95" i="106"/>
  <c r="D94" i="106"/>
  <c r="C94" i="106"/>
  <c r="F93" i="106"/>
  <c r="D93" i="106"/>
  <c r="C93" i="106"/>
  <c r="B90" i="106"/>
  <c r="B88" i="106"/>
  <c r="B86" i="106"/>
  <c r="D94" i="103"/>
  <c r="C94" i="103"/>
  <c r="D93" i="103"/>
  <c r="C93" i="103"/>
  <c r="F92" i="103"/>
  <c r="D92" i="103"/>
  <c r="C92" i="103"/>
  <c r="B89" i="103"/>
  <c r="B87" i="103"/>
  <c r="B85" i="103"/>
  <c r="D93" i="104"/>
  <c r="C93" i="104"/>
  <c r="D92" i="104"/>
  <c r="C92" i="104"/>
  <c r="F91" i="104"/>
  <c r="D91" i="104"/>
  <c r="C91" i="104"/>
  <c r="B88" i="104"/>
  <c r="B86" i="104"/>
  <c r="B84" i="104"/>
  <c r="D92" i="79"/>
  <c r="C92" i="79"/>
  <c r="D91" i="79"/>
  <c r="C91" i="79"/>
  <c r="F90" i="79"/>
  <c r="D90" i="79"/>
  <c r="C90" i="79"/>
  <c r="B87" i="79"/>
  <c r="B85" i="79"/>
  <c r="B83" i="79"/>
  <c r="D91" i="100"/>
  <c r="C91" i="100"/>
  <c r="D90" i="100"/>
  <c r="C90" i="100"/>
  <c r="F89" i="100"/>
  <c r="D89" i="100"/>
  <c r="C89" i="100"/>
  <c r="B86" i="100"/>
  <c r="B84" i="100"/>
  <c r="B82" i="100"/>
  <c r="D90" i="99"/>
  <c r="C90" i="99"/>
  <c r="D89" i="99"/>
  <c r="C89" i="99"/>
  <c r="F88" i="99"/>
  <c r="D88" i="99"/>
  <c r="C88" i="99"/>
  <c r="B85" i="99"/>
  <c r="B83" i="99"/>
  <c r="B81" i="99"/>
  <c r="D89" i="98"/>
  <c r="C89" i="98"/>
  <c r="D88" i="98"/>
  <c r="C88" i="98"/>
  <c r="F87" i="98"/>
  <c r="D87" i="98"/>
  <c r="C87" i="98"/>
  <c r="B84" i="98"/>
  <c r="B82" i="98"/>
  <c r="B80" i="98"/>
  <c r="D88" i="97"/>
  <c r="C88" i="97"/>
  <c r="D87" i="97"/>
  <c r="C87" i="97"/>
  <c r="F86" i="97"/>
  <c r="D86" i="97"/>
  <c r="C86" i="97"/>
  <c r="B83" i="97"/>
  <c r="B81" i="97"/>
  <c r="B79" i="97"/>
  <c r="D87" i="96"/>
  <c r="C87" i="96"/>
  <c r="D86" i="96"/>
  <c r="C86" i="96"/>
  <c r="F85" i="96"/>
  <c r="D85" i="96"/>
  <c r="C85" i="96"/>
  <c r="B82" i="96"/>
  <c r="B80" i="96"/>
  <c r="B78" i="96"/>
  <c r="D86" i="94"/>
  <c r="C86" i="94"/>
  <c r="D85" i="94"/>
  <c r="C85" i="94"/>
  <c r="F84" i="94"/>
  <c r="D84" i="94"/>
  <c r="C84" i="94"/>
  <c r="B81" i="94"/>
  <c r="B79" i="94"/>
  <c r="B77" i="94"/>
  <c r="D85" i="93"/>
  <c r="C85" i="93"/>
  <c r="D84" i="93"/>
  <c r="C84" i="93"/>
  <c r="F83" i="93"/>
  <c r="D83" i="93"/>
  <c r="C83" i="93"/>
  <c r="B80" i="93"/>
  <c r="B78" i="93"/>
  <c r="B76" i="93"/>
  <c r="D84" i="92"/>
  <c r="C84" i="92"/>
  <c r="D83" i="92"/>
  <c r="C83" i="92"/>
  <c r="F82" i="92"/>
  <c r="D82" i="92"/>
  <c r="C82" i="92"/>
  <c r="B79" i="92"/>
  <c r="B77" i="92"/>
  <c r="B75" i="92"/>
  <c r="D83" i="91"/>
  <c r="C83" i="91"/>
  <c r="D82" i="91"/>
  <c r="C82" i="91"/>
  <c r="F81" i="91"/>
  <c r="D81" i="91"/>
  <c r="C81" i="91"/>
  <c r="B78" i="91"/>
  <c r="B76" i="91"/>
  <c r="B74" i="91"/>
  <c r="D82" i="90"/>
  <c r="C82" i="90"/>
  <c r="D81" i="90"/>
  <c r="C81" i="90"/>
  <c r="F80" i="90"/>
  <c r="D80" i="90"/>
  <c r="C80" i="90"/>
  <c r="B77" i="90"/>
  <c r="B75" i="90"/>
  <c r="B73" i="90"/>
  <c r="D81" i="89"/>
  <c r="C81" i="89"/>
  <c r="D80" i="89"/>
  <c r="C80" i="89"/>
  <c r="F79" i="89"/>
  <c r="D79" i="89"/>
  <c r="C79" i="89"/>
  <c r="B76" i="89"/>
  <c r="B74" i="89"/>
  <c r="B72" i="89"/>
  <c r="D80" i="85"/>
  <c r="C80" i="85"/>
  <c r="D79" i="85"/>
  <c r="C79" i="85"/>
  <c r="F78" i="85"/>
  <c r="D78" i="85"/>
  <c r="C78" i="85"/>
  <c r="B75" i="85"/>
  <c r="B73" i="85"/>
  <c r="B71" i="85"/>
  <c r="D79" i="86"/>
  <c r="C79" i="86"/>
  <c r="D78" i="86"/>
  <c r="C78" i="86"/>
  <c r="F77" i="86"/>
  <c r="D77" i="86"/>
  <c r="C77" i="86"/>
  <c r="B74" i="86"/>
  <c r="B72" i="86"/>
  <c r="B70" i="86"/>
  <c r="D78" i="87"/>
  <c r="C78" i="87"/>
  <c r="D77" i="87"/>
  <c r="C77" i="87"/>
  <c r="F76" i="87"/>
  <c r="D76" i="87"/>
  <c r="C76" i="87"/>
  <c r="B73" i="87"/>
  <c r="B71" i="87"/>
  <c r="B69" i="87"/>
  <c r="D77" i="88"/>
  <c r="C77" i="88"/>
  <c r="D76" i="88"/>
  <c r="C76" i="88"/>
  <c r="F75" i="88"/>
  <c r="D75" i="88"/>
  <c r="C75" i="88"/>
  <c r="B72" i="88"/>
  <c r="B70" i="88"/>
  <c r="B68" i="88"/>
  <c r="D76" i="84"/>
  <c r="C76" i="84"/>
  <c r="D75" i="84"/>
  <c r="C75" i="84"/>
  <c r="F74" i="84"/>
  <c r="D74" i="84"/>
  <c r="C74" i="84"/>
  <c r="B71" i="84"/>
  <c r="B69" i="84"/>
  <c r="B67" i="84"/>
  <c r="D75" i="83"/>
  <c r="C75" i="83"/>
  <c r="D74" i="83"/>
  <c r="C74" i="83"/>
  <c r="F73" i="83"/>
  <c r="D73" i="83"/>
  <c r="C73" i="83"/>
  <c r="B70" i="83"/>
  <c r="B68" i="83"/>
  <c r="B66" i="83"/>
  <c r="D74" i="82"/>
  <c r="C74" i="82"/>
  <c r="D73" i="82"/>
  <c r="C73" i="82"/>
  <c r="F72" i="82"/>
  <c r="D72" i="82"/>
  <c r="C72" i="82"/>
  <c r="B69" i="82"/>
  <c r="B67" i="82"/>
  <c r="B65" i="82"/>
  <c r="D73" i="81"/>
  <c r="C73" i="81"/>
  <c r="D72" i="81"/>
  <c r="C72" i="81"/>
  <c r="F71" i="81"/>
  <c r="D71" i="81"/>
  <c r="C71" i="81"/>
  <c r="B68" i="81"/>
  <c r="B66" i="81"/>
  <c r="B64" i="81"/>
  <c r="D72" i="71"/>
  <c r="C72" i="71"/>
  <c r="D71" i="71"/>
  <c r="C71" i="71"/>
  <c r="F70" i="71"/>
  <c r="D70" i="71"/>
  <c r="C70" i="71"/>
  <c r="B67" i="71"/>
  <c r="B65" i="71"/>
  <c r="B63" i="71"/>
  <c r="D71" i="72"/>
  <c r="C71" i="72"/>
  <c r="D70" i="72"/>
  <c r="C70" i="72"/>
  <c r="F69" i="72"/>
  <c r="D69" i="72"/>
  <c r="C69" i="72"/>
  <c r="B66" i="72"/>
  <c r="B64" i="72"/>
  <c r="B62" i="72"/>
  <c r="D70" i="73"/>
  <c r="C70" i="73"/>
  <c r="D69" i="73"/>
  <c r="C69" i="73"/>
  <c r="F68" i="73"/>
  <c r="D68" i="73"/>
  <c r="C68" i="73"/>
  <c r="B65" i="73"/>
  <c r="B63" i="73"/>
  <c r="B61" i="73"/>
  <c r="D69" i="74"/>
  <c r="C69" i="74"/>
  <c r="D68" i="74"/>
  <c r="C68" i="74"/>
  <c r="F67" i="74"/>
  <c r="D67" i="74"/>
  <c r="C67" i="74"/>
  <c r="B64" i="74"/>
  <c r="B62" i="74"/>
  <c r="B60" i="74"/>
  <c r="D68" i="78"/>
  <c r="C68" i="78"/>
  <c r="D67" i="78"/>
  <c r="C67" i="78"/>
  <c r="F66" i="78"/>
  <c r="D66" i="78"/>
  <c r="C66" i="78"/>
  <c r="B63" i="78"/>
  <c r="B61" i="78"/>
  <c r="B59" i="78"/>
  <c r="D67" i="75"/>
  <c r="C67" i="75"/>
  <c r="D66" i="75"/>
  <c r="C66" i="75"/>
  <c r="F65" i="75"/>
  <c r="D65" i="75"/>
  <c r="C65" i="75"/>
  <c r="B62" i="75"/>
  <c r="B60" i="75"/>
  <c r="B58" i="75"/>
  <c r="D66" i="76"/>
  <c r="C66" i="76"/>
  <c r="D65" i="76"/>
  <c r="C65" i="76"/>
  <c r="F64" i="76"/>
  <c r="D64" i="76"/>
  <c r="C64" i="76"/>
  <c r="B61" i="76"/>
  <c r="B59" i="76"/>
  <c r="B57" i="76"/>
  <c r="D65" i="77"/>
  <c r="C65" i="77"/>
  <c r="D64" i="77"/>
  <c r="C64" i="77"/>
  <c r="F63" i="77"/>
  <c r="D63" i="77"/>
  <c r="C63" i="77"/>
  <c r="B60" i="77"/>
  <c r="B58" i="77"/>
  <c r="B56" i="77"/>
  <c r="D59" i="57"/>
  <c r="C59" i="57"/>
  <c r="D58" i="57"/>
  <c r="C58" i="57"/>
  <c r="F57" i="57"/>
  <c r="D57" i="57"/>
  <c r="C57" i="57"/>
  <c r="B54" i="57"/>
  <c r="B52" i="57"/>
  <c r="B50" i="57"/>
  <c r="D58" i="58"/>
  <c r="C58" i="58"/>
  <c r="D57" i="58"/>
  <c r="C57" i="58"/>
  <c r="F56" i="58"/>
  <c r="D56" i="58"/>
  <c r="C56" i="58"/>
  <c r="B53" i="58"/>
  <c r="B51" i="58"/>
  <c r="B49" i="58"/>
  <c r="D57" i="59"/>
  <c r="C57" i="59"/>
  <c r="D56" i="59"/>
  <c r="C56" i="59"/>
  <c r="F55" i="59"/>
  <c r="D55" i="59"/>
  <c r="C55" i="59"/>
  <c r="B52" i="59"/>
  <c r="B50" i="59"/>
  <c r="B48" i="59"/>
  <c r="D56" i="112"/>
  <c r="C56" i="112"/>
  <c r="D55" i="112"/>
  <c r="C55" i="112"/>
  <c r="F54" i="112"/>
  <c r="D54" i="112"/>
  <c r="C54" i="112"/>
  <c r="B51" i="112"/>
  <c r="B49" i="112"/>
  <c r="B47" i="112"/>
  <c r="D55" i="61"/>
  <c r="C55" i="61"/>
  <c r="D54" i="61"/>
  <c r="C54" i="61"/>
  <c r="F53" i="61"/>
  <c r="D53" i="61"/>
  <c r="C53" i="61"/>
  <c r="B50" i="61"/>
  <c r="B48" i="61"/>
  <c r="B46" i="61"/>
  <c r="D54" i="62"/>
  <c r="C54" i="62"/>
  <c r="D53" i="62"/>
  <c r="C53" i="62"/>
  <c r="F52" i="62"/>
  <c r="D52" i="62"/>
  <c r="C52" i="62"/>
  <c r="B49" i="62"/>
  <c r="B47" i="62"/>
  <c r="B45" i="62"/>
  <c r="D53" i="63"/>
  <c r="C53" i="63"/>
  <c r="D52" i="63"/>
  <c r="C52" i="63"/>
  <c r="F51" i="63"/>
  <c r="D51" i="63"/>
  <c r="C51" i="63"/>
  <c r="B48" i="63"/>
  <c r="B46" i="63"/>
  <c r="B44" i="63"/>
  <c r="D52" i="64"/>
  <c r="C52" i="64"/>
  <c r="D51" i="64"/>
  <c r="C51" i="64"/>
  <c r="F50" i="64"/>
  <c r="D50" i="64"/>
  <c r="C50" i="64"/>
  <c r="B47" i="64"/>
  <c r="B45" i="64"/>
  <c r="B43" i="64"/>
  <c r="D51" i="65"/>
  <c r="C51" i="65"/>
  <c r="D50" i="65"/>
  <c r="C50" i="65"/>
  <c r="F49" i="65"/>
  <c r="D49" i="65"/>
  <c r="C49" i="65"/>
  <c r="B46" i="65"/>
  <c r="B44" i="65"/>
  <c r="B42" i="65"/>
  <c r="D50" i="67"/>
  <c r="C50" i="67"/>
  <c r="D49" i="67"/>
  <c r="C49" i="67"/>
  <c r="F48" i="67"/>
  <c r="D48" i="67"/>
  <c r="C48" i="67"/>
  <c r="B45" i="67"/>
  <c r="B43" i="67"/>
  <c r="B41" i="67"/>
  <c r="D49" i="68"/>
  <c r="C49" i="68"/>
  <c r="D48" i="68"/>
  <c r="C48" i="68"/>
  <c r="F47" i="68"/>
  <c r="D47" i="68"/>
  <c r="C47" i="68"/>
  <c r="B44" i="68"/>
  <c r="B42" i="68"/>
  <c r="B40" i="68"/>
  <c r="D48" i="69"/>
  <c r="C48" i="69"/>
  <c r="D47" i="69"/>
  <c r="C47" i="69"/>
  <c r="F46" i="69"/>
  <c r="D46" i="69"/>
  <c r="C46" i="69"/>
  <c r="B43" i="69"/>
  <c r="B41" i="69"/>
  <c r="B39" i="69"/>
  <c r="D47" i="70"/>
  <c r="C47" i="70"/>
  <c r="D46" i="70"/>
  <c r="C46" i="70"/>
  <c r="F45" i="70"/>
  <c r="D45" i="70"/>
  <c r="C45" i="70"/>
  <c r="B42" i="70"/>
  <c r="B40" i="70"/>
  <c r="B38" i="70"/>
  <c r="D46" i="46"/>
  <c r="C46" i="46"/>
  <c r="D45" i="46"/>
  <c r="C45" i="46"/>
  <c r="F44" i="46"/>
  <c r="D44" i="46"/>
  <c r="C44" i="46"/>
  <c r="B41" i="46"/>
  <c r="B39" i="46"/>
  <c r="B37" i="46"/>
  <c r="D45" i="47"/>
  <c r="C45" i="47"/>
  <c r="D44" i="47"/>
  <c r="C44" i="47"/>
  <c r="F43" i="47"/>
  <c r="D43" i="47"/>
  <c r="C43" i="47"/>
  <c r="B40" i="47"/>
  <c r="B38" i="47"/>
  <c r="B36" i="47"/>
  <c r="D44" i="48"/>
  <c r="C44" i="48"/>
  <c r="D43" i="48"/>
  <c r="C43" i="48"/>
  <c r="F42" i="48"/>
  <c r="D42" i="48"/>
  <c r="C42" i="48"/>
  <c r="B39" i="48"/>
  <c r="B37" i="48"/>
  <c r="B35" i="48"/>
  <c r="D43" i="49"/>
  <c r="C43" i="49"/>
  <c r="D42" i="49"/>
  <c r="C42" i="49"/>
  <c r="F41" i="49"/>
  <c r="D41" i="49"/>
  <c r="C41" i="49"/>
  <c r="B38" i="49"/>
  <c r="B36" i="49"/>
  <c r="B34" i="49"/>
  <c r="D42" i="51"/>
  <c r="C42" i="51"/>
  <c r="D41" i="51"/>
  <c r="C41" i="51"/>
  <c r="F40" i="51"/>
  <c r="D40" i="51"/>
  <c r="C40" i="51"/>
  <c r="B37" i="51"/>
  <c r="B35" i="51"/>
  <c r="B33" i="51"/>
  <c r="D41" i="52"/>
  <c r="C41" i="52"/>
  <c r="D40" i="52"/>
  <c r="C40" i="52"/>
  <c r="F39" i="52"/>
  <c r="D39" i="52"/>
  <c r="C39" i="52"/>
  <c r="B36" i="52"/>
  <c r="B34" i="52"/>
  <c r="B32" i="52"/>
  <c r="D40" i="53"/>
  <c r="C40" i="53"/>
  <c r="D39" i="53"/>
  <c r="C39" i="53"/>
  <c r="F38" i="53"/>
  <c r="D38" i="53"/>
  <c r="C38" i="53"/>
  <c r="B35" i="53"/>
  <c r="B33" i="53"/>
  <c r="B31" i="53"/>
  <c r="D39" i="54"/>
  <c r="C39" i="54"/>
  <c r="D38" i="54"/>
  <c r="C38" i="54"/>
  <c r="F37" i="54"/>
  <c r="D37" i="54"/>
  <c r="C37" i="54"/>
  <c r="B34" i="54"/>
  <c r="B32" i="54"/>
  <c r="B30" i="54"/>
  <c r="D38" i="55"/>
  <c r="C38" i="55"/>
  <c r="D37" i="55"/>
  <c r="C37" i="55"/>
  <c r="F36" i="55"/>
  <c r="D36" i="55"/>
  <c r="C36" i="55"/>
  <c r="B33" i="55"/>
  <c r="B31" i="55"/>
  <c r="B29" i="55"/>
  <c r="D37" i="56"/>
  <c r="C37" i="56"/>
  <c r="D36" i="56"/>
  <c r="C36" i="56"/>
  <c r="F35" i="56"/>
  <c r="D35" i="56"/>
  <c r="C35" i="56"/>
  <c r="B32" i="56"/>
  <c r="B30" i="56"/>
  <c r="B28" i="56"/>
  <c r="D36" i="45"/>
  <c r="C36" i="45"/>
  <c r="D35" i="45"/>
  <c r="C35" i="45"/>
  <c r="F34" i="45"/>
  <c r="D34" i="45"/>
  <c r="C34" i="45"/>
  <c r="B31" i="45"/>
  <c r="B29" i="45"/>
  <c r="B27" i="45"/>
  <c r="D35" i="20"/>
  <c r="C35" i="20"/>
  <c r="D34" i="20"/>
  <c r="C34" i="20"/>
  <c r="F33" i="20"/>
  <c r="D33" i="20"/>
  <c r="C33" i="20"/>
  <c r="B30" i="20"/>
  <c r="B28" i="20"/>
  <c r="B26" i="20"/>
  <c r="D34" i="22"/>
  <c r="C34" i="22"/>
  <c r="D33" i="22"/>
  <c r="C33" i="22"/>
  <c r="F32" i="22"/>
  <c r="D32" i="22"/>
  <c r="C32" i="22"/>
  <c r="B29" i="22"/>
  <c r="B27" i="22"/>
  <c r="B25" i="22"/>
  <c r="D33" i="21"/>
  <c r="C33" i="21"/>
  <c r="D32" i="21"/>
  <c r="C32" i="21"/>
  <c r="F31" i="21"/>
  <c r="D31" i="21"/>
  <c r="C31" i="21"/>
  <c r="B28" i="21"/>
  <c r="B26" i="21"/>
  <c r="B24" i="21"/>
  <c r="D32" i="23"/>
  <c r="C32" i="23"/>
  <c r="D31" i="23"/>
  <c r="C31" i="23"/>
  <c r="F30" i="23"/>
  <c r="D30" i="23"/>
  <c r="C30" i="23"/>
  <c r="B27" i="23"/>
  <c r="B25" i="23"/>
  <c r="B23" i="23"/>
  <c r="D31" i="24"/>
  <c r="C31" i="24"/>
  <c r="D30" i="24"/>
  <c r="C30" i="24"/>
  <c r="F29" i="24"/>
  <c r="D29" i="24"/>
  <c r="C29" i="24"/>
  <c r="B26" i="24"/>
  <c r="B24" i="24"/>
  <c r="B22" i="24"/>
  <c r="D30" i="25"/>
  <c r="C30" i="25"/>
  <c r="D29" i="25"/>
  <c r="C29" i="25"/>
  <c r="F28" i="25"/>
  <c r="D28" i="25"/>
  <c r="C28" i="25"/>
  <c r="B25" i="25"/>
  <c r="B23" i="25"/>
  <c r="B21" i="25"/>
  <c r="D29" i="26"/>
  <c r="C29" i="26"/>
  <c r="D28" i="26"/>
  <c r="C28" i="26"/>
  <c r="F27" i="26"/>
  <c r="D27" i="26"/>
  <c r="C27" i="26"/>
  <c r="B24" i="26"/>
  <c r="B22" i="26"/>
  <c r="B20" i="26"/>
  <c r="D28" i="27"/>
  <c r="C28" i="27"/>
  <c r="D27" i="27"/>
  <c r="C27" i="27"/>
  <c r="F26" i="27"/>
  <c r="D26" i="27"/>
  <c r="C26" i="27"/>
  <c r="B23" i="27"/>
  <c r="B21" i="27"/>
  <c r="B19" i="27"/>
  <c r="D27" i="28"/>
  <c r="C27" i="28"/>
  <c r="D26" i="28"/>
  <c r="C26" i="28"/>
  <c r="F25" i="28"/>
  <c r="D25" i="28"/>
  <c r="C25" i="28"/>
  <c r="B22" i="28"/>
  <c r="B20" i="28"/>
  <c r="B18" i="28"/>
  <c r="D26" i="29"/>
  <c r="C26" i="29"/>
  <c r="D25" i="29"/>
  <c r="C25" i="29"/>
  <c r="F24" i="29"/>
  <c r="D24" i="29"/>
  <c r="C24" i="29"/>
  <c r="B21" i="29"/>
  <c r="B19" i="29"/>
  <c r="B17" i="29"/>
  <c r="D25" i="31"/>
  <c r="C25" i="31"/>
  <c r="D24" i="31"/>
  <c r="C24" i="31"/>
  <c r="F23" i="31"/>
  <c r="D23" i="31"/>
  <c r="C23" i="31"/>
  <c r="B20" i="31"/>
  <c r="B18" i="31"/>
  <c r="B16" i="31"/>
  <c r="D24" i="32"/>
  <c r="C24" i="32"/>
  <c r="D23" i="32"/>
  <c r="C23" i="32"/>
  <c r="F22" i="32"/>
  <c r="D22" i="32"/>
  <c r="C22" i="32"/>
  <c r="B19" i="32"/>
  <c r="B17" i="32"/>
  <c r="B15" i="32"/>
  <c r="D23" i="33"/>
  <c r="C23" i="33"/>
  <c r="D22" i="33"/>
  <c r="C22" i="33"/>
  <c r="F21" i="33"/>
  <c r="D21" i="33"/>
  <c r="C21" i="33"/>
  <c r="B18" i="33"/>
  <c r="B16" i="33"/>
  <c r="B14" i="33"/>
  <c r="D22" i="34"/>
  <c r="C22" i="34"/>
  <c r="D21" i="34"/>
  <c r="C21" i="34"/>
  <c r="F20" i="34"/>
  <c r="D20" i="34"/>
  <c r="C20" i="34"/>
  <c r="B17" i="34"/>
  <c r="B15" i="34"/>
  <c r="B13" i="34"/>
  <c r="D21" i="35"/>
  <c r="C21" i="35"/>
  <c r="D20" i="35"/>
  <c r="C20" i="35"/>
  <c r="F19" i="35"/>
  <c r="D19" i="35"/>
  <c r="C19" i="35"/>
  <c r="B16" i="35"/>
  <c r="B14" i="35"/>
  <c r="B12" i="35"/>
  <c r="D20" i="37"/>
  <c r="C20" i="37"/>
  <c r="D19" i="37"/>
  <c r="C19" i="37"/>
  <c r="F18" i="37"/>
  <c r="D18" i="37"/>
  <c r="C18" i="37"/>
  <c r="B15" i="37"/>
  <c r="B13" i="37"/>
  <c r="B11" i="37"/>
  <c r="D19" i="39"/>
  <c r="C19" i="39"/>
  <c r="D18" i="39"/>
  <c r="C18" i="39"/>
  <c r="F17" i="39"/>
  <c r="D17" i="39"/>
  <c r="C17" i="39"/>
  <c r="B14" i="39"/>
  <c r="B12" i="39"/>
  <c r="B10" i="39"/>
  <c r="D18" i="42"/>
  <c r="C18" i="42"/>
  <c r="D17" i="42"/>
  <c r="C17" i="42"/>
  <c r="F16" i="42"/>
  <c r="D16" i="42"/>
  <c r="C16" i="42"/>
  <c r="B13" i="42"/>
  <c r="B11" i="42"/>
  <c r="B9" i="42"/>
  <c r="D17" i="43"/>
  <c r="C17" i="43"/>
  <c r="D16" i="43"/>
  <c r="C16" i="43"/>
  <c r="F15" i="43"/>
  <c r="D15" i="43"/>
  <c r="C15" i="43"/>
  <c r="B12" i="43"/>
  <c r="B10" i="43"/>
  <c r="B8" i="43"/>
  <c r="D16" i="44"/>
  <c r="C16" i="44"/>
  <c r="D15" i="44"/>
  <c r="C15" i="44"/>
  <c r="F14" i="44"/>
  <c r="D14" i="44"/>
  <c r="C14" i="44"/>
  <c r="B11" i="44"/>
  <c r="B9" i="44"/>
  <c r="B7" i="44"/>
  <c r="D15" i="38"/>
  <c r="C15" i="38"/>
  <c r="D14" i="38"/>
  <c r="C14" i="38"/>
  <c r="F13" i="38"/>
  <c r="D13" i="38"/>
  <c r="C13" i="38"/>
  <c r="B10" i="38"/>
  <c r="B8" i="38"/>
  <c r="B6" i="38"/>
  <c r="D14" i="13"/>
  <c r="C14" i="13"/>
  <c r="D13" i="13"/>
  <c r="C13" i="13"/>
  <c r="F12" i="13"/>
  <c r="D12" i="13"/>
  <c r="C12" i="13"/>
  <c r="B9" i="13"/>
  <c r="B7" i="13"/>
  <c r="B5" i="13"/>
  <c r="D53" i="13" l="1"/>
  <c r="D59" i="37"/>
  <c r="D69" i="25"/>
  <c r="D77" i="55"/>
  <c r="D97" i="58"/>
  <c r="D114" i="83"/>
  <c r="D122" i="91"/>
  <c r="D123" i="91" s="1"/>
  <c r="D126" i="96"/>
  <c r="D136" i="108"/>
  <c r="D157" i="128"/>
  <c r="D96" i="63"/>
  <c r="D67" i="32"/>
  <c r="D146" i="115"/>
  <c r="D127" i="92"/>
  <c r="D119" i="84"/>
  <c r="D169" i="139"/>
  <c r="F147" i="139"/>
  <c r="D168" i="138"/>
  <c r="F160" i="138"/>
  <c r="F146" i="138"/>
  <c r="D167" i="137"/>
  <c r="F145" i="137"/>
  <c r="D166" i="136"/>
  <c r="F144" i="136"/>
  <c r="D165" i="135"/>
  <c r="F143" i="135"/>
  <c r="D164" i="134"/>
  <c r="F142" i="134"/>
  <c r="D163" i="133"/>
  <c r="F141" i="133"/>
  <c r="D162" i="132"/>
  <c r="F140" i="132"/>
  <c r="D161" i="131"/>
  <c r="F139" i="131"/>
  <c r="F120" i="131"/>
  <c r="D160" i="130"/>
  <c r="F138" i="130"/>
  <c r="D159" i="129"/>
  <c r="F137" i="129"/>
  <c r="D158" i="128"/>
  <c r="F136" i="128"/>
  <c r="D157" i="127"/>
  <c r="F135" i="127"/>
  <c r="D156" i="126"/>
  <c r="F134" i="126"/>
  <c r="D155" i="125"/>
  <c r="F133" i="125"/>
  <c r="D154" i="124"/>
  <c r="F132" i="124"/>
  <c r="D153" i="123"/>
  <c r="F131" i="123"/>
  <c r="F134" i="122"/>
  <c r="D152" i="122"/>
  <c r="F130" i="122"/>
  <c r="D148" i="121"/>
  <c r="F126" i="121"/>
  <c r="D147" i="120"/>
  <c r="F125" i="120"/>
  <c r="D146" i="119"/>
  <c r="F124" i="119"/>
  <c r="D145" i="117"/>
  <c r="F123" i="117"/>
  <c r="D144" i="116"/>
  <c r="F122" i="116"/>
  <c r="D143" i="115"/>
  <c r="F121" i="115"/>
  <c r="D142" i="114"/>
  <c r="F120" i="114"/>
  <c r="D141" i="113"/>
  <c r="F119" i="113"/>
  <c r="D140" i="111"/>
  <c r="F118" i="111"/>
  <c r="D139" i="110"/>
  <c r="F117" i="110"/>
  <c r="D138" i="109"/>
  <c r="F116" i="109"/>
  <c r="D137" i="108"/>
  <c r="F115" i="108"/>
  <c r="D136" i="107"/>
  <c r="F114" i="107"/>
  <c r="D135" i="106"/>
  <c r="F113" i="106"/>
  <c r="D134" i="103"/>
  <c r="F112" i="103"/>
  <c r="D133" i="104"/>
  <c r="F111" i="104"/>
  <c r="D132" i="79"/>
  <c r="F110" i="79"/>
  <c r="D131" i="100"/>
  <c r="F109" i="100"/>
  <c r="D130" i="99"/>
  <c r="F108" i="99"/>
  <c r="D129" i="98"/>
  <c r="F107" i="98"/>
  <c r="D128" i="97"/>
  <c r="F106" i="97"/>
  <c r="D127" i="96"/>
  <c r="F105" i="96"/>
  <c r="D126" i="94"/>
  <c r="F104" i="94"/>
  <c r="D125" i="93"/>
  <c r="F103" i="93"/>
  <c r="D124" i="92"/>
  <c r="F102" i="92"/>
  <c r="F101" i="91"/>
  <c r="D122" i="90"/>
  <c r="F100" i="90"/>
  <c r="D121" i="89"/>
  <c r="F99" i="89"/>
  <c r="D120" i="85"/>
  <c r="F98" i="85"/>
  <c r="D119" i="86"/>
  <c r="F97" i="86"/>
  <c r="D118" i="87"/>
  <c r="F96" i="87"/>
  <c r="D117" i="88"/>
  <c r="F95" i="88"/>
  <c r="D116" i="84"/>
  <c r="F94" i="84"/>
  <c r="D115" i="83"/>
  <c r="F93" i="83"/>
  <c r="D114" i="82"/>
  <c r="F92" i="82"/>
  <c r="D113" i="81"/>
  <c r="F91" i="81"/>
  <c r="D112" i="71"/>
  <c r="F90" i="71"/>
  <c r="D111" i="72"/>
  <c r="F89" i="72"/>
  <c r="D110" i="73"/>
  <c r="F88" i="73"/>
  <c r="D109" i="74"/>
  <c r="F87" i="74"/>
  <c r="D108" i="78"/>
  <c r="F86" i="78"/>
  <c r="D108" i="77" l="1"/>
  <c r="F144" i="132"/>
  <c r="F142" i="133"/>
  <c r="F146" i="137"/>
  <c r="F147" i="138"/>
  <c r="F104" i="71"/>
  <c r="F151" i="129"/>
  <c r="F152" i="129" s="1"/>
  <c r="F114" i="106"/>
  <c r="C128" i="127"/>
  <c r="F158" i="136"/>
  <c r="D125" i="124"/>
  <c r="H113" i="124" s="1"/>
  <c r="H114" i="124" s="1"/>
  <c r="F123" i="124"/>
  <c r="F115" i="126"/>
  <c r="F116" i="126" s="1"/>
  <c r="F110" i="87"/>
  <c r="F107" i="97"/>
  <c r="F120" i="113"/>
  <c r="F122" i="115"/>
  <c r="F127" i="121"/>
  <c r="F135" i="126"/>
  <c r="F137" i="128"/>
  <c r="F138" i="129"/>
  <c r="F155" i="133"/>
  <c r="D136" i="135"/>
  <c r="H139" i="135" s="1"/>
  <c r="H140" i="135" s="1"/>
  <c r="F134" i="135"/>
  <c r="D137" i="136"/>
  <c r="D162" i="136" s="1"/>
  <c r="H153" i="136" s="1"/>
  <c r="H154" i="136" s="1"/>
  <c r="F124" i="79"/>
  <c r="F126" i="103"/>
  <c r="F127" i="103" s="1"/>
  <c r="F128" i="107"/>
  <c r="F147" i="125"/>
  <c r="F148" i="125" s="1"/>
  <c r="F138" i="126"/>
  <c r="F140" i="128"/>
  <c r="F141" i="128" s="1"/>
  <c r="F156" i="134"/>
  <c r="F149" i="137"/>
  <c r="F150" i="137" s="1"/>
  <c r="F159" i="137"/>
  <c r="F109" i="88"/>
  <c r="F110" i="88" s="1"/>
  <c r="F99" i="85"/>
  <c r="F102" i="91"/>
  <c r="F121" i="98"/>
  <c r="F115" i="107"/>
  <c r="F123" i="116"/>
  <c r="C126" i="125"/>
  <c r="F148" i="126"/>
  <c r="F150" i="128"/>
  <c r="F151" i="128" s="1"/>
  <c r="F142" i="130"/>
  <c r="F139" i="130"/>
  <c r="F152" i="130"/>
  <c r="F121" i="131"/>
  <c r="F130" i="131"/>
  <c r="F131" i="131" s="1"/>
  <c r="D133" i="132"/>
  <c r="H121" i="132" s="1"/>
  <c r="H122" i="132" s="1"/>
  <c r="F131" i="132"/>
  <c r="D134" i="133"/>
  <c r="D159" i="133" s="1"/>
  <c r="H150" i="133" s="1"/>
  <c r="H151" i="133" s="1"/>
  <c r="F151" i="139"/>
  <c r="F148" i="139"/>
  <c r="F161" i="139"/>
  <c r="F90" i="72"/>
  <c r="F101" i="90"/>
  <c r="F103" i="92"/>
  <c r="F135" i="123"/>
  <c r="F132" i="123"/>
  <c r="F145" i="123"/>
  <c r="F136" i="124"/>
  <c r="F137" i="124" s="1"/>
  <c r="F133" i="124"/>
  <c r="F125" i="126"/>
  <c r="D130" i="129"/>
  <c r="H133" i="129" s="1"/>
  <c r="H134" i="129" s="1"/>
  <c r="F146" i="134"/>
  <c r="F147" i="134" s="1"/>
  <c r="F143" i="134"/>
  <c r="F147" i="135"/>
  <c r="F148" i="135" s="1"/>
  <c r="F145" i="136"/>
  <c r="D139" i="138"/>
  <c r="H142" i="138" s="1"/>
  <c r="H143" i="138" s="1"/>
  <c r="F123" i="100"/>
  <c r="F132" i="111"/>
  <c r="F133" i="111" s="1"/>
  <c r="F125" i="79"/>
  <c r="F153" i="130"/>
  <c r="F162" i="139"/>
  <c r="F140" i="121"/>
  <c r="C124" i="123"/>
  <c r="D126" i="125"/>
  <c r="H129" i="125" s="1"/>
  <c r="H130" i="125" s="1"/>
  <c r="F149" i="126"/>
  <c r="D128" i="127"/>
  <c r="H131" i="127" s="1"/>
  <c r="H132" i="127" s="1"/>
  <c r="F118" i="129"/>
  <c r="F119" i="129" s="1"/>
  <c r="F153" i="131"/>
  <c r="F154" i="131" s="1"/>
  <c r="F122" i="133"/>
  <c r="F123" i="133" s="1"/>
  <c r="F132" i="133"/>
  <c r="F133" i="133" s="1"/>
  <c r="C135" i="134"/>
  <c r="F125" i="136"/>
  <c r="F126" i="136" s="1"/>
  <c r="F135" i="136"/>
  <c r="C138" i="137"/>
  <c r="F127" i="138"/>
  <c r="F128" i="138" s="1"/>
  <c r="F137" i="138"/>
  <c r="F138" i="138" s="1"/>
  <c r="C140" i="139"/>
  <c r="F107" i="83"/>
  <c r="F108" i="83" s="1"/>
  <c r="F111" i="86"/>
  <c r="F118" i="94"/>
  <c r="F119" i="96"/>
  <c r="F120" i="96" s="1"/>
  <c r="F127" i="106"/>
  <c r="F133" i="113"/>
  <c r="F134" i="113" s="1"/>
  <c r="D124" i="123"/>
  <c r="D149" i="123" s="1"/>
  <c r="F124" i="124"/>
  <c r="F146" i="124"/>
  <c r="F147" i="124" s="1"/>
  <c r="F114" i="125"/>
  <c r="F115" i="125" s="1"/>
  <c r="F124" i="125"/>
  <c r="F125" i="125" s="1"/>
  <c r="C127" i="126"/>
  <c r="F116" i="127"/>
  <c r="F117" i="127" s="1"/>
  <c r="F126" i="127"/>
  <c r="F127" i="127" s="1"/>
  <c r="D129" i="128"/>
  <c r="F141" i="129"/>
  <c r="D131" i="130"/>
  <c r="H119" i="130" s="1"/>
  <c r="H120" i="130" s="1"/>
  <c r="C132" i="131"/>
  <c r="F154" i="132"/>
  <c r="F145" i="133"/>
  <c r="F156" i="133"/>
  <c r="D135" i="134"/>
  <c r="F135" i="135"/>
  <c r="F157" i="135"/>
  <c r="F158" i="135" s="1"/>
  <c r="F148" i="136"/>
  <c r="F159" i="136"/>
  <c r="D138" i="137"/>
  <c r="H141" i="137" s="1"/>
  <c r="H142" i="137" s="1"/>
  <c r="F161" i="138"/>
  <c r="D140" i="139"/>
  <c r="F157" i="134"/>
  <c r="F160" i="137"/>
  <c r="F116" i="92"/>
  <c r="F117" i="92" s="1"/>
  <c r="F135" i="115"/>
  <c r="C129" i="128"/>
  <c r="F128" i="129"/>
  <c r="F129" i="129" s="1"/>
  <c r="C131" i="130"/>
  <c r="F92" i="81"/>
  <c r="F96" i="88"/>
  <c r="F98" i="86"/>
  <c r="F106" i="96"/>
  <c r="F117" i="109"/>
  <c r="F130" i="109"/>
  <c r="F131" i="109" s="1"/>
  <c r="F131" i="110"/>
  <c r="F132" i="110" s="1"/>
  <c r="F124" i="117"/>
  <c r="F112" i="123"/>
  <c r="F113" i="123" s="1"/>
  <c r="F122" i="123"/>
  <c r="F123" i="123" s="1"/>
  <c r="C125" i="124"/>
  <c r="F137" i="125"/>
  <c r="F138" i="125" s="1"/>
  <c r="F134" i="125"/>
  <c r="D127" i="126"/>
  <c r="H130" i="126" s="1"/>
  <c r="H131" i="126" s="1"/>
  <c r="F139" i="127"/>
  <c r="F149" i="127"/>
  <c r="F150" i="127" s="1"/>
  <c r="F117" i="128"/>
  <c r="F118" i="128" s="1"/>
  <c r="F127" i="128"/>
  <c r="F128" i="128" s="1"/>
  <c r="C130" i="129"/>
  <c r="F119" i="130"/>
  <c r="F120" i="130" s="1"/>
  <c r="F129" i="130"/>
  <c r="F130" i="130" s="1"/>
  <c r="D132" i="131"/>
  <c r="H120" i="131" s="1"/>
  <c r="H121" i="131" s="1"/>
  <c r="C133" i="132"/>
  <c r="C134" i="133"/>
  <c r="F123" i="134"/>
  <c r="F124" i="134" s="1"/>
  <c r="F133" i="134"/>
  <c r="F134" i="134" s="1"/>
  <c r="C136" i="135"/>
  <c r="C137" i="136"/>
  <c r="F126" i="137"/>
  <c r="F127" i="137" s="1"/>
  <c r="F136" i="137"/>
  <c r="F137" i="137" s="1"/>
  <c r="C139" i="138"/>
  <c r="F132" i="138"/>
  <c r="F133" i="138" s="1"/>
  <c r="F128" i="139"/>
  <c r="F129" i="139" s="1"/>
  <c r="F138" i="139"/>
  <c r="F139" i="139" s="1"/>
  <c r="F152" i="139"/>
  <c r="H143" i="139"/>
  <c r="H144" i="139" s="1"/>
  <c r="D165" i="139"/>
  <c r="H156" i="139" s="1"/>
  <c r="H157" i="139" s="1"/>
  <c r="H128" i="139"/>
  <c r="H129" i="139" s="1"/>
  <c r="F133" i="139"/>
  <c r="F134" i="139" s="1"/>
  <c r="F150" i="138"/>
  <c r="F151" i="138" s="1"/>
  <c r="H126" i="137"/>
  <c r="H127" i="137" s="1"/>
  <c r="F131" i="137"/>
  <c r="F132" i="137" s="1"/>
  <c r="F136" i="136"/>
  <c r="F149" i="136"/>
  <c r="F130" i="136"/>
  <c r="F131" i="136" s="1"/>
  <c r="F144" i="135"/>
  <c r="F124" i="135"/>
  <c r="F125" i="135" s="1"/>
  <c r="F129" i="135"/>
  <c r="F130" i="135" s="1"/>
  <c r="H138" i="134"/>
  <c r="H139" i="134" s="1"/>
  <c r="D160" i="134"/>
  <c r="H151" i="134" s="1"/>
  <c r="H152" i="134" s="1"/>
  <c r="H123" i="134"/>
  <c r="H124" i="134" s="1"/>
  <c r="F128" i="134"/>
  <c r="F129" i="134" s="1"/>
  <c r="F146" i="133"/>
  <c r="H137" i="133"/>
  <c r="H138" i="133" s="1"/>
  <c r="F127" i="133"/>
  <c r="F128" i="133" s="1"/>
  <c r="F141" i="132"/>
  <c r="F155" i="132"/>
  <c r="F132" i="132"/>
  <c r="F145" i="132"/>
  <c r="F121" i="132"/>
  <c r="F122" i="132" s="1"/>
  <c r="F126" i="132"/>
  <c r="F127" i="132" s="1"/>
  <c r="F140" i="131"/>
  <c r="F125" i="131"/>
  <c r="F126" i="131" s="1"/>
  <c r="F143" i="131"/>
  <c r="F144" i="131" s="1"/>
  <c r="F143" i="130"/>
  <c r="F124" i="130"/>
  <c r="F125" i="130" s="1"/>
  <c r="F142" i="129"/>
  <c r="H118" i="129"/>
  <c r="H119" i="129" s="1"/>
  <c r="F123" i="129"/>
  <c r="F124" i="129" s="1"/>
  <c r="H132" i="128"/>
  <c r="H133" i="128" s="1"/>
  <c r="D154" i="128"/>
  <c r="H145" i="128" s="1"/>
  <c r="H146" i="128" s="1"/>
  <c r="H117" i="128"/>
  <c r="H118" i="128" s="1"/>
  <c r="F122" i="128"/>
  <c r="F123" i="128" s="1"/>
  <c r="F136" i="127"/>
  <c r="F140" i="127"/>
  <c r="F121" i="127"/>
  <c r="F122" i="127" s="1"/>
  <c r="F126" i="126"/>
  <c r="F139" i="126"/>
  <c r="F120" i="126"/>
  <c r="F121" i="126" s="1"/>
  <c r="H114" i="125"/>
  <c r="H115" i="125" s="1"/>
  <c r="F119" i="125"/>
  <c r="F120" i="125" s="1"/>
  <c r="D150" i="124"/>
  <c r="H141" i="124" s="1"/>
  <c r="H142" i="124" s="1"/>
  <c r="F113" i="124"/>
  <c r="F114" i="124" s="1"/>
  <c r="F118" i="124"/>
  <c r="F119" i="124" s="1"/>
  <c r="F136" i="123"/>
  <c r="F146" i="123"/>
  <c r="H127" i="123"/>
  <c r="H128" i="123" s="1"/>
  <c r="F117" i="123"/>
  <c r="F118" i="123" s="1"/>
  <c r="F131" i="122"/>
  <c r="F138" i="119"/>
  <c r="F102" i="73"/>
  <c r="F129" i="108"/>
  <c r="F130" i="108" s="1"/>
  <c r="F101" i="74"/>
  <c r="F103" i="72"/>
  <c r="F104" i="72" s="1"/>
  <c r="F105" i="81"/>
  <c r="F106" i="81" s="1"/>
  <c r="F106" i="82"/>
  <c r="F107" i="82" s="1"/>
  <c r="F122" i="99"/>
  <c r="F123" i="99" s="1"/>
  <c r="F137" i="117"/>
  <c r="F139" i="120"/>
  <c r="F140" i="120" s="1"/>
  <c r="F112" i="85"/>
  <c r="F113" i="85" s="1"/>
  <c r="F136" i="116"/>
  <c r="F137" i="116" s="1"/>
  <c r="F100" i="78"/>
  <c r="F101" i="78" s="1"/>
  <c r="F89" i="73"/>
  <c r="F111" i="87"/>
  <c r="F113" i="89"/>
  <c r="F114" i="89" s="1"/>
  <c r="F114" i="90"/>
  <c r="F115" i="90" s="1"/>
  <c r="F115" i="91"/>
  <c r="F116" i="91" s="1"/>
  <c r="F104" i="93"/>
  <c r="F117" i="93"/>
  <c r="F118" i="93" s="1"/>
  <c r="F120" i="97"/>
  <c r="F121" i="97" s="1"/>
  <c r="F129" i="107"/>
  <c r="F136" i="115"/>
  <c r="F141" i="121"/>
  <c r="F91" i="71"/>
  <c r="F118" i="110"/>
  <c r="F116" i="120"/>
  <c r="F117" i="120" s="1"/>
  <c r="F144" i="122"/>
  <c r="F145" i="122" s="1"/>
  <c r="F103" i="73"/>
  <c r="F108" i="84"/>
  <c r="F105" i="94"/>
  <c r="F108" i="98"/>
  <c r="F110" i="100"/>
  <c r="F125" i="104"/>
  <c r="F113" i="103"/>
  <c r="F119" i="111"/>
  <c r="F134" i="114"/>
  <c r="F125" i="119"/>
  <c r="C106" i="106"/>
  <c r="C97" i="94"/>
  <c r="C109" i="109"/>
  <c r="C103" i="79"/>
  <c r="C92" i="89"/>
  <c r="C110" i="110"/>
  <c r="C98" i="96"/>
  <c r="F95" i="100"/>
  <c r="F108" i="110"/>
  <c r="F109" i="110" s="1"/>
  <c r="F84" i="83"/>
  <c r="F85" i="83" s="1"/>
  <c r="F112" i="115"/>
  <c r="F88" i="86"/>
  <c r="F89" i="86" s="1"/>
  <c r="F110" i="113"/>
  <c r="F111" i="113" s="1"/>
  <c r="F85" i="84"/>
  <c r="F86" i="84" s="1"/>
  <c r="F104" i="106"/>
  <c r="F105" i="106" s="1"/>
  <c r="F77" i="78"/>
  <c r="F78" i="78" s="1"/>
  <c r="F90" i="94"/>
  <c r="F103" i="103"/>
  <c r="F104" i="103" s="1"/>
  <c r="F98" i="98"/>
  <c r="F99" i="98" s="1"/>
  <c r="F107" i="109"/>
  <c r="F108" i="109" s="1"/>
  <c r="F94" i="99"/>
  <c r="F109" i="117"/>
  <c r="F110" i="117" s="1"/>
  <c r="F117" i="121"/>
  <c r="F118" i="121" s="1"/>
  <c r="C114" i="115"/>
  <c r="F100" i="100"/>
  <c r="F101" i="100" s="1"/>
  <c r="F111" i="114"/>
  <c r="F112" i="114" s="1"/>
  <c r="F82" i="87"/>
  <c r="C117" i="119"/>
  <c r="C87" i="84"/>
  <c r="F121" i="122"/>
  <c r="F135" i="122"/>
  <c r="F116" i="122"/>
  <c r="F117" i="122" s="1"/>
  <c r="F126" i="120"/>
  <c r="F111" i="120"/>
  <c r="F107" i="115"/>
  <c r="F121" i="114"/>
  <c r="F103" i="110"/>
  <c r="F116" i="108"/>
  <c r="F112" i="104"/>
  <c r="F126" i="104"/>
  <c r="F111" i="79"/>
  <c r="F109" i="99"/>
  <c r="F93" i="98"/>
  <c r="F100" i="89"/>
  <c r="F97" i="87"/>
  <c r="F95" i="84"/>
  <c r="F109" i="84"/>
  <c r="F94" i="83"/>
  <c r="F79" i="83"/>
  <c r="F80" i="83" s="1"/>
  <c r="F93" i="82"/>
  <c r="F88" i="74"/>
  <c r="F87" i="78"/>
  <c r="F67" i="78"/>
  <c r="F68" i="78" s="1"/>
  <c r="D107" i="75"/>
  <c r="D106" i="76"/>
  <c r="F84" i="76"/>
  <c r="D105" i="77"/>
  <c r="F83" i="77"/>
  <c r="D99" i="57"/>
  <c r="D98" i="58"/>
  <c r="F76" i="58"/>
  <c r="D97" i="59"/>
  <c r="D96" i="112"/>
  <c r="F74" i="112"/>
  <c r="D95" i="61"/>
  <c r="F73" i="61"/>
  <c r="D94" i="62"/>
  <c r="D93" i="63"/>
  <c r="F71" i="63"/>
  <c r="D92" i="64"/>
  <c r="F70" i="64"/>
  <c r="D91" i="65"/>
  <c r="D90" i="67"/>
  <c r="F68" i="67"/>
  <c r="D89" i="68"/>
  <c r="F67" i="68"/>
  <c r="D88" i="69"/>
  <c r="F66" i="69"/>
  <c r="D87" i="70"/>
  <c r="F65" i="70"/>
  <c r="D86" i="46"/>
  <c r="F64" i="46"/>
  <c r="D85" i="47"/>
  <c r="F63" i="47"/>
  <c r="D84" i="48"/>
  <c r="D83" i="49"/>
  <c r="D82" i="51"/>
  <c r="F60" i="51"/>
  <c r="D81" i="52"/>
  <c r="F59" i="52"/>
  <c r="D80" i="53"/>
  <c r="F58" i="53"/>
  <c r="D79" i="54"/>
  <c r="F57" i="54"/>
  <c r="D78" i="55"/>
  <c r="F56" i="55"/>
  <c r="D77" i="56"/>
  <c r="D76" i="45"/>
  <c r="D75" i="20"/>
  <c r="F53" i="20"/>
  <c r="D74" i="22"/>
  <c r="F52" i="22"/>
  <c r="D73" i="21"/>
  <c r="D72" i="23"/>
  <c r="F50" i="23"/>
  <c r="D71" i="24"/>
  <c r="F49" i="24"/>
  <c r="D70" i="25"/>
  <c r="F48" i="25"/>
  <c r="D69" i="26"/>
  <c r="F47" i="26"/>
  <c r="D68" i="27"/>
  <c r="F46" i="27"/>
  <c r="D67" i="28"/>
  <c r="F45" i="28"/>
  <c r="D66" i="29"/>
  <c r="F44" i="29"/>
  <c r="D65" i="31"/>
  <c r="F43" i="31"/>
  <c r="D64" i="32"/>
  <c r="F42" i="32"/>
  <c r="D63" i="33"/>
  <c r="F41" i="33"/>
  <c r="D62" i="34"/>
  <c r="F40" i="34"/>
  <c r="D61" i="35"/>
  <c r="F39" i="35"/>
  <c r="D60" i="37"/>
  <c r="F38" i="37"/>
  <c r="D59" i="39"/>
  <c r="D58" i="42"/>
  <c r="F36" i="42"/>
  <c r="D57" i="43"/>
  <c r="F35" i="43"/>
  <c r="D56" i="44"/>
  <c r="F34" i="44"/>
  <c r="D55" i="38"/>
  <c r="F33" i="38"/>
  <c r="D157" i="131" l="1"/>
  <c r="H148" i="131" s="1"/>
  <c r="H149" i="131" s="1"/>
  <c r="H127" i="138"/>
  <c r="H128" i="138" s="1"/>
  <c r="F87" i="61"/>
  <c r="F101" i="108"/>
  <c r="D156" i="130"/>
  <c r="H147" i="130" s="1"/>
  <c r="H148" i="130" s="1"/>
  <c r="D158" i="132"/>
  <c r="H149" i="132" s="1"/>
  <c r="H150" i="132" s="1"/>
  <c r="D164" i="138"/>
  <c r="H155" i="138" s="1"/>
  <c r="H156" i="138" s="1"/>
  <c r="H140" i="136"/>
  <c r="H141" i="136" s="1"/>
  <c r="F102" i="109"/>
  <c r="F112" i="120"/>
  <c r="H116" i="127"/>
  <c r="H117" i="127" s="1"/>
  <c r="D155" i="129"/>
  <c r="H146" i="129" s="1"/>
  <c r="H147" i="129" s="1"/>
  <c r="H136" i="132"/>
  <c r="H137" i="132" s="1"/>
  <c r="F78" i="82"/>
  <c r="D153" i="127"/>
  <c r="H144" i="127" s="1"/>
  <c r="H145" i="127" s="1"/>
  <c r="H125" i="136"/>
  <c r="H126" i="136" s="1"/>
  <c r="F56" i="32"/>
  <c r="H128" i="124"/>
  <c r="H129" i="124" s="1"/>
  <c r="D151" i="125"/>
  <c r="H142" i="125" s="1"/>
  <c r="H143" i="125" s="1"/>
  <c r="H115" i="126"/>
  <c r="H116" i="126" s="1"/>
  <c r="H134" i="130"/>
  <c r="H135" i="130" s="1"/>
  <c r="H135" i="131"/>
  <c r="H136" i="131" s="1"/>
  <c r="H124" i="135"/>
  <c r="H125" i="135" s="1"/>
  <c r="D152" i="126"/>
  <c r="H143" i="126" s="1"/>
  <c r="H144" i="126" s="1"/>
  <c r="H122" i="133"/>
  <c r="H123" i="133" s="1"/>
  <c r="D161" i="135"/>
  <c r="H152" i="135" s="1"/>
  <c r="H153" i="135" s="1"/>
  <c r="F32" i="21"/>
  <c r="F43" i="48"/>
  <c r="F44" i="48" s="1"/>
  <c r="F106" i="114"/>
  <c r="F106" i="108"/>
  <c r="F107" i="108" s="1"/>
  <c r="F84" i="64"/>
  <c r="F85" i="64" s="1"/>
  <c r="F74" i="51"/>
  <c r="F75" i="51" s="1"/>
  <c r="F95" i="99"/>
  <c r="F53" i="35"/>
  <c r="F54" i="35" s="1"/>
  <c r="F27" i="27"/>
  <c r="F46" i="56"/>
  <c r="F47" i="56" s="1"/>
  <c r="F67" i="69"/>
  <c r="D155" i="124"/>
  <c r="D158" i="124" s="1"/>
  <c r="D159" i="124" s="1"/>
  <c r="D163" i="137"/>
  <c r="D168" i="137" s="1"/>
  <c r="D171" i="137" s="1"/>
  <c r="D172" i="137" s="1"/>
  <c r="H112" i="123"/>
  <c r="H113" i="123" s="1"/>
  <c r="F39" i="37"/>
  <c r="F55" i="33"/>
  <c r="F56" i="33" s="1"/>
  <c r="F90" i="58"/>
  <c r="F83" i="86"/>
  <c r="F84" i="86" s="1"/>
  <c r="F97" i="97"/>
  <c r="F98" i="97" s="1"/>
  <c r="F72" i="78"/>
  <c r="F73" i="78" s="1"/>
  <c r="D170" i="139"/>
  <c r="D173" i="139" s="1"/>
  <c r="D174" i="139" s="1"/>
  <c r="D169" i="138"/>
  <c r="D172" i="138" s="1"/>
  <c r="D173" i="138" s="1"/>
  <c r="D167" i="136"/>
  <c r="D170" i="136" s="1"/>
  <c r="D171" i="136" s="1"/>
  <c r="D165" i="134"/>
  <c r="D168" i="134" s="1"/>
  <c r="D169" i="134" s="1"/>
  <c r="D164" i="133"/>
  <c r="D167" i="133" s="1"/>
  <c r="D168" i="133" s="1"/>
  <c r="D162" i="131"/>
  <c r="D165" i="131" s="1"/>
  <c r="D166" i="131" s="1"/>
  <c r="D160" i="129"/>
  <c r="D163" i="129" s="1"/>
  <c r="D164" i="129" s="1"/>
  <c r="D159" i="128"/>
  <c r="D162" i="128" s="1"/>
  <c r="D163" i="128" s="1"/>
  <c r="D158" i="127"/>
  <c r="D161" i="127" s="1"/>
  <c r="D162" i="127" s="1"/>
  <c r="H140" i="123"/>
  <c r="H141" i="123" s="1"/>
  <c r="D154" i="123"/>
  <c r="D157" i="123" s="1"/>
  <c r="D158" i="123" s="1"/>
  <c r="F128" i="106"/>
  <c r="F124" i="100"/>
  <c r="F112" i="86"/>
  <c r="F64" i="47"/>
  <c r="F77" i="58"/>
  <c r="F115" i="119"/>
  <c r="F116" i="119" s="1"/>
  <c r="F82" i="81"/>
  <c r="F83" i="81" s="1"/>
  <c r="F105" i="71"/>
  <c r="F138" i="117"/>
  <c r="F102" i="74"/>
  <c r="F57" i="31"/>
  <c r="F58" i="31" s="1"/>
  <c r="F45" i="29"/>
  <c r="F58" i="29"/>
  <c r="F80" i="69"/>
  <c r="F91" i="57"/>
  <c r="F92" i="57" s="1"/>
  <c r="F98" i="76"/>
  <c r="F99" i="75"/>
  <c r="F119" i="94"/>
  <c r="F135" i="114"/>
  <c r="F139" i="119"/>
  <c r="F34" i="38"/>
  <c r="F52" i="37"/>
  <c r="F53" i="37" s="1"/>
  <c r="F46" i="28"/>
  <c r="F59" i="28"/>
  <c r="F60" i="28" s="1"/>
  <c r="F65" i="21"/>
  <c r="F66" i="21" s="1"/>
  <c r="F66" i="22"/>
  <c r="F66" i="70"/>
  <c r="F97" i="77"/>
  <c r="F85" i="76"/>
  <c r="F122" i="98"/>
  <c r="C112" i="113"/>
  <c r="C89" i="87"/>
  <c r="C115" i="116"/>
  <c r="C84" i="81"/>
  <c r="C60" i="68"/>
  <c r="C67" i="112"/>
  <c r="F92" i="97"/>
  <c r="F99" i="106"/>
  <c r="F114" i="117"/>
  <c r="F115" i="117" s="1"/>
  <c r="F95" i="94"/>
  <c r="F96" i="94" s="1"/>
  <c r="C90" i="86"/>
  <c r="C80" i="74"/>
  <c r="C111" i="111"/>
  <c r="C123" i="122"/>
  <c r="C88" i="88"/>
  <c r="C101" i="99"/>
  <c r="C85" i="82"/>
  <c r="C93" i="90"/>
  <c r="C42" i="24"/>
  <c r="F34" i="20"/>
  <c r="F35" i="20" s="1"/>
  <c r="F55" i="112"/>
  <c r="F107" i="121"/>
  <c r="F87" i="87"/>
  <c r="F88" i="87" s="1"/>
  <c r="F83" i="82"/>
  <c r="F84" i="82" s="1"/>
  <c r="C105" i="103"/>
  <c r="C86" i="83"/>
  <c r="C113" i="114"/>
  <c r="C107" i="107"/>
  <c r="C81" i="73"/>
  <c r="F113" i="115"/>
  <c r="C104" i="104"/>
  <c r="C49" i="55"/>
  <c r="F77" i="81"/>
  <c r="F78" i="81" s="1"/>
  <c r="F98" i="103"/>
  <c r="F103" i="109"/>
  <c r="F110" i="119"/>
  <c r="F111" i="119" s="1"/>
  <c r="F122" i="122"/>
  <c r="F70" i="72"/>
  <c r="C82" i="72"/>
  <c r="C83" i="71"/>
  <c r="F37" i="27"/>
  <c r="F38" i="27" s="1"/>
  <c r="F62" i="58"/>
  <c r="F63" i="58" s="1"/>
  <c r="F91" i="94"/>
  <c r="F104" i="110"/>
  <c r="F112" i="121"/>
  <c r="D102" i="100"/>
  <c r="H90" i="100" s="1"/>
  <c r="H91" i="100" s="1"/>
  <c r="F83" i="87"/>
  <c r="F100" i="106"/>
  <c r="F99" i="99"/>
  <c r="F100" i="99" s="1"/>
  <c r="F94" i="98"/>
  <c r="F74" i="77"/>
  <c r="F75" i="77" s="1"/>
  <c r="F107" i="114"/>
  <c r="F93" i="97"/>
  <c r="F80" i="84"/>
  <c r="D79" i="78"/>
  <c r="F102" i="108"/>
  <c r="F96" i="100"/>
  <c r="F38" i="22"/>
  <c r="F39" i="22" s="1"/>
  <c r="F105" i="113"/>
  <c r="F106" i="113" s="1"/>
  <c r="F79" i="82"/>
  <c r="F108" i="115"/>
  <c r="C55" i="48"/>
  <c r="C48" i="56"/>
  <c r="D70" i="57"/>
  <c r="C119" i="121"/>
  <c r="C99" i="97"/>
  <c r="D82" i="72"/>
  <c r="D86" i="83"/>
  <c r="F74" i="83"/>
  <c r="C102" i="100"/>
  <c r="F33" i="22"/>
  <c r="F38" i="54"/>
  <c r="F39" i="54" s="1"/>
  <c r="F40" i="52"/>
  <c r="C100" i="98"/>
  <c r="F33" i="21"/>
  <c r="C116" i="117"/>
  <c r="C108" i="108"/>
  <c r="C59" i="69"/>
  <c r="F54" i="61"/>
  <c r="C96" i="93"/>
  <c r="C94" i="91"/>
  <c r="F90" i="100"/>
  <c r="D119" i="121"/>
  <c r="F67" i="20"/>
  <c r="F68" i="20" s="1"/>
  <c r="F35" i="45"/>
  <c r="F40" i="45"/>
  <c r="F41" i="45" s="1"/>
  <c r="F50" i="52"/>
  <c r="F51" i="52" s="1"/>
  <c r="F45" i="46"/>
  <c r="F46" i="46" s="1"/>
  <c r="F50" i="46"/>
  <c r="F51" i="46" s="1"/>
  <c r="F68" i="68"/>
  <c r="F81" i="68"/>
  <c r="F82" i="68" s="1"/>
  <c r="F59" i="67"/>
  <c r="F60" i="67" s="1"/>
  <c r="F83" i="65"/>
  <c r="F84" i="65" s="1"/>
  <c r="F56" i="59"/>
  <c r="F39" i="25"/>
  <c r="F46" i="13"/>
  <c r="C27" i="44"/>
  <c r="F49" i="43"/>
  <c r="F50" i="43" s="1"/>
  <c r="F23" i="39"/>
  <c r="F24" i="39" s="1"/>
  <c r="F41" i="34"/>
  <c r="F38" i="26"/>
  <c r="F39" i="26" s="1"/>
  <c r="F51" i="23"/>
  <c r="F64" i="23"/>
  <c r="F65" i="23" s="1"/>
  <c r="F42" i="21"/>
  <c r="F43" i="21" s="1"/>
  <c r="F61" i="51"/>
  <c r="F71" i="64"/>
  <c r="F85" i="63"/>
  <c r="F86" i="63" s="1"/>
  <c r="F48" i="44"/>
  <c r="F49" i="44" s="1"/>
  <c r="C29" i="42"/>
  <c r="C30" i="39"/>
  <c r="F54" i="34"/>
  <c r="F55" i="34" s="1"/>
  <c r="F43" i="32"/>
  <c r="C40" i="26"/>
  <c r="F30" i="24"/>
  <c r="F31" i="24" s="1"/>
  <c r="F35" i="24"/>
  <c r="F36" i="24" s="1"/>
  <c r="F44" i="20"/>
  <c r="C50" i="54"/>
  <c r="F75" i="49"/>
  <c r="F76" i="49" s="1"/>
  <c r="F53" i="48"/>
  <c r="F54" i="48" s="1"/>
  <c r="F79" i="70"/>
  <c r="F80" i="70" s="1"/>
  <c r="F72" i="63"/>
  <c r="F56" i="112"/>
  <c r="F65" i="112"/>
  <c r="F66" i="112" s="1"/>
  <c r="F89" i="59"/>
  <c r="F90" i="59" s="1"/>
  <c r="F57" i="32"/>
  <c r="F47" i="38"/>
  <c r="F48" i="38" s="1"/>
  <c r="D27" i="44"/>
  <c r="H15" i="44" s="1"/>
  <c r="H16" i="44" s="1"/>
  <c r="F36" i="43"/>
  <c r="D29" i="42"/>
  <c r="H17" i="42" s="1"/>
  <c r="H18" i="42" s="1"/>
  <c r="F27" i="42"/>
  <c r="C31" i="37"/>
  <c r="F29" i="37"/>
  <c r="F30" i="37" s="1"/>
  <c r="C33" i="34"/>
  <c r="F32" i="33"/>
  <c r="C35" i="32"/>
  <c r="C37" i="29"/>
  <c r="F30" i="29"/>
  <c r="F31" i="29" s="1"/>
  <c r="C45" i="22"/>
  <c r="F68" i="45"/>
  <c r="D53" i="51"/>
  <c r="F41" i="51"/>
  <c r="F42" i="51" s="1"/>
  <c r="D63" i="64"/>
  <c r="F51" i="64"/>
  <c r="F52" i="64" s="1"/>
  <c r="C66" i="61"/>
  <c r="F88" i="112"/>
  <c r="F89" i="112" s="1"/>
  <c r="F100" i="75"/>
  <c r="F15" i="44"/>
  <c r="F16" i="44" s="1"/>
  <c r="F25" i="44"/>
  <c r="F26" i="44" s="1"/>
  <c r="C28" i="43"/>
  <c r="F26" i="43"/>
  <c r="F27" i="43" s="1"/>
  <c r="F28" i="39"/>
  <c r="F29" i="39" s="1"/>
  <c r="D31" i="37"/>
  <c r="H19" i="37" s="1"/>
  <c r="H20" i="37" s="1"/>
  <c r="F40" i="35"/>
  <c r="D33" i="34"/>
  <c r="H21" i="34" s="1"/>
  <c r="H22" i="34" s="1"/>
  <c r="F42" i="33"/>
  <c r="F44" i="31"/>
  <c r="C38" i="28"/>
  <c r="F60" i="27"/>
  <c r="F61" i="27" s="1"/>
  <c r="F61" i="26"/>
  <c r="F62" i="26" s="1"/>
  <c r="C47" i="45"/>
  <c r="F71" i="54"/>
  <c r="F72" i="54" s="1"/>
  <c r="C57" i="46"/>
  <c r="C68" i="59"/>
  <c r="D49" i="55"/>
  <c r="F37" i="55"/>
  <c r="F38" i="55" s="1"/>
  <c r="F24" i="38"/>
  <c r="F25" i="38" s="1"/>
  <c r="F35" i="44"/>
  <c r="F50" i="42"/>
  <c r="F51" i="39"/>
  <c r="F52" i="39" s="1"/>
  <c r="F19" i="37"/>
  <c r="F20" i="37" s="1"/>
  <c r="C32" i="35"/>
  <c r="F30" i="35"/>
  <c r="F31" i="35" s="1"/>
  <c r="F21" i="34"/>
  <c r="F22" i="34" s="1"/>
  <c r="F31" i="34"/>
  <c r="F32" i="34" s="1"/>
  <c r="C34" i="33"/>
  <c r="F33" i="32"/>
  <c r="F34" i="32" s="1"/>
  <c r="C36" i="31"/>
  <c r="F34" i="31"/>
  <c r="F35" i="31" s="1"/>
  <c r="F35" i="29"/>
  <c r="F36" i="29" s="1"/>
  <c r="F62" i="25"/>
  <c r="F63" i="25" s="1"/>
  <c r="F57" i="58"/>
  <c r="F58" i="58" s="1"/>
  <c r="D77" i="76"/>
  <c r="F65" i="76"/>
  <c r="F31" i="28"/>
  <c r="F32" i="28" s="1"/>
  <c r="F47" i="27"/>
  <c r="F49" i="25"/>
  <c r="D42" i="24"/>
  <c r="H30" i="24" s="1"/>
  <c r="H31" i="24" s="1"/>
  <c r="C43" i="23"/>
  <c r="F36" i="23"/>
  <c r="F37" i="23" s="1"/>
  <c r="F54" i="20"/>
  <c r="D47" i="45"/>
  <c r="H35" i="45" s="1"/>
  <c r="H36" i="45" s="1"/>
  <c r="F69" i="56"/>
  <c r="F70" i="56" s="1"/>
  <c r="F47" i="55"/>
  <c r="D50" i="54"/>
  <c r="F72" i="53"/>
  <c r="F60" i="52"/>
  <c r="F73" i="52"/>
  <c r="F74" i="52" s="1"/>
  <c r="F51" i="51"/>
  <c r="F52" i="51" s="1"/>
  <c r="C54" i="49"/>
  <c r="F52" i="49"/>
  <c r="F53" i="49" s="1"/>
  <c r="F76" i="48"/>
  <c r="F77" i="48" s="1"/>
  <c r="F54" i="47"/>
  <c r="D57" i="46"/>
  <c r="C58" i="70"/>
  <c r="F57" i="69"/>
  <c r="F58" i="69" s="1"/>
  <c r="F53" i="68"/>
  <c r="F54" i="68" s="1"/>
  <c r="F69" i="67"/>
  <c r="F82" i="67"/>
  <c r="F83" i="67" s="1"/>
  <c r="F61" i="64"/>
  <c r="C64" i="63"/>
  <c r="F63" i="62"/>
  <c r="F64" i="62" s="1"/>
  <c r="D66" i="61"/>
  <c r="F75" i="112"/>
  <c r="D68" i="59"/>
  <c r="F61" i="59"/>
  <c r="F62" i="59" s="1"/>
  <c r="C70" i="57"/>
  <c r="F63" i="57"/>
  <c r="F64" i="57" s="1"/>
  <c r="C78" i="75"/>
  <c r="F71" i="75"/>
  <c r="F72" i="75" s="1"/>
  <c r="C39" i="27"/>
  <c r="F32" i="27"/>
  <c r="F33" i="27" s="1"/>
  <c r="C41" i="25"/>
  <c r="F40" i="24"/>
  <c r="F41" i="24" s="1"/>
  <c r="C44" i="21"/>
  <c r="F37" i="21"/>
  <c r="F38" i="21" s="1"/>
  <c r="F43" i="22"/>
  <c r="F44" i="22" s="1"/>
  <c r="C46" i="20"/>
  <c r="F41" i="56"/>
  <c r="F42" i="56" s="1"/>
  <c r="F70" i="55"/>
  <c r="F71" i="55" s="1"/>
  <c r="F48" i="54"/>
  <c r="F49" i="54" s="1"/>
  <c r="C51" i="53"/>
  <c r="C52" i="52"/>
  <c r="F45" i="52"/>
  <c r="F46" i="52" s="1"/>
  <c r="D54" i="49"/>
  <c r="H42" i="49" s="1"/>
  <c r="H43" i="49" s="1"/>
  <c r="F48" i="48"/>
  <c r="F49" i="48" s="1"/>
  <c r="F77" i="47"/>
  <c r="F78" i="47" s="1"/>
  <c r="F55" i="46"/>
  <c r="F56" i="46" s="1"/>
  <c r="F81" i="69"/>
  <c r="D60" i="68"/>
  <c r="C61" i="67"/>
  <c r="F86" i="62"/>
  <c r="F87" i="62" s="1"/>
  <c r="F55" i="61"/>
  <c r="F64" i="61"/>
  <c r="F65" i="61" s="1"/>
  <c r="F91" i="58"/>
  <c r="F98" i="77"/>
  <c r="F99" i="76"/>
  <c r="F36" i="28"/>
  <c r="F37" i="28" s="1"/>
  <c r="D39" i="27"/>
  <c r="H27" i="27" s="1"/>
  <c r="H28" i="27" s="1"/>
  <c r="F48" i="26"/>
  <c r="F50" i="24"/>
  <c r="F63" i="24"/>
  <c r="F64" i="24" s="1"/>
  <c r="F41" i="23"/>
  <c r="F42" i="23" s="1"/>
  <c r="D44" i="21"/>
  <c r="F53" i="22"/>
  <c r="F67" i="22"/>
  <c r="D46" i="20"/>
  <c r="F69" i="45"/>
  <c r="F58" i="54"/>
  <c r="F49" i="53"/>
  <c r="F50" i="53" s="1"/>
  <c r="D52" i="52"/>
  <c r="C53" i="51"/>
  <c r="F46" i="51"/>
  <c r="F47" i="51" s="1"/>
  <c r="F42" i="49"/>
  <c r="F43" i="49" s="1"/>
  <c r="D55" i="48"/>
  <c r="H43" i="48" s="1"/>
  <c r="H44" i="48" s="1"/>
  <c r="C56" i="47"/>
  <c r="F65" i="46"/>
  <c r="F78" i="46"/>
  <c r="F79" i="46" s="1"/>
  <c r="F56" i="70"/>
  <c r="F57" i="70" s="1"/>
  <c r="F52" i="69"/>
  <c r="F53" i="69" s="1"/>
  <c r="F48" i="68"/>
  <c r="F49" i="68" s="1"/>
  <c r="F58" i="68"/>
  <c r="F59" i="68" s="1"/>
  <c r="C63" i="64"/>
  <c r="F62" i="64"/>
  <c r="F62" i="63"/>
  <c r="F63" i="63" s="1"/>
  <c r="C65" i="62"/>
  <c r="F58" i="62"/>
  <c r="F59" i="62" s="1"/>
  <c r="F74" i="61"/>
  <c r="F88" i="61"/>
  <c r="D67" i="112"/>
  <c r="F66" i="59"/>
  <c r="F67" i="59" s="1"/>
  <c r="C69" i="58"/>
  <c r="F68" i="57"/>
  <c r="F69" i="57" s="1"/>
  <c r="C77" i="76"/>
  <c r="F75" i="76"/>
  <c r="F76" i="76" s="1"/>
  <c r="F76" i="75"/>
  <c r="F77" i="75" s="1"/>
  <c r="F85" i="75"/>
  <c r="F86" i="75" s="1"/>
  <c r="F70" i="76"/>
  <c r="F71" i="76" s="1"/>
  <c r="F84" i="77"/>
  <c r="C76" i="77"/>
  <c r="F77" i="57"/>
  <c r="F78" i="57" s="1"/>
  <c r="H56" i="59"/>
  <c r="H57" i="59" s="1"/>
  <c r="F75" i="59"/>
  <c r="F76" i="59" s="1"/>
  <c r="F60" i="112"/>
  <c r="F61" i="112" s="1"/>
  <c r="H54" i="61"/>
  <c r="H55" i="61" s="1"/>
  <c r="F59" i="61"/>
  <c r="F60" i="61" s="1"/>
  <c r="F72" i="62"/>
  <c r="F73" i="62" s="1"/>
  <c r="F57" i="63"/>
  <c r="F58" i="63" s="1"/>
  <c r="H51" i="64"/>
  <c r="H52" i="64" s="1"/>
  <c r="F56" i="64"/>
  <c r="F57" i="64" s="1"/>
  <c r="C62" i="65"/>
  <c r="F55" i="65"/>
  <c r="F56" i="65" s="1"/>
  <c r="D62" i="65"/>
  <c r="H50" i="65" s="1"/>
  <c r="H51" i="65" s="1"/>
  <c r="F50" i="65"/>
  <c r="F51" i="65" s="1"/>
  <c r="F60" i="65"/>
  <c r="F61" i="65" s="1"/>
  <c r="F69" i="65"/>
  <c r="F70" i="65" s="1"/>
  <c r="F54" i="67"/>
  <c r="F55" i="67" s="1"/>
  <c r="F51" i="70"/>
  <c r="F52" i="70" s="1"/>
  <c r="F55" i="47"/>
  <c r="F49" i="47"/>
  <c r="F50" i="47" s="1"/>
  <c r="F62" i="48"/>
  <c r="F63" i="48" s="1"/>
  <c r="F47" i="49"/>
  <c r="F61" i="49"/>
  <c r="F62" i="49" s="1"/>
  <c r="H41" i="51"/>
  <c r="H42" i="51" s="1"/>
  <c r="F59" i="53"/>
  <c r="F73" i="53"/>
  <c r="F44" i="53"/>
  <c r="F45" i="53" s="1"/>
  <c r="F43" i="54"/>
  <c r="F44" i="54" s="1"/>
  <c r="F57" i="55"/>
  <c r="F48" i="55"/>
  <c r="F42" i="55"/>
  <c r="F43" i="55" s="1"/>
  <c r="F55" i="56"/>
  <c r="F56" i="56" s="1"/>
  <c r="F45" i="45"/>
  <c r="F46" i="45" s="1"/>
  <c r="F54" i="45"/>
  <c r="F55" i="45" s="1"/>
  <c r="F45" i="20"/>
  <c r="F39" i="20"/>
  <c r="F40" i="20" s="1"/>
  <c r="F51" i="21"/>
  <c r="F52" i="21" s="1"/>
  <c r="F40" i="25"/>
  <c r="F34" i="25"/>
  <c r="F35" i="25" s="1"/>
  <c r="F33" i="26"/>
  <c r="F34" i="26" s="1"/>
  <c r="F59" i="29"/>
  <c r="F29" i="31"/>
  <c r="F30" i="31" s="1"/>
  <c r="F28" i="32"/>
  <c r="F29" i="32" s="1"/>
  <c r="F33" i="33"/>
  <c r="F27" i="33"/>
  <c r="F26" i="34"/>
  <c r="F27" i="34" s="1"/>
  <c r="F25" i="35"/>
  <c r="F26" i="35" s="1"/>
  <c r="F24" i="37"/>
  <c r="F25" i="37" s="1"/>
  <c r="F37" i="39"/>
  <c r="F38" i="39" s="1"/>
  <c r="F37" i="42"/>
  <c r="F51" i="42"/>
  <c r="F28" i="42"/>
  <c r="F17" i="42"/>
  <c r="F18" i="42" s="1"/>
  <c r="F22" i="42"/>
  <c r="F23" i="42" s="1"/>
  <c r="F21" i="43"/>
  <c r="F22" i="43" s="1"/>
  <c r="F20" i="44"/>
  <c r="F21" i="44" s="1"/>
  <c r="D26" i="38"/>
  <c r="C26" i="38"/>
  <c r="F14" i="38"/>
  <c r="F15" i="38" s="1"/>
  <c r="F19" i="38"/>
  <c r="F20" i="38" s="1"/>
  <c r="D161" i="130" l="1"/>
  <c r="D164" i="130" s="1"/>
  <c r="D165" i="130" s="1"/>
  <c r="D163" i="132"/>
  <c r="D166" i="132" s="1"/>
  <c r="D167" i="132" s="1"/>
  <c r="D166" i="135"/>
  <c r="D169" i="135" s="1"/>
  <c r="D170" i="135" s="1"/>
  <c r="F34" i="22"/>
  <c r="F58" i="57"/>
  <c r="F59" i="57" s="1"/>
  <c r="F36" i="45"/>
  <c r="C95" i="92"/>
  <c r="D156" i="125"/>
  <c r="D159" i="125" s="1"/>
  <c r="D160" i="125" s="1"/>
  <c r="F66" i="76"/>
  <c r="F48" i="49"/>
  <c r="F71" i="72"/>
  <c r="F28" i="27"/>
  <c r="F28" i="33"/>
  <c r="F67" i="58"/>
  <c r="F68" i="58" s="1"/>
  <c r="F99" i="103"/>
  <c r="D157" i="126"/>
  <c r="D160" i="126" s="1"/>
  <c r="D161" i="126" s="1"/>
  <c r="F69" i="77"/>
  <c r="F70" i="77" s="1"/>
  <c r="D69" i="58"/>
  <c r="H57" i="58" s="1"/>
  <c r="H58" i="58" s="1"/>
  <c r="F75" i="83"/>
  <c r="C91" i="85"/>
  <c r="H154" i="137"/>
  <c r="H155" i="137" s="1"/>
  <c r="D45" i="22"/>
  <c r="H33" i="22" s="1"/>
  <c r="H34" i="22" s="1"/>
  <c r="F41" i="52"/>
  <c r="F108" i="121"/>
  <c r="C118" i="120"/>
  <c r="F46" i="32"/>
  <c r="F95" i="81"/>
  <c r="F90" i="78"/>
  <c r="F111" i="98"/>
  <c r="F129" i="120"/>
  <c r="F110" i="97"/>
  <c r="F126" i="116"/>
  <c r="F102" i="85"/>
  <c r="F67" i="47"/>
  <c r="F116" i="103"/>
  <c r="F108" i="94"/>
  <c r="F114" i="79"/>
  <c r="F37" i="38"/>
  <c r="F73" i="65"/>
  <c r="F100" i="87"/>
  <c r="F89" i="75"/>
  <c r="F42" i="37"/>
  <c r="F64" i="51"/>
  <c r="H72" i="58"/>
  <c r="F122" i="111"/>
  <c r="D70" i="22"/>
  <c r="F103" i="89"/>
  <c r="F128" i="119"/>
  <c r="F91" i="74"/>
  <c r="F57" i="20"/>
  <c r="F81" i="57"/>
  <c r="F104" i="90"/>
  <c r="F78" i="112"/>
  <c r="F54" i="23"/>
  <c r="F96" i="82"/>
  <c r="F43" i="35"/>
  <c r="F123" i="113"/>
  <c r="F52" i="25"/>
  <c r="D85" i="68"/>
  <c r="F125" i="115"/>
  <c r="D88" i="64"/>
  <c r="F101" i="86"/>
  <c r="F70" i="69"/>
  <c r="F98" i="84"/>
  <c r="F130" i="121"/>
  <c r="F117" i="106"/>
  <c r="F63" i="52"/>
  <c r="F94" i="71"/>
  <c r="F107" i="93"/>
  <c r="F120" i="109"/>
  <c r="F62" i="53"/>
  <c r="F127" i="117"/>
  <c r="F47" i="31"/>
  <c r="F105" i="91"/>
  <c r="F41" i="39"/>
  <c r="F124" i="114"/>
  <c r="F99" i="88"/>
  <c r="D82" i="46"/>
  <c r="F66" i="48"/>
  <c r="F45" i="33"/>
  <c r="F115" i="104"/>
  <c r="F59" i="56"/>
  <c r="F106" i="92"/>
  <c r="F76" i="62"/>
  <c r="F119" i="108"/>
  <c r="F65" i="49"/>
  <c r="F60" i="55"/>
  <c r="H70" i="112"/>
  <c r="D95" i="57"/>
  <c r="H86" i="57" s="1"/>
  <c r="D102" i="76"/>
  <c r="H93" i="76" s="1"/>
  <c r="H36" i="34"/>
  <c r="H32" i="42"/>
  <c r="F112" i="99"/>
  <c r="F93" i="72"/>
  <c r="F69" i="70"/>
  <c r="F51" i="26"/>
  <c r="F39" i="43"/>
  <c r="F55" i="21"/>
  <c r="F72" i="67"/>
  <c r="F92" i="73"/>
  <c r="F109" i="96"/>
  <c r="F48" i="29"/>
  <c r="F49" i="28"/>
  <c r="F97" i="83"/>
  <c r="F118" i="107"/>
  <c r="F121" i="110"/>
  <c r="F75" i="63"/>
  <c r="F57" i="59"/>
  <c r="F81" i="84"/>
  <c r="F81" i="71"/>
  <c r="F82" i="71" s="1"/>
  <c r="F76" i="71"/>
  <c r="F77" i="71" s="1"/>
  <c r="F100" i="107"/>
  <c r="F101" i="107" s="1"/>
  <c r="F105" i="107"/>
  <c r="F106" i="107" s="1"/>
  <c r="F113" i="116"/>
  <c r="F114" i="116" s="1"/>
  <c r="F108" i="116"/>
  <c r="F109" i="116" s="1"/>
  <c r="F86" i="88"/>
  <c r="F87" i="88" s="1"/>
  <c r="F81" i="88"/>
  <c r="F82" i="88" s="1"/>
  <c r="F104" i="111"/>
  <c r="F105" i="111" s="1"/>
  <c r="F109" i="111"/>
  <c r="F110" i="111" s="1"/>
  <c r="F80" i="72"/>
  <c r="F81" i="72" s="1"/>
  <c r="F75" i="72"/>
  <c r="F76" i="72" s="1"/>
  <c r="F93" i="92"/>
  <c r="F94" i="92" s="1"/>
  <c r="F88" i="92"/>
  <c r="F89" i="92" s="1"/>
  <c r="F89" i="93"/>
  <c r="F90" i="93" s="1"/>
  <c r="F94" i="93"/>
  <c r="F95" i="93" s="1"/>
  <c r="H58" i="57"/>
  <c r="H59" i="57" s="1"/>
  <c r="F101" i="79"/>
  <c r="F102" i="79" s="1"/>
  <c r="F96" i="79"/>
  <c r="F97" i="79" s="1"/>
  <c r="F92" i="91"/>
  <c r="F93" i="91" s="1"/>
  <c r="F87" i="91"/>
  <c r="F88" i="91" s="1"/>
  <c r="F90" i="89"/>
  <c r="F91" i="89" s="1"/>
  <c r="F85" i="89"/>
  <c r="F86" i="89" s="1"/>
  <c r="F96" i="96"/>
  <c r="F97" i="96" s="1"/>
  <c r="F91" i="96"/>
  <c r="F92" i="96" s="1"/>
  <c r="F74" i="73"/>
  <c r="F75" i="73" s="1"/>
  <c r="F79" i="73"/>
  <c r="F80" i="73" s="1"/>
  <c r="F78" i="74"/>
  <c r="F79" i="74" s="1"/>
  <c r="F73" i="74"/>
  <c r="F74" i="74" s="1"/>
  <c r="F102" i="104"/>
  <c r="F103" i="104" s="1"/>
  <c r="F97" i="104"/>
  <c r="F98" i="104" s="1"/>
  <c r="F86" i="90"/>
  <c r="F87" i="90" s="1"/>
  <c r="F91" i="90"/>
  <c r="F92" i="90" s="1"/>
  <c r="H82" i="78"/>
  <c r="D104" i="78"/>
  <c r="H67" i="78"/>
  <c r="H68" i="78" s="1"/>
  <c r="F84" i="85"/>
  <c r="F85" i="85" s="1"/>
  <c r="F89" i="85"/>
  <c r="F90" i="85" s="1"/>
  <c r="F113" i="121"/>
  <c r="D110" i="110"/>
  <c r="F98" i="110"/>
  <c r="D85" i="82"/>
  <c r="F73" i="82"/>
  <c r="F74" i="82" s="1"/>
  <c r="D92" i="89"/>
  <c r="F80" i="89"/>
  <c r="F81" i="89" s="1"/>
  <c r="D117" i="119"/>
  <c r="F105" i="119"/>
  <c r="F106" i="119" s="1"/>
  <c r="C79" i="78"/>
  <c r="D83" i="71"/>
  <c r="F71" i="71"/>
  <c r="F72" i="71" s="1"/>
  <c r="D111" i="111"/>
  <c r="F99" i="111"/>
  <c r="F100" i="111" s="1"/>
  <c r="F91" i="100"/>
  <c r="D106" i="106"/>
  <c r="F94" i="106"/>
  <c r="F93" i="103"/>
  <c r="F94" i="103" s="1"/>
  <c r="D105" i="103"/>
  <c r="D79" i="49"/>
  <c r="H70" i="49" s="1"/>
  <c r="D144" i="121"/>
  <c r="H122" i="121"/>
  <c r="H107" i="121"/>
  <c r="H108" i="121" s="1"/>
  <c r="D96" i="93"/>
  <c r="F84" i="93"/>
  <c r="F85" i="93" s="1"/>
  <c r="F99" i="110"/>
  <c r="D115" i="116"/>
  <c r="F103" i="116"/>
  <c r="F104" i="116" s="1"/>
  <c r="F75" i="84"/>
  <c r="F76" i="84" s="1"/>
  <c r="D87" i="84"/>
  <c r="F95" i="106"/>
  <c r="D98" i="96"/>
  <c r="F86" i="96"/>
  <c r="D80" i="48"/>
  <c r="H71" i="48" s="1"/>
  <c r="H65" i="65"/>
  <c r="D93" i="90"/>
  <c r="F81" i="90"/>
  <c r="F82" i="90" s="1"/>
  <c r="D81" i="73"/>
  <c r="F69" i="73"/>
  <c r="D104" i="104"/>
  <c r="F92" i="104"/>
  <c r="F93" i="104" s="1"/>
  <c r="D89" i="87"/>
  <c r="F77" i="87"/>
  <c r="F78" i="87" s="1"/>
  <c r="D99" i="97"/>
  <c r="F87" i="97"/>
  <c r="H74" i="83"/>
  <c r="H75" i="83" s="1"/>
  <c r="D111" i="83"/>
  <c r="H89" i="83"/>
  <c r="H70" i="72"/>
  <c r="H71" i="72" s="1"/>
  <c r="H85" i="72"/>
  <c r="D107" i="72"/>
  <c r="F87" i="96"/>
  <c r="D114" i="115"/>
  <c r="F102" i="115"/>
  <c r="F103" i="115" s="1"/>
  <c r="F70" i="73"/>
  <c r="F88" i="97"/>
  <c r="D88" i="88"/>
  <c r="F76" i="88"/>
  <c r="F77" i="88" s="1"/>
  <c r="H55" i="112"/>
  <c r="H56" i="112" s="1"/>
  <c r="D72" i="45"/>
  <c r="H45" i="46"/>
  <c r="H46" i="46" s="1"/>
  <c r="D92" i="112"/>
  <c r="H83" i="112" s="1"/>
  <c r="H65" i="76"/>
  <c r="H66" i="76" s="1"/>
  <c r="H32" i="21"/>
  <c r="H33" i="21" s="1"/>
  <c r="H37" i="55"/>
  <c r="H38" i="55" s="1"/>
  <c r="H14" i="38"/>
  <c r="H15" i="38" s="1"/>
  <c r="D69" i="21"/>
  <c r="H34" i="20"/>
  <c r="H35" i="20" s="1"/>
  <c r="D74" i="55"/>
  <c r="H65" i="55" s="1"/>
  <c r="H38" i="54"/>
  <c r="H39" i="54" s="1"/>
  <c r="D77" i="52"/>
  <c r="H68" i="52" s="1"/>
  <c r="D78" i="51"/>
  <c r="H69" i="51" s="1"/>
  <c r="H48" i="68"/>
  <c r="H49" i="68" s="1"/>
  <c r="D87" i="65"/>
  <c r="H78" i="65" s="1"/>
  <c r="H73" i="57"/>
  <c r="H30" i="44"/>
  <c r="H40" i="52"/>
  <c r="H41" i="52" s="1"/>
  <c r="D107" i="76"/>
  <c r="D110" i="76" s="1"/>
  <c r="D111" i="76" s="1"/>
  <c r="D85" i="48"/>
  <c r="D88" i="48" s="1"/>
  <c r="D89" i="48" s="1"/>
  <c r="D84" i="49" l="1"/>
  <c r="D87" i="49" s="1"/>
  <c r="D88" i="49" s="1"/>
  <c r="D97" i="112"/>
  <c r="D100" i="112" s="1"/>
  <c r="D101" i="112" s="1"/>
  <c r="H61" i="22"/>
  <c r="D75" i="22"/>
  <c r="D78" i="22" s="1"/>
  <c r="D79" i="22" s="1"/>
  <c r="H73" i="46"/>
  <c r="D87" i="46"/>
  <c r="D90" i="46" s="1"/>
  <c r="D91" i="46" s="1"/>
  <c r="D100" i="57"/>
  <c r="D103" i="57" s="1"/>
  <c r="D104" i="57" s="1"/>
  <c r="D71" i="20"/>
  <c r="D56" i="37"/>
  <c r="H49" i="20"/>
  <c r="H34" i="37"/>
  <c r="H29" i="38"/>
  <c r="D51" i="38"/>
  <c r="H79" i="64"/>
  <c r="D93" i="64"/>
  <c r="D96" i="64" s="1"/>
  <c r="D97" i="64" s="1"/>
  <c r="H76" i="68"/>
  <c r="D90" i="68"/>
  <c r="D93" i="68" s="1"/>
  <c r="D94" i="68" s="1"/>
  <c r="F79" i="59"/>
  <c r="H71" i="59"/>
  <c r="D93" i="59"/>
  <c r="F70" i="70"/>
  <c r="F95" i="71"/>
  <c r="F99" i="84"/>
  <c r="F126" i="115"/>
  <c r="F124" i="113"/>
  <c r="F58" i="20"/>
  <c r="F92" i="74"/>
  <c r="F104" i="89"/>
  <c r="H55" i="52"/>
  <c r="F101" i="87"/>
  <c r="F74" i="65"/>
  <c r="F115" i="79"/>
  <c r="F117" i="103"/>
  <c r="F127" i="116"/>
  <c r="F130" i="120"/>
  <c r="F47" i="32"/>
  <c r="H56" i="51"/>
  <c r="F76" i="63"/>
  <c r="F119" i="107"/>
  <c r="F98" i="83"/>
  <c r="F49" i="29"/>
  <c r="F73" i="67"/>
  <c r="F40" i="43"/>
  <c r="F94" i="72"/>
  <c r="F66" i="49"/>
  <c r="F77" i="62"/>
  <c r="F107" i="92"/>
  <c r="F116" i="104"/>
  <c r="F67" i="48"/>
  <c r="F125" i="114"/>
  <c r="F128" i="117"/>
  <c r="F121" i="109"/>
  <c r="F118" i="106"/>
  <c r="H47" i="21"/>
  <c r="H66" i="64"/>
  <c r="F74" i="64"/>
  <c r="F75" i="64" s="1"/>
  <c r="H69" i="61"/>
  <c r="F77" i="61"/>
  <c r="D91" i="61"/>
  <c r="H48" i="22"/>
  <c r="F56" i="22"/>
  <c r="H58" i="48"/>
  <c r="F50" i="27"/>
  <c r="D64" i="27"/>
  <c r="H42" i="27"/>
  <c r="F91" i="78"/>
  <c r="D67" i="24"/>
  <c r="F53" i="24"/>
  <c r="H45" i="24"/>
  <c r="F44" i="34"/>
  <c r="D58" i="34"/>
  <c r="H52" i="55"/>
  <c r="F122" i="110"/>
  <c r="H53" i="54"/>
  <c r="F61" i="54"/>
  <c r="D54" i="42"/>
  <c r="F40" i="42"/>
  <c r="H60" i="46"/>
  <c r="F68" i="46"/>
  <c r="F108" i="93"/>
  <c r="D75" i="54"/>
  <c r="F131" i="121"/>
  <c r="F71" i="69"/>
  <c r="F102" i="86"/>
  <c r="F53" i="25"/>
  <c r="F44" i="35"/>
  <c r="F97" i="82"/>
  <c r="F105" i="90"/>
  <c r="F82" i="57"/>
  <c r="F129" i="119"/>
  <c r="F90" i="75"/>
  <c r="F38" i="38"/>
  <c r="F109" i="94"/>
  <c r="F68" i="47"/>
  <c r="F103" i="85"/>
  <c r="F111" i="97"/>
  <c r="F96" i="81"/>
  <c r="F62" i="54"/>
  <c r="F50" i="28"/>
  <c r="F110" i="96"/>
  <c r="F93" i="73"/>
  <c r="F56" i="21"/>
  <c r="F52" i="26"/>
  <c r="F113" i="99"/>
  <c r="F61" i="55"/>
  <c r="F120" i="108"/>
  <c r="F60" i="56"/>
  <c r="F46" i="33"/>
  <c r="F100" i="88"/>
  <c r="F42" i="39"/>
  <c r="F106" i="91"/>
  <c r="F48" i="31"/>
  <c r="F63" i="53"/>
  <c r="F64" i="52"/>
  <c r="H57" i="49"/>
  <c r="F38" i="44"/>
  <c r="F39" i="44" s="1"/>
  <c r="D52" i="44"/>
  <c r="H63" i="68"/>
  <c r="F71" i="68"/>
  <c r="F55" i="23"/>
  <c r="F79" i="112"/>
  <c r="H50" i="45"/>
  <c r="F58" i="45"/>
  <c r="F123" i="111"/>
  <c r="F65" i="51"/>
  <c r="F43" i="37"/>
  <c r="H80" i="76"/>
  <c r="F88" i="76"/>
  <c r="F89" i="76" s="1"/>
  <c r="F112" i="98"/>
  <c r="F113" i="100"/>
  <c r="F114" i="100" s="1"/>
  <c r="D127" i="100"/>
  <c r="H105" i="100"/>
  <c r="F87" i="77"/>
  <c r="F80" i="58"/>
  <c r="D94" i="58"/>
  <c r="D102" i="112"/>
  <c r="H95" i="78"/>
  <c r="D109" i="78"/>
  <c r="D112" i="78" s="1"/>
  <c r="D113" i="78" s="1"/>
  <c r="D79" i="55"/>
  <c r="D82" i="55" s="1"/>
  <c r="D83" i="55" s="1"/>
  <c r="F36" i="56"/>
  <c r="D48" i="56"/>
  <c r="D107" i="107"/>
  <c r="F95" i="107"/>
  <c r="F96" i="107" s="1"/>
  <c r="F25" i="29"/>
  <c r="D37" i="29"/>
  <c r="F111" i="122"/>
  <c r="F112" i="122" s="1"/>
  <c r="D123" i="122"/>
  <c r="D90" i="86"/>
  <c r="F78" i="86"/>
  <c r="F79" i="86" s="1"/>
  <c r="D103" i="79"/>
  <c r="F91" i="79"/>
  <c r="F92" i="79" s="1"/>
  <c r="D129" i="104"/>
  <c r="H107" i="104"/>
  <c r="H92" i="104"/>
  <c r="H93" i="104" s="1"/>
  <c r="D112" i="113"/>
  <c r="F100" i="113"/>
  <c r="F106" i="120"/>
  <c r="F107" i="120" s="1"/>
  <c r="D118" i="120"/>
  <c r="D113" i="114"/>
  <c r="F101" i="114"/>
  <c r="F102" i="114" s="1"/>
  <c r="H93" i="103"/>
  <c r="H94" i="103" s="1"/>
  <c r="D130" i="103"/>
  <c r="H108" i="103"/>
  <c r="D58" i="70"/>
  <c r="F46" i="70"/>
  <c r="F47" i="70" s="1"/>
  <c r="H95" i="89"/>
  <c r="D117" i="89"/>
  <c r="H80" i="89"/>
  <c r="H81" i="89" s="1"/>
  <c r="D98" i="64"/>
  <c r="F37" i="56"/>
  <c r="F29" i="25"/>
  <c r="D41" i="25"/>
  <c r="H91" i="88"/>
  <c r="D113" i="88"/>
  <c r="H76" i="88"/>
  <c r="H77" i="88" s="1"/>
  <c r="F26" i="29"/>
  <c r="D56" i="47"/>
  <c r="F44" i="47"/>
  <c r="F45" i="47" s="1"/>
  <c r="F64" i="77"/>
  <c r="D76" i="77"/>
  <c r="H102" i="115"/>
  <c r="H103" i="115" s="1"/>
  <c r="H117" i="115"/>
  <c r="D139" i="115"/>
  <c r="H98" i="72"/>
  <c r="D112" i="72"/>
  <c r="D115" i="72" s="1"/>
  <c r="D116" i="72" s="1"/>
  <c r="H102" i="83"/>
  <c r="D116" i="83"/>
  <c r="D119" i="83" s="1"/>
  <c r="D120" i="83" s="1"/>
  <c r="D124" i="97"/>
  <c r="H102" i="97"/>
  <c r="H87" i="97"/>
  <c r="H88" i="97" s="1"/>
  <c r="H96" i="90"/>
  <c r="D118" i="90"/>
  <c r="H81" i="90"/>
  <c r="H82" i="90" s="1"/>
  <c r="F101" i="113"/>
  <c r="F23" i="32"/>
  <c r="D35" i="32"/>
  <c r="F18" i="39"/>
  <c r="F19" i="39" s="1"/>
  <c r="D30" i="39"/>
  <c r="F22" i="33"/>
  <c r="F23" i="33" s="1"/>
  <c r="D34" i="33"/>
  <c r="H135" i="121"/>
  <c r="D149" i="121"/>
  <c r="D152" i="121" s="1"/>
  <c r="D153" i="121" s="1"/>
  <c r="H94" i="106"/>
  <c r="H95" i="106" s="1"/>
  <c r="D131" i="106"/>
  <c r="H109" i="106"/>
  <c r="D136" i="111"/>
  <c r="H99" i="111"/>
  <c r="H100" i="111" s="1"/>
  <c r="H114" i="111"/>
  <c r="D65" i="62"/>
  <c r="F53" i="62"/>
  <c r="F54" i="62" s="1"/>
  <c r="F49" i="67"/>
  <c r="D61" i="67"/>
  <c r="F30" i="25"/>
  <c r="D59" i="69"/>
  <c r="F47" i="69"/>
  <c r="F48" i="69" s="1"/>
  <c r="D94" i="91"/>
  <c r="F82" i="91"/>
  <c r="F83" i="91" s="1"/>
  <c r="D91" i="85"/>
  <c r="F79" i="85"/>
  <c r="D43" i="23"/>
  <c r="F31" i="23"/>
  <c r="F32" i="23" s="1"/>
  <c r="D78" i="75"/>
  <c r="F66" i="75"/>
  <c r="F67" i="75" s="1"/>
  <c r="D114" i="87"/>
  <c r="H77" i="87"/>
  <c r="H78" i="87" s="1"/>
  <c r="H92" i="87"/>
  <c r="D106" i="73"/>
  <c r="H69" i="73"/>
  <c r="H70" i="73" s="1"/>
  <c r="H84" i="73"/>
  <c r="D101" i="99"/>
  <c r="F89" i="99"/>
  <c r="H90" i="84"/>
  <c r="D112" i="84"/>
  <c r="H75" i="84"/>
  <c r="H76" i="84" s="1"/>
  <c r="D84" i="81"/>
  <c r="F72" i="81"/>
  <c r="F73" i="81" s="1"/>
  <c r="F24" i="32"/>
  <c r="D140" i="116"/>
  <c r="H118" i="116"/>
  <c r="H103" i="116"/>
  <c r="H104" i="116" s="1"/>
  <c r="H84" i="93"/>
  <c r="H85" i="93" s="1"/>
  <c r="H99" i="93"/>
  <c r="D121" i="93"/>
  <c r="D80" i="74"/>
  <c r="F68" i="74"/>
  <c r="F69" i="74" s="1"/>
  <c r="F26" i="28"/>
  <c r="F27" i="28" s="1"/>
  <c r="D38" i="28"/>
  <c r="D97" i="94"/>
  <c r="F85" i="94"/>
  <c r="F86" i="94" s="1"/>
  <c r="F39" i="53"/>
  <c r="F40" i="53" s="1"/>
  <c r="D51" i="53"/>
  <c r="H105" i="119"/>
  <c r="H106" i="119" s="1"/>
  <c r="D142" i="119"/>
  <c r="H120" i="119"/>
  <c r="H73" i="82"/>
  <c r="H74" i="82" s="1"/>
  <c r="D110" i="82"/>
  <c r="H88" i="82"/>
  <c r="H98" i="110"/>
  <c r="H99" i="110" s="1"/>
  <c r="H113" i="110"/>
  <c r="D135" i="110"/>
  <c r="F50" i="67"/>
  <c r="D109" i="109"/>
  <c r="F97" i="109"/>
  <c r="F98" i="109" s="1"/>
  <c r="D40" i="26"/>
  <c r="F28" i="26"/>
  <c r="F29" i="26" s="1"/>
  <c r="F65" i="77"/>
  <c r="F80" i="85"/>
  <c r="D116" i="117"/>
  <c r="F104" i="117"/>
  <c r="F105" i="117" s="1"/>
  <c r="D108" i="108"/>
  <c r="F96" i="108"/>
  <c r="F97" i="108" s="1"/>
  <c r="F90" i="99"/>
  <c r="F16" i="43"/>
  <c r="F17" i="43" s="1"/>
  <c r="D28" i="43"/>
  <c r="D123" i="96"/>
  <c r="H86" i="96"/>
  <c r="H87" i="96" s="1"/>
  <c r="H101" i="96"/>
  <c r="D100" i="98"/>
  <c r="F88" i="98"/>
  <c r="F89" i="98" s="1"/>
  <c r="D95" i="92"/>
  <c r="F83" i="92"/>
  <c r="F84" i="92" s="1"/>
  <c r="H86" i="71"/>
  <c r="D108" i="71"/>
  <c r="H71" i="71"/>
  <c r="H72" i="71" s="1"/>
  <c r="D64" i="63"/>
  <c r="F52" i="63"/>
  <c r="F53" i="63" s="1"/>
  <c r="F24" i="31"/>
  <c r="F25" i="31" s="1"/>
  <c r="D36" i="31"/>
  <c r="D32" i="35"/>
  <c r="F20" i="35"/>
  <c r="F21" i="35" s="1"/>
  <c r="H63" i="45"/>
  <c r="D77" i="45"/>
  <c r="D80" i="45" s="1"/>
  <c r="D81" i="45" s="1"/>
  <c r="H60" i="21"/>
  <c r="D74" i="21"/>
  <c r="D77" i="21" s="1"/>
  <c r="D78" i="21" s="1"/>
  <c r="D82" i="52"/>
  <c r="D85" i="52" s="1"/>
  <c r="D86" i="52" s="1"/>
  <c r="D92" i="65"/>
  <c r="D95" i="65" s="1"/>
  <c r="D96" i="65" s="1"/>
  <c r="D83" i="51"/>
  <c r="D86" i="51" s="1"/>
  <c r="D87" i="51" s="1"/>
  <c r="D112" i="76"/>
  <c r="D114" i="78" l="1"/>
  <c r="H42" i="38"/>
  <c r="H43" i="38" s="1"/>
  <c r="D56" i="38"/>
  <c r="D59" i="38" s="1"/>
  <c r="D60" i="38" s="1"/>
  <c r="H47" i="37"/>
  <c r="D61" i="37"/>
  <c r="D64" i="37" s="1"/>
  <c r="D65" i="37" s="1"/>
  <c r="F59" i="45"/>
  <c r="F72" i="68"/>
  <c r="D76" i="20"/>
  <c r="D79" i="20" s="1"/>
  <c r="D80" i="20" s="1"/>
  <c r="H62" i="20"/>
  <c r="H85" i="73"/>
  <c r="H102" i="96"/>
  <c r="H97" i="90"/>
  <c r="H66" i="54"/>
  <c r="D80" i="54"/>
  <c r="D83" i="54" s="1"/>
  <c r="D84" i="54" s="1"/>
  <c r="H96" i="78"/>
  <c r="H83" i="78"/>
  <c r="F51" i="27"/>
  <c r="F57" i="22"/>
  <c r="H70" i="61"/>
  <c r="H58" i="49"/>
  <c r="H71" i="49"/>
  <c r="H106" i="100"/>
  <c r="H35" i="37"/>
  <c r="H64" i="45"/>
  <c r="H51" i="45"/>
  <c r="H118" i="100"/>
  <c r="D132" i="100"/>
  <c r="D135" i="100" s="1"/>
  <c r="D136" i="100" s="1"/>
  <c r="H43" i="44"/>
  <c r="D57" i="44"/>
  <c r="D60" i="44" s="1"/>
  <c r="D61" i="44" s="1"/>
  <c r="H92" i="88"/>
  <c r="H61" i="46"/>
  <c r="H74" i="46"/>
  <c r="H46" i="24"/>
  <c r="H62" i="22"/>
  <c r="H49" i="22"/>
  <c r="F41" i="42"/>
  <c r="F54" i="24"/>
  <c r="H108" i="104"/>
  <c r="H73" i="58"/>
  <c r="H50" i="20"/>
  <c r="H91" i="84"/>
  <c r="F80" i="59"/>
  <c r="H119" i="116"/>
  <c r="H115" i="111"/>
  <c r="H103" i="97"/>
  <c r="H69" i="52"/>
  <c r="H33" i="42"/>
  <c r="H61" i="21"/>
  <c r="H48" i="21"/>
  <c r="H54" i="54"/>
  <c r="H37" i="34"/>
  <c r="H30" i="38"/>
  <c r="H121" i="119"/>
  <c r="H87" i="57"/>
  <c r="H74" i="57"/>
  <c r="F78" i="61"/>
  <c r="H100" i="93"/>
  <c r="F69" i="46"/>
  <c r="H45" i="42"/>
  <c r="H46" i="42" s="1"/>
  <c r="D59" i="42"/>
  <c r="D62" i="42" s="1"/>
  <c r="D63" i="42" s="1"/>
  <c r="H114" i="110"/>
  <c r="H49" i="34"/>
  <c r="H50" i="34" s="1"/>
  <c r="D63" i="34"/>
  <c r="D66" i="34" s="1"/>
  <c r="D67" i="34" s="1"/>
  <c r="H58" i="24"/>
  <c r="H59" i="24" s="1"/>
  <c r="D72" i="24"/>
  <c r="D75" i="24" s="1"/>
  <c r="D76" i="24" s="1"/>
  <c r="H82" i="61"/>
  <c r="H83" i="61" s="1"/>
  <c r="D96" i="61"/>
  <c r="D99" i="61" s="1"/>
  <c r="H90" i="83"/>
  <c r="H103" i="83"/>
  <c r="F81" i="58"/>
  <c r="H56" i="52"/>
  <c r="H84" i="112"/>
  <c r="H71" i="112"/>
  <c r="H31" i="44"/>
  <c r="H87" i="71"/>
  <c r="H80" i="64"/>
  <c r="H93" i="87"/>
  <c r="H85" i="58"/>
  <c r="H86" i="58" s="1"/>
  <c r="D99" i="58"/>
  <c r="D102" i="58" s="1"/>
  <c r="F88" i="77"/>
  <c r="H66" i="55"/>
  <c r="H53" i="55"/>
  <c r="H43" i="27"/>
  <c r="H89" i="82"/>
  <c r="H123" i="121"/>
  <c r="H136" i="121"/>
  <c r="F45" i="34"/>
  <c r="H55" i="27"/>
  <c r="D69" i="27"/>
  <c r="D72" i="27" s="1"/>
  <c r="D73" i="27" s="1"/>
  <c r="H67" i="64"/>
  <c r="H110" i="106"/>
  <c r="H72" i="48"/>
  <c r="H59" i="48"/>
  <c r="H86" i="72"/>
  <c r="H99" i="72"/>
  <c r="H72" i="59"/>
  <c r="H81" i="76"/>
  <c r="H94" i="76"/>
  <c r="H109" i="103"/>
  <c r="H79" i="65"/>
  <c r="H66" i="65"/>
  <c r="H70" i="51"/>
  <c r="H57" i="51"/>
  <c r="H96" i="89"/>
  <c r="H77" i="68"/>
  <c r="H64" i="68"/>
  <c r="H118" i="115"/>
  <c r="H84" i="59"/>
  <c r="D98" i="59"/>
  <c r="D101" i="59" s="1"/>
  <c r="H99" i="71"/>
  <c r="H100" i="71" s="1"/>
  <c r="D113" i="71"/>
  <c r="D116" i="71" s="1"/>
  <c r="D117" i="71" s="1"/>
  <c r="D53" i="43"/>
  <c r="H16" i="43"/>
  <c r="H17" i="43" s="1"/>
  <c r="H31" i="43"/>
  <c r="D133" i="108"/>
  <c r="H111" i="108"/>
  <c r="H112" i="108" s="1"/>
  <c r="H96" i="108"/>
  <c r="H97" i="108" s="1"/>
  <c r="H112" i="109"/>
  <c r="H113" i="109" s="1"/>
  <c r="H97" i="109"/>
  <c r="H98" i="109" s="1"/>
  <c r="D134" i="109"/>
  <c r="D76" i="53"/>
  <c r="H39" i="53"/>
  <c r="H40" i="53" s="1"/>
  <c r="H54" i="53"/>
  <c r="D63" i="28"/>
  <c r="H26" i="28"/>
  <c r="H27" i="28" s="1"/>
  <c r="H41" i="28"/>
  <c r="H42" i="28" s="1"/>
  <c r="H112" i="93"/>
  <c r="H113" i="93" s="1"/>
  <c r="D126" i="93"/>
  <c r="D129" i="93" s="1"/>
  <c r="D130" i="93" s="1"/>
  <c r="H105" i="87"/>
  <c r="H106" i="87" s="1"/>
  <c r="D119" i="87"/>
  <c r="D122" i="87" s="1"/>
  <c r="D123" i="87" s="1"/>
  <c r="H46" i="23"/>
  <c r="H47" i="23" s="1"/>
  <c r="H31" i="23"/>
  <c r="H32" i="23" s="1"/>
  <c r="D68" i="23"/>
  <c r="H82" i="91"/>
  <c r="H83" i="91" s="1"/>
  <c r="H97" i="91"/>
  <c r="H98" i="91" s="1"/>
  <c r="D119" i="91"/>
  <c r="H68" i="62"/>
  <c r="H69" i="62" s="1"/>
  <c r="H53" i="62"/>
  <c r="H54" i="62" s="1"/>
  <c r="D90" i="62"/>
  <c r="H130" i="115"/>
  <c r="H131" i="115" s="1"/>
  <c r="D144" i="115"/>
  <c r="D147" i="115" s="1"/>
  <c r="D148" i="115" s="1"/>
  <c r="D101" i="77"/>
  <c r="H79" i="77"/>
  <c r="H64" i="77"/>
  <c r="H65" i="77" s="1"/>
  <c r="H121" i="103"/>
  <c r="H122" i="103" s="1"/>
  <c r="D135" i="103"/>
  <c r="D138" i="103" s="1"/>
  <c r="D139" i="103" s="1"/>
  <c r="H40" i="29"/>
  <c r="H25" i="29"/>
  <c r="H26" i="29" s="1"/>
  <c r="D62" i="29"/>
  <c r="D120" i="92"/>
  <c r="H83" i="92"/>
  <c r="H84" i="92" s="1"/>
  <c r="H98" i="92"/>
  <c r="H99" i="92" s="1"/>
  <c r="D109" i="81"/>
  <c r="H87" i="81"/>
  <c r="H88" i="81" s="1"/>
  <c r="H72" i="81"/>
  <c r="H73" i="81" s="1"/>
  <c r="H97" i="73"/>
  <c r="H98" i="73" s="1"/>
  <c r="D111" i="73"/>
  <c r="D114" i="73" s="1"/>
  <c r="D115" i="73" s="1"/>
  <c r="H64" i="67"/>
  <c r="H65" i="67" s="1"/>
  <c r="D86" i="67"/>
  <c r="H49" i="67"/>
  <c r="H50" i="67" s="1"/>
  <c r="H122" i="106"/>
  <c r="H123" i="106" s="1"/>
  <c r="D136" i="106"/>
  <c r="D139" i="106" s="1"/>
  <c r="D140" i="106" s="1"/>
  <c r="H37" i="33"/>
  <c r="H38" i="33" s="1"/>
  <c r="D59" i="33"/>
  <c r="H22" i="33"/>
  <c r="H23" i="33" s="1"/>
  <c r="H115" i="113"/>
  <c r="D137" i="113"/>
  <c r="H100" i="113"/>
  <c r="H101" i="113" s="1"/>
  <c r="D115" i="86"/>
  <c r="H93" i="86"/>
  <c r="H78" i="86"/>
  <c r="H79" i="86" s="1"/>
  <c r="H35" i="35"/>
  <c r="H36" i="35" s="1"/>
  <c r="D57" i="35"/>
  <c r="H20" i="35"/>
  <c r="H21" i="35" s="1"/>
  <c r="H67" i="63"/>
  <c r="H52" i="63"/>
  <c r="H53" i="63" s="1"/>
  <c r="D89" i="63"/>
  <c r="D141" i="117"/>
  <c r="H119" i="117"/>
  <c r="H120" i="117" s="1"/>
  <c r="H104" i="117"/>
  <c r="H105" i="117" s="1"/>
  <c r="H43" i="26"/>
  <c r="H44" i="26" s="1"/>
  <c r="H28" i="26"/>
  <c r="H29" i="26" s="1"/>
  <c r="D65" i="26"/>
  <c r="H133" i="119"/>
  <c r="H134" i="119" s="1"/>
  <c r="D147" i="119"/>
  <c r="D150" i="119" s="1"/>
  <c r="D151" i="119" s="1"/>
  <c r="H131" i="116"/>
  <c r="H132" i="116" s="1"/>
  <c r="D145" i="116"/>
  <c r="D148" i="116" s="1"/>
  <c r="D149" i="116" s="1"/>
  <c r="H104" i="99"/>
  <c r="D126" i="99"/>
  <c r="H89" i="99"/>
  <c r="H90" i="99" s="1"/>
  <c r="H81" i="75"/>
  <c r="D103" i="75"/>
  <c r="H66" i="75"/>
  <c r="H67" i="75" s="1"/>
  <c r="H94" i="85"/>
  <c r="H95" i="85" s="1"/>
  <c r="H79" i="85"/>
  <c r="H80" i="85" s="1"/>
  <c r="D116" i="85"/>
  <c r="H38" i="32"/>
  <c r="H23" i="32"/>
  <c r="H24" i="32" s="1"/>
  <c r="D60" i="32"/>
  <c r="H109" i="90"/>
  <c r="H110" i="90" s="1"/>
  <c r="D123" i="90"/>
  <c r="D126" i="90" s="1"/>
  <c r="D127" i="90" s="1"/>
  <c r="H115" i="97"/>
  <c r="D129" i="97"/>
  <c r="D132" i="97" s="1"/>
  <c r="D133" i="97" s="1"/>
  <c r="H44" i="25"/>
  <c r="H45" i="25" s="1"/>
  <c r="D66" i="25"/>
  <c r="H29" i="25"/>
  <c r="H30" i="25" s="1"/>
  <c r="H46" i="70"/>
  <c r="H47" i="70" s="1"/>
  <c r="D83" i="70"/>
  <c r="H61" i="70"/>
  <c r="H62" i="70" s="1"/>
  <c r="D143" i="120"/>
  <c r="H106" i="120"/>
  <c r="H107" i="120" s="1"/>
  <c r="H121" i="120"/>
  <c r="H122" i="120" s="1"/>
  <c r="H120" i="104"/>
  <c r="H121" i="104" s="1"/>
  <c r="D134" i="104"/>
  <c r="D137" i="104" s="1"/>
  <c r="D138" i="104" s="1"/>
  <c r="H91" i="79"/>
  <c r="H92" i="79" s="1"/>
  <c r="H106" i="79"/>
  <c r="H107" i="79" s="1"/>
  <c r="D128" i="79"/>
  <c r="H126" i="122"/>
  <c r="H127" i="122" s="1"/>
  <c r="H111" i="122"/>
  <c r="H112" i="122" s="1"/>
  <c r="D148" i="122"/>
  <c r="H36" i="56"/>
  <c r="H37" i="56" s="1"/>
  <c r="D73" i="56"/>
  <c r="H51" i="56"/>
  <c r="H24" i="31"/>
  <c r="H25" i="31" s="1"/>
  <c r="D61" i="31"/>
  <c r="H39" i="31"/>
  <c r="H40" i="31" s="1"/>
  <c r="H103" i="98"/>
  <c r="H88" i="98"/>
  <c r="H89" i="98" s="1"/>
  <c r="D125" i="98"/>
  <c r="H114" i="96"/>
  <c r="D128" i="96"/>
  <c r="D131" i="96" s="1"/>
  <c r="D132" i="96" s="1"/>
  <c r="H126" i="110"/>
  <c r="H127" i="110" s="1"/>
  <c r="D140" i="110"/>
  <c r="D143" i="110" s="1"/>
  <c r="D144" i="110" s="1"/>
  <c r="H101" i="82"/>
  <c r="D115" i="82"/>
  <c r="D118" i="82" s="1"/>
  <c r="D119" i="82" s="1"/>
  <c r="D122" i="94"/>
  <c r="H85" i="94"/>
  <c r="H86" i="94" s="1"/>
  <c r="H100" i="94"/>
  <c r="H83" i="74"/>
  <c r="D105" i="74"/>
  <c r="H68" i="74"/>
  <c r="H69" i="74" s="1"/>
  <c r="H103" i="84"/>
  <c r="D117" i="84"/>
  <c r="D120" i="84" s="1"/>
  <c r="D121" i="84" s="1"/>
  <c r="H62" i="69"/>
  <c r="H63" i="69" s="1"/>
  <c r="D84" i="69"/>
  <c r="H47" i="69"/>
  <c r="H48" i="69" s="1"/>
  <c r="H127" i="111"/>
  <c r="H128" i="111" s="1"/>
  <c r="D141" i="111"/>
  <c r="D144" i="111" s="1"/>
  <c r="D145" i="111" s="1"/>
  <c r="D55" i="39"/>
  <c r="H33" i="39"/>
  <c r="H34" i="39" s="1"/>
  <c r="H18" i="39"/>
  <c r="H19" i="39" s="1"/>
  <c r="H59" i="47"/>
  <c r="H60" i="47" s="1"/>
  <c r="H44" i="47"/>
  <c r="H45" i="47" s="1"/>
  <c r="D81" i="47"/>
  <c r="H104" i="88"/>
  <c r="H105" i="88" s="1"/>
  <c r="D118" i="88"/>
  <c r="D121" i="88" s="1"/>
  <c r="D122" i="88" s="1"/>
  <c r="H108" i="89"/>
  <c r="H109" i="89" s="1"/>
  <c r="D122" i="89"/>
  <c r="D125" i="89" s="1"/>
  <c r="D126" i="89" s="1"/>
  <c r="H116" i="114"/>
  <c r="H117" i="114" s="1"/>
  <c r="H101" i="114"/>
  <c r="H102" i="114" s="1"/>
  <c r="D138" i="114"/>
  <c r="H110" i="107"/>
  <c r="H111" i="107" s="1"/>
  <c r="H95" i="107"/>
  <c r="H96" i="107" s="1"/>
  <c r="D132" i="107"/>
  <c r="H63" i="20" l="1"/>
  <c r="H41" i="29"/>
  <c r="H55" i="53"/>
  <c r="H48" i="37"/>
  <c r="H104" i="84"/>
  <c r="H101" i="94"/>
  <c r="H102" i="82"/>
  <c r="H115" i="96"/>
  <c r="H116" i="97"/>
  <c r="H94" i="86"/>
  <c r="H116" i="113"/>
  <c r="H32" i="43"/>
  <c r="H39" i="32"/>
  <c r="H105" i="99"/>
  <c r="H85" i="59"/>
  <c r="H84" i="74"/>
  <c r="H104" i="98"/>
  <c r="H52" i="56"/>
  <c r="H82" i="75"/>
  <c r="H68" i="63"/>
  <c r="H56" i="27"/>
  <c r="H119" i="100"/>
  <c r="D102" i="59"/>
  <c r="D103" i="59" s="1"/>
  <c r="H80" i="77"/>
  <c r="D100" i="61"/>
  <c r="D101" i="61" s="1"/>
  <c r="H67" i="54"/>
  <c r="H44" i="44"/>
  <c r="D103" i="58"/>
  <c r="D104" i="58" s="1"/>
  <c r="H129" i="114"/>
  <c r="H130" i="114" s="1"/>
  <c r="D143" i="114"/>
  <c r="D146" i="114" s="1"/>
  <c r="D147" i="114" s="1"/>
  <c r="H46" i="39"/>
  <c r="H47" i="39" s="1"/>
  <c r="D60" i="39"/>
  <c r="D63" i="39" s="1"/>
  <c r="D64" i="39" s="1"/>
  <c r="H75" i="69"/>
  <c r="H76" i="69" s="1"/>
  <c r="D89" i="69"/>
  <c r="D92" i="69" s="1"/>
  <c r="D93" i="69" s="1"/>
  <c r="H116" i="98"/>
  <c r="H117" i="98" s="1"/>
  <c r="D130" i="98"/>
  <c r="D133" i="98" s="1"/>
  <c r="D134" i="98" s="1"/>
  <c r="H52" i="31"/>
  <c r="H53" i="31" s="1"/>
  <c r="D66" i="31"/>
  <c r="D69" i="31" s="1"/>
  <c r="D70" i="31" s="1"/>
  <c r="H119" i="79"/>
  <c r="H120" i="79" s="1"/>
  <c r="D133" i="79"/>
  <c r="D136" i="79" s="1"/>
  <c r="D137" i="79" s="1"/>
  <c r="H57" i="25"/>
  <c r="H58" i="25" s="1"/>
  <c r="D71" i="25"/>
  <c r="D74" i="25" s="1"/>
  <c r="D75" i="25" s="1"/>
  <c r="H117" i="99"/>
  <c r="H118" i="99" s="1"/>
  <c r="D131" i="99"/>
  <c r="D134" i="99" s="1"/>
  <c r="D135" i="99" s="1"/>
  <c r="H80" i="63"/>
  <c r="H81" i="63" s="1"/>
  <c r="D94" i="63"/>
  <c r="D97" i="63" s="1"/>
  <c r="D98" i="63" s="1"/>
  <c r="D99" i="63" s="1"/>
  <c r="H48" i="35"/>
  <c r="H49" i="35" s="1"/>
  <c r="D62" i="35"/>
  <c r="D65" i="35" s="1"/>
  <c r="D66" i="35" s="1"/>
  <c r="H106" i="86"/>
  <c r="H107" i="86" s="1"/>
  <c r="D120" i="86"/>
  <c r="D123" i="86" s="1"/>
  <c r="D124" i="86" s="1"/>
  <c r="H100" i="81"/>
  <c r="H101" i="81" s="1"/>
  <c r="D114" i="81"/>
  <c r="D117" i="81" s="1"/>
  <c r="D118" i="81" s="1"/>
  <c r="H53" i="29"/>
  <c r="H54" i="29" s="1"/>
  <c r="D67" i="29"/>
  <c r="D70" i="29" s="1"/>
  <c r="D71" i="29" s="1"/>
  <c r="H59" i="23"/>
  <c r="H60" i="23" s="1"/>
  <c r="D73" i="23"/>
  <c r="D76" i="23" s="1"/>
  <c r="D77" i="23" s="1"/>
  <c r="H67" i="53"/>
  <c r="H68" i="53" s="1"/>
  <c r="D81" i="53"/>
  <c r="D84" i="53" s="1"/>
  <c r="D85" i="53" s="1"/>
  <c r="H123" i="107"/>
  <c r="H124" i="107" s="1"/>
  <c r="D137" i="107"/>
  <c r="D140" i="107" s="1"/>
  <c r="D141" i="107" s="1"/>
  <c r="H96" i="74"/>
  <c r="H97" i="74" s="1"/>
  <c r="D110" i="74"/>
  <c r="D113" i="74" s="1"/>
  <c r="D114" i="74" s="1"/>
  <c r="H113" i="94"/>
  <c r="H114" i="94" s="1"/>
  <c r="D127" i="94"/>
  <c r="D130" i="94" s="1"/>
  <c r="D131" i="94" s="1"/>
  <c r="H139" i="122"/>
  <c r="H140" i="122" s="1"/>
  <c r="D153" i="122"/>
  <c r="D156" i="122" s="1"/>
  <c r="D157" i="122" s="1"/>
  <c r="H74" i="70"/>
  <c r="H75" i="70" s="1"/>
  <c r="D88" i="70"/>
  <c r="D91" i="70" s="1"/>
  <c r="D92" i="70" s="1"/>
  <c r="H107" i="85"/>
  <c r="H108" i="85" s="1"/>
  <c r="D121" i="85"/>
  <c r="D124" i="85" s="1"/>
  <c r="D125" i="85" s="1"/>
  <c r="H94" i="75"/>
  <c r="H95" i="75" s="1"/>
  <c r="D108" i="75"/>
  <c r="D111" i="75" s="1"/>
  <c r="H50" i="33"/>
  <c r="H51" i="33" s="1"/>
  <c r="D64" i="33"/>
  <c r="D67" i="33" s="1"/>
  <c r="D68" i="33" s="1"/>
  <c r="H110" i="91"/>
  <c r="H111" i="91" s="1"/>
  <c r="D124" i="91"/>
  <c r="D127" i="91" s="1"/>
  <c r="D128" i="91" s="1"/>
  <c r="H54" i="28"/>
  <c r="H55" i="28" s="1"/>
  <c r="D68" i="28"/>
  <c r="D71" i="28" s="1"/>
  <c r="D72" i="28" s="1"/>
  <c r="H125" i="109"/>
  <c r="H126" i="109" s="1"/>
  <c r="D139" i="109"/>
  <c r="D142" i="109" s="1"/>
  <c r="D143" i="109" s="1"/>
  <c r="H44" i="43"/>
  <c r="H45" i="43" s="1"/>
  <c r="D58" i="43"/>
  <c r="D61" i="43" s="1"/>
  <c r="D62" i="43" s="1"/>
  <c r="H51" i="32"/>
  <c r="H52" i="32" s="1"/>
  <c r="D65" i="32"/>
  <c r="D68" i="32" s="1"/>
  <c r="D69" i="32" s="1"/>
  <c r="H56" i="26"/>
  <c r="H57" i="26" s="1"/>
  <c r="D70" i="26"/>
  <c r="D73" i="26" s="1"/>
  <c r="D74" i="26" s="1"/>
  <c r="H128" i="113"/>
  <c r="H129" i="113" s="1"/>
  <c r="D142" i="113"/>
  <c r="D145" i="113" s="1"/>
  <c r="D146" i="113" s="1"/>
  <c r="H77" i="67"/>
  <c r="H78" i="67" s="1"/>
  <c r="D91" i="67"/>
  <c r="D94" i="67" s="1"/>
  <c r="D95" i="67" s="1"/>
  <c r="H81" i="62"/>
  <c r="H82" i="62" s="1"/>
  <c r="D95" i="62"/>
  <c r="D98" i="62" s="1"/>
  <c r="H124" i="108"/>
  <c r="H125" i="108" s="1"/>
  <c r="D138" i="108"/>
  <c r="D141" i="108" s="1"/>
  <c r="D142" i="108" s="1"/>
  <c r="H72" i="47"/>
  <c r="H73" i="47" s="1"/>
  <c r="D86" i="47"/>
  <c r="D89" i="47" s="1"/>
  <c r="D90" i="47" s="1"/>
  <c r="H64" i="56"/>
  <c r="H65" i="56" s="1"/>
  <c r="D78" i="56"/>
  <c r="D81" i="56" s="1"/>
  <c r="D82" i="56" s="1"/>
  <c r="H134" i="120"/>
  <c r="H135" i="120" s="1"/>
  <c r="D148" i="120"/>
  <c r="D151" i="120" s="1"/>
  <c r="D152" i="120" s="1"/>
  <c r="H132" i="117"/>
  <c r="H133" i="117" s="1"/>
  <c r="D146" i="117"/>
  <c r="D149" i="117" s="1"/>
  <c r="D150" i="117" s="1"/>
  <c r="H111" i="92"/>
  <c r="H112" i="92" s="1"/>
  <c r="D125" i="92"/>
  <c r="D128" i="92" s="1"/>
  <c r="D129" i="92" s="1"/>
  <c r="H92" i="77"/>
  <c r="D106" i="77"/>
  <c r="D109" i="77" s="1"/>
  <c r="H93" i="77" l="1"/>
  <c r="D99" i="62"/>
  <c r="D100" i="62" s="1"/>
  <c r="D112" i="75"/>
  <c r="D113" i="75" s="1"/>
  <c r="D110" i="77"/>
  <c r="D111" i="77" s="1"/>
  <c r="F18" i="13" l="1"/>
  <c r="D54" i="13"/>
  <c r="F32" i="13"/>
  <c r="F33" i="13" s="1"/>
  <c r="F47" i="13" l="1"/>
  <c r="F23" i="13"/>
  <c r="F24" i="13" s="1"/>
  <c r="F19" i="13"/>
  <c r="C25" i="13" l="1"/>
  <c r="D25" i="13" l="1"/>
  <c r="F13" i="13"/>
  <c r="F14" i="13" s="1"/>
  <c r="H28" i="13" l="1"/>
  <c r="D50" i="13"/>
  <c r="H13" i="13"/>
  <c r="H14" i="13" l="1"/>
  <c r="F36" i="13" l="1"/>
  <c r="F37" i="13" l="1"/>
  <c r="H29" i="13" l="1"/>
  <c r="H41" i="13" l="1"/>
  <c r="H42" i="13" s="1"/>
  <c r="D55" i="13"/>
  <c r="D58" i="13" s="1"/>
  <c r="D59" i="13" s="1"/>
</calcChain>
</file>

<file path=xl/sharedStrings.xml><?xml version="1.0" encoding="utf-8"?>
<sst xmlns="http://schemas.openxmlformats.org/spreadsheetml/2006/main" count="6804" uniqueCount="63">
  <si>
    <t>Value of  WPU:</t>
  </si>
  <si>
    <t>Utah  State Supported Minimum School Program</t>
  </si>
  <si>
    <t>Recipient:</t>
  </si>
  <si>
    <t>Amount</t>
  </si>
  <si>
    <t>WPU</t>
  </si>
  <si>
    <t>Generated</t>
  </si>
  <si>
    <t>I:  BASIC SCHOOL PROGRAMS:</t>
  </si>
  <si>
    <t xml:space="preserve">   A:  REGULAR BASIC SCHOOL PROGRAMS</t>
  </si>
  <si>
    <t xml:space="preserve">            1.  Grades K-12</t>
  </si>
  <si>
    <t xml:space="preserve">   B.  RESTRICTED BASIC SCHOOL PROGRAM</t>
  </si>
  <si>
    <t xml:space="preserve">            1.  Special Education -- Add-On</t>
  </si>
  <si>
    <t xml:space="preserve">            2.  Special Education -- Self-Contained</t>
  </si>
  <si>
    <t xml:space="preserve">            3.  Special Education -- Pre-School</t>
  </si>
  <si>
    <t xml:space="preserve">            4.  Extended Yr. Pgm. -- Severely Disabled</t>
  </si>
  <si>
    <t xml:space="preserve">            2.  Professional Staff</t>
  </si>
  <si>
    <t>Charter School Summary</t>
  </si>
  <si>
    <t>TOTAL BASIC SCHOOL PROGRAM (A thru C):</t>
  </si>
  <si>
    <t xml:space="preserve">   II.  RELATED TO BASIC PROGRAM</t>
  </si>
  <si>
    <t xml:space="preserve">   III.  ONE-TIME </t>
  </si>
  <si>
    <t>Recipient Number:</t>
  </si>
  <si>
    <t>I:  NON-MINIUMUM SCHOOL PROGRAMS</t>
  </si>
  <si>
    <t>Total</t>
  </si>
  <si>
    <t xml:space="preserve">     A.  U-PASS Administration</t>
  </si>
  <si>
    <t>Total Regular Basic</t>
  </si>
  <si>
    <t>Total Special Ed</t>
  </si>
  <si>
    <t>Total Restricted</t>
  </si>
  <si>
    <t>Total MSP Basic</t>
  </si>
  <si>
    <t>Total At Risk</t>
  </si>
  <si>
    <t>Total Special Populations</t>
  </si>
  <si>
    <t>Total On-Going</t>
  </si>
  <si>
    <t>Total One Time</t>
  </si>
  <si>
    <t>Total MSP and One Time</t>
  </si>
  <si>
    <t xml:space="preserve">            3.  Foreign Exchange Students</t>
  </si>
  <si>
    <t xml:space="preserve">            1.  Flexible Allocation WPU Distribution</t>
  </si>
  <si>
    <t xml:space="preserve"> </t>
  </si>
  <si>
    <t xml:space="preserve">            2.  Enhancement for Accelerated Students</t>
  </si>
  <si>
    <t xml:space="preserve">            3.  Enhancement for At-Risk Students</t>
  </si>
  <si>
    <t xml:space="preserve">            5.  School LAND Trust</t>
  </si>
  <si>
    <t xml:space="preserve">            6.  School Nurses</t>
  </si>
  <si>
    <t xml:space="preserve">             1.  Teacher Supplies and Materials</t>
  </si>
  <si>
    <t xml:space="preserve">            7.  Early Intervention</t>
  </si>
  <si>
    <t xml:space="preserve">            8.  Local Replacement</t>
  </si>
  <si>
    <t xml:space="preserve">            9.  Educator Salary Adjustments</t>
  </si>
  <si>
    <t xml:space="preserve">          11.  Reading Achievement</t>
  </si>
  <si>
    <t xml:space="preserve">          10.  Charter Administrative Cost</t>
  </si>
  <si>
    <t xml:space="preserve">          12.  ParaEducator Funding</t>
  </si>
  <si>
    <t xml:space="preserve">          13.  Critical Languages Program/Dual Immersion Program</t>
  </si>
  <si>
    <t xml:space="preserve">          15.  Beverley Taylor Sorenseon Arts</t>
  </si>
  <si>
    <t xml:space="preserve">             2.  Special Education Intensive Services</t>
  </si>
  <si>
    <t xml:space="preserve">            8.  CTE -- Add-On</t>
  </si>
  <si>
    <t xml:space="preserve">            9.  Class Size Reduction -- K - 8th Grade</t>
  </si>
  <si>
    <t xml:space="preserve">          14.  Library Books and Electronic Resources</t>
  </si>
  <si>
    <t xml:space="preserve">            4.  Concurrent Enrollment</t>
  </si>
  <si>
    <t xml:space="preserve">          17.  USTAR</t>
  </si>
  <si>
    <t xml:space="preserve">            5.  Special Education --Impact Aid</t>
  </si>
  <si>
    <t xml:space="preserve">            6.  Special Ed - State Programs-Ext. Year for Special Educators</t>
  </si>
  <si>
    <t xml:space="preserve">            7.  State Programs Intensive Services</t>
  </si>
  <si>
    <t xml:space="preserve">          16.  Teacher Salary Supplement Restricted Account</t>
  </si>
  <si>
    <t>TOTAL FY 2017 FUNDING:</t>
  </si>
  <si>
    <t xml:space="preserve">          18.  Digital Teaching and Learning</t>
  </si>
  <si>
    <t xml:space="preserve">             3.  State Capitol Field Trips</t>
  </si>
  <si>
    <t xml:space="preserve">             4.  Digital Teaching and Learning</t>
  </si>
  <si>
    <t>FY 2017 MIDYEAR UPDATE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</si>
</sst>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$&quot;#,##0.00_);[Red]\(&quot;$&quot;#,##0.00\)"/>
    <numFmt numFmtId="42" formatCode="_(&quot;$&quot;* #,##0_);_(&quot;$&quot;* \(#,##0\);_(&quot;$&quot;* &quot;-&quot;_);_(@_)"/>
    <numFmt numFmtId="164" formatCode="#,###.000"/>
    <numFmt numFmtId="165" formatCode="#,##0;\(#,##0\)"/>
    <numFmt numFmtId="166" formatCode="&quot;$&quot;#,##0"/>
    <numFmt numFmtId="167" formatCode="0.000"/>
    <numFmt numFmtId="168" formatCode="_(* #,##0.000_);_(* \(#,##0.000\);_(* &quot;-&quot;???_);_(@_)"/>
  </numFmts>
  <fonts count="15" x14ac:knownFonts="1">
    <font>
      <sz val="10"/>
      <name val="MS Sans Serif"/>
    </font>
    <font>
      <sz val="8"/>
      <name val="MS Sans Serif"/>
      <family val="2"/>
    </font>
    <font>
      <sz val="8"/>
      <name val="MS Sans Serif"/>
      <family val="2"/>
    </font>
    <font>
      <sz val="10"/>
      <color rgb="FFFF0000"/>
      <name val="MS Sans Serif"/>
      <family val="2"/>
    </font>
    <font>
      <sz val="9"/>
      <color rgb="FFFF0000"/>
      <name val="Helv"/>
    </font>
    <font>
      <sz val="10"/>
      <color rgb="FFFF0000"/>
      <name val="MS Sans Serif"/>
    </font>
    <font>
      <sz val="10"/>
      <color rgb="FF000000"/>
      <name val="MS Sans Serif"/>
      <family val="2"/>
    </font>
    <font>
      <sz val="10"/>
      <color rgb="FF000000"/>
      <name val="MS Sans Serif"/>
    </font>
    <font>
      <b/>
      <sz val="10"/>
      <color rgb="FF000000"/>
      <name val="Helv"/>
    </font>
    <font>
      <sz val="9"/>
      <color rgb="FF000000"/>
      <name val="Helv"/>
    </font>
    <font>
      <b/>
      <sz val="9"/>
      <color rgb="FF000000"/>
      <name val="Helv"/>
    </font>
    <font>
      <b/>
      <sz val="12"/>
      <color rgb="FF000000"/>
      <name val="Helv"/>
    </font>
    <font>
      <sz val="9"/>
      <color rgb="FF000000"/>
      <name val="MS Sans Serif"/>
      <family val="2"/>
    </font>
    <font>
      <b/>
      <sz val="8"/>
      <color rgb="FF000000"/>
      <name val="Helv"/>
    </font>
    <font>
      <sz val="8"/>
      <color rgb="FF000000"/>
      <name val="Helv"/>
    </font>
  </fonts>
  <fills count="3">
    <fill>
      <patternFill patternType="none"/>
    </fill>
    <fill>
      <patternFill patternType="gray125"/>
    </fill>
    <fill>
      <patternFill patternType="solid">
        <fgColor rgb="FFFFFFCC"/>
      </patternFill>
    </fill>
  </fills>
  <borders count="18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double">
        <color rgb="FF000000"/>
      </bottom>
      <diagonal/>
    </border>
    <border>
      <left/>
      <right/>
      <top style="thin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</borders>
  <cellStyleXfs count="7">
    <xf numFmtId="0" fontId="7" fillId="0" borderId="0"/>
    <xf numFmtId="40" fontId="6" fillId="0" borderId="0" applyFont="0" applyFill="0" applyBorder="0" applyAlignment="0" applyProtection="0"/>
    <xf numFmtId="38" fontId="6" fillId="0" borderId="0" applyFont="0" applyFill="0" applyBorder="0" applyAlignment="0" applyProtection="0"/>
    <xf numFmtId="8" fontId="6" fillId="0" borderId="0" applyFont="0" applyFill="0" applyBorder="0" applyAlignment="0" applyProtection="0"/>
    <xf numFmtId="42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2" borderId="1" applyNumberFormat="0" applyFont="0" applyAlignment="0" applyProtection="0"/>
  </cellStyleXfs>
  <cellXfs count="90">
    <xf numFmtId="0" fontId="0" fillId="0" borderId="0" xfId="0"/>
    <xf numFmtId="0" fontId="3" fillId="0" borderId="0" xfId="0" applyFont="1"/>
    <xf numFmtId="3" fontId="3" fillId="0" borderId="0" xfId="0" applyNumberFormat="1" applyFont="1"/>
    <xf numFmtId="3" fontId="4" fillId="0" borderId="0" xfId="0" applyNumberFormat="1" applyFont="1"/>
    <xf numFmtId="0" fontId="4" fillId="0" borderId="0" xfId="0" applyFont="1"/>
    <xf numFmtId="164" fontId="4" fillId="0" borderId="0" xfId="2" applyNumberFormat="1" applyFont="1"/>
    <xf numFmtId="3" fontId="4" fillId="0" borderId="0" xfId="0" applyNumberFormat="1" applyFont="1" applyBorder="1" applyAlignment="1">
      <alignment horizontal="center"/>
    </xf>
    <xf numFmtId="0" fontId="5" fillId="0" borderId="0" xfId="0" applyFont="1"/>
    <xf numFmtId="39" fontId="3" fillId="0" borderId="0" xfId="0" applyNumberFormat="1" applyFont="1"/>
    <xf numFmtId="168" fontId="4" fillId="0" borderId="0" xfId="2" applyNumberFormat="1" applyFont="1"/>
    <xf numFmtId="168" fontId="3" fillId="0" borderId="0" xfId="0" applyNumberFormat="1" applyFont="1"/>
    <xf numFmtId="0" fontId="8" fillId="0" borderId="2" xfId="0" applyFont="1" applyFill="1" applyBorder="1" applyAlignment="1">
      <alignment horizontal="center"/>
    </xf>
    <xf numFmtId="0" fontId="8" fillId="0" borderId="3" xfId="0" applyFont="1" applyFill="1" applyBorder="1" applyAlignment="1">
      <alignment horizontal="center"/>
    </xf>
    <xf numFmtId="0" fontId="8" fillId="0" borderId="4" xfId="0" applyFont="1" applyFill="1" applyBorder="1" applyAlignment="1">
      <alignment horizontal="center"/>
    </xf>
    <xf numFmtId="0" fontId="8" fillId="0" borderId="5" xfId="0" applyFont="1" applyFill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6" xfId="0" applyFont="1" applyFill="1" applyBorder="1" applyAlignment="1">
      <alignment horizontal="center"/>
    </xf>
    <xf numFmtId="167" fontId="8" fillId="0" borderId="5" xfId="0" applyNumberFormat="1" applyFont="1" applyFill="1" applyBorder="1" applyAlignment="1">
      <alignment horizontal="center"/>
    </xf>
    <xf numFmtId="167" fontId="8" fillId="0" borderId="0" xfId="0" applyNumberFormat="1" applyFont="1" applyBorder="1" applyAlignment="1">
      <alignment horizontal="center"/>
    </xf>
    <xf numFmtId="167" fontId="8" fillId="0" borderId="6" xfId="0" applyNumberFormat="1" applyFont="1" applyFill="1" applyBorder="1" applyAlignment="1">
      <alignment horizontal="center"/>
    </xf>
    <xf numFmtId="0" fontId="9" fillId="0" borderId="5" xfId="0" quotePrefix="1" applyFont="1" applyFill="1" applyBorder="1" applyAlignment="1">
      <alignment horizontal="left"/>
    </xf>
    <xf numFmtId="3" fontId="10" fillId="0" borderId="0" xfId="0" quotePrefix="1" applyNumberFormat="1" applyFont="1" applyBorder="1" applyAlignment="1">
      <alignment horizontal="center"/>
    </xf>
    <xf numFmtId="168" fontId="8" fillId="0" borderId="0" xfId="0" applyNumberFormat="1" applyFont="1" applyBorder="1" applyAlignment="1">
      <alignment horizontal="centerContinuous"/>
    </xf>
    <xf numFmtId="39" fontId="6" fillId="0" borderId="6" xfId="0" applyNumberFormat="1" applyFont="1" applyFill="1" applyBorder="1" applyAlignment="1">
      <alignment horizontal="centerContinuous"/>
    </xf>
    <xf numFmtId="3" fontId="8" fillId="0" borderId="5" xfId="0" applyNumberFormat="1" applyFont="1" applyFill="1" applyBorder="1" applyAlignment="1">
      <alignment horizontal="right"/>
    </xf>
    <xf numFmtId="165" fontId="11" fillId="0" borderId="0" xfId="0" applyNumberFormat="1" applyFont="1" applyBorder="1" applyAlignment="1" applyProtection="1">
      <alignment horizontal="left"/>
    </xf>
    <xf numFmtId="168" fontId="6" fillId="0" borderId="0" xfId="0" applyNumberFormat="1" applyFont="1" applyBorder="1"/>
    <xf numFmtId="39" fontId="6" fillId="0" borderId="6" xfId="0" applyNumberFormat="1" applyFont="1" applyFill="1" applyBorder="1"/>
    <xf numFmtId="165" fontId="8" fillId="0" borderId="0" xfId="0" applyNumberFormat="1" applyFont="1" applyBorder="1" applyAlignment="1" applyProtection="1">
      <alignment horizontal="left"/>
    </xf>
    <xf numFmtId="0" fontId="9" fillId="0" borderId="5" xfId="0" applyFont="1" applyFill="1" applyBorder="1" applyAlignment="1">
      <alignment horizontal="right"/>
    </xf>
    <xf numFmtId="166" fontId="9" fillId="0" borderId="7" xfId="0" applyNumberFormat="1" applyFont="1" applyFill="1" applyBorder="1" applyAlignment="1" applyProtection="1">
      <alignment horizontal="center"/>
    </xf>
    <xf numFmtId="39" fontId="9" fillId="0" borderId="6" xfId="0" applyNumberFormat="1" applyFont="1" applyFill="1" applyBorder="1" applyAlignment="1">
      <alignment horizontal="centerContinuous"/>
    </xf>
    <xf numFmtId="0" fontId="4" fillId="0" borderId="5" xfId="0" applyFont="1" applyFill="1" applyBorder="1" applyAlignment="1">
      <alignment horizontal="right"/>
    </xf>
    <xf numFmtId="168" fontId="10" fillId="0" borderId="8" xfId="2" applyNumberFormat="1" applyFont="1" applyFill="1" applyBorder="1" applyAlignment="1">
      <alignment horizontal="centerContinuous"/>
    </xf>
    <xf numFmtId="39" fontId="10" fillId="0" borderId="8" xfId="0" applyNumberFormat="1" applyFont="1" applyFill="1" applyBorder="1" applyAlignment="1">
      <alignment horizontal="centerContinuous"/>
    </xf>
    <xf numFmtId="3" fontId="9" fillId="0" borderId="0" xfId="0" applyNumberFormat="1" applyFont="1" applyBorder="1" applyAlignment="1">
      <alignment horizontal="center"/>
    </xf>
    <xf numFmtId="168" fontId="10" fillId="0" borderId="9" xfId="2" applyNumberFormat="1" applyFont="1" applyFill="1" applyBorder="1" applyAlignment="1">
      <alignment horizontal="centerContinuous"/>
    </xf>
    <xf numFmtId="39" fontId="10" fillId="0" borderId="9" xfId="0" applyNumberFormat="1" applyFont="1" applyFill="1" applyBorder="1" applyAlignment="1">
      <alignment horizontal="centerContinuous"/>
    </xf>
    <xf numFmtId="0" fontId="10" fillId="0" borderId="10" xfId="0" quotePrefix="1" applyFont="1" applyFill="1" applyBorder="1" applyAlignment="1">
      <alignment horizontal="left"/>
    </xf>
    <xf numFmtId="0" fontId="9" fillId="0" borderId="11" xfId="0" applyFont="1" applyFill="1" applyBorder="1"/>
    <xf numFmtId="168" fontId="9" fillId="0" borderId="7" xfId="2" applyNumberFormat="1" applyFont="1" applyFill="1" applyBorder="1"/>
    <xf numFmtId="39" fontId="9" fillId="0" borderId="7" xfId="0" applyNumberFormat="1" applyFont="1" applyFill="1" applyBorder="1"/>
    <xf numFmtId="39" fontId="6" fillId="0" borderId="0" xfId="0" applyNumberFormat="1" applyFont="1"/>
    <xf numFmtId="0" fontId="9" fillId="0" borderId="0" xfId="0" applyFont="1" applyBorder="1"/>
    <xf numFmtId="168" fontId="9" fillId="0" borderId="7" xfId="0" applyNumberFormat="1" applyFont="1" applyFill="1" applyBorder="1" applyProtection="1"/>
    <xf numFmtId="39" fontId="9" fillId="0" borderId="7" xfId="1" applyNumberFormat="1" applyFont="1" applyFill="1" applyBorder="1" applyProtection="1"/>
    <xf numFmtId="168" fontId="4" fillId="0" borderId="7" xfId="2" applyNumberFormat="1" applyFont="1" applyFill="1" applyBorder="1"/>
    <xf numFmtId="39" fontId="4" fillId="0" borderId="7" xfId="0" applyNumberFormat="1" applyFont="1" applyFill="1" applyBorder="1"/>
    <xf numFmtId="0" fontId="9" fillId="0" borderId="5" xfId="0" applyFont="1" applyFill="1" applyBorder="1"/>
    <xf numFmtId="39" fontId="9" fillId="0" borderId="7" xfId="1" applyNumberFormat="1" applyFont="1" applyFill="1" applyBorder="1"/>
    <xf numFmtId="0" fontId="10" fillId="0" borderId="10" xfId="0" applyFont="1" applyFill="1" applyBorder="1"/>
    <xf numFmtId="0" fontId="10" fillId="0" borderId="11" xfId="0" applyFont="1" applyFill="1" applyBorder="1" applyAlignment="1">
      <alignment horizontal="right"/>
    </xf>
    <xf numFmtId="168" fontId="10" fillId="0" borderId="7" xfId="2" applyNumberFormat="1" applyFont="1" applyFill="1" applyBorder="1"/>
    <xf numFmtId="39" fontId="10" fillId="0" borderId="7" xfId="2" applyNumberFormat="1" applyFont="1" applyFill="1" applyBorder="1"/>
    <xf numFmtId="0" fontId="10" fillId="0" borderId="7" xfId="0" quotePrefix="1" applyFont="1" applyFill="1" applyBorder="1" applyAlignment="1">
      <alignment horizontal="left"/>
    </xf>
    <xf numFmtId="168" fontId="4" fillId="0" borderId="11" xfId="2" applyNumberFormat="1" applyFont="1" applyFill="1" applyBorder="1"/>
    <xf numFmtId="168" fontId="9" fillId="0" borderId="0" xfId="2" applyNumberFormat="1" applyFont="1" applyBorder="1"/>
    <xf numFmtId="39" fontId="9" fillId="0" borderId="7" xfId="0" applyNumberFormat="1" applyFont="1" applyFill="1" applyBorder="1" applyAlignment="1" applyProtection="1">
      <alignment horizontal="right"/>
    </xf>
    <xf numFmtId="0" fontId="9" fillId="0" borderId="5" xfId="0" quotePrefix="1" applyFont="1" applyFill="1" applyBorder="1"/>
    <xf numFmtId="0" fontId="9" fillId="0" borderId="5" xfId="0" applyFont="1" applyFill="1" applyBorder="1" applyAlignment="1">
      <alignment horizontal="left"/>
    </xf>
    <xf numFmtId="39" fontId="12" fillId="0" borderId="7" xfId="0" applyNumberFormat="1" applyFont="1" applyFill="1" applyBorder="1"/>
    <xf numFmtId="0" fontId="9" fillId="0" borderId="12" xfId="0" applyFont="1" applyFill="1" applyBorder="1"/>
    <xf numFmtId="168" fontId="9" fillId="0" borderId="11" xfId="2" applyNumberFormat="1" applyFont="1" applyFill="1" applyBorder="1"/>
    <xf numFmtId="39" fontId="4" fillId="0" borderId="11" xfId="0" applyNumberFormat="1" applyFont="1" applyFill="1" applyBorder="1"/>
    <xf numFmtId="0" fontId="10" fillId="0" borderId="13" xfId="0" quotePrefix="1" applyFont="1" applyFill="1" applyBorder="1" applyAlignment="1">
      <alignment horizontal="left"/>
    </xf>
    <xf numFmtId="0" fontId="9" fillId="0" borderId="14" xfId="0" applyFont="1" applyFill="1" applyBorder="1"/>
    <xf numFmtId="168" fontId="9" fillId="0" borderId="14" xfId="2" applyNumberFormat="1" applyFont="1" applyFill="1" applyBorder="1"/>
    <xf numFmtId="39" fontId="13" fillId="0" borderId="15" xfId="3" applyNumberFormat="1" applyFont="1" applyFill="1" applyBorder="1"/>
    <xf numFmtId="0" fontId="14" fillId="0" borderId="5" xfId="0" quotePrefix="1" applyNumberFormat="1" applyFont="1" applyFill="1" applyBorder="1" applyAlignment="1">
      <alignment horizontal="left"/>
    </xf>
    <xf numFmtId="39" fontId="4" fillId="0" borderId="6" xfId="0" applyNumberFormat="1" applyFont="1" applyFill="1" applyBorder="1"/>
    <xf numFmtId="168" fontId="10" fillId="0" borderId="7" xfId="0" applyNumberFormat="1" applyFont="1" applyFill="1" applyBorder="1" applyAlignment="1">
      <alignment horizontal="center"/>
    </xf>
    <xf numFmtId="39" fontId="10" fillId="0" borderId="7" xfId="0" applyNumberFormat="1" applyFont="1" applyFill="1" applyBorder="1" applyAlignment="1">
      <alignment horizontal="center"/>
    </xf>
    <xf numFmtId="0" fontId="10" fillId="0" borderId="16" xfId="0" quotePrefix="1" applyFont="1" applyFill="1" applyBorder="1" applyAlignment="1">
      <alignment horizontal="left"/>
    </xf>
    <xf numFmtId="0" fontId="9" fillId="0" borderId="17" xfId="0" applyFont="1" applyFill="1" applyBorder="1"/>
    <xf numFmtId="168" fontId="9" fillId="0" borderId="7" xfId="0" applyNumberFormat="1" applyFont="1" applyFill="1" applyBorder="1"/>
    <xf numFmtId="0" fontId="10" fillId="0" borderId="10" xfId="0" applyFont="1" applyFill="1" applyBorder="1" applyAlignment="1">
      <alignment horizontal="left"/>
    </xf>
    <xf numFmtId="168" fontId="10" fillId="0" borderId="7" xfId="3" applyNumberFormat="1" applyFont="1" applyFill="1" applyBorder="1"/>
    <xf numFmtId="39" fontId="10" fillId="0" borderId="7" xfId="3" applyNumberFormat="1" applyFont="1" applyFill="1" applyBorder="1"/>
    <xf numFmtId="0" fontId="10" fillId="0" borderId="10" xfId="0" applyFont="1" applyFill="1" applyBorder="1" applyAlignment="1">
      <alignment horizontal="right"/>
    </xf>
    <xf numFmtId="0" fontId="10" fillId="0" borderId="12" xfId="0" applyFont="1" applyFill="1" applyBorder="1" applyAlignment="1">
      <alignment horizontal="right"/>
    </xf>
    <xf numFmtId="0" fontId="10" fillId="0" borderId="11" xfId="0" applyFont="1" applyFill="1" applyBorder="1" applyAlignment="1">
      <alignment horizontal="right"/>
    </xf>
    <xf numFmtId="39" fontId="9" fillId="0" borderId="0" xfId="0" applyNumberFormat="1" applyFont="1"/>
    <xf numFmtId="0" fontId="6" fillId="0" borderId="0" xfId="0" applyFont="1"/>
    <xf numFmtId="168" fontId="6" fillId="0" borderId="0" xfId="0" applyNumberFormat="1" applyFont="1"/>
    <xf numFmtId="0" fontId="9" fillId="0" borderId="0" xfId="0" applyFont="1"/>
    <xf numFmtId="168" fontId="9" fillId="0" borderId="0" xfId="2" applyNumberFormat="1" applyFont="1"/>
    <xf numFmtId="39" fontId="9" fillId="0" borderId="6" xfId="0" applyNumberFormat="1" applyFont="1" applyFill="1" applyBorder="1"/>
    <xf numFmtId="39" fontId="9" fillId="0" borderId="11" xfId="0" applyNumberFormat="1" applyFont="1" applyFill="1" applyBorder="1"/>
    <xf numFmtId="165" fontId="11" fillId="0" borderId="6" xfId="0" applyNumberFormat="1" applyFont="1" applyFill="1" applyBorder="1" applyAlignment="1" applyProtection="1">
      <alignment horizontal="left"/>
    </xf>
    <xf numFmtId="0" fontId="7" fillId="0" borderId="0" xfId="0" applyFont="1"/>
  </cellXfs>
  <cellStyles count="7">
    <cellStyle name="Comma" xfId="1" builtinId="3" customBuiltin="1"/>
    <cellStyle name="Comma [0]" xfId="2" builtinId="6" customBuiltin="1"/>
    <cellStyle name="Currency" xfId="3" builtinId="4" customBuiltin="1"/>
    <cellStyle name="Currency [0]" xfId="4" builtinId="7" customBuiltin="1"/>
    <cellStyle name="Normal" xfId="0" builtinId="0" customBuiltin="1"/>
    <cellStyle name="Note" xfId="6" builtinId="10" customBuiltin="1"/>
    <cellStyle name="Percent" xfId="5" builtinId="5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calcChain" Target="calcChain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externalLink" Target="externalLinks/externalLink4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externalLink" Target="externalLinks/externalLink5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externalLink" Target="externalLinks/externalLink1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externalLink" Target="externalLinks/externalLink2.xml"/><Relationship Id="rId115" Type="http://schemas.openxmlformats.org/officeDocument/2006/relationships/styles" Target="style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externalLink" Target="externalLinks/externalLink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MSP17\MSP17%20Final\1MSP_Final%20Update-FY17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MSP17\MSP17%20Final\3MSP_Final%20Update-FY17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MSP17\MSP17%20Final\2MSP_Final%20Update-FY17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MSP17\MSP17%20Final\4MSP_Final%20Update-FY17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MSP17\MSP17%20Final\Other%20State_Final%20Update-FY17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Charters"/>
      <sheetName val="1MSP_Final Update-FY17"/>
    </sheetNames>
    <sheetDataSet>
      <sheetData sheetId="0" refreshError="1"/>
      <sheetData sheetId="1">
        <row r="6">
          <cell r="E6">
            <v>3184</v>
          </cell>
        </row>
        <row r="8">
          <cell r="A8">
            <v>68</v>
          </cell>
          <cell r="B8" t="str">
            <v>Ogden Preparatory Academy</v>
          </cell>
        </row>
        <row r="9">
          <cell r="A9">
            <v>74</v>
          </cell>
          <cell r="B9" t="str">
            <v>American Preparatory Academy</v>
          </cell>
        </row>
        <row r="10">
          <cell r="A10">
            <v>81</v>
          </cell>
          <cell r="B10" t="str">
            <v>Walden School of Liberal Arts</v>
          </cell>
        </row>
        <row r="11">
          <cell r="A11">
            <v>82</v>
          </cell>
          <cell r="B11" t="str">
            <v>Freedom Preparatory Academy</v>
          </cell>
        </row>
        <row r="12">
          <cell r="A12">
            <v>83</v>
          </cell>
          <cell r="B12" t="str">
            <v>Acad for Math Engineering Sci</v>
          </cell>
        </row>
        <row r="13">
          <cell r="A13">
            <v>86</v>
          </cell>
          <cell r="B13" t="str">
            <v>Pinnacle Canyon Academy</v>
          </cell>
        </row>
        <row r="14">
          <cell r="A14">
            <v>87</v>
          </cell>
          <cell r="B14" t="str">
            <v>City Academy</v>
          </cell>
        </row>
        <row r="15">
          <cell r="A15">
            <v>89</v>
          </cell>
          <cell r="B15" t="str">
            <v>Soldier Hollow Charter School</v>
          </cell>
        </row>
        <row r="16">
          <cell r="A16">
            <v>90</v>
          </cell>
          <cell r="B16" t="str">
            <v>Tuacahn HS for Performing Arts</v>
          </cell>
        </row>
        <row r="17">
          <cell r="A17">
            <v>92</v>
          </cell>
          <cell r="B17" t="str">
            <v>Uintah River High School</v>
          </cell>
        </row>
        <row r="18">
          <cell r="A18">
            <v>93</v>
          </cell>
          <cell r="B18" t="str">
            <v>John Hancock Charter School</v>
          </cell>
        </row>
        <row r="19">
          <cell r="A19">
            <v>94</v>
          </cell>
          <cell r="B19" t="str">
            <v>Thomas Edison Charter School</v>
          </cell>
        </row>
        <row r="20">
          <cell r="A20">
            <v>95</v>
          </cell>
          <cell r="B20" t="str">
            <v>Timpanogos Academy</v>
          </cell>
        </row>
        <row r="21">
          <cell r="A21">
            <v>97</v>
          </cell>
          <cell r="B21" t="str">
            <v>Salt Lake Arts Academy</v>
          </cell>
        </row>
        <row r="22">
          <cell r="A22">
            <v>98</v>
          </cell>
          <cell r="B22" t="str">
            <v>Fast Forward Charter HS</v>
          </cell>
        </row>
        <row r="23">
          <cell r="A23" t="str">
            <v>A1</v>
          </cell>
          <cell r="B23" t="str">
            <v>NUAMES</v>
          </cell>
        </row>
        <row r="24">
          <cell r="A24" t="str">
            <v>A2</v>
          </cell>
          <cell r="B24" t="str">
            <v>The Ranches Academy</v>
          </cell>
        </row>
        <row r="25">
          <cell r="A25" t="str">
            <v>A3</v>
          </cell>
          <cell r="B25" t="str">
            <v>DaVinci Acad of Science Arts</v>
          </cell>
        </row>
        <row r="26">
          <cell r="A26" t="str">
            <v>A4</v>
          </cell>
          <cell r="B26" t="str">
            <v>Summit Academy</v>
          </cell>
        </row>
        <row r="27">
          <cell r="A27" t="str">
            <v>A5</v>
          </cell>
          <cell r="B27" t="str">
            <v>Itineris Early College HS</v>
          </cell>
        </row>
        <row r="28">
          <cell r="A28" t="str">
            <v>A6</v>
          </cell>
          <cell r="B28" t="str">
            <v>North Davis Prep Academy</v>
          </cell>
        </row>
        <row r="29">
          <cell r="A29" t="str">
            <v>A7</v>
          </cell>
          <cell r="B29" t="str">
            <v>Moab Charter School</v>
          </cell>
        </row>
        <row r="30">
          <cell r="A30" t="str">
            <v>A8</v>
          </cell>
          <cell r="B30" t="str">
            <v>East Hollywood High School</v>
          </cell>
        </row>
        <row r="31">
          <cell r="A31" t="str">
            <v>A9</v>
          </cell>
          <cell r="B31" t="str">
            <v>SUCCESS Academy</v>
          </cell>
        </row>
        <row r="32">
          <cell r="A32" t="str">
            <v>1B</v>
          </cell>
          <cell r="B32" t="str">
            <v>Utah County Academy of Science</v>
          </cell>
        </row>
        <row r="33">
          <cell r="A33" t="str">
            <v>2B</v>
          </cell>
          <cell r="B33" t="str">
            <v>Lincoln Academy</v>
          </cell>
        </row>
        <row r="34">
          <cell r="A34" t="str">
            <v>3B</v>
          </cell>
          <cell r="B34" t="str">
            <v>Beehive Science Tech Acad</v>
          </cell>
        </row>
        <row r="35">
          <cell r="A35" t="str">
            <v>4B</v>
          </cell>
          <cell r="B35" t="str">
            <v>Wasatch Peak Academy</v>
          </cell>
        </row>
        <row r="36">
          <cell r="A36" t="str">
            <v>5B</v>
          </cell>
          <cell r="B36" t="str">
            <v>North Star Academy</v>
          </cell>
        </row>
        <row r="37">
          <cell r="A37" t="str">
            <v>7B</v>
          </cell>
          <cell r="B37" t="str">
            <v>Ronald Reagan Academy</v>
          </cell>
        </row>
        <row r="38">
          <cell r="A38" t="str">
            <v>8B</v>
          </cell>
          <cell r="B38" t="str">
            <v>American Leadership Academy</v>
          </cell>
        </row>
        <row r="39">
          <cell r="A39" t="str">
            <v>9B</v>
          </cell>
          <cell r="B39" t="str">
            <v>Navigator Pointe Academy</v>
          </cell>
        </row>
        <row r="40">
          <cell r="A40" t="str">
            <v>1C</v>
          </cell>
          <cell r="B40" t="str">
            <v>Odyssey Charter School</v>
          </cell>
        </row>
        <row r="41">
          <cell r="A41" t="str">
            <v>2C</v>
          </cell>
          <cell r="B41" t="str">
            <v>InTech Collegiate High School</v>
          </cell>
        </row>
        <row r="42">
          <cell r="A42" t="str">
            <v>3C</v>
          </cell>
          <cell r="B42" t="str">
            <v>Entheos Academy</v>
          </cell>
        </row>
        <row r="43">
          <cell r="A43" t="str">
            <v>4C</v>
          </cell>
          <cell r="B43" t="str">
            <v>Lakeview Academy</v>
          </cell>
        </row>
        <row r="44">
          <cell r="A44" t="str">
            <v>5C</v>
          </cell>
          <cell r="B44" t="str">
            <v>Legacy Preparatory Academy</v>
          </cell>
        </row>
        <row r="45">
          <cell r="A45" t="str">
            <v>7C</v>
          </cell>
          <cell r="B45" t="str">
            <v>Monticello Academy</v>
          </cell>
        </row>
        <row r="46">
          <cell r="A46" t="str">
            <v>8C</v>
          </cell>
          <cell r="B46" t="str">
            <v>Mountainville Academy</v>
          </cell>
        </row>
        <row r="47">
          <cell r="A47" t="str">
            <v>9C</v>
          </cell>
          <cell r="B47" t="str">
            <v>Paradigm High School</v>
          </cell>
        </row>
        <row r="48">
          <cell r="A48" t="str">
            <v>1D</v>
          </cell>
          <cell r="B48" t="str">
            <v>Renaissance Academy</v>
          </cell>
        </row>
        <row r="49">
          <cell r="A49" t="str">
            <v>2D</v>
          </cell>
          <cell r="B49" t="str">
            <v>Channing Hall</v>
          </cell>
        </row>
        <row r="50">
          <cell r="A50" t="str">
            <v>3D</v>
          </cell>
          <cell r="B50" t="str">
            <v>Spectrum Academy</v>
          </cell>
        </row>
        <row r="51">
          <cell r="A51" t="str">
            <v>4D</v>
          </cell>
          <cell r="B51" t="str">
            <v>Syracuse Arts Academy</v>
          </cell>
        </row>
        <row r="52">
          <cell r="A52" t="str">
            <v>5D</v>
          </cell>
          <cell r="B52" t="str">
            <v>George Washington Academy</v>
          </cell>
        </row>
        <row r="53">
          <cell r="A53" t="str">
            <v>6D</v>
          </cell>
          <cell r="B53" t="str">
            <v>Noah Webster Academy</v>
          </cell>
        </row>
        <row r="59">
          <cell r="A59" t="str">
            <v>7D</v>
          </cell>
          <cell r="B59" t="str">
            <v>Salt Lake Schl Performing Arts</v>
          </cell>
        </row>
        <row r="60">
          <cell r="A60" t="str">
            <v>8D</v>
          </cell>
          <cell r="B60" t="str">
            <v>Open Classroom</v>
          </cell>
        </row>
        <row r="61">
          <cell r="A61" t="str">
            <v>9D</v>
          </cell>
          <cell r="B61" t="str">
            <v>Canyon Rim Academy</v>
          </cell>
        </row>
        <row r="62">
          <cell r="A62" t="str">
            <v>1E</v>
          </cell>
          <cell r="B62" t="str">
            <v>Guadalupe School</v>
          </cell>
        </row>
        <row r="63">
          <cell r="A63" t="str">
            <v>2E</v>
          </cell>
          <cell r="B63" t="str">
            <v>Karl G Maeser Prep Academy</v>
          </cell>
        </row>
        <row r="64">
          <cell r="A64" t="str">
            <v>3E</v>
          </cell>
          <cell r="B64" t="str">
            <v>C.S. Lewis Academy</v>
          </cell>
        </row>
        <row r="65">
          <cell r="A65" t="str">
            <v>4E</v>
          </cell>
          <cell r="B65" t="str">
            <v>Dual Immersion Academy</v>
          </cell>
        </row>
        <row r="66">
          <cell r="A66" t="str">
            <v>5E</v>
          </cell>
          <cell r="B66" t="str">
            <v>Edith Bowen Laboratory School</v>
          </cell>
        </row>
        <row r="67">
          <cell r="A67" t="str">
            <v>7E</v>
          </cell>
          <cell r="B67" t="str">
            <v>Gateway Preparatory Academy</v>
          </cell>
        </row>
        <row r="68">
          <cell r="A68" t="str">
            <v>8E</v>
          </cell>
          <cell r="B68" t="str">
            <v>Merit College Preparatory Acad</v>
          </cell>
        </row>
        <row r="69">
          <cell r="A69" t="str">
            <v>9E</v>
          </cell>
          <cell r="B69" t="str">
            <v>Providence Hall</v>
          </cell>
        </row>
        <row r="70">
          <cell r="A70" t="str">
            <v>1F</v>
          </cell>
          <cell r="B70" t="str">
            <v>Quest Academy</v>
          </cell>
        </row>
        <row r="71">
          <cell r="A71" t="str">
            <v>2F</v>
          </cell>
          <cell r="B71" t="str">
            <v>Rockwell Charter High School</v>
          </cell>
        </row>
        <row r="72">
          <cell r="A72" t="str">
            <v>3F</v>
          </cell>
          <cell r="B72" t="str">
            <v>Venture Academy</v>
          </cell>
        </row>
        <row r="73">
          <cell r="A73" t="str">
            <v>4F</v>
          </cell>
          <cell r="B73" t="str">
            <v>Salt Lake Center Sci Education</v>
          </cell>
        </row>
        <row r="74">
          <cell r="A74" t="str">
            <v>5F</v>
          </cell>
          <cell r="B74" t="str">
            <v>Utah Virtual Academy</v>
          </cell>
        </row>
        <row r="75">
          <cell r="A75" t="str">
            <v>6F</v>
          </cell>
          <cell r="B75" t="str">
            <v>The Early Light Academy</v>
          </cell>
        </row>
        <row r="76">
          <cell r="A76" t="str">
            <v>7F</v>
          </cell>
          <cell r="B76" t="str">
            <v>Excelsior Academy</v>
          </cell>
        </row>
        <row r="77">
          <cell r="A77" t="str">
            <v>8F</v>
          </cell>
          <cell r="B77" t="str">
            <v>Hawthorn Academy</v>
          </cell>
        </row>
        <row r="78">
          <cell r="A78" t="str">
            <v>9F</v>
          </cell>
          <cell r="B78" t="str">
            <v>Mountain Heights Academy</v>
          </cell>
        </row>
        <row r="79">
          <cell r="A79" t="str">
            <v>1G</v>
          </cell>
          <cell r="B79" t="str">
            <v>Jefferson Academy</v>
          </cell>
        </row>
        <row r="80">
          <cell r="A80" t="str">
            <v>2G</v>
          </cell>
          <cell r="B80" t="str">
            <v>Vista Schl Performing Arts</v>
          </cell>
        </row>
        <row r="81">
          <cell r="A81" t="str">
            <v>3G</v>
          </cell>
          <cell r="B81" t="str">
            <v>Bear River Charter School</v>
          </cell>
        </row>
        <row r="82">
          <cell r="A82" t="str">
            <v>4G</v>
          </cell>
          <cell r="B82" t="str">
            <v>Maria Montessori Academy</v>
          </cell>
        </row>
        <row r="83">
          <cell r="A83" t="str">
            <v>5G</v>
          </cell>
          <cell r="B83" t="str">
            <v>Canyon Grove Academy</v>
          </cell>
        </row>
        <row r="84">
          <cell r="A84" t="str">
            <v>6G</v>
          </cell>
          <cell r="B84" t="str">
            <v>Weilenmann School of Discovery</v>
          </cell>
        </row>
        <row r="85">
          <cell r="A85" t="str">
            <v>7G</v>
          </cell>
          <cell r="B85" t="str">
            <v>Summit Academy High School</v>
          </cell>
        </row>
        <row r="86">
          <cell r="A86" t="str">
            <v>8G</v>
          </cell>
          <cell r="B86" t="str">
            <v>Good Foundations Academy</v>
          </cell>
        </row>
        <row r="87">
          <cell r="A87" t="str">
            <v>2H</v>
          </cell>
          <cell r="B87" t="str">
            <v>Utah Connections Academy</v>
          </cell>
        </row>
        <row r="88">
          <cell r="A88" t="str">
            <v>3H</v>
          </cell>
          <cell r="B88" t="str">
            <v>Endeavor Hall</v>
          </cell>
        </row>
        <row r="89">
          <cell r="A89" t="str">
            <v>4H</v>
          </cell>
          <cell r="B89" t="str">
            <v>Aristotle Academy</v>
          </cell>
        </row>
        <row r="90">
          <cell r="A90" t="str">
            <v>5H</v>
          </cell>
          <cell r="B90" t="str">
            <v>HighMark Charter School</v>
          </cell>
        </row>
        <row r="91">
          <cell r="A91" t="str">
            <v>6H</v>
          </cell>
          <cell r="B91" t="str">
            <v>Promontory School</v>
          </cell>
        </row>
        <row r="92">
          <cell r="A92" t="str">
            <v>7H</v>
          </cell>
          <cell r="B92" t="str">
            <v>Pacific Heritage Academy</v>
          </cell>
        </row>
        <row r="93">
          <cell r="A93" t="str">
            <v>8H</v>
          </cell>
          <cell r="B93" t="str">
            <v>Valley Academy</v>
          </cell>
        </row>
        <row r="94">
          <cell r="A94" t="str">
            <v>9H</v>
          </cell>
          <cell r="B94" t="str">
            <v>Pioneer HS for Performing Arts</v>
          </cell>
        </row>
        <row r="95">
          <cell r="A95" t="str">
            <v>1I</v>
          </cell>
          <cell r="B95" t="str">
            <v>Utah Intl Charter Schl</v>
          </cell>
        </row>
        <row r="96">
          <cell r="A96" t="str">
            <v>2I</v>
          </cell>
          <cell r="B96" t="str">
            <v>Esperanza Elem Charter School</v>
          </cell>
        </row>
        <row r="97">
          <cell r="A97" t="str">
            <v>3I</v>
          </cell>
          <cell r="B97" t="str">
            <v>Leadership Learning Academy</v>
          </cell>
        </row>
        <row r="98">
          <cell r="A98" t="str">
            <v>4I</v>
          </cell>
          <cell r="B98" t="str">
            <v>Mana Academy Charter School</v>
          </cell>
        </row>
        <row r="99">
          <cell r="A99" t="str">
            <v>5I</v>
          </cell>
          <cell r="B99" t="str">
            <v>Voyage Academy</v>
          </cell>
        </row>
        <row r="100">
          <cell r="A100" t="str">
            <v>7I</v>
          </cell>
          <cell r="B100" t="str">
            <v>Weber State Univ Charter Acad</v>
          </cell>
        </row>
        <row r="101">
          <cell r="A101" t="str">
            <v>8I</v>
          </cell>
          <cell r="B101" t="str">
            <v>Winter Sports School</v>
          </cell>
        </row>
        <row r="102">
          <cell r="A102" t="str">
            <v>9I</v>
          </cell>
          <cell r="B102" t="str">
            <v>Utah Career Path High</v>
          </cell>
        </row>
        <row r="108">
          <cell r="A108" t="str">
            <v>1J</v>
          </cell>
          <cell r="B108" t="str">
            <v>American Intl School of UT</v>
          </cell>
        </row>
        <row r="109">
          <cell r="A109" t="str">
            <v>2J</v>
          </cell>
          <cell r="B109" t="str">
            <v>Ascent Academies of Utah</v>
          </cell>
        </row>
        <row r="110">
          <cell r="A110" t="str">
            <v>3J</v>
          </cell>
          <cell r="B110" t="str">
            <v>Dixie Montessori Academy</v>
          </cell>
        </row>
        <row r="111">
          <cell r="A111" t="str">
            <v>4J</v>
          </cell>
          <cell r="B111" t="str">
            <v>Kairos Academy</v>
          </cell>
        </row>
        <row r="112">
          <cell r="A112" t="str">
            <v>5J</v>
          </cell>
          <cell r="B112" t="str">
            <v>Mountain West Montessori Acad</v>
          </cell>
        </row>
        <row r="113">
          <cell r="A113" t="str">
            <v>6J</v>
          </cell>
          <cell r="B113" t="str">
            <v>Scholar Academy</v>
          </cell>
        </row>
        <row r="114">
          <cell r="A114" t="str">
            <v>7J</v>
          </cell>
          <cell r="B114" t="str">
            <v>Greenwood</v>
          </cell>
        </row>
        <row r="115">
          <cell r="A115" t="str">
            <v>8J</v>
          </cell>
          <cell r="B115" t="str">
            <v>Terra Academy</v>
          </cell>
        </row>
        <row r="116">
          <cell r="A116" t="str">
            <v>9J</v>
          </cell>
          <cell r="B116" t="str">
            <v>Lumen Scholar Institute</v>
          </cell>
        </row>
        <row r="117">
          <cell r="A117" t="str">
            <v>1K</v>
          </cell>
          <cell r="B117" t="str">
            <v>Vanguard Academy</v>
          </cell>
        </row>
        <row r="118">
          <cell r="A118" t="str">
            <v>2K</v>
          </cell>
          <cell r="B118" t="str">
            <v>Utah Military Academy</v>
          </cell>
        </row>
        <row r="119">
          <cell r="A119" t="str">
            <v>3K</v>
          </cell>
          <cell r="B119" t="str">
            <v>Roots Charter High School</v>
          </cell>
        </row>
        <row r="120">
          <cell r="A120" t="str">
            <v>4K</v>
          </cell>
          <cell r="B120" t="str">
            <v>Athenian eAcademy</v>
          </cell>
        </row>
        <row r="121">
          <cell r="A121" t="str">
            <v>5K</v>
          </cell>
          <cell r="B121" t="str">
            <v>Wasatch Waldorf Academy</v>
          </cell>
        </row>
        <row r="122">
          <cell r="A122" t="str">
            <v>6K</v>
          </cell>
          <cell r="B122" t="str">
            <v>Franklin Discovery Academy</v>
          </cell>
        </row>
        <row r="123">
          <cell r="A123" t="str">
            <v>7K</v>
          </cell>
          <cell r="B123" t="str">
            <v>Wallace Stegner Academy</v>
          </cell>
        </row>
        <row r="124">
          <cell r="A124" t="str">
            <v>8K</v>
          </cell>
          <cell r="B124" t="str">
            <v>American Academy of Innovation</v>
          </cell>
        </row>
        <row r="125">
          <cell r="A125" t="str">
            <v>1L</v>
          </cell>
          <cell r="B125" t="str">
            <v>Athlos Academy</v>
          </cell>
        </row>
        <row r="161">
          <cell r="C161">
            <v>0</v>
          </cell>
          <cell r="E161">
            <v>0</v>
          </cell>
        </row>
        <row r="162">
          <cell r="C162">
            <v>0</v>
          </cell>
          <cell r="E162">
            <v>0</v>
          </cell>
        </row>
        <row r="163">
          <cell r="C163">
            <v>2</v>
          </cell>
          <cell r="E163">
            <v>6368</v>
          </cell>
        </row>
        <row r="164">
          <cell r="C164">
            <v>0</v>
          </cell>
          <cell r="E164">
            <v>0</v>
          </cell>
        </row>
        <row r="165">
          <cell r="C165">
            <v>0</v>
          </cell>
          <cell r="E165">
            <v>0</v>
          </cell>
        </row>
        <row r="166">
          <cell r="C166">
            <v>4</v>
          </cell>
          <cell r="E166">
            <v>12736</v>
          </cell>
        </row>
        <row r="167">
          <cell r="C167">
            <v>1</v>
          </cell>
          <cell r="E167">
            <v>3184</v>
          </cell>
        </row>
        <row r="168">
          <cell r="C168">
            <v>0</v>
          </cell>
          <cell r="E168">
            <v>0</v>
          </cell>
        </row>
        <row r="169">
          <cell r="C169">
            <v>1</v>
          </cell>
          <cell r="E169">
            <v>3184</v>
          </cell>
        </row>
        <row r="170">
          <cell r="C170">
            <v>0</v>
          </cell>
          <cell r="E170">
            <v>0</v>
          </cell>
        </row>
        <row r="171">
          <cell r="C171">
            <v>0</v>
          </cell>
          <cell r="E171">
            <v>0</v>
          </cell>
        </row>
        <row r="172">
          <cell r="C172">
            <v>0</v>
          </cell>
          <cell r="E172">
            <v>0</v>
          </cell>
        </row>
        <row r="173">
          <cell r="C173">
            <v>0</v>
          </cell>
          <cell r="E173">
            <v>0</v>
          </cell>
        </row>
        <row r="174">
          <cell r="C174">
            <v>0</v>
          </cell>
          <cell r="E174">
            <v>0</v>
          </cell>
        </row>
        <row r="175">
          <cell r="C175">
            <v>0</v>
          </cell>
          <cell r="E175">
            <v>0</v>
          </cell>
        </row>
        <row r="176">
          <cell r="C176">
            <v>0</v>
          </cell>
          <cell r="E176">
            <v>0</v>
          </cell>
        </row>
        <row r="177">
          <cell r="C177">
            <v>0</v>
          </cell>
          <cell r="E177">
            <v>0</v>
          </cell>
        </row>
        <row r="178">
          <cell r="C178">
            <v>0</v>
          </cell>
          <cell r="E178">
            <v>0</v>
          </cell>
        </row>
        <row r="179">
          <cell r="C179">
            <v>0</v>
          </cell>
          <cell r="E179">
            <v>0</v>
          </cell>
        </row>
        <row r="180">
          <cell r="C180">
            <v>0</v>
          </cell>
          <cell r="E180">
            <v>0</v>
          </cell>
        </row>
        <row r="181">
          <cell r="C181">
            <v>0</v>
          </cell>
          <cell r="E181">
            <v>0</v>
          </cell>
        </row>
        <row r="182">
          <cell r="C182">
            <v>0</v>
          </cell>
          <cell r="E182">
            <v>0</v>
          </cell>
        </row>
        <row r="183">
          <cell r="C183">
            <v>0</v>
          </cell>
          <cell r="E183">
            <v>0</v>
          </cell>
        </row>
        <row r="184">
          <cell r="C184">
            <v>0</v>
          </cell>
          <cell r="E184">
            <v>0</v>
          </cell>
        </row>
        <row r="185">
          <cell r="C185">
            <v>2</v>
          </cell>
          <cell r="E185">
            <v>6368</v>
          </cell>
        </row>
        <row r="186">
          <cell r="C186">
            <v>0</v>
          </cell>
          <cell r="E186">
            <v>0</v>
          </cell>
        </row>
        <row r="187">
          <cell r="C187">
            <v>0</v>
          </cell>
          <cell r="E187">
            <v>0</v>
          </cell>
        </row>
        <row r="188">
          <cell r="C188">
            <v>0</v>
          </cell>
          <cell r="E188">
            <v>0</v>
          </cell>
        </row>
        <row r="189">
          <cell r="C189">
            <v>0</v>
          </cell>
          <cell r="E189">
            <v>0</v>
          </cell>
        </row>
        <row r="190">
          <cell r="C190">
            <v>0</v>
          </cell>
          <cell r="E190">
            <v>0</v>
          </cell>
        </row>
        <row r="191">
          <cell r="C191">
            <v>2</v>
          </cell>
          <cell r="E191">
            <v>6368</v>
          </cell>
        </row>
        <row r="192">
          <cell r="C192">
            <v>0</v>
          </cell>
          <cell r="E192">
            <v>0</v>
          </cell>
        </row>
        <row r="193">
          <cell r="C193">
            <v>0</v>
          </cell>
          <cell r="E193">
            <v>0</v>
          </cell>
        </row>
        <row r="194">
          <cell r="C194">
            <v>0</v>
          </cell>
          <cell r="E194">
            <v>0</v>
          </cell>
        </row>
        <row r="195">
          <cell r="C195">
            <v>0</v>
          </cell>
          <cell r="E195">
            <v>0</v>
          </cell>
        </row>
        <row r="196">
          <cell r="C196">
            <v>0</v>
          </cell>
          <cell r="E196">
            <v>0</v>
          </cell>
        </row>
        <row r="197">
          <cell r="C197">
            <v>0</v>
          </cell>
          <cell r="E197">
            <v>0</v>
          </cell>
        </row>
        <row r="198">
          <cell r="C198">
            <v>0</v>
          </cell>
          <cell r="E198">
            <v>0</v>
          </cell>
        </row>
        <row r="199">
          <cell r="C199">
            <v>0</v>
          </cell>
          <cell r="E199">
            <v>0</v>
          </cell>
        </row>
        <row r="200">
          <cell r="C200">
            <v>0</v>
          </cell>
          <cell r="E200">
            <v>0</v>
          </cell>
        </row>
        <row r="201">
          <cell r="C201">
            <v>0</v>
          </cell>
          <cell r="E201">
            <v>0</v>
          </cell>
        </row>
        <row r="202">
          <cell r="C202">
            <v>0</v>
          </cell>
          <cell r="E202">
            <v>0</v>
          </cell>
        </row>
        <row r="203">
          <cell r="C203">
            <v>0</v>
          </cell>
          <cell r="E203">
            <v>0</v>
          </cell>
        </row>
        <row r="204">
          <cell r="C204">
            <v>0</v>
          </cell>
          <cell r="E204">
            <v>0</v>
          </cell>
        </row>
        <row r="205">
          <cell r="C205">
            <v>0</v>
          </cell>
          <cell r="E205">
            <v>0</v>
          </cell>
        </row>
        <row r="206">
          <cell r="C206">
            <v>0</v>
          </cell>
          <cell r="E206">
            <v>0</v>
          </cell>
        </row>
        <row r="212">
          <cell r="C212">
            <v>1</v>
          </cell>
          <cell r="E212">
            <v>3184</v>
          </cell>
        </row>
        <row r="213">
          <cell r="C213">
            <v>0</v>
          </cell>
          <cell r="E213">
            <v>0</v>
          </cell>
        </row>
        <row r="214">
          <cell r="C214">
            <v>0</v>
          </cell>
          <cell r="E214">
            <v>0</v>
          </cell>
        </row>
        <row r="215">
          <cell r="C215">
            <v>0</v>
          </cell>
          <cell r="E215">
            <v>0</v>
          </cell>
        </row>
        <row r="216">
          <cell r="C216">
            <v>0</v>
          </cell>
          <cell r="E216">
            <v>0</v>
          </cell>
        </row>
        <row r="217">
          <cell r="C217">
            <v>0</v>
          </cell>
          <cell r="E217">
            <v>0</v>
          </cell>
        </row>
        <row r="218">
          <cell r="C218">
            <v>0</v>
          </cell>
          <cell r="E218">
            <v>0</v>
          </cell>
        </row>
        <row r="219">
          <cell r="C219">
            <v>0</v>
          </cell>
          <cell r="E219">
            <v>0</v>
          </cell>
        </row>
        <row r="220">
          <cell r="C220">
            <v>0</v>
          </cell>
          <cell r="E220">
            <v>0</v>
          </cell>
        </row>
        <row r="221">
          <cell r="C221">
            <v>2</v>
          </cell>
          <cell r="E221">
            <v>6368</v>
          </cell>
        </row>
        <row r="222">
          <cell r="C222">
            <v>0</v>
          </cell>
          <cell r="E222">
            <v>0</v>
          </cell>
        </row>
        <row r="223">
          <cell r="C223">
            <v>0</v>
          </cell>
          <cell r="E223">
            <v>0</v>
          </cell>
        </row>
        <row r="224">
          <cell r="C224">
            <v>3</v>
          </cell>
          <cell r="E224">
            <v>9552</v>
          </cell>
        </row>
        <row r="225">
          <cell r="C225">
            <v>0</v>
          </cell>
          <cell r="E225">
            <v>0</v>
          </cell>
        </row>
        <row r="226">
          <cell r="C226">
            <v>3</v>
          </cell>
          <cell r="E226">
            <v>9552</v>
          </cell>
        </row>
        <row r="227">
          <cell r="C227">
            <v>0</v>
          </cell>
          <cell r="E227">
            <v>0</v>
          </cell>
        </row>
        <row r="228">
          <cell r="C228">
            <v>0</v>
          </cell>
          <cell r="E228">
            <v>0</v>
          </cell>
        </row>
        <row r="229">
          <cell r="C229">
            <v>0</v>
          </cell>
          <cell r="E229">
            <v>0</v>
          </cell>
        </row>
        <row r="230">
          <cell r="C230">
            <v>0</v>
          </cell>
          <cell r="E230">
            <v>0</v>
          </cell>
        </row>
        <row r="231">
          <cell r="C231">
            <v>0</v>
          </cell>
          <cell r="E231">
            <v>0</v>
          </cell>
        </row>
        <row r="232">
          <cell r="C232">
            <v>0</v>
          </cell>
          <cell r="E232">
            <v>0</v>
          </cell>
        </row>
        <row r="233">
          <cell r="C233">
            <v>0</v>
          </cell>
          <cell r="E233">
            <v>0</v>
          </cell>
        </row>
        <row r="234">
          <cell r="C234">
            <v>0</v>
          </cell>
          <cell r="E234">
            <v>0</v>
          </cell>
        </row>
        <row r="235">
          <cell r="C235">
            <v>0</v>
          </cell>
          <cell r="E235">
            <v>0</v>
          </cell>
        </row>
        <row r="236">
          <cell r="C236">
            <v>0</v>
          </cell>
          <cell r="E236">
            <v>0</v>
          </cell>
        </row>
        <row r="237">
          <cell r="C237">
            <v>0</v>
          </cell>
          <cell r="E237">
            <v>0</v>
          </cell>
        </row>
        <row r="238">
          <cell r="C238">
            <v>1</v>
          </cell>
          <cell r="E238">
            <v>3184</v>
          </cell>
        </row>
        <row r="239">
          <cell r="C239">
            <v>0</v>
          </cell>
          <cell r="E239">
            <v>0</v>
          </cell>
        </row>
        <row r="240">
          <cell r="C240">
            <v>0</v>
          </cell>
          <cell r="E240">
            <v>0</v>
          </cell>
        </row>
        <row r="241">
          <cell r="C241">
            <v>0</v>
          </cell>
          <cell r="E241">
            <v>0</v>
          </cell>
        </row>
        <row r="242">
          <cell r="C242">
            <v>0</v>
          </cell>
          <cell r="E242">
            <v>0</v>
          </cell>
        </row>
        <row r="243">
          <cell r="C243">
            <v>0</v>
          </cell>
          <cell r="E243">
            <v>0</v>
          </cell>
        </row>
        <row r="244">
          <cell r="C244">
            <v>0</v>
          </cell>
          <cell r="E244">
            <v>0</v>
          </cell>
        </row>
        <row r="245">
          <cell r="C245">
            <v>0</v>
          </cell>
          <cell r="E245">
            <v>0</v>
          </cell>
        </row>
        <row r="246">
          <cell r="C246">
            <v>0</v>
          </cell>
          <cell r="E246">
            <v>0</v>
          </cell>
        </row>
        <row r="247">
          <cell r="C247">
            <v>0</v>
          </cell>
          <cell r="E247">
            <v>0</v>
          </cell>
        </row>
        <row r="248">
          <cell r="C248">
            <v>0</v>
          </cell>
          <cell r="E248">
            <v>0</v>
          </cell>
        </row>
        <row r="249">
          <cell r="C249">
            <v>0</v>
          </cell>
          <cell r="E249">
            <v>0</v>
          </cell>
        </row>
        <row r="250">
          <cell r="C250">
            <v>0</v>
          </cell>
          <cell r="E250">
            <v>0</v>
          </cell>
        </row>
        <row r="251">
          <cell r="C251">
            <v>0</v>
          </cell>
          <cell r="E251">
            <v>0</v>
          </cell>
        </row>
        <row r="252">
          <cell r="C252">
            <v>0</v>
          </cell>
          <cell r="E252">
            <v>0</v>
          </cell>
        </row>
        <row r="253">
          <cell r="C253">
            <v>0</v>
          </cell>
          <cell r="E253">
            <v>0</v>
          </cell>
        </row>
        <row r="254">
          <cell r="C254">
            <v>0</v>
          </cell>
          <cell r="E254">
            <v>0</v>
          </cell>
        </row>
        <row r="255">
          <cell r="C255">
            <v>0</v>
          </cell>
          <cell r="E255">
            <v>0</v>
          </cell>
        </row>
        <row r="261">
          <cell r="C261">
            <v>3</v>
          </cell>
          <cell r="E261">
            <v>9552</v>
          </cell>
        </row>
        <row r="262">
          <cell r="C262">
            <v>0</v>
          </cell>
          <cell r="E262">
            <v>0</v>
          </cell>
        </row>
        <row r="263">
          <cell r="C263">
            <v>0</v>
          </cell>
          <cell r="E263">
            <v>0</v>
          </cell>
        </row>
        <row r="264">
          <cell r="C264">
            <v>0</v>
          </cell>
          <cell r="E264">
            <v>0</v>
          </cell>
        </row>
        <row r="265">
          <cell r="C265">
            <v>0</v>
          </cell>
          <cell r="E265">
            <v>0</v>
          </cell>
        </row>
        <row r="266">
          <cell r="C266">
            <v>0</v>
          </cell>
          <cell r="E266">
            <v>0</v>
          </cell>
        </row>
        <row r="267">
          <cell r="C267">
            <v>0</v>
          </cell>
          <cell r="E267">
            <v>0</v>
          </cell>
        </row>
        <row r="268">
          <cell r="C268">
            <v>0</v>
          </cell>
          <cell r="E268">
            <v>0</v>
          </cell>
        </row>
        <row r="269">
          <cell r="C269">
            <v>0</v>
          </cell>
          <cell r="E269">
            <v>0</v>
          </cell>
        </row>
        <row r="270">
          <cell r="C270">
            <v>0</v>
          </cell>
          <cell r="E270">
            <v>0</v>
          </cell>
        </row>
        <row r="271">
          <cell r="C271">
            <v>0</v>
          </cell>
          <cell r="E271">
            <v>0</v>
          </cell>
        </row>
        <row r="272">
          <cell r="C272">
            <v>0</v>
          </cell>
          <cell r="E272">
            <v>0</v>
          </cell>
        </row>
        <row r="273">
          <cell r="C273">
            <v>0</v>
          </cell>
          <cell r="E273">
            <v>0</v>
          </cell>
        </row>
        <row r="274">
          <cell r="C274">
            <v>0</v>
          </cell>
          <cell r="E274">
            <v>0</v>
          </cell>
        </row>
        <row r="275">
          <cell r="C275">
            <v>0</v>
          </cell>
          <cell r="E275">
            <v>0</v>
          </cell>
        </row>
        <row r="276">
          <cell r="C276">
            <v>0</v>
          </cell>
          <cell r="E276">
            <v>0</v>
          </cell>
        </row>
        <row r="277">
          <cell r="C277">
            <v>0</v>
          </cell>
          <cell r="E277">
            <v>0</v>
          </cell>
        </row>
        <row r="278">
          <cell r="C278">
            <v>0</v>
          </cell>
          <cell r="E278">
            <v>0</v>
          </cell>
        </row>
        <row r="468">
          <cell r="C468">
            <v>987.58422392701607</v>
          </cell>
          <cell r="E468">
            <v>3144468.17</v>
          </cell>
          <cell r="F468">
            <v>76.5249387594327</v>
          </cell>
          <cell r="H468">
            <v>243655.41</v>
          </cell>
        </row>
        <row r="469">
          <cell r="C469">
            <v>3931.8005206175285</v>
          </cell>
          <cell r="E469">
            <v>12518852.859999999</v>
          </cell>
          <cell r="F469">
            <v>184.24024059561677</v>
          </cell>
          <cell r="H469">
            <v>586620.93000000005</v>
          </cell>
        </row>
        <row r="470">
          <cell r="C470">
            <v>392.57122222222222</v>
          </cell>
          <cell r="E470">
            <v>1249946.77</v>
          </cell>
          <cell r="F470">
            <v>26.138962260444448</v>
          </cell>
          <cell r="H470">
            <v>83226.460000000006</v>
          </cell>
        </row>
        <row r="471">
          <cell r="C471">
            <v>1186.3720555555556</v>
          </cell>
          <cell r="E471">
            <v>3777408.63</v>
          </cell>
          <cell r="F471">
            <v>63.529037202944444</v>
          </cell>
          <cell r="H471">
            <v>202276.45</v>
          </cell>
        </row>
        <row r="472">
          <cell r="C472">
            <v>599.23333333333323</v>
          </cell>
          <cell r="E472">
            <v>1907958.93</v>
          </cell>
          <cell r="F472">
            <v>59.935917233333321</v>
          </cell>
          <cell r="H472">
            <v>190835.96</v>
          </cell>
        </row>
        <row r="473">
          <cell r="C473">
            <v>421.45596510329432</v>
          </cell>
          <cell r="E473">
            <v>1341915.79</v>
          </cell>
          <cell r="F473">
            <v>26.477133562222228</v>
          </cell>
          <cell r="H473">
            <v>84303.19</v>
          </cell>
        </row>
        <row r="474">
          <cell r="C474">
            <v>176.61135092127302</v>
          </cell>
          <cell r="E474">
            <v>562330.54</v>
          </cell>
          <cell r="F474">
            <v>12.996700255666667</v>
          </cell>
          <cell r="H474">
            <v>41381.49</v>
          </cell>
        </row>
        <row r="475">
          <cell r="C475">
            <v>227.2475</v>
          </cell>
          <cell r="E475">
            <v>723556.04</v>
          </cell>
          <cell r="F475">
            <v>16.477261730000002</v>
          </cell>
          <cell r="H475">
            <v>52463.6</v>
          </cell>
        </row>
        <row r="476">
          <cell r="C476">
            <v>451.93960360360359</v>
          </cell>
          <cell r="E476">
            <v>1438975.7</v>
          </cell>
          <cell r="F476">
            <v>39.550138590558561</v>
          </cell>
          <cell r="H476">
            <v>125927.64</v>
          </cell>
        </row>
        <row r="477">
          <cell r="C477">
            <v>86.179701581678884</v>
          </cell>
          <cell r="E477">
            <v>274395.73</v>
          </cell>
          <cell r="F477">
            <v>6.8931487186885239</v>
          </cell>
          <cell r="H477">
            <v>21947.79</v>
          </cell>
        </row>
        <row r="478">
          <cell r="C478">
            <v>173.12499594594595</v>
          </cell>
          <cell r="E478">
            <v>551229.99</v>
          </cell>
          <cell r="F478">
            <v>14.240050291541893</v>
          </cell>
          <cell r="H478">
            <v>45340.32</v>
          </cell>
        </row>
        <row r="479">
          <cell r="C479">
            <v>1148.3515179615215</v>
          </cell>
          <cell r="E479">
            <v>3656351.2299999995</v>
          </cell>
          <cell r="F479">
            <v>64.806069564640495</v>
          </cell>
          <cell r="H479">
            <v>206342.53</v>
          </cell>
        </row>
        <row r="480">
          <cell r="C480">
            <v>422.91500000000002</v>
          </cell>
          <cell r="E480">
            <v>1346561.3599999999</v>
          </cell>
          <cell r="F480">
            <v>30.281982745000001</v>
          </cell>
          <cell r="H480">
            <v>96417.83</v>
          </cell>
        </row>
        <row r="481">
          <cell r="C481">
            <v>366.35026184554971</v>
          </cell>
          <cell r="E481">
            <v>1166459.23</v>
          </cell>
          <cell r="F481">
            <v>29.211670828778598</v>
          </cell>
          <cell r="H481">
            <v>93009.96</v>
          </cell>
        </row>
        <row r="482">
          <cell r="C482">
            <v>272.41997906197651</v>
          </cell>
          <cell r="E482">
            <v>867385.21</v>
          </cell>
          <cell r="F482">
            <v>18.731375893333333</v>
          </cell>
          <cell r="H482">
            <v>59640.7</v>
          </cell>
        </row>
        <row r="483">
          <cell r="C483">
            <v>887.25857149629542</v>
          </cell>
          <cell r="E483">
            <v>2825031.29</v>
          </cell>
          <cell r="F483">
            <v>82.837775993530983</v>
          </cell>
          <cell r="H483">
            <v>263755.48</v>
          </cell>
        </row>
        <row r="484">
          <cell r="C484">
            <v>309.2236111111111</v>
          </cell>
          <cell r="E484">
            <v>984567.9800000001</v>
          </cell>
          <cell r="F484">
            <v>27.781886116666662</v>
          </cell>
          <cell r="H484">
            <v>88457.53</v>
          </cell>
        </row>
        <row r="485">
          <cell r="C485">
            <v>1088.4934569330685</v>
          </cell>
          <cell r="E485">
            <v>3465763.16</v>
          </cell>
          <cell r="F485">
            <v>47.787039746275568</v>
          </cell>
          <cell r="H485">
            <v>152153.93</v>
          </cell>
        </row>
        <row r="486">
          <cell r="C486">
            <v>2091.3962100192934</v>
          </cell>
          <cell r="E486">
            <v>6659005.5300000003</v>
          </cell>
          <cell r="F486">
            <v>111.31665467448691</v>
          </cell>
          <cell r="H486">
            <v>354432.23</v>
          </cell>
        </row>
        <row r="487">
          <cell r="C487">
            <v>464.51703517587936</v>
          </cell>
          <cell r="E487">
            <v>1479022.24</v>
          </cell>
          <cell r="F487">
            <v>50.040826679999995</v>
          </cell>
          <cell r="H487">
            <v>159329.99</v>
          </cell>
        </row>
        <row r="488">
          <cell r="C488">
            <v>905.06677777777782</v>
          </cell>
          <cell r="E488">
            <v>2881732.62</v>
          </cell>
          <cell r="F488">
            <v>69.51093866688889</v>
          </cell>
          <cell r="H488">
            <v>221322.83</v>
          </cell>
        </row>
        <row r="489">
          <cell r="C489">
            <v>101.40232905982907</v>
          </cell>
          <cell r="E489">
            <v>322865.01999999996</v>
          </cell>
          <cell r="F489">
            <v>4.3875773760897445</v>
          </cell>
          <cell r="H489">
            <v>13970.05</v>
          </cell>
        </row>
        <row r="490">
          <cell r="C490">
            <v>387.80729029764206</v>
          </cell>
          <cell r="E490">
            <v>1234778.4099999999</v>
          </cell>
          <cell r="F490">
            <v>28.15780182230769</v>
          </cell>
          <cell r="H490">
            <v>89654.44</v>
          </cell>
        </row>
        <row r="491">
          <cell r="C491">
            <v>508.02740920096852</v>
          </cell>
          <cell r="E491">
            <v>1617559.27</v>
          </cell>
          <cell r="F491">
            <v>47.050450475738501</v>
          </cell>
          <cell r="H491">
            <v>149808.63</v>
          </cell>
        </row>
        <row r="492">
          <cell r="C492">
            <v>466.63600784534924</v>
          </cell>
          <cell r="E492">
            <v>1485769.05</v>
          </cell>
          <cell r="F492">
            <v>41.630876592857142</v>
          </cell>
          <cell r="H492">
            <v>132552.71</v>
          </cell>
        </row>
        <row r="493">
          <cell r="C493">
            <v>808.98306840375039</v>
          </cell>
          <cell r="E493">
            <v>2575802.09</v>
          </cell>
          <cell r="F493">
            <v>48.629590207886245</v>
          </cell>
          <cell r="H493">
            <v>154836.62</v>
          </cell>
        </row>
        <row r="494">
          <cell r="C494">
            <v>316.89038190954778</v>
          </cell>
          <cell r="E494">
            <v>1008978.98</v>
          </cell>
          <cell r="F494">
            <v>24.392222775500006</v>
          </cell>
          <cell r="H494">
            <v>77664.84</v>
          </cell>
        </row>
        <row r="495">
          <cell r="C495">
            <v>356.43055555555554</v>
          </cell>
          <cell r="E495">
            <v>1134874.8899999999</v>
          </cell>
          <cell r="F495">
            <v>17.427315583333332</v>
          </cell>
          <cell r="H495">
            <v>55488.57</v>
          </cell>
        </row>
        <row r="496">
          <cell r="C496">
            <v>483.89655555555561</v>
          </cell>
          <cell r="E496">
            <v>1540726.63</v>
          </cell>
          <cell r="F496">
            <v>35.546073178</v>
          </cell>
          <cell r="H496">
            <v>113178.7</v>
          </cell>
        </row>
        <row r="497">
          <cell r="C497">
            <v>580.33835460460466</v>
          </cell>
          <cell r="E497">
            <v>1847797.33</v>
          </cell>
          <cell r="F497">
            <v>36.419713781566571</v>
          </cell>
          <cell r="H497">
            <v>115960.37</v>
          </cell>
        </row>
        <row r="498">
          <cell r="C498">
            <v>1699.0290147962032</v>
          </cell>
          <cell r="E498">
            <v>5409708.3899999997</v>
          </cell>
          <cell r="F498">
            <v>118.97289856405555</v>
          </cell>
          <cell r="H498">
            <v>378809.71</v>
          </cell>
        </row>
        <row r="499">
          <cell r="C499">
            <v>439.508008153785</v>
          </cell>
          <cell r="E499">
            <v>1399393.5</v>
          </cell>
          <cell r="F499">
            <v>29.314744635849305</v>
          </cell>
          <cell r="H499">
            <v>93338.15</v>
          </cell>
        </row>
        <row r="500">
          <cell r="C500">
            <v>441.23583333333335</v>
          </cell>
          <cell r="E500">
            <v>1404894.8900000001</v>
          </cell>
          <cell r="F500">
            <v>32.013865887499996</v>
          </cell>
          <cell r="H500">
            <v>101932.15</v>
          </cell>
        </row>
        <row r="501">
          <cell r="C501">
            <v>234.02444304857619</v>
          </cell>
          <cell r="E501">
            <v>745133.83</v>
          </cell>
          <cell r="F501">
            <v>17.319151319999996</v>
          </cell>
          <cell r="H501">
            <v>55144.18</v>
          </cell>
        </row>
        <row r="502">
          <cell r="C502">
            <v>898.9812554542907</v>
          </cell>
          <cell r="E502">
            <v>2862356.32</v>
          </cell>
          <cell r="F502">
            <v>54.910674064403537</v>
          </cell>
          <cell r="H502">
            <v>174835.59</v>
          </cell>
        </row>
        <row r="503">
          <cell r="C503">
            <v>907.31543428642601</v>
          </cell>
          <cell r="E503">
            <v>2888892.34</v>
          </cell>
          <cell r="F503">
            <v>55.926923369415299</v>
          </cell>
          <cell r="H503">
            <v>178071.32</v>
          </cell>
        </row>
        <row r="504">
          <cell r="C504">
            <v>999.51658137531319</v>
          </cell>
          <cell r="E504">
            <v>3182460.79</v>
          </cell>
          <cell r="F504">
            <v>50.094771541949321</v>
          </cell>
          <cell r="H504">
            <v>159501.75</v>
          </cell>
        </row>
        <row r="505">
          <cell r="C505">
            <v>676.49470690014584</v>
          </cell>
          <cell r="E505">
            <v>2153959.15</v>
          </cell>
          <cell r="F505">
            <v>40.115459624471747</v>
          </cell>
          <cell r="H505">
            <v>127727.62</v>
          </cell>
        </row>
        <row r="506">
          <cell r="C506">
            <v>667.5092777777777</v>
          </cell>
          <cell r="E506">
            <v>2125349.54</v>
          </cell>
          <cell r="F506">
            <v>42.272027543111101</v>
          </cell>
          <cell r="H506">
            <v>134594.14000000001</v>
          </cell>
        </row>
        <row r="507">
          <cell r="C507">
            <v>660.43516666666665</v>
          </cell>
          <cell r="E507">
            <v>2102825.5699999998</v>
          </cell>
          <cell r="F507">
            <v>43.867424640333326</v>
          </cell>
          <cell r="H507">
            <v>139673.88</v>
          </cell>
        </row>
        <row r="508">
          <cell r="C508">
            <v>638.79002121719714</v>
          </cell>
          <cell r="E508">
            <v>2033907.4300000002</v>
          </cell>
          <cell r="F508">
            <v>36.143711099999997</v>
          </cell>
          <cell r="H508">
            <v>115081.58</v>
          </cell>
        </row>
        <row r="509">
          <cell r="C509">
            <v>540.6028139937232</v>
          </cell>
          <cell r="E509">
            <v>1721279.3599999999</v>
          </cell>
          <cell r="F509">
            <v>33.224367742426239</v>
          </cell>
          <cell r="H509">
            <v>105786.39</v>
          </cell>
        </row>
        <row r="510">
          <cell r="C510">
            <v>803.41623155169339</v>
          </cell>
          <cell r="E510">
            <v>2558077.2800000003</v>
          </cell>
          <cell r="F510">
            <v>44.173431243175209</v>
          </cell>
          <cell r="H510">
            <v>140648.21</v>
          </cell>
        </row>
        <row r="511">
          <cell r="C511">
            <v>1516.3197317770598</v>
          </cell>
          <cell r="E511">
            <v>4827962.03</v>
          </cell>
          <cell r="F511">
            <v>100.80881336657785</v>
          </cell>
          <cell r="H511">
            <v>320975.26</v>
          </cell>
        </row>
        <row r="512">
          <cell r="C512">
            <v>856.69838888888899</v>
          </cell>
          <cell r="E512">
            <v>2727727.67</v>
          </cell>
          <cell r="F512">
            <v>59.8712236058889</v>
          </cell>
          <cell r="H512">
            <v>190629.98</v>
          </cell>
        </row>
        <row r="513">
          <cell r="C513">
            <v>486.70166666666665</v>
          </cell>
          <cell r="E513">
            <v>1549658.1099999999</v>
          </cell>
          <cell r="F513">
            <v>20.089584694999999</v>
          </cell>
          <cell r="H513">
            <v>63965.24</v>
          </cell>
        </row>
        <row r="519">
          <cell r="C519">
            <v>360.82740368509218</v>
          </cell>
          <cell r="E519">
            <v>1148874.45</v>
          </cell>
          <cell r="F519">
            <v>28.165104166666669</v>
          </cell>
          <cell r="H519">
            <v>89677.69</v>
          </cell>
        </row>
        <row r="520">
          <cell r="C520">
            <v>315.00826401740471</v>
          </cell>
          <cell r="E520">
            <v>1002986.3099999999</v>
          </cell>
          <cell r="F520">
            <v>27.659300622048217</v>
          </cell>
          <cell r="H520">
            <v>88067.21</v>
          </cell>
        </row>
        <row r="521">
          <cell r="C521">
            <v>443.84333333333336</v>
          </cell>
          <cell r="E521">
            <v>1413197.17</v>
          </cell>
          <cell r="F521">
            <v>36.871397229999999</v>
          </cell>
          <cell r="H521">
            <v>117398.53</v>
          </cell>
        </row>
        <row r="522">
          <cell r="C522">
            <v>248.38000000000002</v>
          </cell>
          <cell r="E522">
            <v>790841.92</v>
          </cell>
          <cell r="F522">
            <v>18.214450540000001</v>
          </cell>
          <cell r="H522">
            <v>57994.81</v>
          </cell>
        </row>
        <row r="523">
          <cell r="C523">
            <v>706.75516666666658</v>
          </cell>
          <cell r="E523">
            <v>2250308.4500000002</v>
          </cell>
          <cell r="F523">
            <v>44.102229155166661</v>
          </cell>
          <cell r="H523">
            <v>140421.5</v>
          </cell>
        </row>
        <row r="524">
          <cell r="C524">
            <v>242.46720777175102</v>
          </cell>
          <cell r="E524">
            <v>772015.59000000008</v>
          </cell>
          <cell r="F524">
            <v>10.663950265009381</v>
          </cell>
          <cell r="H524">
            <v>33954.019999999997</v>
          </cell>
        </row>
        <row r="525">
          <cell r="C525">
            <v>398.85722222222228</v>
          </cell>
          <cell r="E525">
            <v>1269961.3999999999</v>
          </cell>
          <cell r="F525">
            <v>20.872198438888891</v>
          </cell>
          <cell r="H525">
            <v>66457.08</v>
          </cell>
        </row>
        <row r="526">
          <cell r="C526">
            <v>250.05805555555557</v>
          </cell>
          <cell r="E526">
            <v>796184.85</v>
          </cell>
          <cell r="F526">
            <v>26.108561580555559</v>
          </cell>
          <cell r="H526">
            <v>83129.66</v>
          </cell>
        </row>
        <row r="527">
          <cell r="C527">
            <v>569.98918727128466</v>
          </cell>
          <cell r="E527">
            <v>1814845.57</v>
          </cell>
          <cell r="F527">
            <v>37.63866599227201</v>
          </cell>
          <cell r="H527">
            <v>119841.51</v>
          </cell>
        </row>
        <row r="528">
          <cell r="C528">
            <v>360.14538577168082</v>
          </cell>
          <cell r="E528">
            <v>1146702.9099999999</v>
          </cell>
          <cell r="F528">
            <v>22.173943902268231</v>
          </cell>
          <cell r="H528">
            <v>70601.84</v>
          </cell>
        </row>
        <row r="529">
          <cell r="C529">
            <v>2077.1341413045734</v>
          </cell>
          <cell r="E529">
            <v>6613595.1100000003</v>
          </cell>
          <cell r="F529">
            <v>94.690314099651587</v>
          </cell>
          <cell r="H529">
            <v>301493.96000000002</v>
          </cell>
        </row>
        <row r="530">
          <cell r="C530">
            <v>826.05633333333344</v>
          </cell>
          <cell r="E530">
            <v>2630163.36</v>
          </cell>
          <cell r="F530">
            <v>49.755851125666673</v>
          </cell>
          <cell r="H530">
            <v>158422.63</v>
          </cell>
        </row>
        <row r="531">
          <cell r="C531">
            <v>552.46484338358459</v>
          </cell>
          <cell r="E531">
            <v>1759048.06</v>
          </cell>
          <cell r="F531">
            <v>27.936887613166665</v>
          </cell>
          <cell r="H531">
            <v>88951.05</v>
          </cell>
        </row>
        <row r="532">
          <cell r="C532">
            <v>769.91214768285863</v>
          </cell>
          <cell r="E532">
            <v>2451400.2800000003</v>
          </cell>
          <cell r="F532">
            <v>42.000415453333332</v>
          </cell>
          <cell r="H532">
            <v>133729.32</v>
          </cell>
        </row>
        <row r="533">
          <cell r="C533">
            <v>431.85449581239533</v>
          </cell>
          <cell r="E533">
            <v>1375024.71</v>
          </cell>
          <cell r="F533">
            <v>43.486256075499995</v>
          </cell>
          <cell r="H533">
            <v>138460.24</v>
          </cell>
        </row>
        <row r="534">
          <cell r="C534">
            <v>1914.8628960624394</v>
          </cell>
          <cell r="E534">
            <v>6096923.46</v>
          </cell>
          <cell r="F534">
            <v>121.801390383068</v>
          </cell>
          <cell r="H534">
            <v>387815.63</v>
          </cell>
        </row>
        <row r="535">
          <cell r="C535">
            <v>892.31590460210714</v>
          </cell>
          <cell r="E535">
            <v>2841133.84</v>
          </cell>
          <cell r="F535">
            <v>49.621687454923176</v>
          </cell>
          <cell r="H535">
            <v>157995.45000000001</v>
          </cell>
        </row>
        <row r="536">
          <cell r="C536">
            <v>634.50772291965234</v>
          </cell>
          <cell r="E536">
            <v>2020272.59</v>
          </cell>
          <cell r="F536">
            <v>28.717185031620545</v>
          </cell>
          <cell r="H536">
            <v>91435.520000000004</v>
          </cell>
        </row>
        <row r="537">
          <cell r="C537">
            <v>1320.9598710308446</v>
          </cell>
          <cell r="E537">
            <v>4205936.2300000004</v>
          </cell>
          <cell r="F537">
            <v>67.073058411462171</v>
          </cell>
          <cell r="H537">
            <v>213560.62</v>
          </cell>
        </row>
        <row r="538">
          <cell r="C538">
            <v>579.83648601881771</v>
          </cell>
          <cell r="E538">
            <v>1846199.37</v>
          </cell>
          <cell r="F538">
            <v>40.089187503087167</v>
          </cell>
          <cell r="H538">
            <v>127643.97</v>
          </cell>
        </row>
        <row r="539">
          <cell r="C539">
            <v>474.98345028780744</v>
          </cell>
          <cell r="E539">
            <v>1512347.3</v>
          </cell>
          <cell r="F539">
            <v>22.324222163526951</v>
          </cell>
          <cell r="H539">
            <v>71080.320000000007</v>
          </cell>
        </row>
        <row r="540">
          <cell r="C540">
            <v>762.06799999999998</v>
          </cell>
          <cell r="E540">
            <v>2426424.5100000002</v>
          </cell>
          <cell r="F540">
            <v>47.841866971999998</v>
          </cell>
          <cell r="H540">
            <v>152328.5</v>
          </cell>
        </row>
        <row r="541">
          <cell r="C541">
            <v>145.9123888888889</v>
          </cell>
          <cell r="E541">
            <v>464585.04</v>
          </cell>
          <cell r="F541">
            <v>7.5465887533333342</v>
          </cell>
          <cell r="H541">
            <v>24028.34</v>
          </cell>
        </row>
        <row r="542">
          <cell r="C542">
            <v>541.5169671227668</v>
          </cell>
          <cell r="E542">
            <v>1724190.02</v>
          </cell>
          <cell r="F542">
            <v>28.863937381577717</v>
          </cell>
          <cell r="H542">
            <v>91902.78</v>
          </cell>
        </row>
        <row r="543">
          <cell r="C543">
            <v>484.81716938193114</v>
          </cell>
          <cell r="E543">
            <v>1543657.87</v>
          </cell>
          <cell r="F543">
            <v>19.841142656955533</v>
          </cell>
          <cell r="H543">
            <v>63174.2</v>
          </cell>
        </row>
        <row r="544">
          <cell r="C544">
            <v>513.83500393035354</v>
          </cell>
          <cell r="E544">
            <v>1636050.65</v>
          </cell>
          <cell r="F544">
            <v>35.771137633615488</v>
          </cell>
          <cell r="H544">
            <v>113895.3</v>
          </cell>
        </row>
        <row r="545">
          <cell r="C545">
            <v>650.90370184254607</v>
          </cell>
          <cell r="E545">
            <v>2072477.39</v>
          </cell>
          <cell r="F545">
            <v>38.412274239999995</v>
          </cell>
          <cell r="H545">
            <v>122304.68</v>
          </cell>
        </row>
        <row r="546">
          <cell r="C546">
            <v>401.03361111111116</v>
          </cell>
          <cell r="E546">
            <v>1276891.02</v>
          </cell>
          <cell r="F546">
            <v>22.97601764777778</v>
          </cell>
          <cell r="H546">
            <v>73155.64</v>
          </cell>
        </row>
        <row r="547">
          <cell r="C547">
            <v>902.66076661083196</v>
          </cell>
          <cell r="E547">
            <v>2874071.88</v>
          </cell>
          <cell r="F547">
            <v>65.016613011222219</v>
          </cell>
          <cell r="H547">
            <v>207012.9</v>
          </cell>
        </row>
        <row r="548">
          <cell r="C548">
            <v>521.86144444444449</v>
          </cell>
          <cell r="E548">
            <v>1661606.84</v>
          </cell>
          <cell r="F548">
            <v>32.317313670111112</v>
          </cell>
          <cell r="H548">
            <v>102898.33</v>
          </cell>
        </row>
        <row r="549">
          <cell r="C549">
            <v>104.45038888888891</v>
          </cell>
          <cell r="E549">
            <v>332570.03999999998</v>
          </cell>
          <cell r="F549">
            <v>6.7753833760555562</v>
          </cell>
          <cell r="H549">
            <v>21572.82</v>
          </cell>
        </row>
        <row r="550">
          <cell r="C550">
            <v>634.07878261219048</v>
          </cell>
          <cell r="E550">
            <v>2018906.8399999999</v>
          </cell>
          <cell r="F550">
            <v>37.695983626294726</v>
          </cell>
          <cell r="H550">
            <v>120024.01</v>
          </cell>
        </row>
        <row r="551">
          <cell r="C551">
            <v>403.57133333333337</v>
          </cell>
          <cell r="E551">
            <v>1284971.1199999999</v>
          </cell>
          <cell r="F551">
            <v>23.599237288000001</v>
          </cell>
          <cell r="H551">
            <v>75139.97</v>
          </cell>
        </row>
        <row r="552">
          <cell r="C552">
            <v>347.23031833098577</v>
          </cell>
          <cell r="E552">
            <v>1105581.3399999999</v>
          </cell>
          <cell r="F552">
            <v>16.002109220283479</v>
          </cell>
          <cell r="H552">
            <v>50950.720000000001</v>
          </cell>
        </row>
        <row r="553">
          <cell r="C553">
            <v>304.70272222222218</v>
          </cell>
          <cell r="E553">
            <v>970173.47</v>
          </cell>
          <cell r="F553">
            <v>16.75864972222222</v>
          </cell>
          <cell r="H553">
            <v>53359.54</v>
          </cell>
        </row>
        <row r="554">
          <cell r="C554">
            <v>304.30888609715242</v>
          </cell>
          <cell r="E554">
            <v>968919.49</v>
          </cell>
          <cell r="F554">
            <v>21.523526826666664</v>
          </cell>
          <cell r="H554">
            <v>68530.91</v>
          </cell>
        </row>
        <row r="555">
          <cell r="C555">
            <v>248.09793378684807</v>
          </cell>
          <cell r="E555">
            <v>789943.82</v>
          </cell>
          <cell r="F555">
            <v>14.112306669663493</v>
          </cell>
          <cell r="H555">
            <v>44933.58</v>
          </cell>
        </row>
        <row r="556">
          <cell r="C556">
            <v>419.32543806736555</v>
          </cell>
          <cell r="E556">
            <v>1335132.1900000002</v>
          </cell>
          <cell r="F556">
            <v>20.966271903368281</v>
          </cell>
          <cell r="H556">
            <v>66756.61</v>
          </cell>
        </row>
        <row r="557">
          <cell r="C557">
            <v>453.25638888888886</v>
          </cell>
          <cell r="E557">
            <v>1443168.34</v>
          </cell>
          <cell r="F557">
            <v>18.696826041666668</v>
          </cell>
          <cell r="H557">
            <v>59530.69</v>
          </cell>
        </row>
        <row r="558">
          <cell r="C558">
            <v>372.2503333333334</v>
          </cell>
          <cell r="E558">
            <v>1185245.0599999998</v>
          </cell>
          <cell r="F558">
            <v>6.1224012323333348</v>
          </cell>
          <cell r="H558">
            <v>19493.73</v>
          </cell>
        </row>
        <row r="559">
          <cell r="C559">
            <v>450.375</v>
          </cell>
          <cell r="E559">
            <v>1433994</v>
          </cell>
          <cell r="F559">
            <v>24.565704375000003</v>
          </cell>
          <cell r="H559">
            <v>78217.2</v>
          </cell>
        </row>
        <row r="560">
          <cell r="C560">
            <v>18.987052469135804</v>
          </cell>
          <cell r="E560">
            <v>60454.78</v>
          </cell>
          <cell r="F560">
            <v>1.8987052469135806</v>
          </cell>
          <cell r="H560">
            <v>6045.48</v>
          </cell>
        </row>
        <row r="561">
          <cell r="C561">
            <v>137.07823899371067</v>
          </cell>
          <cell r="E561">
            <v>436457.11</v>
          </cell>
          <cell r="F561">
            <v>8.5490214530817585</v>
          </cell>
          <cell r="H561">
            <v>27220.080000000002</v>
          </cell>
        </row>
        <row r="562">
          <cell r="C562">
            <v>200.21615159128979</v>
          </cell>
          <cell r="E562">
            <v>637488.23</v>
          </cell>
          <cell r="F562">
            <v>8.8238941199999985</v>
          </cell>
          <cell r="H562">
            <v>28095.279999999999</v>
          </cell>
        </row>
        <row r="568">
          <cell r="C568">
            <v>1284.1926202107663</v>
          </cell>
          <cell r="E568">
            <v>4088868.82</v>
          </cell>
          <cell r="F568">
            <v>55.795757146530462</v>
          </cell>
          <cell r="H568">
            <v>177653.69</v>
          </cell>
        </row>
        <row r="569">
          <cell r="C569">
            <v>1643.6175186173693</v>
          </cell>
          <cell r="E569">
            <v>5233278.18</v>
          </cell>
          <cell r="F569">
            <v>87.184047657539736</v>
          </cell>
          <cell r="H569">
            <v>277594.01</v>
          </cell>
        </row>
        <row r="570">
          <cell r="C570">
            <v>360.33304701719311</v>
          </cell>
          <cell r="E570">
            <v>1147300.43</v>
          </cell>
          <cell r="F570">
            <v>8.0256979562139428</v>
          </cell>
          <cell r="H570">
            <v>25553.82</v>
          </cell>
        </row>
        <row r="571">
          <cell r="C571">
            <v>108.6319849246231</v>
          </cell>
          <cell r="E571">
            <v>345884.24</v>
          </cell>
          <cell r="F571">
            <v>2.7105625</v>
          </cell>
          <cell r="H571">
            <v>8630.43</v>
          </cell>
        </row>
        <row r="572">
          <cell r="C572">
            <v>429.15283333333338</v>
          </cell>
          <cell r="E572">
            <v>1366422.62</v>
          </cell>
          <cell r="F572">
            <v>18.775436458333335</v>
          </cell>
          <cell r="H572">
            <v>59780.99</v>
          </cell>
        </row>
        <row r="573">
          <cell r="C573">
            <v>457.50849680432651</v>
          </cell>
          <cell r="E573">
            <v>1456707.05</v>
          </cell>
          <cell r="F573">
            <v>21.18996353798919</v>
          </cell>
          <cell r="H573">
            <v>67468.84</v>
          </cell>
        </row>
        <row r="574">
          <cell r="C574">
            <v>320.4083333333333</v>
          </cell>
          <cell r="E574">
            <v>1020180.13</v>
          </cell>
          <cell r="F574">
            <v>11.38282645</v>
          </cell>
          <cell r="H574">
            <v>36242.92</v>
          </cell>
        </row>
        <row r="575">
          <cell r="C575">
            <v>609.16294974874359</v>
          </cell>
          <cell r="E575">
            <v>1939574.8399999999</v>
          </cell>
          <cell r="F575">
            <v>44.374918145999992</v>
          </cell>
          <cell r="H575">
            <v>141289.74</v>
          </cell>
        </row>
        <row r="576">
          <cell r="C576">
            <v>512.19170184254608</v>
          </cell>
          <cell r="E576">
            <v>1630818.38</v>
          </cell>
          <cell r="F576">
            <v>32.967352013333333</v>
          </cell>
          <cell r="H576">
            <v>104968.05</v>
          </cell>
        </row>
        <row r="577">
          <cell r="C577">
            <v>408.68627860449737</v>
          </cell>
          <cell r="E577">
            <v>1301257.1100000001</v>
          </cell>
          <cell r="F577">
            <v>21.471559705323084</v>
          </cell>
          <cell r="H577">
            <v>68365.45</v>
          </cell>
        </row>
        <row r="578">
          <cell r="C578">
            <v>512.25872749778955</v>
          </cell>
          <cell r="E578">
            <v>1631031.79</v>
          </cell>
          <cell r="F578">
            <v>24.846597318552785</v>
          </cell>
          <cell r="H578">
            <v>79111.570000000007</v>
          </cell>
        </row>
        <row r="579">
          <cell r="C579">
            <v>186.95662447257382</v>
          </cell>
          <cell r="E579">
            <v>595269.89</v>
          </cell>
          <cell r="F579">
            <v>10.929110353417721</v>
          </cell>
          <cell r="H579">
            <v>34798.29</v>
          </cell>
        </row>
        <row r="580">
          <cell r="C580">
            <v>469.8990002561622</v>
          </cell>
          <cell r="E580">
            <v>1496158.42</v>
          </cell>
          <cell r="F580">
            <v>22.351215846184608</v>
          </cell>
          <cell r="H580">
            <v>71166.27</v>
          </cell>
        </row>
        <row r="581">
          <cell r="C581">
            <v>463.63000000000005</v>
          </cell>
          <cell r="E581">
            <v>1476197.92</v>
          </cell>
          <cell r="F581">
            <v>22.886167690000001</v>
          </cell>
          <cell r="H581">
            <v>72869.56</v>
          </cell>
        </row>
        <row r="582">
          <cell r="C582">
            <v>417.45000000000005</v>
          </cell>
          <cell r="E582">
            <v>1329160.8</v>
          </cell>
          <cell r="F582">
            <v>10.510138650000002</v>
          </cell>
          <cell r="H582">
            <v>33464.28</v>
          </cell>
        </row>
        <row r="583">
          <cell r="C583">
            <v>435.33000000000004</v>
          </cell>
          <cell r="E583">
            <v>1386090.72</v>
          </cell>
          <cell r="F583">
            <v>13.99281219</v>
          </cell>
          <cell r="H583">
            <v>44553.11</v>
          </cell>
        </row>
        <row r="584">
          <cell r="C584">
            <v>220.32</v>
          </cell>
          <cell r="E584">
            <v>701498.88</v>
          </cell>
          <cell r="F584">
            <v>12.572120160000001</v>
          </cell>
          <cell r="H584">
            <v>40029.629999999997</v>
          </cell>
        </row>
        <row r="585">
          <cell r="C585">
            <v>716.75</v>
          </cell>
          <cell r="E585">
            <v>2282132</v>
          </cell>
          <cell r="F585">
            <v>36.564284499999999</v>
          </cell>
          <cell r="H585">
            <v>116420.68</v>
          </cell>
        </row>
        <row r="623">
          <cell r="E623">
            <v>3388123.58</v>
          </cell>
        </row>
        <row r="624">
          <cell r="E624">
            <v>13105473.789999999</v>
          </cell>
        </row>
        <row r="625">
          <cell r="E625">
            <v>1339541.23</v>
          </cell>
        </row>
        <row r="626">
          <cell r="E626">
            <v>3979685.08</v>
          </cell>
        </row>
        <row r="627">
          <cell r="E627">
            <v>2098794.89</v>
          </cell>
        </row>
        <row r="628">
          <cell r="E628">
            <v>1438954.98</v>
          </cell>
        </row>
        <row r="629">
          <cell r="E629">
            <v>606896.03</v>
          </cell>
        </row>
        <row r="630">
          <cell r="E630">
            <v>776019.64</v>
          </cell>
        </row>
        <row r="631">
          <cell r="E631">
            <v>1568087.3399999999</v>
          </cell>
        </row>
        <row r="632">
          <cell r="E632">
            <v>296343.51999999996</v>
          </cell>
        </row>
        <row r="633">
          <cell r="E633">
            <v>596570.30999999994</v>
          </cell>
        </row>
        <row r="634">
          <cell r="E634">
            <v>3862693.7599999993</v>
          </cell>
        </row>
        <row r="635">
          <cell r="E635">
            <v>1442979.19</v>
          </cell>
        </row>
        <row r="636">
          <cell r="E636">
            <v>1259469.19</v>
          </cell>
        </row>
        <row r="637">
          <cell r="E637">
            <v>927025.90999999992</v>
          </cell>
        </row>
        <row r="638">
          <cell r="E638">
            <v>3088786.77</v>
          </cell>
        </row>
        <row r="639">
          <cell r="E639">
            <v>1073025.51</v>
          </cell>
        </row>
        <row r="640">
          <cell r="E640">
            <v>3617917.0900000003</v>
          </cell>
        </row>
        <row r="641">
          <cell r="E641">
            <v>7013437.7599999998</v>
          </cell>
        </row>
        <row r="642">
          <cell r="E642">
            <v>1638352.23</v>
          </cell>
        </row>
        <row r="643">
          <cell r="E643">
            <v>3103055.45</v>
          </cell>
        </row>
        <row r="644">
          <cell r="E644">
            <v>336835.06999999995</v>
          </cell>
        </row>
        <row r="645">
          <cell r="E645">
            <v>1324432.8499999999</v>
          </cell>
        </row>
        <row r="646">
          <cell r="E646">
            <v>1767367.9</v>
          </cell>
        </row>
        <row r="647">
          <cell r="E647">
            <v>1624689.76</v>
          </cell>
        </row>
        <row r="648">
          <cell r="E648">
            <v>2730638.71</v>
          </cell>
        </row>
        <row r="649">
          <cell r="E649">
            <v>1086643.82</v>
          </cell>
        </row>
        <row r="650">
          <cell r="E650">
            <v>1190363.46</v>
          </cell>
        </row>
        <row r="651">
          <cell r="E651">
            <v>1653905.3299999998</v>
          </cell>
        </row>
        <row r="652">
          <cell r="E652">
            <v>1963757.7000000002</v>
          </cell>
        </row>
        <row r="653">
          <cell r="E653">
            <v>5794886.0999999996</v>
          </cell>
        </row>
        <row r="654">
          <cell r="E654">
            <v>1492731.65</v>
          </cell>
        </row>
        <row r="655">
          <cell r="E655">
            <v>1506827.04</v>
          </cell>
        </row>
        <row r="656">
          <cell r="E656">
            <v>800278.01</v>
          </cell>
        </row>
        <row r="657">
          <cell r="E657">
            <v>3037191.9099999997</v>
          </cell>
        </row>
        <row r="658">
          <cell r="E658">
            <v>3066963.6599999997</v>
          </cell>
        </row>
        <row r="659">
          <cell r="E659">
            <v>3341962.54</v>
          </cell>
        </row>
        <row r="660">
          <cell r="E660">
            <v>2281686.77</v>
          </cell>
        </row>
        <row r="661">
          <cell r="E661">
            <v>2259943.6800000002</v>
          </cell>
        </row>
        <row r="662">
          <cell r="E662">
            <v>2242499.4499999997</v>
          </cell>
        </row>
        <row r="663">
          <cell r="E663">
            <v>2148989.0100000002</v>
          </cell>
        </row>
        <row r="664">
          <cell r="E664">
            <v>1827065.7499999998</v>
          </cell>
        </row>
        <row r="665">
          <cell r="E665">
            <v>2698725.49</v>
          </cell>
        </row>
        <row r="666">
          <cell r="E666">
            <v>5148937.29</v>
          </cell>
        </row>
        <row r="667">
          <cell r="E667">
            <v>2918357.65</v>
          </cell>
        </row>
        <row r="668">
          <cell r="E668">
            <v>1613623.3499999999</v>
          </cell>
        </row>
        <row r="674">
          <cell r="E674">
            <v>1241736.1399999999</v>
          </cell>
        </row>
        <row r="675">
          <cell r="E675">
            <v>1091053.52</v>
          </cell>
        </row>
        <row r="676">
          <cell r="E676">
            <v>1530595.7</v>
          </cell>
        </row>
        <row r="677">
          <cell r="E677">
            <v>848836.73</v>
          </cell>
        </row>
        <row r="678">
          <cell r="E678">
            <v>2390729.9500000002</v>
          </cell>
        </row>
        <row r="679">
          <cell r="E679">
            <v>805969.6100000001</v>
          </cell>
        </row>
        <row r="680">
          <cell r="E680">
            <v>1336418.48</v>
          </cell>
        </row>
        <row r="681">
          <cell r="E681">
            <v>879314.51</v>
          </cell>
        </row>
        <row r="682">
          <cell r="E682">
            <v>1934687.08</v>
          </cell>
        </row>
        <row r="683">
          <cell r="E683">
            <v>1223672.75</v>
          </cell>
        </row>
        <row r="684">
          <cell r="E684">
            <v>6915089.0700000003</v>
          </cell>
        </row>
        <row r="685">
          <cell r="E685">
            <v>2788585.9899999998</v>
          </cell>
        </row>
        <row r="686">
          <cell r="E686">
            <v>1857551.11</v>
          </cell>
        </row>
        <row r="687">
          <cell r="E687">
            <v>2585129.6</v>
          </cell>
        </row>
        <row r="688">
          <cell r="E688">
            <v>1523036.95</v>
          </cell>
        </row>
        <row r="689">
          <cell r="E689">
            <v>6484739.0899999999</v>
          </cell>
        </row>
        <row r="690">
          <cell r="E690">
            <v>2999129.29</v>
          </cell>
        </row>
        <row r="691">
          <cell r="E691">
            <v>2111708.11</v>
          </cell>
        </row>
        <row r="692">
          <cell r="E692">
            <v>4419496.8500000006</v>
          </cell>
        </row>
        <row r="693">
          <cell r="E693">
            <v>1973843.34</v>
          </cell>
        </row>
        <row r="694">
          <cell r="E694">
            <v>1583427.62</v>
          </cell>
        </row>
        <row r="695">
          <cell r="E695">
            <v>2578753.0100000002</v>
          </cell>
        </row>
        <row r="696">
          <cell r="E696">
            <v>488613.38</v>
          </cell>
        </row>
        <row r="697">
          <cell r="E697">
            <v>1816092.8</v>
          </cell>
        </row>
        <row r="698">
          <cell r="E698">
            <v>1606832.07</v>
          </cell>
        </row>
        <row r="699">
          <cell r="E699">
            <v>1749945.95</v>
          </cell>
        </row>
        <row r="700">
          <cell r="E700">
            <v>2197966.0699999998</v>
          </cell>
        </row>
        <row r="701">
          <cell r="E701">
            <v>1350046.66</v>
          </cell>
        </row>
        <row r="702">
          <cell r="E702">
            <v>3081084.78</v>
          </cell>
        </row>
        <row r="703">
          <cell r="E703">
            <v>1764505.1700000002</v>
          </cell>
        </row>
        <row r="704">
          <cell r="E704">
            <v>354142.86</v>
          </cell>
        </row>
        <row r="705">
          <cell r="E705">
            <v>2138930.8499999996</v>
          </cell>
        </row>
        <row r="706">
          <cell r="E706">
            <v>1360111.0899999999</v>
          </cell>
        </row>
        <row r="707">
          <cell r="E707">
            <v>1156532.0599999998</v>
          </cell>
        </row>
        <row r="708">
          <cell r="E708">
            <v>1023533.01</v>
          </cell>
        </row>
        <row r="709">
          <cell r="E709">
            <v>1037450.4</v>
          </cell>
        </row>
        <row r="710">
          <cell r="E710">
            <v>834877.39999999991</v>
          </cell>
        </row>
        <row r="711">
          <cell r="E711">
            <v>1401888.8000000003</v>
          </cell>
        </row>
        <row r="712">
          <cell r="E712">
            <v>1502699.03</v>
          </cell>
        </row>
        <row r="713">
          <cell r="E713">
            <v>1204738.7899999998</v>
          </cell>
        </row>
        <row r="714">
          <cell r="E714">
            <v>1512211.2</v>
          </cell>
        </row>
        <row r="715">
          <cell r="E715">
            <v>66500.259999999995</v>
          </cell>
        </row>
        <row r="716">
          <cell r="E716">
            <v>463677.19</v>
          </cell>
        </row>
        <row r="717">
          <cell r="E717">
            <v>665583.51</v>
          </cell>
        </row>
        <row r="724">
          <cell r="E724">
            <v>4276074.51</v>
          </cell>
        </row>
        <row r="725">
          <cell r="E725">
            <v>5510872.1899999995</v>
          </cell>
        </row>
        <row r="726">
          <cell r="E726">
            <v>1172854.25</v>
          </cell>
        </row>
        <row r="727">
          <cell r="E727">
            <v>354514.67</v>
          </cell>
        </row>
        <row r="728">
          <cell r="E728">
            <v>1426203.61</v>
          </cell>
        </row>
        <row r="729">
          <cell r="E729">
            <v>1524175.8900000001</v>
          </cell>
        </row>
        <row r="730">
          <cell r="E730">
            <v>1056423.05</v>
          </cell>
        </row>
        <row r="731">
          <cell r="E731">
            <v>2080864.5799999998</v>
          </cell>
        </row>
        <row r="732">
          <cell r="E732">
            <v>1735786.43</v>
          </cell>
        </row>
        <row r="733">
          <cell r="E733">
            <v>1369622.56</v>
          </cell>
        </row>
        <row r="734">
          <cell r="E734">
            <v>1710143.36</v>
          </cell>
        </row>
        <row r="735">
          <cell r="E735">
            <v>630068.18000000005</v>
          </cell>
        </row>
        <row r="736">
          <cell r="E736">
            <v>1567324.69</v>
          </cell>
        </row>
        <row r="737">
          <cell r="E737">
            <v>1549067.48</v>
          </cell>
        </row>
        <row r="738">
          <cell r="E738">
            <v>1362625.08</v>
          </cell>
        </row>
        <row r="739">
          <cell r="E739">
            <v>1430643.83</v>
          </cell>
        </row>
        <row r="740">
          <cell r="E740">
            <v>741528.51</v>
          </cell>
        </row>
        <row r="741">
          <cell r="E741">
            <v>2398552.6800000002</v>
          </cell>
        </row>
      </sheetData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 1"/>
      <sheetName val="Charters"/>
      <sheetName val="3MSP_Final Update-FY17"/>
    </sheetNames>
    <sheetDataSet>
      <sheetData sheetId="0" refreshError="1"/>
      <sheetData sheetId="1">
        <row r="8">
          <cell r="C8">
            <v>87.794654522613058</v>
          </cell>
          <cell r="E8">
            <v>279538.18</v>
          </cell>
          <cell r="H8">
            <v>795729.46</v>
          </cell>
        </row>
        <row r="9">
          <cell r="C9">
            <v>320.95343907035175</v>
          </cell>
          <cell r="E9">
            <v>1021915.75</v>
          </cell>
          <cell r="H9">
            <v>4182645.0300000003</v>
          </cell>
        </row>
        <row r="10">
          <cell r="C10">
            <v>24.266532663316582</v>
          </cell>
          <cell r="E10">
            <v>77264.639999999999</v>
          </cell>
          <cell r="H10">
            <v>374785.14999999997</v>
          </cell>
        </row>
        <row r="11">
          <cell r="C11">
            <v>95.399133165829156</v>
          </cell>
          <cell r="E11">
            <v>303750.84000000003</v>
          </cell>
          <cell r="H11">
            <v>905459.85000000009</v>
          </cell>
        </row>
        <row r="12">
          <cell r="C12">
            <v>0</v>
          </cell>
          <cell r="E12">
            <v>0</v>
          </cell>
          <cell r="H12">
            <v>163235.76</v>
          </cell>
        </row>
        <row r="13">
          <cell r="C13">
            <v>26.21653894472362</v>
          </cell>
          <cell r="E13">
            <v>83473.460000000006</v>
          </cell>
          <cell r="H13">
            <v>736995.69</v>
          </cell>
        </row>
        <row r="14">
          <cell r="C14">
            <v>4.7153203517587938</v>
          </cell>
          <cell r="E14">
            <v>15013.58</v>
          </cell>
          <cell r="H14">
            <v>231220.25999999998</v>
          </cell>
        </row>
        <row r="15">
          <cell r="C15">
            <v>23.785979899497487</v>
          </cell>
          <cell r="E15">
            <v>75734.559999999998</v>
          </cell>
          <cell r="H15">
            <v>224975.76</v>
          </cell>
        </row>
        <row r="16">
          <cell r="C16">
            <v>0</v>
          </cell>
          <cell r="E16">
            <v>0</v>
          </cell>
          <cell r="H16">
            <v>140828.79999999999</v>
          </cell>
        </row>
        <row r="17">
          <cell r="C17">
            <v>0</v>
          </cell>
          <cell r="E17">
            <v>0</v>
          </cell>
          <cell r="H17">
            <v>44285.64</v>
          </cell>
        </row>
        <row r="18">
          <cell r="C18">
            <v>17.496155778894472</v>
          </cell>
          <cell r="E18">
            <v>55707.76</v>
          </cell>
          <cell r="H18">
            <v>133872.12</v>
          </cell>
        </row>
        <row r="19">
          <cell r="C19">
            <v>113.75116206030151</v>
          </cell>
          <cell r="E19">
            <v>362183.7</v>
          </cell>
          <cell r="H19">
            <v>1212502.6200000001</v>
          </cell>
        </row>
        <row r="20">
          <cell r="C20">
            <v>44.142006909547739</v>
          </cell>
          <cell r="E20">
            <v>140548.15</v>
          </cell>
          <cell r="H20">
            <v>283243.42000000004</v>
          </cell>
        </row>
        <row r="21">
          <cell r="C21">
            <v>34.46547424623116</v>
          </cell>
          <cell r="E21">
            <v>109738.07</v>
          </cell>
          <cell r="H21">
            <v>216071.76</v>
          </cell>
        </row>
        <row r="22">
          <cell r="C22">
            <v>0</v>
          </cell>
          <cell r="E22">
            <v>0</v>
          </cell>
          <cell r="H22">
            <v>166995.74000000002</v>
          </cell>
        </row>
        <row r="23">
          <cell r="C23">
            <v>0</v>
          </cell>
          <cell r="E23">
            <v>0</v>
          </cell>
          <cell r="H23">
            <v>403693.6</v>
          </cell>
        </row>
        <row r="24">
          <cell r="C24">
            <v>32.33864007537688</v>
          </cell>
          <cell r="E24">
            <v>102966.23</v>
          </cell>
          <cell r="H24">
            <v>259618.71000000002</v>
          </cell>
        </row>
        <row r="25">
          <cell r="C25">
            <v>74.099915201005032</v>
          </cell>
          <cell r="E25">
            <v>235934.13</v>
          </cell>
          <cell r="H25">
            <v>779516.39</v>
          </cell>
        </row>
        <row r="26">
          <cell r="C26">
            <v>212.13384108040202</v>
          </cell>
          <cell r="E26">
            <v>675434.15</v>
          </cell>
          <cell r="H26">
            <v>1837115.47</v>
          </cell>
        </row>
        <row r="27">
          <cell r="C27">
            <v>0</v>
          </cell>
          <cell r="E27">
            <v>0</v>
          </cell>
          <cell r="H27">
            <v>121071.33</v>
          </cell>
        </row>
        <row r="28">
          <cell r="C28">
            <v>83.052173366834168</v>
          </cell>
          <cell r="E28">
            <v>264438.12</v>
          </cell>
          <cell r="H28">
            <v>532107.88</v>
          </cell>
        </row>
        <row r="29">
          <cell r="C29">
            <v>10.664111180904522</v>
          </cell>
          <cell r="E29">
            <v>33954.53</v>
          </cell>
          <cell r="H29">
            <v>105395.29</v>
          </cell>
        </row>
        <row r="30">
          <cell r="C30">
            <v>0</v>
          </cell>
          <cell r="E30">
            <v>0</v>
          </cell>
          <cell r="H30">
            <v>204875.29</v>
          </cell>
        </row>
        <row r="31">
          <cell r="C31">
            <v>0</v>
          </cell>
          <cell r="E31">
            <v>0</v>
          </cell>
          <cell r="H31">
            <v>49119.3</v>
          </cell>
        </row>
        <row r="32">
          <cell r="C32">
            <v>0</v>
          </cell>
          <cell r="E32">
            <v>0</v>
          </cell>
          <cell r="H32">
            <v>160113.24</v>
          </cell>
        </row>
        <row r="33">
          <cell r="C33">
            <v>70.089852386934666</v>
          </cell>
          <cell r="E33">
            <v>223166.09</v>
          </cell>
          <cell r="H33">
            <v>719629.71000000008</v>
          </cell>
        </row>
        <row r="34">
          <cell r="C34">
            <v>15.86884108040201</v>
          </cell>
          <cell r="E34">
            <v>50526.39</v>
          </cell>
          <cell r="H34">
            <v>283154.96999999997</v>
          </cell>
        </row>
        <row r="35">
          <cell r="C35">
            <v>36.865822864321608</v>
          </cell>
          <cell r="E35">
            <v>117380.78</v>
          </cell>
          <cell r="H35">
            <v>265063.33999999997</v>
          </cell>
        </row>
        <row r="36">
          <cell r="C36">
            <v>42.140549623115582</v>
          </cell>
          <cell r="E36">
            <v>134175.51</v>
          </cell>
          <cell r="H36">
            <v>298454.90000000002</v>
          </cell>
        </row>
        <row r="37">
          <cell r="C37">
            <v>59.141755653266337</v>
          </cell>
          <cell r="E37">
            <v>188307.35</v>
          </cell>
          <cell r="H37">
            <v>527729.42000000004</v>
          </cell>
        </row>
        <row r="38">
          <cell r="C38">
            <v>105.80511620603015</v>
          </cell>
          <cell r="E38">
            <v>336883.49</v>
          </cell>
          <cell r="H38">
            <v>1623933.46</v>
          </cell>
        </row>
        <row r="39">
          <cell r="C39">
            <v>42.153957286432167</v>
          </cell>
          <cell r="E39">
            <v>134218.20000000001</v>
          </cell>
          <cell r="H39">
            <v>378145.27</v>
          </cell>
        </row>
        <row r="40">
          <cell r="C40">
            <v>46.773479899497488</v>
          </cell>
          <cell r="E40">
            <v>148926.76</v>
          </cell>
          <cell r="H40">
            <v>350392.7</v>
          </cell>
        </row>
        <row r="41">
          <cell r="C41">
            <v>0</v>
          </cell>
          <cell r="E41">
            <v>0</v>
          </cell>
          <cell r="H41">
            <v>227467.35</v>
          </cell>
        </row>
        <row r="42">
          <cell r="C42">
            <v>86.219858668341715</v>
          </cell>
          <cell r="E42">
            <v>274524.03000000003</v>
          </cell>
          <cell r="H42">
            <v>931110.0199999999</v>
          </cell>
        </row>
        <row r="43">
          <cell r="C43">
            <v>81.550518216080405</v>
          </cell>
          <cell r="E43">
            <v>259656.85</v>
          </cell>
          <cell r="H43">
            <v>624467.08000000007</v>
          </cell>
        </row>
        <row r="44">
          <cell r="C44">
            <v>90.851168341708544</v>
          </cell>
          <cell r="E44">
            <v>289270.12</v>
          </cell>
          <cell r="H44">
            <v>801454.87000000011</v>
          </cell>
        </row>
        <row r="45">
          <cell r="C45">
            <v>60.944133165829143</v>
          </cell>
          <cell r="E45">
            <v>194046.12</v>
          </cell>
          <cell r="H45">
            <v>409711.57</v>
          </cell>
        </row>
        <row r="46">
          <cell r="C46">
            <v>64.857119974874379</v>
          </cell>
          <cell r="E46">
            <v>206505.07</v>
          </cell>
          <cell r="H46">
            <v>478663.16000000003</v>
          </cell>
        </row>
        <row r="47">
          <cell r="C47">
            <v>14.550882537688443</v>
          </cell>
          <cell r="E47">
            <v>46330.01</v>
          </cell>
          <cell r="H47">
            <v>362584.57000000007</v>
          </cell>
        </row>
        <row r="48">
          <cell r="C48">
            <v>63.089214824120603</v>
          </cell>
          <cell r="E48">
            <v>200876.06</v>
          </cell>
          <cell r="H48">
            <v>349788.11</v>
          </cell>
        </row>
        <row r="49">
          <cell r="C49">
            <v>55.189717336683415</v>
          </cell>
          <cell r="E49">
            <v>175724.06</v>
          </cell>
          <cell r="H49">
            <v>405058.46</v>
          </cell>
        </row>
        <row r="50">
          <cell r="C50">
            <v>52.885769472361808</v>
          </cell>
          <cell r="E50">
            <v>168388.29</v>
          </cell>
          <cell r="H50">
            <v>7708238.9300000006</v>
          </cell>
        </row>
        <row r="51">
          <cell r="C51">
            <v>142.20355213567839</v>
          </cell>
          <cell r="E51">
            <v>452776.11</v>
          </cell>
          <cell r="H51">
            <v>1371486.8200000003</v>
          </cell>
        </row>
        <row r="52">
          <cell r="C52">
            <v>88.22969221105528</v>
          </cell>
          <cell r="E52">
            <v>280923.34000000003</v>
          </cell>
          <cell r="H52">
            <v>661717.77</v>
          </cell>
        </row>
        <row r="53">
          <cell r="C53">
            <v>51.104130025125627</v>
          </cell>
          <cell r="E53">
            <v>162715.54999999999</v>
          </cell>
          <cell r="H53">
            <v>323829.49</v>
          </cell>
        </row>
        <row r="59">
          <cell r="C59">
            <v>0</v>
          </cell>
          <cell r="E59">
            <v>0</v>
          </cell>
          <cell r="H59">
            <v>125346.30000000002</v>
          </cell>
        </row>
        <row r="60">
          <cell r="C60">
            <v>31.967986809045229</v>
          </cell>
          <cell r="E60">
            <v>101786.07</v>
          </cell>
          <cell r="H60">
            <v>255481.03</v>
          </cell>
        </row>
        <row r="61">
          <cell r="C61">
            <v>46.57990891959799</v>
          </cell>
          <cell r="E61">
            <v>148310.43</v>
          </cell>
          <cell r="H61">
            <v>323660.63</v>
          </cell>
        </row>
        <row r="62">
          <cell r="C62">
            <v>26.061422738693469</v>
          </cell>
          <cell r="E62">
            <v>82979.570000000007</v>
          </cell>
          <cell r="H62">
            <v>192637.40000000002</v>
          </cell>
        </row>
        <row r="63">
          <cell r="C63">
            <v>18.388357412060301</v>
          </cell>
          <cell r="E63">
            <v>58548.53</v>
          </cell>
          <cell r="H63">
            <v>238002.73999999996</v>
          </cell>
        </row>
        <row r="64">
          <cell r="C64">
            <v>25.903715452261306</v>
          </cell>
          <cell r="E64">
            <v>82477.429999999993</v>
          </cell>
          <cell r="H64">
            <v>264751.44999999995</v>
          </cell>
        </row>
        <row r="65">
          <cell r="C65">
            <v>40.767358668341707</v>
          </cell>
          <cell r="E65">
            <v>129803.27</v>
          </cell>
          <cell r="H65">
            <v>282081.84999999998</v>
          </cell>
        </row>
        <row r="66">
          <cell r="C66">
            <v>26.261906407035177</v>
          </cell>
          <cell r="E66">
            <v>83617.91</v>
          </cell>
          <cell r="H66">
            <v>229078.18</v>
          </cell>
        </row>
        <row r="67">
          <cell r="C67">
            <v>57.58677135678392</v>
          </cell>
          <cell r="E67">
            <v>183356.28</v>
          </cell>
          <cell r="H67">
            <v>528702.26</v>
          </cell>
        </row>
        <row r="68">
          <cell r="C68">
            <v>7.377019472361809</v>
          </cell>
          <cell r="E68">
            <v>23488.43</v>
          </cell>
          <cell r="H68">
            <v>413280.17</v>
          </cell>
        </row>
        <row r="69">
          <cell r="C69">
            <v>138.56963881909547</v>
          </cell>
          <cell r="E69">
            <v>441205.73</v>
          </cell>
          <cell r="H69">
            <v>1991959.41</v>
          </cell>
        </row>
        <row r="70">
          <cell r="C70">
            <v>79.421805904522614</v>
          </cell>
          <cell r="E70">
            <v>252879.03</v>
          </cell>
          <cell r="H70">
            <v>901025.76000000013</v>
          </cell>
        </row>
        <row r="71">
          <cell r="C71">
            <v>8.7137311557788948</v>
          </cell>
          <cell r="E71">
            <v>27744.52</v>
          </cell>
          <cell r="H71">
            <v>334964.99000000005</v>
          </cell>
        </row>
        <row r="72">
          <cell r="C72">
            <v>42.26654208542714</v>
          </cell>
          <cell r="E72">
            <v>134576.67000000001</v>
          </cell>
          <cell r="H72">
            <v>486553.11</v>
          </cell>
        </row>
        <row r="73">
          <cell r="C73">
            <v>16.425358040201004</v>
          </cell>
          <cell r="E73">
            <v>52298.34</v>
          </cell>
          <cell r="H73">
            <v>259006.11</v>
          </cell>
        </row>
        <row r="74">
          <cell r="C74">
            <v>97.971127512562816</v>
          </cell>
          <cell r="E74">
            <v>311940.07</v>
          </cell>
          <cell r="H74">
            <v>2590303.2800000003</v>
          </cell>
        </row>
        <row r="75">
          <cell r="C75">
            <v>81.932594221105532</v>
          </cell>
          <cell r="E75">
            <v>260873.38</v>
          </cell>
          <cell r="H75">
            <v>840180.33</v>
          </cell>
        </row>
        <row r="76">
          <cell r="C76">
            <v>64.192801507537695</v>
          </cell>
          <cell r="E76">
            <v>204389.88</v>
          </cell>
          <cell r="H76">
            <v>435451.95</v>
          </cell>
        </row>
        <row r="77">
          <cell r="C77">
            <v>125.61921168341709</v>
          </cell>
          <cell r="E77">
            <v>399971.57</v>
          </cell>
          <cell r="H77">
            <v>1262637.8600000001</v>
          </cell>
        </row>
        <row r="78">
          <cell r="C78">
            <v>13.389290201005025</v>
          </cell>
          <cell r="E78">
            <v>42631.5</v>
          </cell>
          <cell r="H78">
            <v>283526.72000000003</v>
          </cell>
        </row>
        <row r="79">
          <cell r="C79">
            <v>50.793941582914577</v>
          </cell>
          <cell r="E79">
            <v>161727.91</v>
          </cell>
          <cell r="H79">
            <v>396989.02</v>
          </cell>
        </row>
        <row r="80">
          <cell r="C80">
            <v>76.603605527638194</v>
          </cell>
          <cell r="E80">
            <v>243905.88</v>
          </cell>
          <cell r="H80">
            <v>705077.03</v>
          </cell>
        </row>
        <row r="81">
          <cell r="C81">
            <v>14.799265075376885</v>
          </cell>
          <cell r="E81">
            <v>47120.86</v>
          </cell>
          <cell r="H81">
            <v>172102.56</v>
          </cell>
        </row>
        <row r="82">
          <cell r="C82">
            <v>52.734773869346732</v>
          </cell>
          <cell r="E82">
            <v>167907.52</v>
          </cell>
          <cell r="H82">
            <v>521865.69</v>
          </cell>
        </row>
        <row r="83">
          <cell r="C83">
            <v>51.529698492462309</v>
          </cell>
          <cell r="E83">
            <v>164070.56</v>
          </cell>
          <cell r="H83">
            <v>363803.57999999996</v>
          </cell>
        </row>
        <row r="84">
          <cell r="C84">
            <v>51.961966080402007</v>
          </cell>
          <cell r="E84">
            <v>165446.9</v>
          </cell>
          <cell r="H84">
            <v>370251.20999999996</v>
          </cell>
        </row>
        <row r="85">
          <cell r="C85">
            <v>0</v>
          </cell>
          <cell r="E85">
            <v>0</v>
          </cell>
          <cell r="H85">
            <v>320137.87</v>
          </cell>
        </row>
        <row r="86">
          <cell r="C86">
            <v>42.304566582914568</v>
          </cell>
          <cell r="E86">
            <v>134697.74</v>
          </cell>
          <cell r="H86">
            <v>338357.1</v>
          </cell>
        </row>
        <row r="87">
          <cell r="C87">
            <v>36.551695979899499</v>
          </cell>
          <cell r="E87">
            <v>116380.6</v>
          </cell>
          <cell r="H87">
            <v>686862.34</v>
          </cell>
        </row>
        <row r="88">
          <cell r="C88">
            <v>52.972185929648241</v>
          </cell>
          <cell r="E88">
            <v>168663.44</v>
          </cell>
          <cell r="H88">
            <v>477434.42000000004</v>
          </cell>
        </row>
        <row r="89">
          <cell r="C89">
            <v>11.143643216080402</v>
          </cell>
          <cell r="E89">
            <v>35481.360000000001</v>
          </cell>
          <cell r="H89">
            <v>180246.16000000003</v>
          </cell>
        </row>
        <row r="90">
          <cell r="C90">
            <v>52.493027638190952</v>
          </cell>
          <cell r="E90">
            <v>167137.79999999999</v>
          </cell>
          <cell r="H90">
            <v>404728.91000000003</v>
          </cell>
        </row>
        <row r="91">
          <cell r="C91">
            <v>40.611315954773865</v>
          </cell>
          <cell r="E91">
            <v>129306.43</v>
          </cell>
          <cell r="H91">
            <v>272455.83</v>
          </cell>
        </row>
        <row r="92">
          <cell r="C92">
            <v>35.585537060301512</v>
          </cell>
          <cell r="E92">
            <v>113304.35</v>
          </cell>
          <cell r="H92">
            <v>265014.02</v>
          </cell>
        </row>
        <row r="93">
          <cell r="C93">
            <v>31.548558417085427</v>
          </cell>
          <cell r="E93">
            <v>100450.61</v>
          </cell>
          <cell r="H93">
            <v>265110.01</v>
          </cell>
        </row>
        <row r="94">
          <cell r="C94">
            <v>0</v>
          </cell>
          <cell r="E94">
            <v>0</v>
          </cell>
          <cell r="H94">
            <v>184020.15999999997</v>
          </cell>
        </row>
        <row r="95">
          <cell r="C95">
            <v>5.0586463567839193</v>
          </cell>
          <cell r="E95">
            <v>16106.73</v>
          </cell>
          <cell r="H95">
            <v>176915.92</v>
          </cell>
        </row>
        <row r="96">
          <cell r="C96">
            <v>44.458448492462317</v>
          </cell>
          <cell r="E96">
            <v>141555.70000000001</v>
          </cell>
          <cell r="H96">
            <v>278406.78000000003</v>
          </cell>
        </row>
        <row r="97">
          <cell r="C97">
            <v>47.558131281407036</v>
          </cell>
          <cell r="E97">
            <v>151425.09</v>
          </cell>
          <cell r="H97">
            <v>353126.2</v>
          </cell>
        </row>
        <row r="98">
          <cell r="C98">
            <v>33.661045854271357</v>
          </cell>
          <cell r="E98">
            <v>107176.77</v>
          </cell>
          <cell r="H98">
            <v>283673.81</v>
          </cell>
        </row>
        <row r="99">
          <cell r="C99">
            <v>46.923103015075377</v>
          </cell>
          <cell r="E99">
            <v>149403.16</v>
          </cell>
          <cell r="H99">
            <v>329367.63</v>
          </cell>
        </row>
        <row r="100">
          <cell r="C100">
            <v>3.0684610552763818</v>
          </cell>
          <cell r="E100">
            <v>9769.98</v>
          </cell>
          <cell r="H100">
            <v>25765.47</v>
          </cell>
        </row>
        <row r="101">
          <cell r="C101">
            <v>0</v>
          </cell>
          <cell r="E101">
            <v>0</v>
          </cell>
          <cell r="H101">
            <v>21363</v>
          </cell>
        </row>
        <row r="102">
          <cell r="C102">
            <v>0</v>
          </cell>
          <cell r="E102">
            <v>0</v>
          </cell>
          <cell r="H102">
            <v>159168.45000000001</v>
          </cell>
        </row>
        <row r="108">
          <cell r="C108">
            <v>61.549365577889446</v>
          </cell>
          <cell r="E108">
            <v>195973.18</v>
          </cell>
          <cell r="H108">
            <v>740416.77</v>
          </cell>
        </row>
        <row r="109">
          <cell r="C109">
            <v>160.35006281407036</v>
          </cell>
          <cell r="E109">
            <v>510554.6</v>
          </cell>
          <cell r="H109">
            <v>1484282.98</v>
          </cell>
        </row>
        <row r="110">
          <cell r="C110">
            <v>37.068815954773868</v>
          </cell>
          <cell r="E110">
            <v>118027.11</v>
          </cell>
          <cell r="H110">
            <v>270351.08</v>
          </cell>
        </row>
        <row r="111">
          <cell r="C111">
            <v>0</v>
          </cell>
          <cell r="E111">
            <v>0</v>
          </cell>
          <cell r="H111">
            <v>45079.1</v>
          </cell>
        </row>
        <row r="112">
          <cell r="C112">
            <v>42.002358668341714</v>
          </cell>
          <cell r="E112">
            <v>133735.51</v>
          </cell>
          <cell r="H112">
            <v>300852.85000000003</v>
          </cell>
        </row>
        <row r="113">
          <cell r="C113">
            <v>47.679560301507536</v>
          </cell>
          <cell r="E113">
            <v>151811.72</v>
          </cell>
          <cell r="H113">
            <v>312020.59999999998</v>
          </cell>
        </row>
        <row r="114">
          <cell r="C114">
            <v>33.978065326633164</v>
          </cell>
          <cell r="E114">
            <v>108186.16</v>
          </cell>
          <cell r="H114">
            <v>266702.58</v>
          </cell>
        </row>
        <row r="115">
          <cell r="C115">
            <v>39.397201633165828</v>
          </cell>
          <cell r="E115">
            <v>125440.69</v>
          </cell>
          <cell r="H115">
            <v>413889.77999999997</v>
          </cell>
        </row>
        <row r="116">
          <cell r="C116">
            <v>38.848935301507538</v>
          </cell>
          <cell r="E116">
            <v>123695.01</v>
          </cell>
          <cell r="H116">
            <v>397544.69</v>
          </cell>
        </row>
        <row r="117">
          <cell r="C117">
            <v>17.544519472361809</v>
          </cell>
          <cell r="E117">
            <v>55861.75</v>
          </cell>
          <cell r="H117">
            <v>259556.88</v>
          </cell>
        </row>
        <row r="118">
          <cell r="C118">
            <v>16.052465452261309</v>
          </cell>
          <cell r="E118">
            <v>51111.05</v>
          </cell>
          <cell r="H118">
            <v>373691.14</v>
          </cell>
        </row>
        <row r="119">
          <cell r="C119">
            <v>0</v>
          </cell>
          <cell r="E119">
            <v>0</v>
          </cell>
          <cell r="H119">
            <v>95402.92</v>
          </cell>
        </row>
        <row r="120">
          <cell r="C120">
            <v>38.399576005025125</v>
          </cell>
          <cell r="E120">
            <v>122264.25</v>
          </cell>
          <cell r="H120">
            <v>362631.63</v>
          </cell>
        </row>
        <row r="121">
          <cell r="C121">
            <v>47.642079145728644</v>
          </cell>
          <cell r="E121">
            <v>151692.38</v>
          </cell>
          <cell r="H121">
            <v>344852.92000000004</v>
          </cell>
        </row>
        <row r="122">
          <cell r="C122">
            <v>44.442239321608042</v>
          </cell>
          <cell r="E122">
            <v>141504.09</v>
          </cell>
          <cell r="H122">
            <v>320523.78000000003</v>
          </cell>
        </row>
        <row r="123">
          <cell r="C123">
            <v>45.242198492462315</v>
          </cell>
          <cell r="E123">
            <v>144051.16</v>
          </cell>
          <cell r="H123">
            <v>347817.33999999997</v>
          </cell>
        </row>
        <row r="124">
          <cell r="C124">
            <v>12.888247487437186</v>
          </cell>
          <cell r="E124">
            <v>41036.18</v>
          </cell>
          <cell r="H124">
            <v>170562.87</v>
          </cell>
        </row>
        <row r="125">
          <cell r="C125">
            <v>74.485191582914581</v>
          </cell>
          <cell r="E125">
            <v>237160.85</v>
          </cell>
          <cell r="H125">
            <v>533549.63</v>
          </cell>
        </row>
        <row r="162">
          <cell r="E162">
            <v>4183853.04</v>
          </cell>
        </row>
        <row r="163">
          <cell r="E163">
            <v>17288118.82</v>
          </cell>
        </row>
        <row r="164">
          <cell r="E164">
            <v>1714326.38</v>
          </cell>
        </row>
        <row r="165">
          <cell r="E165">
            <v>4885144.93</v>
          </cell>
        </row>
        <row r="166">
          <cell r="E166">
            <v>2262030.6500000004</v>
          </cell>
        </row>
        <row r="167">
          <cell r="E167">
            <v>2175950.67</v>
          </cell>
        </row>
        <row r="168">
          <cell r="E168">
            <v>838116.29</v>
          </cell>
        </row>
        <row r="169">
          <cell r="E169">
            <v>1000995.4</v>
          </cell>
        </row>
        <row r="170">
          <cell r="E170">
            <v>1708916.14</v>
          </cell>
        </row>
        <row r="171">
          <cell r="E171">
            <v>340629.16</v>
          </cell>
        </row>
        <row r="172">
          <cell r="E172">
            <v>730442.42999999993</v>
          </cell>
        </row>
        <row r="173">
          <cell r="E173">
            <v>5075196.379999999</v>
          </cell>
        </row>
        <row r="174">
          <cell r="E174">
            <v>1726222.6099999999</v>
          </cell>
        </row>
        <row r="175">
          <cell r="E175">
            <v>1475540.95</v>
          </cell>
        </row>
        <row r="176">
          <cell r="E176">
            <v>1094021.6499999999</v>
          </cell>
        </row>
        <row r="177">
          <cell r="E177">
            <v>3492480.37</v>
          </cell>
        </row>
        <row r="178">
          <cell r="E178">
            <v>1332644.22</v>
          </cell>
        </row>
        <row r="179">
          <cell r="E179">
            <v>4397433.4800000004</v>
          </cell>
        </row>
        <row r="180">
          <cell r="E180">
            <v>8850553.2300000004</v>
          </cell>
        </row>
        <row r="181">
          <cell r="E181">
            <v>1759423.56</v>
          </cell>
        </row>
        <row r="182">
          <cell r="E182">
            <v>3635163.33</v>
          </cell>
        </row>
        <row r="183">
          <cell r="E183">
            <v>442230.35999999993</v>
          </cell>
        </row>
        <row r="184">
          <cell r="E184">
            <v>1529308.14</v>
          </cell>
        </row>
        <row r="185">
          <cell r="E185">
            <v>1816487.2</v>
          </cell>
        </row>
        <row r="186">
          <cell r="E186">
            <v>1784803</v>
          </cell>
        </row>
        <row r="187">
          <cell r="E187">
            <v>3450268.42</v>
          </cell>
        </row>
        <row r="188">
          <cell r="E188">
            <v>1369798.79</v>
          </cell>
        </row>
        <row r="189">
          <cell r="E189">
            <v>1455426.7999999998</v>
          </cell>
        </row>
        <row r="190">
          <cell r="E190">
            <v>1952360.23</v>
          </cell>
        </row>
        <row r="191">
          <cell r="E191">
            <v>2491487.12</v>
          </cell>
        </row>
        <row r="192">
          <cell r="E192">
            <v>7418819.5599999996</v>
          </cell>
        </row>
        <row r="193">
          <cell r="E193">
            <v>1870876.92</v>
          </cell>
        </row>
        <row r="194">
          <cell r="E194">
            <v>1857219.74</v>
          </cell>
        </row>
        <row r="195">
          <cell r="E195">
            <v>1027745.36</v>
          </cell>
        </row>
        <row r="196">
          <cell r="E196">
            <v>3968301.9299999997</v>
          </cell>
        </row>
        <row r="197">
          <cell r="E197">
            <v>3691430.7399999998</v>
          </cell>
        </row>
        <row r="198">
          <cell r="E198">
            <v>4143417.41</v>
          </cell>
        </row>
        <row r="199">
          <cell r="E199">
            <v>2691398.34</v>
          </cell>
        </row>
        <row r="200">
          <cell r="E200">
            <v>2738606.8400000003</v>
          </cell>
        </row>
        <row r="201">
          <cell r="E201">
            <v>2605084.0199999996</v>
          </cell>
        </row>
        <row r="202">
          <cell r="E202">
            <v>2498777.12</v>
          </cell>
        </row>
        <row r="203">
          <cell r="E203">
            <v>2232124.21</v>
          </cell>
        </row>
        <row r="204">
          <cell r="E204">
            <v>10406964.420000002</v>
          </cell>
        </row>
        <row r="205">
          <cell r="E205">
            <v>6520424.1100000003</v>
          </cell>
        </row>
        <row r="206">
          <cell r="E206">
            <v>3580075.42</v>
          </cell>
        </row>
        <row r="207">
          <cell r="E207">
            <v>1937452.8399999999</v>
          </cell>
        </row>
        <row r="213">
          <cell r="E213">
            <v>1367082.44</v>
          </cell>
        </row>
        <row r="214">
          <cell r="E214">
            <v>1346534.55</v>
          </cell>
        </row>
        <row r="215">
          <cell r="E215">
            <v>1854256.33</v>
          </cell>
        </row>
        <row r="216">
          <cell r="E216">
            <v>1041474.13</v>
          </cell>
        </row>
        <row r="217">
          <cell r="E217">
            <v>2628732.69</v>
          </cell>
        </row>
        <row r="218">
          <cell r="E218">
            <v>1070721.06</v>
          </cell>
        </row>
        <row r="219">
          <cell r="E219">
            <v>1618500.33</v>
          </cell>
        </row>
        <row r="220">
          <cell r="E220">
            <v>1108392.69</v>
          </cell>
        </row>
        <row r="221">
          <cell r="E221">
            <v>2463389.34</v>
          </cell>
        </row>
        <row r="222">
          <cell r="E222">
            <v>1636952.92</v>
          </cell>
        </row>
        <row r="223">
          <cell r="E223">
            <v>8907048.4800000004</v>
          </cell>
        </row>
        <row r="224">
          <cell r="E224">
            <v>3689611.75</v>
          </cell>
        </row>
        <row r="225">
          <cell r="E225">
            <v>2192516.1</v>
          </cell>
        </row>
        <row r="226">
          <cell r="E226">
            <v>3071682.71</v>
          </cell>
        </row>
        <row r="227">
          <cell r="E227">
            <v>1782043.06</v>
          </cell>
        </row>
        <row r="228">
          <cell r="E228">
            <v>9075042.370000001</v>
          </cell>
        </row>
        <row r="229">
          <cell r="E229">
            <v>3839309.62</v>
          </cell>
        </row>
        <row r="230">
          <cell r="E230">
            <v>2547160.06</v>
          </cell>
        </row>
        <row r="231">
          <cell r="E231">
            <v>5682134.7100000009</v>
          </cell>
        </row>
        <row r="232">
          <cell r="E232">
            <v>2257370.06</v>
          </cell>
        </row>
        <row r="233">
          <cell r="E233">
            <v>1980416.6400000001</v>
          </cell>
        </row>
        <row r="234">
          <cell r="E234">
            <v>3283830.04</v>
          </cell>
        </row>
        <row r="235">
          <cell r="E235">
            <v>660715.93999999994</v>
          </cell>
        </row>
        <row r="236">
          <cell r="E236">
            <v>2337958.4900000002</v>
          </cell>
        </row>
        <row r="237">
          <cell r="E237">
            <v>1970635.65</v>
          </cell>
        </row>
        <row r="238">
          <cell r="E238">
            <v>2120197.16</v>
          </cell>
        </row>
        <row r="239">
          <cell r="E239">
            <v>2518103.94</v>
          </cell>
        </row>
        <row r="240">
          <cell r="E240">
            <v>1688403.7599999998</v>
          </cell>
        </row>
        <row r="241">
          <cell r="E241">
            <v>3767947.1199999996</v>
          </cell>
        </row>
        <row r="242">
          <cell r="E242">
            <v>2241939.5900000003</v>
          </cell>
        </row>
        <row r="243">
          <cell r="E243">
            <v>534389.02</v>
          </cell>
        </row>
        <row r="244">
          <cell r="E244">
            <v>2543659.7599999998</v>
          </cell>
        </row>
        <row r="245">
          <cell r="E245">
            <v>1632566.92</v>
          </cell>
        </row>
        <row r="246">
          <cell r="E246">
            <v>1421546.0799999998</v>
          </cell>
        </row>
        <row r="247">
          <cell r="E247">
            <v>1288643.02</v>
          </cell>
        </row>
        <row r="248">
          <cell r="E248">
            <v>1221470.56</v>
          </cell>
        </row>
        <row r="249">
          <cell r="E249">
            <v>1011793.32</v>
          </cell>
        </row>
        <row r="250">
          <cell r="E250">
            <v>1680295.5800000003</v>
          </cell>
        </row>
        <row r="251">
          <cell r="E251">
            <v>1855825.23</v>
          </cell>
        </row>
        <row r="252">
          <cell r="E252">
            <v>1488412.5999999999</v>
          </cell>
        </row>
        <row r="253">
          <cell r="E253">
            <v>1841578.83</v>
          </cell>
        </row>
        <row r="254">
          <cell r="E254">
            <v>92265.73</v>
          </cell>
        </row>
        <row r="255">
          <cell r="E255">
            <v>485040.19</v>
          </cell>
        </row>
        <row r="256">
          <cell r="E256">
            <v>824751.96</v>
          </cell>
        </row>
        <row r="262">
          <cell r="E262">
            <v>5016491.2799999993</v>
          </cell>
        </row>
        <row r="263">
          <cell r="E263">
            <v>6995155.1699999999</v>
          </cell>
        </row>
        <row r="264">
          <cell r="E264">
            <v>1443205.33</v>
          </cell>
        </row>
        <row r="265">
          <cell r="E265">
            <v>399593.76999999996</v>
          </cell>
        </row>
        <row r="266">
          <cell r="E266">
            <v>1727056.4600000002</v>
          </cell>
        </row>
        <row r="267">
          <cell r="E267">
            <v>1836196.4900000002</v>
          </cell>
        </row>
        <row r="268">
          <cell r="E268">
            <v>1323125.6300000001</v>
          </cell>
        </row>
        <row r="269">
          <cell r="E269">
            <v>2494754.36</v>
          </cell>
        </row>
        <row r="270">
          <cell r="E270">
            <v>2133331.12</v>
          </cell>
        </row>
        <row r="271">
          <cell r="E271">
            <v>1629179.44</v>
          </cell>
        </row>
        <row r="272">
          <cell r="E272">
            <v>2083834.5</v>
          </cell>
        </row>
        <row r="273">
          <cell r="E273">
            <v>725471.10000000009</v>
          </cell>
        </row>
        <row r="274">
          <cell r="E274">
            <v>1929956.3199999998</v>
          </cell>
        </row>
        <row r="275">
          <cell r="E275">
            <v>1893920.4</v>
          </cell>
        </row>
        <row r="276">
          <cell r="E276">
            <v>1683148.86</v>
          </cell>
        </row>
        <row r="277">
          <cell r="E277">
            <v>1778461.17</v>
          </cell>
        </row>
        <row r="278">
          <cell r="E278">
            <v>912091.38</v>
          </cell>
        </row>
        <row r="279">
          <cell r="E279">
            <v>2932102.31</v>
          </cell>
        </row>
      </sheetData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 1"/>
      <sheetName val="Charters"/>
    </sheetNames>
    <sheetDataSet>
      <sheetData sheetId="0" refreshError="1"/>
      <sheetData sheetId="1">
        <row r="7">
          <cell r="C7">
            <v>152.28514110726647</v>
          </cell>
          <cell r="E7">
            <v>484875.89</v>
          </cell>
          <cell r="F7">
            <v>5.12</v>
          </cell>
          <cell r="H7">
            <v>16302.08</v>
          </cell>
        </row>
        <row r="8">
          <cell r="C8">
            <v>970.02863795271162</v>
          </cell>
          <cell r="E8">
            <v>3088571.18</v>
          </cell>
          <cell r="F8">
            <v>10.46</v>
          </cell>
          <cell r="H8">
            <v>33304.639999999999</v>
          </cell>
        </row>
        <row r="9">
          <cell r="C9">
            <v>80.260999999999996</v>
          </cell>
          <cell r="E9">
            <v>255551.02</v>
          </cell>
          <cell r="F9">
            <v>3.89</v>
          </cell>
          <cell r="H9">
            <v>12385.76</v>
          </cell>
        </row>
        <row r="10">
          <cell r="C10">
            <v>156.07842187767943</v>
          </cell>
          <cell r="E10">
            <v>496953.7</v>
          </cell>
          <cell r="F10">
            <v>1</v>
          </cell>
          <cell r="H10">
            <v>3184</v>
          </cell>
        </row>
        <row r="11">
          <cell r="C11">
            <v>22.267616975292889</v>
          </cell>
          <cell r="E11">
            <v>70900.09</v>
          </cell>
          <cell r="F11">
            <v>0.72</v>
          </cell>
          <cell r="H11">
            <v>2292.48</v>
          </cell>
        </row>
        <row r="12">
          <cell r="C12">
            <v>173.73599999999999</v>
          </cell>
          <cell r="E12">
            <v>553175.42000000004</v>
          </cell>
          <cell r="F12">
            <v>26.01</v>
          </cell>
          <cell r="H12">
            <v>82815.839999999997</v>
          </cell>
        </row>
        <row r="13">
          <cell r="C13">
            <v>53.916577695167277</v>
          </cell>
          <cell r="E13">
            <v>171670.38</v>
          </cell>
          <cell r="F13">
            <v>4.8499999999999996</v>
          </cell>
          <cell r="H13">
            <v>15442.4</v>
          </cell>
        </row>
        <row r="14">
          <cell r="C14">
            <v>43.524936541353384</v>
          </cell>
          <cell r="E14">
            <v>138583.4</v>
          </cell>
          <cell r="F14">
            <v>1.46</v>
          </cell>
          <cell r="H14">
            <v>4648.6400000000003</v>
          </cell>
        </row>
        <row r="15">
          <cell r="C15">
            <v>35.633372514399532</v>
          </cell>
          <cell r="E15">
            <v>113456.66</v>
          </cell>
          <cell r="F15">
            <v>0.81</v>
          </cell>
          <cell r="H15">
            <v>2579.04</v>
          </cell>
        </row>
        <row r="16">
          <cell r="C16">
            <v>13.010869427312777</v>
          </cell>
          <cell r="E16">
            <v>41426.61</v>
          </cell>
          <cell r="F16">
            <v>0</v>
          </cell>
          <cell r="H16">
            <v>0</v>
          </cell>
        </row>
        <row r="17">
          <cell r="C17">
            <v>21.168355555555557</v>
          </cell>
          <cell r="E17">
            <v>67400.039999999994</v>
          </cell>
          <cell r="F17">
            <v>1</v>
          </cell>
          <cell r="H17">
            <v>3184</v>
          </cell>
        </row>
        <row r="18">
          <cell r="C18">
            <v>201.81519047103743</v>
          </cell>
          <cell r="E18">
            <v>642579.56999999995</v>
          </cell>
          <cell r="F18">
            <v>44.63</v>
          </cell>
          <cell r="H18">
            <v>142101.92000000001</v>
          </cell>
        </row>
        <row r="19">
          <cell r="C19">
            <v>39.792822659788612</v>
          </cell>
          <cell r="E19">
            <v>126700.35</v>
          </cell>
          <cell r="F19">
            <v>2.83</v>
          </cell>
          <cell r="H19">
            <v>9010.7199999999993</v>
          </cell>
        </row>
        <row r="20">
          <cell r="C20">
            <v>32.168537038359887</v>
          </cell>
          <cell r="E20">
            <v>102424.62</v>
          </cell>
          <cell r="F20">
            <v>0</v>
          </cell>
          <cell r="H20">
            <v>0</v>
          </cell>
        </row>
        <row r="21">
          <cell r="C21">
            <v>43.984733333333331</v>
          </cell>
          <cell r="E21">
            <v>140047.39000000001</v>
          </cell>
          <cell r="F21">
            <v>0.3</v>
          </cell>
          <cell r="H21">
            <v>955.2</v>
          </cell>
        </row>
        <row r="22">
          <cell r="C22">
            <v>8.3540792246294195</v>
          </cell>
          <cell r="E22">
            <v>26599.39</v>
          </cell>
          <cell r="F22">
            <v>0</v>
          </cell>
          <cell r="H22">
            <v>0</v>
          </cell>
        </row>
        <row r="23">
          <cell r="C23">
            <v>45.724822222222222</v>
          </cell>
          <cell r="E23">
            <v>145587.82999999999</v>
          </cell>
          <cell r="F23">
            <v>1.47</v>
          </cell>
          <cell r="H23">
            <v>4680.4799999999996</v>
          </cell>
        </row>
        <row r="24">
          <cell r="C24">
            <v>134.94800000000001</v>
          </cell>
          <cell r="E24">
            <v>429674.43</v>
          </cell>
          <cell r="F24">
            <v>22.89</v>
          </cell>
          <cell r="H24">
            <v>72881.759999999995</v>
          </cell>
        </row>
        <row r="25">
          <cell r="C25">
            <v>349.2422112920284</v>
          </cell>
          <cell r="E25">
            <v>1111987.2</v>
          </cell>
          <cell r="F25">
            <v>3.18</v>
          </cell>
          <cell r="H25">
            <v>10125.120000000001</v>
          </cell>
        </row>
        <row r="26">
          <cell r="C26">
            <v>3.6495269614835952</v>
          </cell>
          <cell r="E26">
            <v>11620.09</v>
          </cell>
          <cell r="F26">
            <v>0</v>
          </cell>
          <cell r="H26">
            <v>0</v>
          </cell>
        </row>
        <row r="27">
          <cell r="C27">
            <v>71.710733333333337</v>
          </cell>
          <cell r="E27">
            <v>228326.97</v>
          </cell>
          <cell r="F27">
            <v>2</v>
          </cell>
          <cell r="H27">
            <v>6368</v>
          </cell>
        </row>
        <row r="28">
          <cell r="C28">
            <v>21.280369600675709</v>
          </cell>
          <cell r="E28">
            <v>67756.7</v>
          </cell>
          <cell r="F28">
            <v>0</v>
          </cell>
          <cell r="H28">
            <v>0</v>
          </cell>
        </row>
        <row r="29">
          <cell r="C29">
            <v>50.839569779036829</v>
          </cell>
          <cell r="E29">
            <v>161873.19</v>
          </cell>
          <cell r="F29">
            <v>5.13</v>
          </cell>
          <cell r="H29">
            <v>16333.92</v>
          </cell>
        </row>
        <row r="30">
          <cell r="C30">
            <v>2.0939999999999999</v>
          </cell>
          <cell r="E30">
            <v>6667.3</v>
          </cell>
          <cell r="F30">
            <v>0</v>
          </cell>
          <cell r="H30">
            <v>0</v>
          </cell>
        </row>
        <row r="31">
          <cell r="C31">
            <v>3.4978000000000002</v>
          </cell>
          <cell r="E31">
            <v>11137</v>
          </cell>
          <cell r="F31">
            <v>0</v>
          </cell>
          <cell r="H31">
            <v>0</v>
          </cell>
        </row>
        <row r="32">
          <cell r="C32">
            <v>141.56046376425587</v>
          </cell>
          <cell r="E32">
            <v>450728.52</v>
          </cell>
          <cell r="F32">
            <v>3.14</v>
          </cell>
          <cell r="H32">
            <v>9997.76</v>
          </cell>
        </row>
        <row r="33">
          <cell r="C33">
            <v>68.46546320875224</v>
          </cell>
          <cell r="E33">
            <v>217994.03</v>
          </cell>
          <cell r="F33">
            <v>1</v>
          </cell>
          <cell r="H33">
            <v>3184</v>
          </cell>
        </row>
        <row r="34">
          <cell r="C34">
            <v>40.778088888888888</v>
          </cell>
          <cell r="E34">
            <v>129837.44</v>
          </cell>
          <cell r="F34">
            <v>4</v>
          </cell>
          <cell r="H34">
            <v>12736</v>
          </cell>
        </row>
        <row r="35">
          <cell r="C35">
            <v>46.2323147934855</v>
          </cell>
          <cell r="E35">
            <v>147203.69</v>
          </cell>
          <cell r="F35">
            <v>2</v>
          </cell>
          <cell r="H35">
            <v>6368</v>
          </cell>
        </row>
        <row r="36">
          <cell r="C36">
            <v>94.844000000000008</v>
          </cell>
          <cell r="E36">
            <v>301983.3</v>
          </cell>
          <cell r="F36">
            <v>8.6</v>
          </cell>
          <cell r="H36">
            <v>27382.400000000001</v>
          </cell>
        </row>
        <row r="37">
          <cell r="C37">
            <v>269.07415891155028</v>
          </cell>
          <cell r="E37">
            <v>856732.12</v>
          </cell>
          <cell r="F37">
            <v>42.47</v>
          </cell>
          <cell r="H37">
            <v>135224.48000000001</v>
          </cell>
        </row>
        <row r="38">
          <cell r="C38">
            <v>64.356061187028345</v>
          </cell>
          <cell r="E38">
            <v>204909.7</v>
          </cell>
          <cell r="F38">
            <v>9.99</v>
          </cell>
          <cell r="H38">
            <v>31808.16</v>
          </cell>
        </row>
        <row r="39">
          <cell r="C39">
            <v>55.672644444444451</v>
          </cell>
          <cell r="E39">
            <v>177261.7</v>
          </cell>
          <cell r="F39">
            <v>5</v>
          </cell>
          <cell r="H39">
            <v>15920</v>
          </cell>
        </row>
        <row r="40">
          <cell r="C40">
            <v>14.34137777777778</v>
          </cell>
          <cell r="E40">
            <v>45662.95</v>
          </cell>
          <cell r="F40">
            <v>0</v>
          </cell>
          <cell r="H40">
            <v>0</v>
          </cell>
        </row>
        <row r="41">
          <cell r="C41">
            <v>195.77793449264058</v>
          </cell>
          <cell r="E41">
            <v>623356.93999999994</v>
          </cell>
          <cell r="F41">
            <v>4.26</v>
          </cell>
          <cell r="H41">
            <v>13563.84</v>
          </cell>
        </row>
        <row r="42">
          <cell r="C42">
            <v>104.14485162066248</v>
          </cell>
          <cell r="E42">
            <v>331597.21000000002</v>
          </cell>
          <cell r="F42">
            <v>5.94</v>
          </cell>
          <cell r="H42">
            <v>18912.96</v>
          </cell>
        </row>
        <row r="43">
          <cell r="C43">
            <v>153.09399999999999</v>
          </cell>
          <cell r="E43">
            <v>487451.3</v>
          </cell>
          <cell r="F43">
            <v>3.43</v>
          </cell>
          <cell r="H43">
            <v>10921.12</v>
          </cell>
        </row>
        <row r="44">
          <cell r="C44">
            <v>54.234807647768932</v>
          </cell>
          <cell r="E44">
            <v>172683.63</v>
          </cell>
          <cell r="F44">
            <v>3.98</v>
          </cell>
          <cell r="H44">
            <v>12672.32</v>
          </cell>
        </row>
        <row r="45">
          <cell r="C45">
            <v>75.01827647766045</v>
          </cell>
          <cell r="E45">
            <v>238858.19</v>
          </cell>
          <cell r="F45">
            <v>5.93</v>
          </cell>
          <cell r="H45">
            <v>18881.12</v>
          </cell>
        </row>
        <row r="46">
          <cell r="C46">
            <v>94.717972506508531</v>
          </cell>
          <cell r="E46">
            <v>301582.02</v>
          </cell>
          <cell r="F46">
            <v>1.92</v>
          </cell>
          <cell r="H46">
            <v>6113.28</v>
          </cell>
        </row>
        <row r="47">
          <cell r="C47">
            <v>43.996000000000002</v>
          </cell>
          <cell r="E47">
            <v>140083.26</v>
          </cell>
          <cell r="F47">
            <v>0.65</v>
          </cell>
          <cell r="H47">
            <v>2069.6</v>
          </cell>
        </row>
        <row r="48">
          <cell r="C48">
            <v>65.718000000000004</v>
          </cell>
          <cell r="E48">
            <v>209246.11</v>
          </cell>
          <cell r="F48">
            <v>2.67</v>
          </cell>
          <cell r="H48">
            <v>8501.2800000000007</v>
          </cell>
        </row>
        <row r="49">
          <cell r="C49">
            <v>2179.0616336671674</v>
          </cell>
          <cell r="E49">
            <v>6938132.2400000002</v>
          </cell>
          <cell r="F49">
            <v>161.93</v>
          </cell>
          <cell r="H49">
            <v>515585.12</v>
          </cell>
        </row>
        <row r="50">
          <cell r="C50">
            <v>272.61068269691378</v>
          </cell>
          <cell r="E50">
            <v>867992.41</v>
          </cell>
          <cell r="F50">
            <v>2.34</v>
          </cell>
          <cell r="H50">
            <v>7450.56</v>
          </cell>
        </row>
        <row r="51">
          <cell r="C51">
            <v>108.36424349807722</v>
          </cell>
          <cell r="E51">
            <v>345031.75</v>
          </cell>
          <cell r="F51">
            <v>7.13</v>
          </cell>
          <cell r="H51">
            <v>22701.919999999998</v>
          </cell>
        </row>
        <row r="52">
          <cell r="C52">
            <v>48.806311111111107</v>
          </cell>
          <cell r="E52">
            <v>155399.29</v>
          </cell>
          <cell r="F52">
            <v>0</v>
          </cell>
          <cell r="H52">
            <v>0</v>
          </cell>
        </row>
        <row r="58">
          <cell r="C58">
            <v>19.958190041658401</v>
          </cell>
          <cell r="E58">
            <v>63546.879999999997</v>
          </cell>
          <cell r="F58">
            <v>0</v>
          </cell>
          <cell r="H58">
            <v>0</v>
          </cell>
        </row>
        <row r="59">
          <cell r="C59">
            <v>35.292244444444442</v>
          </cell>
          <cell r="E59">
            <v>112370.51</v>
          </cell>
          <cell r="F59">
            <v>4.9800000000000004</v>
          </cell>
          <cell r="H59">
            <v>15856.32</v>
          </cell>
        </row>
        <row r="60">
          <cell r="C60">
            <v>49.311377777777771</v>
          </cell>
          <cell r="E60">
            <v>157007.43</v>
          </cell>
          <cell r="F60">
            <v>3.66</v>
          </cell>
          <cell r="H60">
            <v>11653.44</v>
          </cell>
        </row>
        <row r="61">
          <cell r="C61">
            <v>31.269662697126012</v>
          </cell>
          <cell r="E61">
            <v>99562.61</v>
          </cell>
          <cell r="F61">
            <v>1.99</v>
          </cell>
          <cell r="H61">
            <v>6336.16</v>
          </cell>
        </row>
        <row r="62">
          <cell r="C62">
            <v>46.496649521566326</v>
          </cell>
          <cell r="E62">
            <v>148045.32999999999</v>
          </cell>
          <cell r="F62">
            <v>0</v>
          </cell>
          <cell r="H62">
            <v>0</v>
          </cell>
        </row>
        <row r="63">
          <cell r="C63">
            <v>53.480749547899741</v>
          </cell>
          <cell r="E63">
            <v>170282.71</v>
          </cell>
          <cell r="F63">
            <v>1.86</v>
          </cell>
          <cell r="H63">
            <v>5922.24</v>
          </cell>
        </row>
        <row r="64">
          <cell r="C64">
            <v>43.773993996569459</v>
          </cell>
          <cell r="E64">
            <v>139376.4</v>
          </cell>
          <cell r="F64">
            <v>2</v>
          </cell>
          <cell r="H64">
            <v>6368</v>
          </cell>
        </row>
        <row r="65">
          <cell r="C65">
            <v>40.409955555555555</v>
          </cell>
          <cell r="E65">
            <v>128665.3</v>
          </cell>
          <cell r="F65">
            <v>3.48</v>
          </cell>
          <cell r="H65">
            <v>11080.32</v>
          </cell>
        </row>
        <row r="66">
          <cell r="C66">
            <v>88.708267711876942</v>
          </cell>
          <cell r="E66">
            <v>282447.12</v>
          </cell>
          <cell r="F66">
            <v>14.79</v>
          </cell>
          <cell r="H66">
            <v>47091.360000000001</v>
          </cell>
        </row>
        <row r="67">
          <cell r="C67">
            <v>102.26739800421643</v>
          </cell>
          <cell r="E67">
            <v>325619.40000000002</v>
          </cell>
          <cell r="F67">
            <v>10.68</v>
          </cell>
          <cell r="H67">
            <v>34005.120000000003</v>
          </cell>
        </row>
        <row r="68">
          <cell r="C68">
            <v>474.91517139999996</v>
          </cell>
          <cell r="E68">
            <v>1512129.91</v>
          </cell>
          <cell r="F68">
            <v>2.0499999999999998</v>
          </cell>
          <cell r="H68">
            <v>6527.2</v>
          </cell>
        </row>
        <row r="69">
          <cell r="C69">
            <v>183.2240282883055</v>
          </cell>
          <cell r="E69">
            <v>583385.31000000006</v>
          </cell>
          <cell r="F69">
            <v>15.14</v>
          </cell>
          <cell r="H69">
            <v>48205.760000000002</v>
          </cell>
        </row>
        <row r="70">
          <cell r="C70">
            <v>92.279292405610818</v>
          </cell>
          <cell r="E70">
            <v>293817.27</v>
          </cell>
          <cell r="F70">
            <v>1.38</v>
          </cell>
          <cell r="H70">
            <v>4393.92</v>
          </cell>
        </row>
        <row r="71">
          <cell r="C71">
            <v>99.186895469339618</v>
          </cell>
          <cell r="E71">
            <v>315811.08</v>
          </cell>
          <cell r="F71">
            <v>7.56</v>
          </cell>
          <cell r="H71">
            <v>24071.040000000001</v>
          </cell>
        </row>
        <row r="72">
          <cell r="C72">
            <v>56.992667409589508</v>
          </cell>
          <cell r="E72">
            <v>181464.65</v>
          </cell>
          <cell r="F72">
            <v>0</v>
          </cell>
          <cell r="H72">
            <v>0</v>
          </cell>
        </row>
        <row r="73">
          <cell r="C73">
            <v>677.67916776977393</v>
          </cell>
          <cell r="E73">
            <v>2157730.4700000002</v>
          </cell>
          <cell r="F73">
            <v>29.33</v>
          </cell>
          <cell r="H73">
            <v>93386.72</v>
          </cell>
        </row>
        <row r="74">
          <cell r="C74">
            <v>162.96817794220959</v>
          </cell>
          <cell r="E74">
            <v>518890.68</v>
          </cell>
          <cell r="F74">
            <v>7.12</v>
          </cell>
          <cell r="H74">
            <v>22670.080000000002</v>
          </cell>
        </row>
        <row r="75">
          <cell r="C75">
            <v>64.438311111111119</v>
          </cell>
          <cell r="E75">
            <v>205171.58</v>
          </cell>
          <cell r="F75">
            <v>5.14</v>
          </cell>
          <cell r="H75">
            <v>16365.76</v>
          </cell>
        </row>
        <row r="76">
          <cell r="C76">
            <v>251.46081837458507</v>
          </cell>
          <cell r="E76">
            <v>800651.25</v>
          </cell>
          <cell r="F76">
            <v>7.31</v>
          </cell>
          <cell r="H76">
            <v>23275.040000000001</v>
          </cell>
        </row>
        <row r="77">
          <cell r="C77">
            <v>71.597405188794156</v>
          </cell>
          <cell r="E77">
            <v>227966.14</v>
          </cell>
          <cell r="F77">
            <v>1.82</v>
          </cell>
          <cell r="H77">
            <v>5794.88</v>
          </cell>
        </row>
        <row r="78">
          <cell r="C78">
            <v>71.024799999999999</v>
          </cell>
          <cell r="E78">
            <v>226142.96</v>
          </cell>
          <cell r="F78">
            <v>1</v>
          </cell>
          <cell r="H78">
            <v>3184</v>
          </cell>
        </row>
        <row r="79">
          <cell r="C79">
            <v>128.28939250720458</v>
          </cell>
          <cell r="E79">
            <v>408473.43</v>
          </cell>
          <cell r="F79">
            <v>12.19</v>
          </cell>
          <cell r="H79">
            <v>38812.959999999999</v>
          </cell>
        </row>
        <row r="80">
          <cell r="C80">
            <v>26.405005555207815</v>
          </cell>
          <cell r="E80">
            <v>84073.54</v>
          </cell>
          <cell r="F80">
            <v>3.98</v>
          </cell>
          <cell r="H80">
            <v>12672.32</v>
          </cell>
        </row>
        <row r="81">
          <cell r="C81">
            <v>85.869657193248656</v>
          </cell>
          <cell r="E81">
            <v>273408.99</v>
          </cell>
          <cell r="F81">
            <v>19.82</v>
          </cell>
          <cell r="H81">
            <v>63106.879999999997</v>
          </cell>
        </row>
        <row r="82">
          <cell r="C82">
            <v>58.330241824226064</v>
          </cell>
          <cell r="E82">
            <v>185723.49</v>
          </cell>
          <cell r="F82">
            <v>1</v>
          </cell>
          <cell r="H82">
            <v>3184</v>
          </cell>
        </row>
        <row r="83">
          <cell r="C83">
            <v>58.372040479672421</v>
          </cell>
          <cell r="E83">
            <v>185856.58</v>
          </cell>
          <cell r="F83">
            <v>3.85</v>
          </cell>
          <cell r="H83">
            <v>12258.4</v>
          </cell>
        </row>
        <row r="84">
          <cell r="C84">
            <v>95.929397854171228</v>
          </cell>
          <cell r="E84">
            <v>305439.2</v>
          </cell>
          <cell r="F84">
            <v>2.4700000000000002</v>
          </cell>
          <cell r="H84">
            <v>7864.48</v>
          </cell>
        </row>
        <row r="85">
          <cell r="C85">
            <v>61.639819653250321</v>
          </cell>
          <cell r="E85">
            <v>196261.19</v>
          </cell>
          <cell r="F85">
            <v>0</v>
          </cell>
          <cell r="H85">
            <v>0</v>
          </cell>
        </row>
        <row r="86">
          <cell r="C86">
            <v>167.43738239727756</v>
          </cell>
          <cell r="E86">
            <v>533120.63</v>
          </cell>
          <cell r="F86">
            <v>8.08</v>
          </cell>
          <cell r="H86">
            <v>25726.720000000001</v>
          </cell>
        </row>
        <row r="87">
          <cell r="C87">
            <v>93.778724409448827</v>
          </cell>
          <cell r="E87">
            <v>298591.46000000002</v>
          </cell>
          <cell r="F87">
            <v>0.98</v>
          </cell>
          <cell r="H87">
            <v>3120.32</v>
          </cell>
        </row>
        <row r="88">
          <cell r="C88">
            <v>40.702444444444438</v>
          </cell>
          <cell r="E88">
            <v>129596.58</v>
          </cell>
          <cell r="F88">
            <v>3.47</v>
          </cell>
          <cell r="H88">
            <v>11048.48</v>
          </cell>
        </row>
        <row r="89">
          <cell r="C89">
            <v>68.908312681067343</v>
          </cell>
          <cell r="E89">
            <v>219404.07</v>
          </cell>
          <cell r="F89">
            <v>2</v>
          </cell>
          <cell r="H89">
            <v>6368</v>
          </cell>
        </row>
        <row r="90">
          <cell r="C90">
            <v>42.579777777777778</v>
          </cell>
          <cell r="E90">
            <v>135574.01</v>
          </cell>
          <cell r="F90">
            <v>0</v>
          </cell>
          <cell r="H90">
            <v>0</v>
          </cell>
        </row>
        <row r="91">
          <cell r="C91">
            <v>44.665986838799725</v>
          </cell>
          <cell r="E91">
            <v>142216.5</v>
          </cell>
          <cell r="F91">
            <v>1</v>
          </cell>
          <cell r="H91">
            <v>3184</v>
          </cell>
        </row>
        <row r="92">
          <cell r="C92">
            <v>48.362444444444442</v>
          </cell>
          <cell r="E92">
            <v>153986.01999999999</v>
          </cell>
          <cell r="F92">
            <v>1.3</v>
          </cell>
          <cell r="H92">
            <v>4139.2</v>
          </cell>
        </row>
        <row r="93">
          <cell r="C93">
            <v>56.685336898395718</v>
          </cell>
          <cell r="E93">
            <v>180486.11</v>
          </cell>
          <cell r="F93">
            <v>0</v>
          </cell>
          <cell r="H93">
            <v>0</v>
          </cell>
        </row>
        <row r="94">
          <cell r="C94">
            <v>44.815457628442104</v>
          </cell>
          <cell r="E94">
            <v>142692.42000000001</v>
          </cell>
          <cell r="F94">
            <v>4.58</v>
          </cell>
          <cell r="H94">
            <v>14582.72</v>
          </cell>
        </row>
        <row r="95">
          <cell r="C95">
            <v>40.716666666666669</v>
          </cell>
          <cell r="E95">
            <v>129641.87</v>
          </cell>
          <cell r="F95">
            <v>0</v>
          </cell>
          <cell r="H95">
            <v>0</v>
          </cell>
        </row>
        <row r="96">
          <cell r="C96">
            <v>59.124139602384176</v>
          </cell>
          <cell r="E96">
            <v>188251.26</v>
          </cell>
          <cell r="F96">
            <v>1.96</v>
          </cell>
          <cell r="H96">
            <v>6240.64</v>
          </cell>
        </row>
        <row r="97">
          <cell r="C97">
            <v>51.724310317771675</v>
          </cell>
          <cell r="E97">
            <v>164690.20000000001</v>
          </cell>
          <cell r="F97">
            <v>2.08</v>
          </cell>
          <cell r="H97">
            <v>6622.72</v>
          </cell>
        </row>
        <row r="98">
          <cell r="C98">
            <v>54.657765328229274</v>
          </cell>
          <cell r="E98">
            <v>174030.32</v>
          </cell>
          <cell r="F98">
            <v>0</v>
          </cell>
          <cell r="H98">
            <v>0</v>
          </cell>
        </row>
        <row r="99">
          <cell r="C99">
            <v>4.22</v>
          </cell>
          <cell r="E99">
            <v>13436.48</v>
          </cell>
          <cell r="F99">
            <v>0</v>
          </cell>
          <cell r="H99">
            <v>0</v>
          </cell>
        </row>
        <row r="100">
          <cell r="C100">
            <v>6</v>
          </cell>
          <cell r="E100">
            <v>19104</v>
          </cell>
          <cell r="F100">
            <v>0</v>
          </cell>
          <cell r="H100">
            <v>0</v>
          </cell>
        </row>
        <row r="101">
          <cell r="C101">
            <v>45.527474408163265</v>
          </cell>
          <cell r="E101">
            <v>144959.48000000001</v>
          </cell>
          <cell r="F101">
            <v>3.07</v>
          </cell>
          <cell r="H101">
            <v>9774.8799999999992</v>
          </cell>
        </row>
        <row r="107">
          <cell r="C107">
            <v>144.25930428878479</v>
          </cell>
          <cell r="E107">
            <v>459321.62</v>
          </cell>
          <cell r="F107">
            <v>1.444</v>
          </cell>
          <cell r="H107">
            <v>4597.7</v>
          </cell>
        </row>
        <row r="108">
          <cell r="C108">
            <v>288.85338628461068</v>
          </cell>
          <cell r="E108">
            <v>919709.18</v>
          </cell>
          <cell r="F108">
            <v>7.444</v>
          </cell>
          <cell r="H108">
            <v>23701.7</v>
          </cell>
        </row>
        <row r="109">
          <cell r="C109">
            <v>41.093472466124659</v>
          </cell>
          <cell r="E109">
            <v>130841.62</v>
          </cell>
          <cell r="F109">
            <v>4.7889999999999997</v>
          </cell>
          <cell r="H109">
            <v>15248.18</v>
          </cell>
        </row>
        <row r="110">
          <cell r="C110">
            <v>13.085185185185187</v>
          </cell>
          <cell r="E110">
            <v>41663.230000000003</v>
          </cell>
          <cell r="F110">
            <v>0.222</v>
          </cell>
          <cell r="H110">
            <v>706.85</v>
          </cell>
        </row>
        <row r="111">
          <cell r="C111">
            <v>46.056126463700231</v>
          </cell>
          <cell r="E111">
            <v>146642.71</v>
          </cell>
          <cell r="F111">
            <v>2.65</v>
          </cell>
          <cell r="H111">
            <v>8437.6</v>
          </cell>
        </row>
        <row r="112">
          <cell r="C112">
            <v>46.358892799999992</v>
          </cell>
          <cell r="E112">
            <v>147606.71</v>
          </cell>
          <cell r="F112">
            <v>2</v>
          </cell>
          <cell r="H112">
            <v>6368</v>
          </cell>
        </row>
        <row r="113">
          <cell r="C113">
            <v>44.05</v>
          </cell>
          <cell r="E113">
            <v>140255.20000000001</v>
          </cell>
          <cell r="F113">
            <v>3.7302306377726215</v>
          </cell>
          <cell r="H113">
            <v>11877.05</v>
          </cell>
        </row>
        <row r="114">
          <cell r="C114">
            <v>81.214126582278482</v>
          </cell>
          <cell r="E114">
            <v>258585.78</v>
          </cell>
          <cell r="F114">
            <v>5.5866710016873684</v>
          </cell>
          <cell r="H114">
            <v>17787.96</v>
          </cell>
        </row>
        <row r="115">
          <cell r="C115">
            <v>79.75</v>
          </cell>
          <cell r="E115">
            <v>253924</v>
          </cell>
          <cell r="F115">
            <v>4.7712252343603296</v>
          </cell>
          <cell r="H115">
            <v>15191.58</v>
          </cell>
        </row>
        <row r="116">
          <cell r="C116">
            <v>59.8</v>
          </cell>
          <cell r="E116">
            <v>190403.20000000001</v>
          </cell>
          <cell r="F116">
            <v>3.2531081143365883</v>
          </cell>
          <cell r="H116">
            <v>10357.9</v>
          </cell>
        </row>
        <row r="117">
          <cell r="C117">
            <v>97.78641376672843</v>
          </cell>
          <cell r="E117">
            <v>311351.94</v>
          </cell>
          <cell r="F117">
            <v>0.95599999999999996</v>
          </cell>
          <cell r="H117">
            <v>3043.9</v>
          </cell>
        </row>
        <row r="118">
          <cell r="C118">
            <v>21.75</v>
          </cell>
          <cell r="E118">
            <v>69252</v>
          </cell>
          <cell r="F118">
            <v>1.5614918948815624</v>
          </cell>
          <cell r="H118">
            <v>4971.79</v>
          </cell>
        </row>
        <row r="119">
          <cell r="C119">
            <v>68.006878842676301</v>
          </cell>
          <cell r="E119">
            <v>216533.9</v>
          </cell>
          <cell r="F119">
            <v>4.9620742437347429</v>
          </cell>
          <cell r="H119">
            <v>15799.24</v>
          </cell>
        </row>
        <row r="120">
          <cell r="C120">
            <v>54</v>
          </cell>
          <cell r="E120">
            <v>171936</v>
          </cell>
          <cell r="F120">
            <v>4.6844756846446876</v>
          </cell>
          <cell r="H120">
            <v>14915.37</v>
          </cell>
        </row>
        <row r="121">
          <cell r="C121">
            <v>50</v>
          </cell>
          <cell r="E121">
            <v>159200</v>
          </cell>
          <cell r="F121">
            <v>4.3374774857821183</v>
          </cell>
          <cell r="H121">
            <v>13810.53</v>
          </cell>
        </row>
        <row r="122">
          <cell r="C122">
            <v>57</v>
          </cell>
          <cell r="E122">
            <v>181488</v>
          </cell>
          <cell r="F122">
            <v>4.9447243337916147</v>
          </cell>
          <cell r="H122">
            <v>15744</v>
          </cell>
        </row>
        <row r="123">
          <cell r="C123">
            <v>36</v>
          </cell>
          <cell r="E123">
            <v>114624</v>
          </cell>
          <cell r="F123">
            <v>3.1229837897631247</v>
          </cell>
          <cell r="H123">
            <v>9943.58</v>
          </cell>
        </row>
        <row r="124">
          <cell r="C124">
            <v>83.2</v>
          </cell>
          <cell r="E124">
            <v>264908.79999999999</v>
          </cell>
          <cell r="F124">
            <v>7.2175625363414442</v>
          </cell>
          <cell r="H124">
            <v>22980.720000000001</v>
          </cell>
        </row>
        <row r="162">
          <cell r="C162">
            <v>0</v>
          </cell>
          <cell r="E162">
            <v>0</v>
          </cell>
          <cell r="F162">
            <v>0.70948492462311563</v>
          </cell>
          <cell r="H162">
            <v>2259</v>
          </cell>
        </row>
        <row r="163">
          <cell r="C163">
            <v>0</v>
          </cell>
          <cell r="E163">
            <v>0</v>
          </cell>
          <cell r="F163">
            <v>2.473985552763819</v>
          </cell>
          <cell r="H163">
            <v>7877.17</v>
          </cell>
        </row>
        <row r="164">
          <cell r="C164">
            <v>0</v>
          </cell>
          <cell r="E164">
            <v>0</v>
          </cell>
          <cell r="F164">
            <v>1.0598209798994975</v>
          </cell>
          <cell r="H164">
            <v>3374.47</v>
          </cell>
        </row>
        <row r="165">
          <cell r="C165">
            <v>0</v>
          </cell>
          <cell r="E165">
            <v>0</v>
          </cell>
          <cell r="F165">
            <v>1.1751758793969851</v>
          </cell>
          <cell r="H165">
            <v>3741.76</v>
          </cell>
        </row>
        <row r="166">
          <cell r="C166">
            <v>0</v>
          </cell>
          <cell r="E166">
            <v>0</v>
          </cell>
          <cell r="F166">
            <v>0.70948492462311563</v>
          </cell>
          <cell r="H166">
            <v>2259</v>
          </cell>
        </row>
        <row r="167">
          <cell r="C167">
            <v>0</v>
          </cell>
          <cell r="E167">
            <v>0</v>
          </cell>
          <cell r="F167">
            <v>1.2349905778894472</v>
          </cell>
          <cell r="H167">
            <v>3932.21</v>
          </cell>
        </row>
        <row r="168">
          <cell r="C168">
            <v>0</v>
          </cell>
          <cell r="E168">
            <v>0</v>
          </cell>
          <cell r="F168">
            <v>0.83338567839195976</v>
          </cell>
          <cell r="H168">
            <v>2653.5</v>
          </cell>
        </row>
        <row r="169">
          <cell r="C169">
            <v>0</v>
          </cell>
          <cell r="E169">
            <v>0</v>
          </cell>
          <cell r="F169">
            <v>0.70948492462311563</v>
          </cell>
          <cell r="H169">
            <v>2259</v>
          </cell>
        </row>
        <row r="170">
          <cell r="C170">
            <v>0</v>
          </cell>
          <cell r="E170">
            <v>0</v>
          </cell>
          <cell r="F170">
            <v>0.70948492462311563</v>
          </cell>
          <cell r="H170">
            <v>2259</v>
          </cell>
        </row>
        <row r="171">
          <cell r="C171">
            <v>0</v>
          </cell>
          <cell r="E171">
            <v>0</v>
          </cell>
          <cell r="F171">
            <v>0.70948492462311563</v>
          </cell>
          <cell r="H171">
            <v>2259</v>
          </cell>
        </row>
        <row r="172">
          <cell r="C172">
            <v>0</v>
          </cell>
          <cell r="E172">
            <v>0</v>
          </cell>
          <cell r="F172">
            <v>0.70948492462311563</v>
          </cell>
          <cell r="H172">
            <v>2259</v>
          </cell>
        </row>
        <row r="173">
          <cell r="C173">
            <v>0</v>
          </cell>
          <cell r="E173">
            <v>0</v>
          </cell>
          <cell r="F173">
            <v>0.70948492462311563</v>
          </cell>
          <cell r="H173">
            <v>2259</v>
          </cell>
        </row>
        <row r="174">
          <cell r="C174">
            <v>0</v>
          </cell>
          <cell r="E174">
            <v>0</v>
          </cell>
          <cell r="F174">
            <v>0.70948492462311563</v>
          </cell>
          <cell r="H174">
            <v>2259</v>
          </cell>
        </row>
        <row r="175">
          <cell r="C175">
            <v>0</v>
          </cell>
          <cell r="E175">
            <v>0</v>
          </cell>
          <cell r="F175">
            <v>0.70948492462311563</v>
          </cell>
          <cell r="H175">
            <v>2259</v>
          </cell>
        </row>
        <row r="176">
          <cell r="C176">
            <v>0</v>
          </cell>
          <cell r="E176">
            <v>0</v>
          </cell>
          <cell r="F176">
            <v>0.70948492462311563</v>
          </cell>
          <cell r="H176">
            <v>2259</v>
          </cell>
        </row>
        <row r="177">
          <cell r="C177">
            <v>0</v>
          </cell>
          <cell r="E177">
            <v>0</v>
          </cell>
          <cell r="F177">
            <v>0.70948492462311563</v>
          </cell>
          <cell r="H177">
            <v>2259</v>
          </cell>
        </row>
        <row r="178">
          <cell r="C178">
            <v>0</v>
          </cell>
          <cell r="E178">
            <v>0</v>
          </cell>
          <cell r="F178">
            <v>0.70948492462311563</v>
          </cell>
          <cell r="H178">
            <v>2259</v>
          </cell>
        </row>
        <row r="179">
          <cell r="C179">
            <v>0</v>
          </cell>
          <cell r="E179">
            <v>0</v>
          </cell>
          <cell r="F179">
            <v>0.70948492462311563</v>
          </cell>
          <cell r="H179">
            <v>2259</v>
          </cell>
        </row>
        <row r="180">
          <cell r="C180">
            <v>0</v>
          </cell>
          <cell r="E180">
            <v>0</v>
          </cell>
          <cell r="F180">
            <v>0.70948492462311563</v>
          </cell>
          <cell r="H180">
            <v>2259</v>
          </cell>
        </row>
        <row r="181">
          <cell r="C181">
            <v>0</v>
          </cell>
          <cell r="E181">
            <v>0</v>
          </cell>
          <cell r="F181">
            <v>0.70948492462311563</v>
          </cell>
          <cell r="H181">
            <v>2259</v>
          </cell>
        </row>
        <row r="182">
          <cell r="C182">
            <v>0</v>
          </cell>
          <cell r="E182">
            <v>0</v>
          </cell>
          <cell r="F182">
            <v>0.70948492462311563</v>
          </cell>
          <cell r="H182">
            <v>2259</v>
          </cell>
        </row>
        <row r="183">
          <cell r="C183">
            <v>0</v>
          </cell>
          <cell r="E183">
            <v>0</v>
          </cell>
          <cell r="F183">
            <v>0.70948492462311563</v>
          </cell>
          <cell r="H183">
            <v>2259</v>
          </cell>
        </row>
        <row r="184">
          <cell r="C184">
            <v>0</v>
          </cell>
          <cell r="E184">
            <v>0</v>
          </cell>
          <cell r="F184">
            <v>0.70948492462311563</v>
          </cell>
          <cell r="H184">
            <v>2259</v>
          </cell>
        </row>
        <row r="185">
          <cell r="C185">
            <v>0</v>
          </cell>
          <cell r="E185">
            <v>0</v>
          </cell>
          <cell r="F185">
            <v>0.70948492462311563</v>
          </cell>
          <cell r="H185">
            <v>2259</v>
          </cell>
        </row>
        <row r="186">
          <cell r="C186">
            <v>0</v>
          </cell>
          <cell r="E186">
            <v>0</v>
          </cell>
          <cell r="F186">
            <v>0.70948492462311563</v>
          </cell>
          <cell r="H186">
            <v>2259</v>
          </cell>
        </row>
        <row r="187">
          <cell r="C187">
            <v>0</v>
          </cell>
          <cell r="E187">
            <v>0</v>
          </cell>
          <cell r="F187">
            <v>1.102547110552764</v>
          </cell>
          <cell r="H187">
            <v>3510.51</v>
          </cell>
        </row>
        <row r="188">
          <cell r="C188">
            <v>0</v>
          </cell>
          <cell r="E188">
            <v>0</v>
          </cell>
          <cell r="F188">
            <v>0.70948492462311563</v>
          </cell>
          <cell r="H188">
            <v>2259</v>
          </cell>
        </row>
        <row r="189">
          <cell r="C189">
            <v>0</v>
          </cell>
          <cell r="E189">
            <v>0</v>
          </cell>
          <cell r="F189">
            <v>0.70948492462311563</v>
          </cell>
          <cell r="H189">
            <v>2259</v>
          </cell>
        </row>
        <row r="190">
          <cell r="C190">
            <v>0</v>
          </cell>
          <cell r="E190">
            <v>0</v>
          </cell>
          <cell r="F190">
            <v>0.89747173366834176</v>
          </cell>
          <cell r="H190">
            <v>2857.55</v>
          </cell>
        </row>
        <row r="191">
          <cell r="C191">
            <v>0</v>
          </cell>
          <cell r="E191">
            <v>0</v>
          </cell>
          <cell r="F191">
            <v>1.0854554020100502</v>
          </cell>
          <cell r="H191">
            <v>3456.09</v>
          </cell>
        </row>
        <row r="192">
          <cell r="C192">
            <v>0</v>
          </cell>
          <cell r="E192">
            <v>0</v>
          </cell>
          <cell r="F192">
            <v>1.8117650753768844</v>
          </cell>
          <cell r="H192">
            <v>5768.66</v>
          </cell>
        </row>
        <row r="193">
          <cell r="C193">
            <v>0</v>
          </cell>
          <cell r="E193">
            <v>0</v>
          </cell>
          <cell r="F193">
            <v>0.70948492462311563</v>
          </cell>
          <cell r="H193">
            <v>2259</v>
          </cell>
        </row>
        <row r="194">
          <cell r="C194">
            <v>0</v>
          </cell>
          <cell r="E194">
            <v>0</v>
          </cell>
          <cell r="F194">
            <v>1.0000094221105529</v>
          </cell>
          <cell r="H194">
            <v>3184.03</v>
          </cell>
        </row>
        <row r="195">
          <cell r="C195">
            <v>0</v>
          </cell>
          <cell r="E195">
            <v>0</v>
          </cell>
          <cell r="F195">
            <v>0.70948492462311563</v>
          </cell>
          <cell r="H195">
            <v>2259</v>
          </cell>
        </row>
        <row r="196">
          <cell r="C196">
            <v>0</v>
          </cell>
          <cell r="E196">
            <v>0</v>
          </cell>
          <cell r="F196">
            <v>0.70948492462311563</v>
          </cell>
          <cell r="H196">
            <v>2259</v>
          </cell>
        </row>
        <row r="197">
          <cell r="C197">
            <v>0</v>
          </cell>
          <cell r="E197">
            <v>0</v>
          </cell>
          <cell r="F197">
            <v>1.0470037688442211</v>
          </cell>
          <cell r="H197">
            <v>3333.66</v>
          </cell>
        </row>
        <row r="198">
          <cell r="C198">
            <v>0</v>
          </cell>
          <cell r="E198">
            <v>0</v>
          </cell>
          <cell r="F198">
            <v>0.70948492462311563</v>
          </cell>
          <cell r="H198">
            <v>2259</v>
          </cell>
        </row>
        <row r="199">
          <cell r="C199">
            <v>0</v>
          </cell>
          <cell r="E199">
            <v>0</v>
          </cell>
          <cell r="F199">
            <v>0.70948492462311563</v>
          </cell>
          <cell r="H199">
            <v>2259</v>
          </cell>
        </row>
        <row r="200">
          <cell r="C200">
            <v>0</v>
          </cell>
          <cell r="E200">
            <v>0</v>
          </cell>
          <cell r="F200">
            <v>1.0213693467336684</v>
          </cell>
          <cell r="H200">
            <v>3252.04</v>
          </cell>
        </row>
        <row r="201">
          <cell r="C201">
            <v>0</v>
          </cell>
          <cell r="E201">
            <v>0</v>
          </cell>
          <cell r="F201">
            <v>0.70948492462311563</v>
          </cell>
          <cell r="H201">
            <v>2259</v>
          </cell>
        </row>
        <row r="202">
          <cell r="C202">
            <v>0</v>
          </cell>
          <cell r="E202">
            <v>0</v>
          </cell>
          <cell r="F202">
            <v>0.70948492462311563</v>
          </cell>
          <cell r="H202">
            <v>2259</v>
          </cell>
        </row>
        <row r="203">
          <cell r="C203">
            <v>0</v>
          </cell>
          <cell r="E203">
            <v>0</v>
          </cell>
          <cell r="F203">
            <v>0.70948492462311563</v>
          </cell>
          <cell r="H203">
            <v>2259</v>
          </cell>
        </row>
        <row r="204">
          <cell r="C204">
            <v>0</v>
          </cell>
          <cell r="E204">
            <v>0</v>
          </cell>
          <cell r="F204">
            <v>4.3153894472361811</v>
          </cell>
          <cell r="H204">
            <v>13740.2</v>
          </cell>
        </row>
        <row r="205">
          <cell r="C205">
            <v>0</v>
          </cell>
          <cell r="E205">
            <v>0</v>
          </cell>
          <cell r="F205">
            <v>1.4486086683417085</v>
          </cell>
          <cell r="H205">
            <v>4612.37</v>
          </cell>
        </row>
        <row r="206">
          <cell r="C206">
            <v>0</v>
          </cell>
          <cell r="E206">
            <v>0</v>
          </cell>
          <cell r="F206">
            <v>1.008552135678392</v>
          </cell>
          <cell r="H206">
            <v>3211.23</v>
          </cell>
        </row>
        <row r="207">
          <cell r="C207">
            <v>0</v>
          </cell>
          <cell r="E207">
            <v>0</v>
          </cell>
          <cell r="F207">
            <v>0.87610866834170864</v>
          </cell>
          <cell r="H207">
            <v>2789.53</v>
          </cell>
        </row>
        <row r="213">
          <cell r="C213">
            <v>0</v>
          </cell>
          <cell r="E213">
            <v>0</v>
          </cell>
          <cell r="F213">
            <v>0.70948492462311563</v>
          </cell>
          <cell r="H213">
            <v>2259</v>
          </cell>
        </row>
        <row r="214">
          <cell r="C214">
            <v>0</v>
          </cell>
          <cell r="E214">
            <v>0</v>
          </cell>
          <cell r="F214">
            <v>0.70948492462311563</v>
          </cell>
          <cell r="H214">
            <v>2259</v>
          </cell>
        </row>
        <row r="215">
          <cell r="C215">
            <v>0</v>
          </cell>
          <cell r="E215">
            <v>0</v>
          </cell>
          <cell r="F215">
            <v>0.92310615577889454</v>
          </cell>
          <cell r="H215">
            <v>2939.17</v>
          </cell>
        </row>
        <row r="216">
          <cell r="C216">
            <v>0</v>
          </cell>
          <cell r="E216">
            <v>0</v>
          </cell>
          <cell r="F216">
            <v>0.70948492462311563</v>
          </cell>
          <cell r="H216">
            <v>2259</v>
          </cell>
        </row>
        <row r="217">
          <cell r="C217">
            <v>0</v>
          </cell>
          <cell r="E217">
            <v>0</v>
          </cell>
          <cell r="F217">
            <v>0.70948492462311563</v>
          </cell>
          <cell r="H217">
            <v>2259</v>
          </cell>
        </row>
        <row r="218">
          <cell r="C218">
            <v>0</v>
          </cell>
          <cell r="E218">
            <v>0</v>
          </cell>
          <cell r="F218">
            <v>0.89319723618090452</v>
          </cell>
          <cell r="H218">
            <v>2843.94</v>
          </cell>
        </row>
        <row r="219">
          <cell r="C219">
            <v>0</v>
          </cell>
          <cell r="E219">
            <v>0</v>
          </cell>
          <cell r="F219">
            <v>0.70948492462311563</v>
          </cell>
          <cell r="H219">
            <v>2259</v>
          </cell>
        </row>
        <row r="220">
          <cell r="C220">
            <v>0</v>
          </cell>
          <cell r="E220">
            <v>0</v>
          </cell>
          <cell r="F220">
            <v>0.87610866834170864</v>
          </cell>
          <cell r="H220">
            <v>2789.53</v>
          </cell>
        </row>
        <row r="221">
          <cell r="C221">
            <v>0</v>
          </cell>
          <cell r="E221">
            <v>0</v>
          </cell>
          <cell r="F221">
            <v>1.1367242462311558</v>
          </cell>
          <cell r="H221">
            <v>3619.33</v>
          </cell>
        </row>
        <row r="222">
          <cell r="C222">
            <v>0</v>
          </cell>
          <cell r="E222">
            <v>0</v>
          </cell>
          <cell r="F222">
            <v>0.88465452261306521</v>
          </cell>
          <cell r="H222">
            <v>2816.74</v>
          </cell>
        </row>
        <row r="223">
          <cell r="C223">
            <v>0</v>
          </cell>
          <cell r="E223">
            <v>0</v>
          </cell>
          <cell r="F223">
            <v>1.8245822864321608</v>
          </cell>
          <cell r="H223">
            <v>5809.47</v>
          </cell>
        </row>
        <row r="224">
          <cell r="C224">
            <v>0</v>
          </cell>
          <cell r="E224">
            <v>0</v>
          </cell>
          <cell r="F224">
            <v>1.1751758793969851</v>
          </cell>
          <cell r="H224">
            <v>3741.76</v>
          </cell>
        </row>
        <row r="225">
          <cell r="C225">
            <v>0</v>
          </cell>
          <cell r="E225">
            <v>0</v>
          </cell>
          <cell r="F225">
            <v>0.70948492462311563</v>
          </cell>
          <cell r="H225">
            <v>2259</v>
          </cell>
        </row>
        <row r="226">
          <cell r="C226">
            <v>0</v>
          </cell>
          <cell r="E226">
            <v>0</v>
          </cell>
          <cell r="F226">
            <v>1.1837217336683417</v>
          </cell>
          <cell r="H226">
            <v>3768.97</v>
          </cell>
        </row>
        <row r="227">
          <cell r="C227">
            <v>0</v>
          </cell>
          <cell r="E227">
            <v>0</v>
          </cell>
          <cell r="F227">
            <v>0.70948492462311563</v>
          </cell>
          <cell r="H227">
            <v>2259</v>
          </cell>
        </row>
        <row r="228">
          <cell r="C228">
            <v>0</v>
          </cell>
          <cell r="E228">
            <v>0</v>
          </cell>
          <cell r="F228">
            <v>1.9143027638190955</v>
          </cell>
          <cell r="H228">
            <v>6095.14</v>
          </cell>
        </row>
        <row r="229">
          <cell r="C229">
            <v>0</v>
          </cell>
          <cell r="E229">
            <v>0</v>
          </cell>
          <cell r="F229">
            <v>1.2093561557788945</v>
          </cell>
          <cell r="H229">
            <v>3850.59</v>
          </cell>
        </row>
        <row r="230">
          <cell r="C230">
            <v>0</v>
          </cell>
          <cell r="E230">
            <v>0</v>
          </cell>
          <cell r="F230">
            <v>1.0598209798994975</v>
          </cell>
          <cell r="H230">
            <v>3374.47</v>
          </cell>
        </row>
        <row r="231">
          <cell r="C231">
            <v>0</v>
          </cell>
          <cell r="E231">
            <v>0</v>
          </cell>
          <cell r="F231">
            <v>0.70948492462311563</v>
          </cell>
          <cell r="H231">
            <v>2259</v>
          </cell>
        </row>
        <row r="232">
          <cell r="C232">
            <v>0</v>
          </cell>
          <cell r="E232">
            <v>0</v>
          </cell>
          <cell r="F232">
            <v>0.70948492462311563</v>
          </cell>
          <cell r="H232">
            <v>2259</v>
          </cell>
        </row>
        <row r="233">
          <cell r="C233">
            <v>0</v>
          </cell>
          <cell r="E233">
            <v>0</v>
          </cell>
          <cell r="F233">
            <v>0.70948492462311563</v>
          </cell>
          <cell r="H233">
            <v>2259</v>
          </cell>
        </row>
        <row r="234">
          <cell r="C234">
            <v>0</v>
          </cell>
          <cell r="E234">
            <v>0</v>
          </cell>
          <cell r="F234">
            <v>0.70948492462311563</v>
          </cell>
          <cell r="H234">
            <v>2259</v>
          </cell>
        </row>
        <row r="235">
          <cell r="C235">
            <v>0</v>
          </cell>
          <cell r="E235">
            <v>0</v>
          </cell>
          <cell r="F235">
            <v>0.70948492462311563</v>
          </cell>
          <cell r="H235">
            <v>2259</v>
          </cell>
        </row>
        <row r="236">
          <cell r="C236">
            <v>0</v>
          </cell>
          <cell r="E236">
            <v>0</v>
          </cell>
          <cell r="F236">
            <v>1.2264447236180904</v>
          </cell>
          <cell r="H236">
            <v>3905</v>
          </cell>
        </row>
        <row r="237">
          <cell r="C237">
            <v>0</v>
          </cell>
          <cell r="E237">
            <v>0</v>
          </cell>
          <cell r="F237">
            <v>0.70948492462311563</v>
          </cell>
          <cell r="H237">
            <v>2259</v>
          </cell>
        </row>
        <row r="238">
          <cell r="C238">
            <v>0</v>
          </cell>
          <cell r="E238">
            <v>0</v>
          </cell>
          <cell r="F238">
            <v>0.92310615577889454</v>
          </cell>
          <cell r="H238">
            <v>2939.17</v>
          </cell>
        </row>
        <row r="239">
          <cell r="C239">
            <v>0</v>
          </cell>
          <cell r="E239">
            <v>0</v>
          </cell>
          <cell r="F239">
            <v>0.70948492462311563</v>
          </cell>
          <cell r="H239">
            <v>2259</v>
          </cell>
        </row>
        <row r="240">
          <cell r="C240">
            <v>0</v>
          </cell>
          <cell r="E240">
            <v>0</v>
          </cell>
          <cell r="F240">
            <v>0.95728329145728641</v>
          </cell>
          <cell r="H240">
            <v>3047.99</v>
          </cell>
        </row>
        <row r="241">
          <cell r="C241">
            <v>0</v>
          </cell>
          <cell r="E241">
            <v>0</v>
          </cell>
          <cell r="F241">
            <v>0.70948492462311563</v>
          </cell>
          <cell r="H241">
            <v>2259</v>
          </cell>
        </row>
        <row r="242">
          <cell r="C242">
            <v>0</v>
          </cell>
          <cell r="E242">
            <v>0</v>
          </cell>
          <cell r="F242">
            <v>0.70948492462311563</v>
          </cell>
          <cell r="H242">
            <v>2259</v>
          </cell>
        </row>
        <row r="243">
          <cell r="C243">
            <v>0</v>
          </cell>
          <cell r="E243">
            <v>0</v>
          </cell>
          <cell r="F243">
            <v>0.7992054020100503</v>
          </cell>
          <cell r="H243">
            <v>2544.67</v>
          </cell>
        </row>
        <row r="244">
          <cell r="C244">
            <v>0</v>
          </cell>
          <cell r="E244">
            <v>0</v>
          </cell>
          <cell r="F244">
            <v>0.70948492462311563</v>
          </cell>
          <cell r="H244">
            <v>2259</v>
          </cell>
        </row>
        <row r="245">
          <cell r="C245">
            <v>0</v>
          </cell>
          <cell r="E245">
            <v>0</v>
          </cell>
          <cell r="F245">
            <v>0.9658291457286432</v>
          </cell>
          <cell r="H245">
            <v>3075.2</v>
          </cell>
        </row>
        <row r="246">
          <cell r="C246">
            <v>0</v>
          </cell>
          <cell r="E246">
            <v>0</v>
          </cell>
          <cell r="F246">
            <v>0.70948492462311563</v>
          </cell>
          <cell r="H246">
            <v>2259</v>
          </cell>
        </row>
        <row r="247">
          <cell r="C247">
            <v>0</v>
          </cell>
          <cell r="E247">
            <v>0</v>
          </cell>
          <cell r="F247">
            <v>0.70948492462311563</v>
          </cell>
          <cell r="H247">
            <v>2259</v>
          </cell>
        </row>
        <row r="248">
          <cell r="C248">
            <v>0</v>
          </cell>
          <cell r="E248">
            <v>0</v>
          </cell>
          <cell r="F248">
            <v>0.70948492462311563</v>
          </cell>
          <cell r="H248">
            <v>2259</v>
          </cell>
        </row>
        <row r="249">
          <cell r="C249">
            <v>0</v>
          </cell>
          <cell r="E249">
            <v>0</v>
          </cell>
          <cell r="F249">
            <v>0.70948492462311563</v>
          </cell>
          <cell r="H249">
            <v>2259</v>
          </cell>
        </row>
        <row r="250">
          <cell r="C250">
            <v>0</v>
          </cell>
          <cell r="E250">
            <v>0</v>
          </cell>
          <cell r="F250">
            <v>0.70948492462311563</v>
          </cell>
          <cell r="H250">
            <v>2259</v>
          </cell>
        </row>
        <row r="251">
          <cell r="C251">
            <v>0</v>
          </cell>
          <cell r="E251">
            <v>0</v>
          </cell>
          <cell r="F251">
            <v>0.70948492462311563</v>
          </cell>
          <cell r="H251">
            <v>2259</v>
          </cell>
        </row>
        <row r="252">
          <cell r="C252">
            <v>0</v>
          </cell>
          <cell r="E252">
            <v>0</v>
          </cell>
          <cell r="F252">
            <v>0.70948492462311563</v>
          </cell>
          <cell r="H252">
            <v>2259</v>
          </cell>
        </row>
        <row r="253">
          <cell r="C253">
            <v>0</v>
          </cell>
          <cell r="E253">
            <v>0</v>
          </cell>
          <cell r="F253">
            <v>0.70948492462311563</v>
          </cell>
          <cell r="H253">
            <v>2259</v>
          </cell>
        </row>
        <row r="254">
          <cell r="C254">
            <v>0</v>
          </cell>
          <cell r="E254">
            <v>0</v>
          </cell>
          <cell r="F254">
            <v>0.70948492462311563</v>
          </cell>
          <cell r="H254">
            <v>2259</v>
          </cell>
        </row>
        <row r="255">
          <cell r="C255">
            <v>0</v>
          </cell>
          <cell r="E255">
            <v>0</v>
          </cell>
          <cell r="F255">
            <v>0.70948492462311563</v>
          </cell>
          <cell r="H255">
            <v>2259</v>
          </cell>
        </row>
        <row r="256">
          <cell r="C256">
            <v>0</v>
          </cell>
          <cell r="E256">
            <v>0</v>
          </cell>
          <cell r="F256">
            <v>0.70948492462311563</v>
          </cell>
          <cell r="H256">
            <v>2259</v>
          </cell>
        </row>
        <row r="262">
          <cell r="C262">
            <v>0</v>
          </cell>
          <cell r="E262">
            <v>0</v>
          </cell>
          <cell r="F262">
            <v>0.70948492462311563</v>
          </cell>
          <cell r="H262">
            <v>2259</v>
          </cell>
        </row>
        <row r="263">
          <cell r="C263">
            <v>0</v>
          </cell>
          <cell r="E263">
            <v>0</v>
          </cell>
          <cell r="F263">
            <v>0.70948492462311563</v>
          </cell>
          <cell r="H263">
            <v>2259</v>
          </cell>
        </row>
        <row r="264">
          <cell r="C264">
            <v>0</v>
          </cell>
          <cell r="E264">
            <v>0</v>
          </cell>
          <cell r="F264">
            <v>0.70948492462311563</v>
          </cell>
          <cell r="H264">
            <v>2259</v>
          </cell>
        </row>
        <row r="265">
          <cell r="C265">
            <v>0</v>
          </cell>
          <cell r="E265">
            <v>0</v>
          </cell>
          <cell r="F265">
            <v>0.70948492462311563</v>
          </cell>
          <cell r="H265">
            <v>2259</v>
          </cell>
        </row>
        <row r="266">
          <cell r="C266">
            <v>0</v>
          </cell>
          <cell r="E266">
            <v>0</v>
          </cell>
          <cell r="F266">
            <v>0.70948492462311563</v>
          </cell>
          <cell r="H266">
            <v>2259</v>
          </cell>
        </row>
        <row r="267">
          <cell r="C267">
            <v>0</v>
          </cell>
          <cell r="E267">
            <v>0</v>
          </cell>
          <cell r="F267">
            <v>0.70948492462311563</v>
          </cell>
          <cell r="H267">
            <v>2259</v>
          </cell>
        </row>
        <row r="268">
          <cell r="C268">
            <v>0</v>
          </cell>
          <cell r="E268">
            <v>0</v>
          </cell>
          <cell r="F268">
            <v>0.70948492462311563</v>
          </cell>
          <cell r="H268">
            <v>2259</v>
          </cell>
        </row>
        <row r="269">
          <cell r="C269">
            <v>0</v>
          </cell>
          <cell r="E269">
            <v>0</v>
          </cell>
          <cell r="F269">
            <v>0.70948492462311563</v>
          </cell>
          <cell r="H269">
            <v>2259</v>
          </cell>
        </row>
        <row r="270">
          <cell r="C270">
            <v>0</v>
          </cell>
          <cell r="E270">
            <v>0</v>
          </cell>
          <cell r="F270">
            <v>0.70948492462311563</v>
          </cell>
          <cell r="H270">
            <v>2259</v>
          </cell>
        </row>
        <row r="271">
          <cell r="C271">
            <v>0</v>
          </cell>
          <cell r="E271">
            <v>0</v>
          </cell>
          <cell r="F271">
            <v>0.70948492462311563</v>
          </cell>
          <cell r="H271">
            <v>2259</v>
          </cell>
        </row>
        <row r="272">
          <cell r="C272">
            <v>0</v>
          </cell>
          <cell r="E272">
            <v>0</v>
          </cell>
          <cell r="F272">
            <v>0.70948492462311563</v>
          </cell>
          <cell r="H272">
            <v>2259</v>
          </cell>
        </row>
        <row r="273">
          <cell r="C273">
            <v>0</v>
          </cell>
          <cell r="E273">
            <v>0</v>
          </cell>
          <cell r="F273">
            <v>0.70948492462311563</v>
          </cell>
          <cell r="H273">
            <v>2259</v>
          </cell>
        </row>
        <row r="274">
          <cell r="C274">
            <v>0</v>
          </cell>
          <cell r="E274">
            <v>0</v>
          </cell>
          <cell r="F274">
            <v>0.70948492462311563</v>
          </cell>
          <cell r="H274">
            <v>2259</v>
          </cell>
        </row>
        <row r="275">
          <cell r="C275">
            <v>0</v>
          </cell>
          <cell r="E275">
            <v>0</v>
          </cell>
          <cell r="F275">
            <v>0.70948492462311563</v>
          </cell>
          <cell r="H275">
            <v>2259</v>
          </cell>
        </row>
        <row r="276">
          <cell r="C276">
            <v>0</v>
          </cell>
          <cell r="E276">
            <v>0</v>
          </cell>
          <cell r="F276">
            <v>0.70948492462311563</v>
          </cell>
          <cell r="H276">
            <v>2259</v>
          </cell>
        </row>
        <row r="277">
          <cell r="C277">
            <v>0</v>
          </cell>
          <cell r="E277">
            <v>0</v>
          </cell>
          <cell r="F277">
            <v>0.70948492462311563</v>
          </cell>
          <cell r="H277">
            <v>2259</v>
          </cell>
        </row>
        <row r="278">
          <cell r="C278">
            <v>0</v>
          </cell>
          <cell r="E278">
            <v>0</v>
          </cell>
          <cell r="F278">
            <v>0.70948492462311563</v>
          </cell>
          <cell r="H278">
            <v>2259</v>
          </cell>
        </row>
        <row r="279">
          <cell r="C279">
            <v>0</v>
          </cell>
          <cell r="E279">
            <v>0</v>
          </cell>
          <cell r="F279">
            <v>0.70948492462311563</v>
          </cell>
          <cell r="H279">
            <v>2259</v>
          </cell>
        </row>
        <row r="318">
          <cell r="C318">
            <v>2.3791834170854269</v>
          </cell>
          <cell r="E318">
            <v>7575.32</v>
          </cell>
          <cell r="H318">
            <v>0</v>
          </cell>
          <cell r="I318">
            <v>0</v>
          </cell>
          <cell r="K318">
            <v>0</v>
          </cell>
          <cell r="N318">
            <v>511012.29000000004</v>
          </cell>
        </row>
        <row r="319">
          <cell r="C319">
            <v>9.7287342964824131</v>
          </cell>
          <cell r="E319">
            <v>30976.29</v>
          </cell>
          <cell r="H319">
            <v>0</v>
          </cell>
          <cell r="I319">
            <v>0</v>
          </cell>
          <cell r="K319">
            <v>0</v>
          </cell>
          <cell r="N319">
            <v>3160729.2800000003</v>
          </cell>
        </row>
        <row r="320">
          <cell r="C320">
            <v>1.9316143216080404</v>
          </cell>
          <cell r="E320">
            <v>6150.26</v>
          </cell>
          <cell r="H320">
            <v>0</v>
          </cell>
          <cell r="I320">
            <v>0</v>
          </cell>
          <cell r="K320">
            <v>0</v>
          </cell>
          <cell r="N320">
            <v>277461.50999999995</v>
          </cell>
        </row>
        <row r="321">
          <cell r="C321">
            <v>2.5676319095477389</v>
          </cell>
          <cell r="E321">
            <v>8175.34</v>
          </cell>
          <cell r="H321">
            <v>0</v>
          </cell>
          <cell r="I321">
            <v>0</v>
          </cell>
          <cell r="K321">
            <v>0</v>
          </cell>
          <cell r="N321">
            <v>512054.80000000005</v>
          </cell>
        </row>
        <row r="322">
          <cell r="C322">
            <v>0.6595760050251257</v>
          </cell>
          <cell r="E322">
            <v>2100.09</v>
          </cell>
          <cell r="H322">
            <v>0</v>
          </cell>
          <cell r="I322">
            <v>0</v>
          </cell>
          <cell r="K322">
            <v>0</v>
          </cell>
          <cell r="N322">
            <v>77551.659999999989</v>
          </cell>
        </row>
        <row r="323">
          <cell r="C323">
            <v>2.8974214824120601</v>
          </cell>
          <cell r="E323">
            <v>9225.39</v>
          </cell>
          <cell r="H323">
            <v>0</v>
          </cell>
          <cell r="I323">
            <v>0</v>
          </cell>
          <cell r="K323">
            <v>0</v>
          </cell>
          <cell r="N323">
            <v>649148.86</v>
          </cell>
        </row>
        <row r="324">
          <cell r="C324">
            <v>0.68313128140703527</v>
          </cell>
          <cell r="E324">
            <v>2175.09</v>
          </cell>
          <cell r="H324">
            <v>0</v>
          </cell>
          <cell r="I324">
            <v>0</v>
          </cell>
          <cell r="K324">
            <v>0</v>
          </cell>
          <cell r="N324">
            <v>191941.37</v>
          </cell>
        </row>
        <row r="325">
          <cell r="C325">
            <v>1.1778140703517588</v>
          </cell>
          <cell r="E325">
            <v>3750.16</v>
          </cell>
          <cell r="H325">
            <v>0</v>
          </cell>
          <cell r="I325">
            <v>0</v>
          </cell>
          <cell r="K325">
            <v>0</v>
          </cell>
          <cell r="N325">
            <v>149241.20000000001</v>
          </cell>
        </row>
        <row r="326">
          <cell r="C326">
            <v>0.77735552763819094</v>
          </cell>
          <cell r="E326">
            <v>2475.1</v>
          </cell>
          <cell r="H326">
            <v>0</v>
          </cell>
          <cell r="I326">
            <v>0</v>
          </cell>
          <cell r="K326">
            <v>0</v>
          </cell>
          <cell r="N326">
            <v>120769.8</v>
          </cell>
        </row>
        <row r="327">
          <cell r="C327">
            <v>0.18845163316582914</v>
          </cell>
          <cell r="E327">
            <v>600.03</v>
          </cell>
          <cell r="H327">
            <v>0</v>
          </cell>
          <cell r="I327">
            <v>0</v>
          </cell>
          <cell r="K327">
            <v>0</v>
          </cell>
          <cell r="N327">
            <v>44285.64</v>
          </cell>
        </row>
        <row r="328">
          <cell r="C328">
            <v>0.35334484924623116</v>
          </cell>
          <cell r="E328">
            <v>1125.05</v>
          </cell>
          <cell r="H328">
            <v>0</v>
          </cell>
          <cell r="I328">
            <v>0</v>
          </cell>
          <cell r="K328">
            <v>0</v>
          </cell>
          <cell r="N328">
            <v>73968.09</v>
          </cell>
        </row>
        <row r="329">
          <cell r="C329">
            <v>4.357908291457286</v>
          </cell>
          <cell r="E329">
            <v>13875.58</v>
          </cell>
          <cell r="H329">
            <v>0</v>
          </cell>
          <cell r="I329">
            <v>0</v>
          </cell>
          <cell r="K329">
            <v>0</v>
          </cell>
          <cell r="N329">
            <v>800816.07</v>
          </cell>
        </row>
        <row r="330">
          <cell r="C330">
            <v>1.4840452261306532</v>
          </cell>
          <cell r="E330">
            <v>4725.2</v>
          </cell>
          <cell r="H330">
            <v>0</v>
          </cell>
          <cell r="I330">
            <v>0</v>
          </cell>
          <cell r="K330">
            <v>0</v>
          </cell>
          <cell r="N330">
            <v>142695.27000000002</v>
          </cell>
        </row>
        <row r="331">
          <cell r="C331">
            <v>0.51823806532663319</v>
          </cell>
          <cell r="E331">
            <v>1650.07</v>
          </cell>
          <cell r="H331">
            <v>0</v>
          </cell>
          <cell r="I331">
            <v>0</v>
          </cell>
          <cell r="K331">
            <v>0</v>
          </cell>
          <cell r="N331">
            <v>106333.69</v>
          </cell>
        </row>
        <row r="332">
          <cell r="C332">
            <v>1.1542556532663317</v>
          </cell>
          <cell r="E332">
            <v>3675.15</v>
          </cell>
          <cell r="H332">
            <v>0</v>
          </cell>
          <cell r="I332">
            <v>0</v>
          </cell>
          <cell r="K332">
            <v>0</v>
          </cell>
          <cell r="N332">
            <v>146936.74000000002</v>
          </cell>
        </row>
        <row r="333">
          <cell r="C333">
            <v>0.37690012562814068</v>
          </cell>
          <cell r="E333">
            <v>1200.05</v>
          </cell>
          <cell r="H333">
            <v>0</v>
          </cell>
          <cell r="I333">
            <v>0</v>
          </cell>
          <cell r="K333">
            <v>0</v>
          </cell>
          <cell r="N333">
            <v>30058.44</v>
          </cell>
        </row>
        <row r="334">
          <cell r="C334">
            <v>1.2955935929648241</v>
          </cell>
          <cell r="E334">
            <v>4125.17</v>
          </cell>
          <cell r="H334">
            <v>0</v>
          </cell>
          <cell r="I334">
            <v>0</v>
          </cell>
          <cell r="K334">
            <v>0</v>
          </cell>
          <cell r="N334">
            <v>156652.48000000001</v>
          </cell>
        </row>
        <row r="335">
          <cell r="C335">
            <v>3.4392148241206026</v>
          </cell>
          <cell r="E335">
            <v>10950.46</v>
          </cell>
          <cell r="H335">
            <v>0</v>
          </cell>
          <cell r="I335">
            <v>0</v>
          </cell>
          <cell r="K335">
            <v>0</v>
          </cell>
          <cell r="N335">
            <v>515765.65</v>
          </cell>
        </row>
        <row r="336">
          <cell r="C336">
            <v>3.8161149497487439</v>
          </cell>
          <cell r="E336">
            <v>12150.51</v>
          </cell>
          <cell r="H336">
            <v>0</v>
          </cell>
          <cell r="I336">
            <v>0</v>
          </cell>
          <cell r="K336">
            <v>0</v>
          </cell>
          <cell r="N336">
            <v>1136521.83</v>
          </cell>
        </row>
        <row r="337">
          <cell r="C337">
            <v>0.23556218592964823</v>
          </cell>
          <cell r="E337">
            <v>750.03</v>
          </cell>
          <cell r="H337">
            <v>0</v>
          </cell>
          <cell r="I337">
            <v>0</v>
          </cell>
          <cell r="K337">
            <v>0</v>
          </cell>
          <cell r="N337">
            <v>14629.12</v>
          </cell>
        </row>
        <row r="338">
          <cell r="C338">
            <v>1.7667179648241205</v>
          </cell>
          <cell r="E338">
            <v>5625.23</v>
          </cell>
          <cell r="H338">
            <v>0</v>
          </cell>
          <cell r="I338">
            <v>0</v>
          </cell>
          <cell r="K338">
            <v>0</v>
          </cell>
          <cell r="N338">
            <v>242579.20000000001</v>
          </cell>
        </row>
        <row r="339">
          <cell r="C339">
            <v>0.44756909547738694</v>
          </cell>
          <cell r="E339">
            <v>1425.06</v>
          </cell>
          <cell r="H339">
            <v>0</v>
          </cell>
          <cell r="I339">
            <v>0</v>
          </cell>
          <cell r="K339">
            <v>0</v>
          </cell>
          <cell r="N339">
            <v>71440.759999999995</v>
          </cell>
        </row>
        <row r="340">
          <cell r="C340">
            <v>1.3662625628140705</v>
          </cell>
          <cell r="E340">
            <v>4350.18</v>
          </cell>
          <cell r="H340">
            <v>0</v>
          </cell>
          <cell r="I340">
            <v>0</v>
          </cell>
          <cell r="K340">
            <v>0</v>
          </cell>
          <cell r="N340">
            <v>184816.29</v>
          </cell>
        </row>
        <row r="341">
          <cell r="C341">
            <v>2.3555276381909549E-2</v>
          </cell>
          <cell r="E341">
            <v>75</v>
          </cell>
          <cell r="H341">
            <v>0</v>
          </cell>
          <cell r="I341">
            <v>0</v>
          </cell>
          <cell r="K341">
            <v>0</v>
          </cell>
          <cell r="N341">
            <v>9001.2999999999993</v>
          </cell>
        </row>
        <row r="342">
          <cell r="C342">
            <v>2.3555276381909549E-2</v>
          </cell>
          <cell r="E342">
            <v>75</v>
          </cell>
          <cell r="H342">
            <v>0</v>
          </cell>
          <cell r="I342">
            <v>0</v>
          </cell>
          <cell r="K342">
            <v>0</v>
          </cell>
          <cell r="N342">
            <v>13471</v>
          </cell>
        </row>
        <row r="343">
          <cell r="C343">
            <v>2.1671765075376883</v>
          </cell>
          <cell r="E343">
            <v>6900.29</v>
          </cell>
          <cell r="H343">
            <v>0</v>
          </cell>
          <cell r="I343">
            <v>0</v>
          </cell>
          <cell r="K343">
            <v>0</v>
          </cell>
          <cell r="N343">
            <v>471137.08</v>
          </cell>
        </row>
        <row r="344">
          <cell r="C344">
            <v>1.3898178391959799</v>
          </cell>
          <cell r="E344">
            <v>4425.18</v>
          </cell>
          <cell r="H344">
            <v>0</v>
          </cell>
          <cell r="I344">
            <v>0</v>
          </cell>
          <cell r="K344">
            <v>0</v>
          </cell>
          <cell r="N344">
            <v>227862.21</v>
          </cell>
        </row>
        <row r="345">
          <cell r="C345">
            <v>0.89513819095477387</v>
          </cell>
          <cell r="E345">
            <v>2850.12</v>
          </cell>
          <cell r="H345">
            <v>0</v>
          </cell>
          <cell r="I345">
            <v>0</v>
          </cell>
          <cell r="K345">
            <v>0</v>
          </cell>
          <cell r="N345">
            <v>147682.56</v>
          </cell>
        </row>
        <row r="346">
          <cell r="C346">
            <v>1.0364761306532664</v>
          </cell>
          <cell r="E346">
            <v>3300.14</v>
          </cell>
          <cell r="H346">
            <v>0</v>
          </cell>
          <cell r="I346">
            <v>0</v>
          </cell>
          <cell r="K346">
            <v>0</v>
          </cell>
          <cell r="N346">
            <v>159729.38</v>
          </cell>
        </row>
        <row r="347">
          <cell r="C347">
            <v>2.0729522613065328</v>
          </cell>
          <cell r="E347">
            <v>6600.28</v>
          </cell>
          <cell r="H347">
            <v>0</v>
          </cell>
          <cell r="I347">
            <v>0</v>
          </cell>
          <cell r="K347">
            <v>0</v>
          </cell>
          <cell r="N347">
            <v>339422.07000000007</v>
          </cell>
        </row>
        <row r="348">
          <cell r="C348">
            <v>6.0775157035175882</v>
          </cell>
          <cell r="E348">
            <v>19350.810000000001</v>
          </cell>
          <cell r="H348">
            <v>0</v>
          </cell>
          <cell r="I348">
            <v>0</v>
          </cell>
          <cell r="K348">
            <v>0</v>
          </cell>
          <cell r="N348">
            <v>1017076.0700000001</v>
          </cell>
        </row>
        <row r="349">
          <cell r="C349">
            <v>1.5547141959798996</v>
          </cell>
          <cell r="E349">
            <v>4950.21</v>
          </cell>
          <cell r="H349">
            <v>0</v>
          </cell>
          <cell r="I349">
            <v>0</v>
          </cell>
          <cell r="K349">
            <v>0</v>
          </cell>
          <cell r="N349">
            <v>243927.07</v>
          </cell>
        </row>
        <row r="350">
          <cell r="C350">
            <v>1.6018247487437185</v>
          </cell>
          <cell r="E350">
            <v>5100.21</v>
          </cell>
          <cell r="H350">
            <v>0</v>
          </cell>
          <cell r="I350">
            <v>0</v>
          </cell>
          <cell r="K350">
            <v>0</v>
          </cell>
          <cell r="N350">
            <v>201465.94</v>
          </cell>
        </row>
        <row r="351">
          <cell r="C351">
            <v>0.40045540201005025</v>
          </cell>
          <cell r="E351">
            <v>1275.05</v>
          </cell>
          <cell r="H351">
            <v>0</v>
          </cell>
          <cell r="I351">
            <v>0</v>
          </cell>
          <cell r="K351">
            <v>0</v>
          </cell>
          <cell r="N351">
            <v>49197</v>
          </cell>
        </row>
        <row r="352">
          <cell r="C352">
            <v>2.6147456030150753</v>
          </cell>
          <cell r="E352">
            <v>8325.35</v>
          </cell>
          <cell r="H352">
            <v>0</v>
          </cell>
          <cell r="I352">
            <v>0</v>
          </cell>
          <cell r="K352">
            <v>0</v>
          </cell>
          <cell r="N352">
            <v>647505.12999999989</v>
          </cell>
        </row>
        <row r="353">
          <cell r="C353">
            <v>1.8609453517587939</v>
          </cell>
          <cell r="E353">
            <v>5925.25</v>
          </cell>
          <cell r="H353">
            <v>0</v>
          </cell>
          <cell r="I353">
            <v>0</v>
          </cell>
          <cell r="K353">
            <v>0</v>
          </cell>
          <cell r="N353">
            <v>359769.08</v>
          </cell>
        </row>
        <row r="354">
          <cell r="C354">
            <v>2.0729522613065328</v>
          </cell>
          <cell r="E354">
            <v>6600.28</v>
          </cell>
          <cell r="H354">
            <v>0</v>
          </cell>
          <cell r="I354">
            <v>0</v>
          </cell>
          <cell r="K354">
            <v>0</v>
          </cell>
          <cell r="N354">
            <v>507231.7</v>
          </cell>
        </row>
        <row r="355">
          <cell r="C355">
            <v>1.0129177135678393</v>
          </cell>
          <cell r="E355">
            <v>3225.13</v>
          </cell>
          <cell r="H355">
            <v>0</v>
          </cell>
          <cell r="I355">
            <v>0</v>
          </cell>
          <cell r="K355">
            <v>0</v>
          </cell>
          <cell r="N355">
            <v>190840.08000000002</v>
          </cell>
        </row>
        <row r="356">
          <cell r="C356">
            <v>1.7196074120603013</v>
          </cell>
          <cell r="E356">
            <v>5475.23</v>
          </cell>
          <cell r="H356">
            <v>0</v>
          </cell>
          <cell r="I356">
            <v>0.37384736180904521</v>
          </cell>
          <cell r="K356">
            <v>1190.33</v>
          </cell>
          <cell r="N356">
            <v>267656.91000000003</v>
          </cell>
        </row>
        <row r="357">
          <cell r="C357">
            <v>1.9787248743718593</v>
          </cell>
          <cell r="E357">
            <v>6300.26</v>
          </cell>
          <cell r="H357">
            <v>0</v>
          </cell>
          <cell r="I357">
            <v>0</v>
          </cell>
          <cell r="K357">
            <v>0</v>
          </cell>
          <cell r="N357">
            <v>316254.56000000006</v>
          </cell>
        </row>
        <row r="358">
          <cell r="C358">
            <v>1.413376256281407</v>
          </cell>
          <cell r="E358">
            <v>4500.1899999999996</v>
          </cell>
          <cell r="H358">
            <v>0</v>
          </cell>
          <cell r="I358">
            <v>0</v>
          </cell>
          <cell r="K358">
            <v>0</v>
          </cell>
          <cell r="N358">
            <v>148912.05000000002</v>
          </cell>
        </row>
        <row r="359">
          <cell r="C359">
            <v>1.4604868090452261</v>
          </cell>
          <cell r="E359">
            <v>4650.1899999999996</v>
          </cell>
          <cell r="H359">
            <v>0</v>
          </cell>
          <cell r="I359">
            <v>0</v>
          </cell>
          <cell r="K359">
            <v>0</v>
          </cell>
          <cell r="N359">
            <v>224656.58</v>
          </cell>
        </row>
        <row r="360">
          <cell r="C360">
            <v>19.881482412060301</v>
          </cell>
          <cell r="E360">
            <v>63302.64</v>
          </cell>
          <cell r="H360">
            <v>0</v>
          </cell>
          <cell r="I360">
            <v>0</v>
          </cell>
          <cell r="K360">
            <v>0</v>
          </cell>
          <cell r="N360">
            <v>7530760.2000000002</v>
          </cell>
        </row>
        <row r="361">
          <cell r="C361">
            <v>4.0752324120603021</v>
          </cell>
          <cell r="E361">
            <v>12975.54</v>
          </cell>
          <cell r="H361">
            <v>0</v>
          </cell>
          <cell r="I361">
            <v>0</v>
          </cell>
          <cell r="K361">
            <v>0</v>
          </cell>
          <cell r="N361">
            <v>893030.88000000012</v>
          </cell>
        </row>
        <row r="362">
          <cell r="C362">
            <v>1.6489384422110553</v>
          </cell>
          <cell r="E362">
            <v>5250.22</v>
          </cell>
          <cell r="H362">
            <v>0</v>
          </cell>
          <cell r="I362">
            <v>0</v>
          </cell>
          <cell r="K362">
            <v>0</v>
          </cell>
          <cell r="N362">
            <v>376195.11999999994</v>
          </cell>
        </row>
        <row r="363">
          <cell r="C363">
            <v>0.91869346733668333</v>
          </cell>
          <cell r="E363">
            <v>2925.12</v>
          </cell>
          <cell r="H363">
            <v>0</v>
          </cell>
          <cell r="I363">
            <v>0</v>
          </cell>
          <cell r="K363">
            <v>0</v>
          </cell>
          <cell r="N363">
            <v>161113.94</v>
          </cell>
        </row>
        <row r="370">
          <cell r="C370">
            <v>0.54179334170854265</v>
          </cell>
          <cell r="E370">
            <v>1725.07</v>
          </cell>
          <cell r="H370">
            <v>0</v>
          </cell>
          <cell r="I370">
            <v>0</v>
          </cell>
          <cell r="K370">
            <v>0</v>
          </cell>
          <cell r="N370">
            <v>67530.950000000012</v>
          </cell>
        </row>
        <row r="371">
          <cell r="C371">
            <v>0.98936243718592964</v>
          </cell>
          <cell r="E371">
            <v>3150.13</v>
          </cell>
          <cell r="H371">
            <v>0</v>
          </cell>
          <cell r="I371">
            <v>0</v>
          </cell>
          <cell r="K371">
            <v>0</v>
          </cell>
          <cell r="N371">
            <v>133635.96</v>
          </cell>
        </row>
        <row r="372">
          <cell r="C372">
            <v>1.1778140703517588</v>
          </cell>
          <cell r="E372">
            <v>3750.16</v>
          </cell>
          <cell r="H372">
            <v>0</v>
          </cell>
          <cell r="I372">
            <v>0</v>
          </cell>
          <cell r="K372">
            <v>0</v>
          </cell>
          <cell r="N372">
            <v>175350.2</v>
          </cell>
        </row>
        <row r="373">
          <cell r="C373">
            <v>0.47112437185929645</v>
          </cell>
          <cell r="E373">
            <v>1500.06</v>
          </cell>
          <cell r="H373">
            <v>0</v>
          </cell>
          <cell r="I373">
            <v>0</v>
          </cell>
          <cell r="K373">
            <v>0</v>
          </cell>
          <cell r="N373">
            <v>109657.83</v>
          </cell>
        </row>
        <row r="374">
          <cell r="C374">
            <v>0.8009139447236181</v>
          </cell>
          <cell r="E374">
            <v>2550.11</v>
          </cell>
          <cell r="H374">
            <v>0</v>
          </cell>
          <cell r="I374">
            <v>0</v>
          </cell>
          <cell r="K374">
            <v>0</v>
          </cell>
          <cell r="N374">
            <v>152854.43999999997</v>
          </cell>
        </row>
        <row r="375">
          <cell r="C375">
            <v>1.0129177135678393</v>
          </cell>
          <cell r="E375">
            <v>3225.13</v>
          </cell>
          <cell r="H375">
            <v>0</v>
          </cell>
          <cell r="I375">
            <v>0</v>
          </cell>
          <cell r="K375">
            <v>0</v>
          </cell>
          <cell r="N375">
            <v>182274.02</v>
          </cell>
        </row>
        <row r="376">
          <cell r="C376">
            <v>1.342707286432161</v>
          </cell>
          <cell r="E376">
            <v>4275.18</v>
          </cell>
          <cell r="H376">
            <v>0</v>
          </cell>
          <cell r="I376">
            <v>0</v>
          </cell>
          <cell r="K376">
            <v>0</v>
          </cell>
          <cell r="N376">
            <v>152278.57999999999</v>
          </cell>
        </row>
        <row r="377">
          <cell r="C377">
            <v>0.91869346733668333</v>
          </cell>
          <cell r="E377">
            <v>2925.12</v>
          </cell>
          <cell r="H377">
            <v>0</v>
          </cell>
          <cell r="I377">
            <v>0</v>
          </cell>
          <cell r="K377">
            <v>0</v>
          </cell>
          <cell r="N377">
            <v>145460.26999999999</v>
          </cell>
        </row>
        <row r="378">
          <cell r="C378">
            <v>2.3556250000000003</v>
          </cell>
          <cell r="E378">
            <v>7500.31</v>
          </cell>
          <cell r="H378">
            <v>0</v>
          </cell>
          <cell r="I378">
            <v>0</v>
          </cell>
          <cell r="K378">
            <v>0</v>
          </cell>
          <cell r="N378">
            <v>340658.12</v>
          </cell>
        </row>
        <row r="379">
          <cell r="C379">
            <v>0.96580716080402018</v>
          </cell>
          <cell r="E379">
            <v>3075.13</v>
          </cell>
          <cell r="H379">
            <v>0</v>
          </cell>
          <cell r="I379">
            <v>0</v>
          </cell>
          <cell r="K379">
            <v>0</v>
          </cell>
          <cell r="N379">
            <v>365516.39</v>
          </cell>
        </row>
        <row r="380">
          <cell r="C380">
            <v>6.1481846733668339</v>
          </cell>
          <cell r="E380">
            <v>19575.82</v>
          </cell>
          <cell r="H380">
            <v>0</v>
          </cell>
          <cell r="I380">
            <v>0</v>
          </cell>
          <cell r="K380">
            <v>0</v>
          </cell>
          <cell r="N380">
            <v>1544042.4</v>
          </cell>
        </row>
        <row r="381">
          <cell r="C381">
            <v>2.5676319095477389</v>
          </cell>
          <cell r="E381">
            <v>8175.34</v>
          </cell>
          <cell r="H381">
            <v>0</v>
          </cell>
          <cell r="I381">
            <v>0</v>
          </cell>
          <cell r="K381">
            <v>0</v>
          </cell>
          <cell r="N381">
            <v>643508.17000000004</v>
          </cell>
        </row>
        <row r="382">
          <cell r="C382">
            <v>2.1200628140703515</v>
          </cell>
          <cell r="E382">
            <v>6750.28</v>
          </cell>
          <cell r="H382">
            <v>0</v>
          </cell>
          <cell r="I382">
            <v>0</v>
          </cell>
          <cell r="K382">
            <v>0</v>
          </cell>
          <cell r="N382">
            <v>307220.47000000003</v>
          </cell>
        </row>
        <row r="383">
          <cell r="C383">
            <v>2.6147456030150753</v>
          </cell>
          <cell r="E383">
            <v>8325.35</v>
          </cell>
          <cell r="H383">
            <v>0</v>
          </cell>
          <cell r="I383">
            <v>0</v>
          </cell>
          <cell r="K383">
            <v>0</v>
          </cell>
          <cell r="N383">
            <v>351976.43999999994</v>
          </cell>
        </row>
        <row r="384">
          <cell r="C384">
            <v>0.91869346733668333</v>
          </cell>
          <cell r="E384">
            <v>2925.12</v>
          </cell>
          <cell r="H384">
            <v>0</v>
          </cell>
          <cell r="I384">
            <v>0</v>
          </cell>
          <cell r="K384">
            <v>0</v>
          </cell>
          <cell r="N384">
            <v>186648.77</v>
          </cell>
        </row>
        <row r="385">
          <cell r="C385">
            <v>6.6428643216080401</v>
          </cell>
          <cell r="E385">
            <v>21150.880000000001</v>
          </cell>
          <cell r="H385">
            <v>0</v>
          </cell>
          <cell r="I385">
            <v>0</v>
          </cell>
          <cell r="K385">
            <v>0</v>
          </cell>
          <cell r="N385">
            <v>2278363.2100000004</v>
          </cell>
        </row>
        <row r="386">
          <cell r="C386">
            <v>2.7560835427135681</v>
          </cell>
          <cell r="E386">
            <v>8775.3700000000008</v>
          </cell>
          <cell r="H386">
            <v>0</v>
          </cell>
          <cell r="I386">
            <v>0</v>
          </cell>
          <cell r="K386">
            <v>0</v>
          </cell>
          <cell r="N386">
            <v>554186.72</v>
          </cell>
        </row>
        <row r="387">
          <cell r="C387">
            <v>1.9316143216080404</v>
          </cell>
          <cell r="E387">
            <v>6150.26</v>
          </cell>
          <cell r="H387">
            <v>0</v>
          </cell>
          <cell r="I387">
            <v>0</v>
          </cell>
          <cell r="K387">
            <v>0</v>
          </cell>
          <cell r="N387">
            <v>231062.07</v>
          </cell>
        </row>
        <row r="388">
          <cell r="C388">
            <v>3.5805527638190955</v>
          </cell>
          <cell r="E388">
            <v>11400.48</v>
          </cell>
          <cell r="H388">
            <v>0</v>
          </cell>
          <cell r="I388">
            <v>0</v>
          </cell>
          <cell r="K388">
            <v>0</v>
          </cell>
          <cell r="N388">
            <v>837585.77</v>
          </cell>
        </row>
        <row r="389">
          <cell r="C389">
            <v>1.5311557788944723</v>
          </cell>
          <cell r="E389">
            <v>4875.2</v>
          </cell>
          <cell r="H389">
            <v>0</v>
          </cell>
          <cell r="I389">
            <v>0</v>
          </cell>
          <cell r="K389">
            <v>0</v>
          </cell>
          <cell r="N389">
            <v>240895.22000000003</v>
          </cell>
        </row>
        <row r="390">
          <cell r="C390">
            <v>1.1542556532663317</v>
          </cell>
          <cell r="E390">
            <v>3675.15</v>
          </cell>
          <cell r="H390">
            <v>0</v>
          </cell>
          <cell r="I390">
            <v>0</v>
          </cell>
          <cell r="K390">
            <v>0</v>
          </cell>
          <cell r="N390">
            <v>235261.11</v>
          </cell>
        </row>
        <row r="391">
          <cell r="C391">
            <v>2.0493938442211057</v>
          </cell>
          <cell r="E391">
            <v>6525.27</v>
          </cell>
          <cell r="H391">
            <v>0</v>
          </cell>
          <cell r="I391">
            <v>0</v>
          </cell>
          <cell r="K391">
            <v>0</v>
          </cell>
          <cell r="N391">
            <v>456070.66000000003</v>
          </cell>
        </row>
        <row r="392">
          <cell r="C392">
            <v>0.56535175879396982</v>
          </cell>
          <cell r="E392">
            <v>1800.08</v>
          </cell>
          <cell r="H392">
            <v>0</v>
          </cell>
          <cell r="I392">
            <v>0</v>
          </cell>
          <cell r="K392">
            <v>0</v>
          </cell>
          <cell r="N392">
            <v>100804.93999999999</v>
          </cell>
        </row>
        <row r="393">
          <cell r="C393">
            <v>2.8503077889447233</v>
          </cell>
          <cell r="E393">
            <v>9075.3799999999992</v>
          </cell>
          <cell r="H393">
            <v>0</v>
          </cell>
          <cell r="I393">
            <v>0</v>
          </cell>
          <cell r="K393">
            <v>0</v>
          </cell>
          <cell r="N393">
            <v>349496.25</v>
          </cell>
        </row>
        <row r="394">
          <cell r="C394">
            <v>1.3662625628140705</v>
          </cell>
          <cell r="E394">
            <v>4350.18</v>
          </cell>
          <cell r="H394">
            <v>0</v>
          </cell>
          <cell r="I394">
            <v>0</v>
          </cell>
          <cell r="K394">
            <v>0</v>
          </cell>
          <cell r="N394">
            <v>195516.66999999998</v>
          </cell>
        </row>
        <row r="395">
          <cell r="C395">
            <v>1.1778140703517588</v>
          </cell>
          <cell r="E395">
            <v>3750.16</v>
          </cell>
          <cell r="H395">
            <v>0</v>
          </cell>
          <cell r="I395">
            <v>0</v>
          </cell>
          <cell r="K395">
            <v>0</v>
          </cell>
          <cell r="N395">
            <v>204804.31</v>
          </cell>
        </row>
        <row r="396">
          <cell r="C396">
            <v>1.4369315326633165</v>
          </cell>
          <cell r="E396">
            <v>4575.1899999999996</v>
          </cell>
          <cell r="H396">
            <v>0</v>
          </cell>
          <cell r="I396">
            <v>0</v>
          </cell>
          <cell r="K396">
            <v>0</v>
          </cell>
          <cell r="N396">
            <v>320137.87</v>
          </cell>
        </row>
        <row r="397">
          <cell r="C397">
            <v>1.3662625628140705</v>
          </cell>
          <cell r="E397">
            <v>4350.18</v>
          </cell>
          <cell r="H397">
            <v>0</v>
          </cell>
          <cell r="I397">
            <v>0</v>
          </cell>
          <cell r="K397">
            <v>0</v>
          </cell>
          <cell r="N397">
            <v>203659.36</v>
          </cell>
        </row>
        <row r="398">
          <cell r="C398">
            <v>2.9445320351758792</v>
          </cell>
          <cell r="E398">
            <v>9375.39</v>
          </cell>
          <cell r="H398">
            <v>0</v>
          </cell>
          <cell r="I398">
            <v>0</v>
          </cell>
          <cell r="K398">
            <v>0</v>
          </cell>
          <cell r="N398">
            <v>570481.74</v>
          </cell>
        </row>
        <row r="399">
          <cell r="C399">
            <v>1.5076005025125627</v>
          </cell>
          <cell r="E399">
            <v>4800.2</v>
          </cell>
          <cell r="H399">
            <v>0</v>
          </cell>
          <cell r="I399">
            <v>0</v>
          </cell>
          <cell r="K399">
            <v>0</v>
          </cell>
          <cell r="N399">
            <v>308770.98000000004</v>
          </cell>
        </row>
        <row r="400">
          <cell r="C400">
            <v>0.49468278894472362</v>
          </cell>
          <cell r="E400">
            <v>1575.07</v>
          </cell>
          <cell r="H400">
            <v>0</v>
          </cell>
          <cell r="I400">
            <v>0</v>
          </cell>
          <cell r="K400">
            <v>0</v>
          </cell>
          <cell r="N400">
            <v>144764.80000000002</v>
          </cell>
        </row>
        <row r="401">
          <cell r="C401">
            <v>1.4840452261306532</v>
          </cell>
          <cell r="E401">
            <v>4725.2</v>
          </cell>
          <cell r="H401">
            <v>0</v>
          </cell>
          <cell r="I401">
            <v>0</v>
          </cell>
          <cell r="K401">
            <v>0</v>
          </cell>
          <cell r="N401">
            <v>232756.27000000002</v>
          </cell>
        </row>
        <row r="402">
          <cell r="C402">
            <v>1.413376256281407</v>
          </cell>
          <cell r="E402">
            <v>4500.1899999999996</v>
          </cell>
          <cell r="H402">
            <v>0</v>
          </cell>
          <cell r="I402">
            <v>0</v>
          </cell>
          <cell r="K402">
            <v>0</v>
          </cell>
          <cell r="N402">
            <v>143149.40000000002</v>
          </cell>
        </row>
        <row r="403">
          <cell r="C403">
            <v>1.2720383165829146</v>
          </cell>
          <cell r="E403">
            <v>4050.17</v>
          </cell>
          <cell r="H403">
            <v>0</v>
          </cell>
          <cell r="I403">
            <v>0</v>
          </cell>
          <cell r="K403">
            <v>0</v>
          </cell>
          <cell r="N403">
            <v>151709.67000000001</v>
          </cell>
        </row>
        <row r="404">
          <cell r="C404">
            <v>1.342707286432161</v>
          </cell>
          <cell r="E404">
            <v>4275.18</v>
          </cell>
          <cell r="H404">
            <v>0</v>
          </cell>
          <cell r="I404">
            <v>0</v>
          </cell>
          <cell r="K404">
            <v>0</v>
          </cell>
          <cell r="N404">
            <v>164659.4</v>
          </cell>
        </row>
        <row r="405">
          <cell r="C405">
            <v>0.40045540201005025</v>
          </cell>
          <cell r="E405">
            <v>1275.05</v>
          </cell>
          <cell r="H405">
            <v>0</v>
          </cell>
          <cell r="I405">
            <v>0</v>
          </cell>
          <cell r="K405">
            <v>0</v>
          </cell>
          <cell r="N405">
            <v>184020.15999999997</v>
          </cell>
        </row>
        <row r="406">
          <cell r="C406">
            <v>0.40045540201005025</v>
          </cell>
          <cell r="E406">
            <v>1275.05</v>
          </cell>
          <cell r="H406">
            <v>0</v>
          </cell>
          <cell r="I406">
            <v>0</v>
          </cell>
          <cell r="K406">
            <v>0</v>
          </cell>
          <cell r="N406">
            <v>160809.19</v>
          </cell>
        </row>
        <row r="407">
          <cell r="C407">
            <v>1.5547141959798996</v>
          </cell>
          <cell r="E407">
            <v>4950.21</v>
          </cell>
          <cell r="H407">
            <v>0</v>
          </cell>
          <cell r="I407">
            <v>0</v>
          </cell>
          <cell r="K407">
            <v>0</v>
          </cell>
          <cell r="N407">
            <v>136851.07999999999</v>
          </cell>
        </row>
        <row r="408">
          <cell r="C408">
            <v>1.5547141959798996</v>
          </cell>
          <cell r="E408">
            <v>4950.21</v>
          </cell>
          <cell r="H408">
            <v>0</v>
          </cell>
          <cell r="I408">
            <v>0</v>
          </cell>
          <cell r="K408">
            <v>0</v>
          </cell>
          <cell r="N408">
            <v>201701.11000000002</v>
          </cell>
        </row>
        <row r="409">
          <cell r="C409">
            <v>0.91869346733668333</v>
          </cell>
          <cell r="E409">
            <v>2925.12</v>
          </cell>
          <cell r="H409">
            <v>0</v>
          </cell>
          <cell r="I409">
            <v>0</v>
          </cell>
          <cell r="K409">
            <v>0</v>
          </cell>
          <cell r="N409">
            <v>176497.04</v>
          </cell>
        </row>
        <row r="410">
          <cell r="C410">
            <v>1.1542556532663317</v>
          </cell>
          <cell r="E410">
            <v>3675.15</v>
          </cell>
          <cell r="H410">
            <v>0</v>
          </cell>
          <cell r="I410">
            <v>0</v>
          </cell>
          <cell r="K410">
            <v>0</v>
          </cell>
          <cell r="N410">
            <v>179964.47</v>
          </cell>
        </row>
        <row r="411">
          <cell r="C411">
            <v>9.4224246231155773E-2</v>
          </cell>
          <cell r="E411">
            <v>300.01</v>
          </cell>
          <cell r="H411">
            <v>0</v>
          </cell>
          <cell r="I411">
            <v>0</v>
          </cell>
          <cell r="K411">
            <v>0</v>
          </cell>
          <cell r="N411">
            <v>15995.49</v>
          </cell>
        </row>
        <row r="412">
          <cell r="C412">
            <v>0</v>
          </cell>
          <cell r="E412">
            <v>0</v>
          </cell>
          <cell r="H412">
            <v>0</v>
          </cell>
          <cell r="I412">
            <v>0</v>
          </cell>
          <cell r="K412">
            <v>0</v>
          </cell>
          <cell r="N412">
            <v>21363</v>
          </cell>
        </row>
        <row r="413">
          <cell r="C413">
            <v>0.68313128140703527</v>
          </cell>
          <cell r="E413">
            <v>2175.09</v>
          </cell>
          <cell r="H413">
            <v>0</v>
          </cell>
          <cell r="I413">
            <v>0</v>
          </cell>
          <cell r="K413">
            <v>0</v>
          </cell>
          <cell r="N413">
            <v>159168.45000000001</v>
          </cell>
        </row>
        <row r="420">
          <cell r="C420">
            <v>3.5334390703517586</v>
          </cell>
          <cell r="E420">
            <v>11250.47</v>
          </cell>
          <cell r="H420">
            <v>0</v>
          </cell>
          <cell r="I420">
            <v>0</v>
          </cell>
          <cell r="K420">
            <v>0</v>
          </cell>
          <cell r="N420">
            <v>477428.79</v>
          </cell>
        </row>
        <row r="421">
          <cell r="C421">
            <v>5.8183951005025127</v>
          </cell>
          <cell r="E421">
            <v>18525.77</v>
          </cell>
          <cell r="H421">
            <v>0</v>
          </cell>
          <cell r="I421">
            <v>0</v>
          </cell>
          <cell r="K421">
            <v>0</v>
          </cell>
          <cell r="N421">
            <v>964195.65</v>
          </cell>
        </row>
        <row r="422">
          <cell r="C422">
            <v>1.248483040201005</v>
          </cell>
          <cell r="E422">
            <v>3975.17</v>
          </cell>
          <cell r="H422">
            <v>0</v>
          </cell>
          <cell r="I422">
            <v>0</v>
          </cell>
          <cell r="K422">
            <v>0</v>
          </cell>
          <cell r="N422">
            <v>152323.97</v>
          </cell>
        </row>
        <row r="423">
          <cell r="C423">
            <v>0.14133793969849245</v>
          </cell>
          <cell r="E423">
            <v>450.02</v>
          </cell>
          <cell r="H423">
            <v>0</v>
          </cell>
          <cell r="I423">
            <v>0</v>
          </cell>
          <cell r="K423">
            <v>0</v>
          </cell>
          <cell r="N423">
            <v>45079.1</v>
          </cell>
        </row>
        <row r="424">
          <cell r="C424">
            <v>1.6018247487437185</v>
          </cell>
          <cell r="E424">
            <v>5100.21</v>
          </cell>
          <cell r="H424">
            <v>0</v>
          </cell>
          <cell r="I424">
            <v>0</v>
          </cell>
          <cell r="K424">
            <v>0</v>
          </cell>
          <cell r="N424">
            <v>162439.51999999999</v>
          </cell>
        </row>
        <row r="425">
          <cell r="C425">
            <v>1.248483040201005</v>
          </cell>
          <cell r="E425">
            <v>3975.17</v>
          </cell>
          <cell r="H425">
            <v>0</v>
          </cell>
          <cell r="I425">
            <v>0</v>
          </cell>
          <cell r="K425">
            <v>0</v>
          </cell>
          <cell r="N425">
            <v>160208.88</v>
          </cell>
        </row>
        <row r="426">
          <cell r="C426">
            <v>1.2955935929648241</v>
          </cell>
          <cell r="E426">
            <v>4125.17</v>
          </cell>
          <cell r="H426">
            <v>0</v>
          </cell>
          <cell r="I426">
            <v>0</v>
          </cell>
          <cell r="K426">
            <v>0</v>
          </cell>
          <cell r="N426">
            <v>158516.42000000001</v>
          </cell>
        </row>
        <row r="427">
          <cell r="C427">
            <v>1.6724937185929649</v>
          </cell>
          <cell r="E427">
            <v>5325.22</v>
          </cell>
          <cell r="H427">
            <v>0</v>
          </cell>
          <cell r="I427">
            <v>0</v>
          </cell>
          <cell r="K427">
            <v>0</v>
          </cell>
          <cell r="N427">
            <v>283957.95999999996</v>
          </cell>
        </row>
        <row r="428">
          <cell r="C428">
            <v>0.77735552763819094</v>
          </cell>
          <cell r="E428">
            <v>2475.1</v>
          </cell>
          <cell r="H428">
            <v>0</v>
          </cell>
          <cell r="I428">
            <v>0</v>
          </cell>
          <cell r="K428">
            <v>0</v>
          </cell>
          <cell r="N428">
            <v>273849.68</v>
          </cell>
        </row>
        <row r="429">
          <cell r="C429">
            <v>0.21200690954773868</v>
          </cell>
          <cell r="E429">
            <v>675.03</v>
          </cell>
          <cell r="H429">
            <v>0</v>
          </cell>
          <cell r="I429">
            <v>0</v>
          </cell>
          <cell r="K429">
            <v>0</v>
          </cell>
          <cell r="N429">
            <v>203695.13</v>
          </cell>
        </row>
        <row r="430">
          <cell r="C430">
            <v>1.8609453517587939</v>
          </cell>
          <cell r="E430">
            <v>5925.25</v>
          </cell>
          <cell r="H430">
            <v>0</v>
          </cell>
          <cell r="I430">
            <v>0</v>
          </cell>
          <cell r="K430">
            <v>0</v>
          </cell>
          <cell r="N430">
            <v>322580.09000000003</v>
          </cell>
        </row>
        <row r="431">
          <cell r="C431">
            <v>0.94225188442211061</v>
          </cell>
          <cell r="E431">
            <v>3000.13</v>
          </cell>
          <cell r="H431">
            <v>0</v>
          </cell>
          <cell r="I431">
            <v>0</v>
          </cell>
          <cell r="K431">
            <v>0</v>
          </cell>
          <cell r="N431">
            <v>79482.92</v>
          </cell>
        </row>
        <row r="432">
          <cell r="C432">
            <v>1.8138316582914573</v>
          </cell>
          <cell r="E432">
            <v>5775.24</v>
          </cell>
          <cell r="H432">
            <v>0</v>
          </cell>
          <cell r="I432">
            <v>0</v>
          </cell>
          <cell r="K432">
            <v>0</v>
          </cell>
          <cell r="N432">
            <v>240367.37999999998</v>
          </cell>
        </row>
        <row r="433">
          <cell r="C433">
            <v>1.2720383165829146</v>
          </cell>
          <cell r="E433">
            <v>4050.17</v>
          </cell>
          <cell r="H433">
            <v>0</v>
          </cell>
          <cell r="I433">
            <v>0</v>
          </cell>
          <cell r="K433">
            <v>0</v>
          </cell>
          <cell r="N433">
            <v>193160.54</v>
          </cell>
        </row>
        <row r="434">
          <cell r="C434">
            <v>1.1778140703517588</v>
          </cell>
          <cell r="E434">
            <v>3750.16</v>
          </cell>
          <cell r="H434">
            <v>0</v>
          </cell>
          <cell r="I434">
            <v>0</v>
          </cell>
          <cell r="K434">
            <v>0</v>
          </cell>
          <cell r="N434">
            <v>179019.69</v>
          </cell>
        </row>
        <row r="435">
          <cell r="C435">
            <v>1.342707286432161</v>
          </cell>
          <cell r="E435">
            <v>4275.18</v>
          </cell>
          <cell r="H435">
            <v>0</v>
          </cell>
          <cell r="I435">
            <v>0</v>
          </cell>
          <cell r="K435">
            <v>0</v>
          </cell>
          <cell r="N435">
            <v>203766.18</v>
          </cell>
        </row>
        <row r="436">
          <cell r="C436">
            <v>0.84802449748743725</v>
          </cell>
          <cell r="E436">
            <v>2700.11</v>
          </cell>
          <cell r="H436">
            <v>0</v>
          </cell>
          <cell r="I436">
            <v>0</v>
          </cell>
          <cell r="K436">
            <v>0</v>
          </cell>
          <cell r="N436">
            <v>129526.69</v>
          </cell>
        </row>
        <row r="437">
          <cell r="C437">
            <v>1.9598806532663318</v>
          </cell>
          <cell r="E437">
            <v>6240.26</v>
          </cell>
          <cell r="H437">
            <v>0</v>
          </cell>
          <cell r="I437">
            <v>0</v>
          </cell>
          <cell r="K437">
            <v>0</v>
          </cell>
          <cell r="N437">
            <v>296388.78000000003</v>
          </cell>
        </row>
        <row r="475">
          <cell r="C475">
            <v>1.627</v>
          </cell>
          <cell r="E475">
            <v>5178.99</v>
          </cell>
        </row>
        <row r="476">
          <cell r="C476">
            <v>0</v>
          </cell>
          <cell r="E476">
            <v>0</v>
          </cell>
        </row>
        <row r="477">
          <cell r="C477">
            <v>6.3</v>
          </cell>
          <cell r="E477">
            <v>20059</v>
          </cell>
        </row>
        <row r="478">
          <cell r="C478">
            <v>28.158000000000001</v>
          </cell>
          <cell r="E478">
            <v>89654.21</v>
          </cell>
        </row>
        <row r="479">
          <cell r="C479">
            <v>26.911000000000001</v>
          </cell>
          <cell r="E479">
            <v>85684.1</v>
          </cell>
        </row>
        <row r="480">
          <cell r="C480">
            <v>1.3740000000000001</v>
          </cell>
          <cell r="E480">
            <v>4373.37</v>
          </cell>
        </row>
        <row r="481">
          <cell r="C481">
            <v>7.6210000000000004</v>
          </cell>
          <cell r="E481">
            <v>24265.31</v>
          </cell>
        </row>
        <row r="482">
          <cell r="C482">
            <v>0</v>
          </cell>
          <cell r="E482">
            <v>0</v>
          </cell>
        </row>
        <row r="483">
          <cell r="C483">
            <v>6.3</v>
          </cell>
          <cell r="E483">
            <v>20059</v>
          </cell>
        </row>
        <row r="484">
          <cell r="C484">
            <v>0</v>
          </cell>
          <cell r="E484">
            <v>0</v>
          </cell>
        </row>
        <row r="485">
          <cell r="C485">
            <v>1.3180000000000001</v>
          </cell>
          <cell r="E485">
            <v>4196.2700000000004</v>
          </cell>
        </row>
        <row r="486">
          <cell r="C486">
            <v>15.547000000000001</v>
          </cell>
          <cell r="E486">
            <v>49502.85</v>
          </cell>
        </row>
        <row r="487">
          <cell r="C487">
            <v>0</v>
          </cell>
          <cell r="E487">
            <v>0</v>
          </cell>
        </row>
        <row r="488">
          <cell r="C488">
            <v>0</v>
          </cell>
          <cell r="E488">
            <v>0</v>
          </cell>
        </row>
        <row r="489">
          <cell r="C489">
            <v>6.3</v>
          </cell>
          <cell r="E489">
            <v>20059</v>
          </cell>
        </row>
        <row r="490">
          <cell r="C490">
            <v>117.348</v>
          </cell>
          <cell r="E490">
            <v>373635.16</v>
          </cell>
        </row>
        <row r="491">
          <cell r="C491">
            <v>0</v>
          </cell>
          <cell r="E491">
            <v>0</v>
          </cell>
        </row>
        <row r="492">
          <cell r="C492">
            <v>8.7360000000000007</v>
          </cell>
          <cell r="E492">
            <v>27816.61</v>
          </cell>
        </row>
        <row r="493">
          <cell r="C493">
            <v>7.9020000000000001</v>
          </cell>
          <cell r="E493">
            <v>25159.49</v>
          </cell>
        </row>
        <row r="494">
          <cell r="C494">
            <v>33.43</v>
          </cell>
          <cell r="E494">
            <v>106442.21</v>
          </cell>
        </row>
        <row r="495">
          <cell r="C495">
            <v>7.88</v>
          </cell>
          <cell r="E495">
            <v>25090.560000000001</v>
          </cell>
        </row>
        <row r="496">
          <cell r="C496">
            <v>0</v>
          </cell>
          <cell r="E496">
            <v>0</v>
          </cell>
        </row>
        <row r="497">
          <cell r="C497">
            <v>6.3</v>
          </cell>
          <cell r="E497">
            <v>20059</v>
          </cell>
        </row>
        <row r="498">
          <cell r="C498">
            <v>12.6</v>
          </cell>
          <cell r="E498">
            <v>40118</v>
          </cell>
        </row>
        <row r="499">
          <cell r="C499">
            <v>46.055999999999997</v>
          </cell>
          <cell r="E499">
            <v>146642.23999999999</v>
          </cell>
        </row>
        <row r="500">
          <cell r="C500">
            <v>7.9539999999999997</v>
          </cell>
          <cell r="E500">
            <v>25326.54</v>
          </cell>
        </row>
        <row r="501">
          <cell r="C501">
            <v>1.4970000000000001</v>
          </cell>
          <cell r="E501">
            <v>4766.37</v>
          </cell>
        </row>
        <row r="502">
          <cell r="C502">
            <v>0</v>
          </cell>
          <cell r="E502">
            <v>0</v>
          </cell>
        </row>
        <row r="503">
          <cell r="C503">
            <v>1.429</v>
          </cell>
          <cell r="E503">
            <v>4550.01</v>
          </cell>
        </row>
        <row r="504">
          <cell r="C504">
            <v>0</v>
          </cell>
          <cell r="E504">
            <v>0</v>
          </cell>
        </row>
        <row r="505">
          <cell r="C505">
            <v>84.790999999999997</v>
          </cell>
          <cell r="E505">
            <v>269973.90000000002</v>
          </cell>
        </row>
        <row r="506">
          <cell r="C506">
            <v>0</v>
          </cell>
          <cell r="E506">
            <v>0</v>
          </cell>
        </row>
        <row r="507">
          <cell r="C507">
            <v>0</v>
          </cell>
          <cell r="E507">
            <v>0</v>
          </cell>
        </row>
        <row r="508">
          <cell r="C508">
            <v>55.99</v>
          </cell>
          <cell r="E508">
            <v>178270.35</v>
          </cell>
        </row>
        <row r="509">
          <cell r="C509">
            <v>2.8519999999999999</v>
          </cell>
          <cell r="E509">
            <v>9080.86</v>
          </cell>
        </row>
        <row r="510">
          <cell r="C510">
            <v>1.583</v>
          </cell>
          <cell r="E510">
            <v>5041.1499999999996</v>
          </cell>
        </row>
        <row r="511">
          <cell r="C511">
            <v>1.556</v>
          </cell>
          <cell r="E511">
            <v>4953.05</v>
          </cell>
        </row>
        <row r="512">
          <cell r="C512">
            <v>7.7969999999999997</v>
          </cell>
          <cell r="E512">
            <v>24825.37</v>
          </cell>
        </row>
        <row r="513">
          <cell r="C513">
            <v>1.4139999999999999</v>
          </cell>
          <cell r="E513">
            <v>4501.18</v>
          </cell>
        </row>
        <row r="514">
          <cell r="C514">
            <v>0</v>
          </cell>
          <cell r="E514">
            <v>0</v>
          </cell>
        </row>
        <row r="515">
          <cell r="C515">
            <v>0</v>
          </cell>
          <cell r="E515">
            <v>0</v>
          </cell>
        </row>
        <row r="516">
          <cell r="C516">
            <v>1.4690000000000001</v>
          </cell>
          <cell r="E516">
            <v>4677.82</v>
          </cell>
        </row>
        <row r="517">
          <cell r="C517">
            <v>2.855</v>
          </cell>
          <cell r="E517">
            <v>9090.44</v>
          </cell>
        </row>
        <row r="518">
          <cell r="C518">
            <v>8.0649999999999995</v>
          </cell>
          <cell r="E518">
            <v>25679.83</v>
          </cell>
        </row>
        <row r="519">
          <cell r="C519">
            <v>1.4450000000000001</v>
          </cell>
          <cell r="E519">
            <v>4599.3100000000004</v>
          </cell>
        </row>
        <row r="520">
          <cell r="C520">
            <v>0</v>
          </cell>
          <cell r="E520">
            <v>0</v>
          </cell>
        </row>
        <row r="526">
          <cell r="C526">
            <v>18.158000000000001</v>
          </cell>
          <cell r="E526">
            <v>57815.35</v>
          </cell>
        </row>
        <row r="527">
          <cell r="C527">
            <v>6.3</v>
          </cell>
          <cell r="E527">
            <v>20059</v>
          </cell>
        </row>
        <row r="528">
          <cell r="C528">
            <v>0</v>
          </cell>
          <cell r="E528">
            <v>0</v>
          </cell>
        </row>
        <row r="529">
          <cell r="C529">
            <v>0</v>
          </cell>
          <cell r="E529">
            <v>0</v>
          </cell>
        </row>
        <row r="530">
          <cell r="C530">
            <v>8.3539999999999992</v>
          </cell>
          <cell r="E530">
            <v>26599.77</v>
          </cell>
        </row>
        <row r="531">
          <cell r="C531">
            <v>0</v>
          </cell>
          <cell r="E531">
            <v>0</v>
          </cell>
        </row>
        <row r="532">
          <cell r="C532">
            <v>0</v>
          </cell>
          <cell r="E532">
            <v>0</v>
          </cell>
        </row>
        <row r="533">
          <cell r="C533">
            <v>0</v>
          </cell>
          <cell r="E533">
            <v>0</v>
          </cell>
        </row>
        <row r="534">
          <cell r="C534">
            <v>1.472</v>
          </cell>
          <cell r="E534">
            <v>4687.8599999999997</v>
          </cell>
        </row>
        <row r="535">
          <cell r="C535">
            <v>7.6239999999999997</v>
          </cell>
          <cell r="E535">
            <v>24275.35</v>
          </cell>
        </row>
        <row r="536">
          <cell r="C536">
            <v>2.1080000000000001</v>
          </cell>
          <cell r="E536">
            <v>6711.28</v>
          </cell>
        </row>
        <row r="537">
          <cell r="C537">
            <v>1.4570000000000001</v>
          </cell>
          <cell r="E537">
            <v>4638.5600000000004</v>
          </cell>
        </row>
        <row r="538">
          <cell r="C538">
            <v>0</v>
          </cell>
          <cell r="E538">
            <v>0</v>
          </cell>
        </row>
        <row r="539">
          <cell r="C539">
            <v>0</v>
          </cell>
          <cell r="E539">
            <v>0</v>
          </cell>
        </row>
        <row r="540">
          <cell r="C540">
            <v>6.3</v>
          </cell>
          <cell r="E540">
            <v>20059</v>
          </cell>
        </row>
        <row r="541">
          <cell r="C541">
            <v>0</v>
          </cell>
          <cell r="E541">
            <v>0</v>
          </cell>
        </row>
        <row r="542">
          <cell r="C542">
            <v>7.89</v>
          </cell>
          <cell r="E542">
            <v>25120.23</v>
          </cell>
        </row>
        <row r="543">
          <cell r="C543">
            <v>0</v>
          </cell>
          <cell r="E543">
            <v>0</v>
          </cell>
        </row>
        <row r="544">
          <cell r="C544">
            <v>7.8769999999999998</v>
          </cell>
          <cell r="E544">
            <v>25080.52</v>
          </cell>
        </row>
        <row r="545">
          <cell r="C545">
            <v>0</v>
          </cell>
          <cell r="E545">
            <v>0</v>
          </cell>
        </row>
        <row r="546">
          <cell r="C546">
            <v>0</v>
          </cell>
          <cell r="E546">
            <v>0</v>
          </cell>
        </row>
        <row r="547">
          <cell r="C547">
            <v>1.6020000000000001</v>
          </cell>
          <cell r="E547">
            <v>5100.49</v>
          </cell>
        </row>
        <row r="548">
          <cell r="C548">
            <v>7.593</v>
          </cell>
          <cell r="E548">
            <v>24176.76</v>
          </cell>
        </row>
        <row r="549">
          <cell r="C549">
            <v>1.401</v>
          </cell>
          <cell r="E549">
            <v>4461.92</v>
          </cell>
        </row>
        <row r="550">
          <cell r="C550">
            <v>1.3240000000000001</v>
          </cell>
          <cell r="E550">
            <v>4216.3500000000004</v>
          </cell>
        </row>
        <row r="551">
          <cell r="C551">
            <v>0</v>
          </cell>
          <cell r="E551">
            <v>0</v>
          </cell>
        </row>
        <row r="552">
          <cell r="C552">
            <v>0</v>
          </cell>
          <cell r="E552">
            <v>0</v>
          </cell>
        </row>
        <row r="553">
          <cell r="C553">
            <v>0</v>
          </cell>
          <cell r="E553">
            <v>0</v>
          </cell>
        </row>
        <row r="554">
          <cell r="C554">
            <v>0</v>
          </cell>
          <cell r="E554">
            <v>0</v>
          </cell>
        </row>
        <row r="555">
          <cell r="C555">
            <v>0</v>
          </cell>
          <cell r="E555">
            <v>0</v>
          </cell>
        </row>
        <row r="556">
          <cell r="C556">
            <v>0</v>
          </cell>
          <cell r="E556">
            <v>0</v>
          </cell>
        </row>
        <row r="557">
          <cell r="C557">
            <v>1.518</v>
          </cell>
          <cell r="E557">
            <v>4834.84</v>
          </cell>
        </row>
        <row r="558">
          <cell r="C558">
            <v>0</v>
          </cell>
          <cell r="E558">
            <v>0</v>
          </cell>
        </row>
        <row r="559">
          <cell r="C559">
            <v>0</v>
          </cell>
          <cell r="E559">
            <v>0</v>
          </cell>
        </row>
        <row r="560">
          <cell r="C560">
            <v>0</v>
          </cell>
          <cell r="E560">
            <v>0</v>
          </cell>
        </row>
        <row r="561">
          <cell r="C561">
            <v>0</v>
          </cell>
          <cell r="E561">
            <v>0</v>
          </cell>
        </row>
        <row r="562">
          <cell r="C562">
            <v>0</v>
          </cell>
          <cell r="E562">
            <v>0</v>
          </cell>
        </row>
        <row r="563">
          <cell r="C563">
            <v>0</v>
          </cell>
          <cell r="E563">
            <v>0</v>
          </cell>
        </row>
        <row r="564">
          <cell r="C564">
            <v>0</v>
          </cell>
          <cell r="E564">
            <v>0</v>
          </cell>
        </row>
        <row r="565">
          <cell r="C565">
            <v>0</v>
          </cell>
          <cell r="E565">
            <v>0</v>
          </cell>
        </row>
        <row r="566">
          <cell r="C566">
            <v>0</v>
          </cell>
          <cell r="E566">
            <v>0</v>
          </cell>
        </row>
        <row r="567">
          <cell r="C567">
            <v>0</v>
          </cell>
          <cell r="E567">
            <v>0</v>
          </cell>
        </row>
        <row r="568">
          <cell r="C568">
            <v>0</v>
          </cell>
          <cell r="E568">
            <v>0</v>
          </cell>
        </row>
        <row r="569">
          <cell r="C569">
            <v>0</v>
          </cell>
          <cell r="E569">
            <v>0</v>
          </cell>
        </row>
        <row r="575">
          <cell r="C575">
            <v>21.047000000000001</v>
          </cell>
          <cell r="E575">
            <v>67014.8</v>
          </cell>
        </row>
        <row r="576">
          <cell r="C576">
            <v>2.9939999999999998</v>
          </cell>
          <cell r="E576">
            <v>9532.73</v>
          </cell>
        </row>
        <row r="577">
          <cell r="C577">
            <v>0</v>
          </cell>
          <cell r="E577">
            <v>0</v>
          </cell>
        </row>
        <row r="578">
          <cell r="C578">
            <v>0</v>
          </cell>
          <cell r="E578">
            <v>0</v>
          </cell>
        </row>
        <row r="579">
          <cell r="C579">
            <v>1.4690000000000001</v>
          </cell>
          <cell r="E579">
            <v>4677.82</v>
          </cell>
        </row>
        <row r="580">
          <cell r="C580">
            <v>0</v>
          </cell>
          <cell r="E580">
            <v>0</v>
          </cell>
        </row>
        <row r="581">
          <cell r="C581">
            <v>0</v>
          </cell>
          <cell r="E581">
            <v>0</v>
          </cell>
        </row>
        <row r="582">
          <cell r="C582">
            <v>1.411</v>
          </cell>
          <cell r="E582">
            <v>4491.13</v>
          </cell>
        </row>
        <row r="583">
          <cell r="C583">
            <v>0</v>
          </cell>
          <cell r="E583">
            <v>0</v>
          </cell>
        </row>
        <row r="584">
          <cell r="C584">
            <v>0</v>
          </cell>
          <cell r="E584">
            <v>0</v>
          </cell>
        </row>
        <row r="585">
          <cell r="C585">
            <v>0</v>
          </cell>
          <cell r="E585">
            <v>0</v>
          </cell>
        </row>
        <row r="586">
          <cell r="C586">
            <v>5</v>
          </cell>
          <cell r="E586">
            <v>15920</v>
          </cell>
        </row>
        <row r="587">
          <cell r="C587">
            <v>0</v>
          </cell>
          <cell r="E587">
            <v>0</v>
          </cell>
        </row>
        <row r="588">
          <cell r="C588">
            <v>0</v>
          </cell>
          <cell r="E588">
            <v>0</v>
          </cell>
        </row>
        <row r="589">
          <cell r="C589">
            <v>0</v>
          </cell>
          <cell r="E589">
            <v>0</v>
          </cell>
        </row>
        <row r="590">
          <cell r="C590">
            <v>0</v>
          </cell>
          <cell r="E590">
            <v>0</v>
          </cell>
        </row>
        <row r="591">
          <cell r="C591">
            <v>0</v>
          </cell>
          <cell r="E591">
            <v>0</v>
          </cell>
        </row>
        <row r="592">
          <cell r="C592">
            <v>0</v>
          </cell>
          <cell r="E592">
            <v>0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Charters"/>
    </sheetNames>
    <sheetDataSet>
      <sheetData sheetId="0">
        <row r="10">
          <cell r="C10">
            <v>9091108.6899999995</v>
          </cell>
        </row>
      </sheetData>
      <sheetData sheetId="1">
        <row r="7">
          <cell r="C7">
            <v>12126.77</v>
          </cell>
        </row>
        <row r="8">
          <cell r="C8">
            <v>50109.06</v>
          </cell>
        </row>
        <row r="9">
          <cell r="C9">
            <v>4950.46</v>
          </cell>
        </row>
        <row r="10">
          <cell r="C10">
            <v>14159.44</v>
          </cell>
        </row>
        <row r="11">
          <cell r="C11">
            <v>6556.42</v>
          </cell>
        </row>
        <row r="12">
          <cell r="C12">
            <v>6270.01</v>
          </cell>
        </row>
        <row r="13">
          <cell r="C13">
            <v>2420.02</v>
          </cell>
        </row>
        <row r="14">
          <cell r="C14">
            <v>2901.35</v>
          </cell>
        </row>
        <row r="15">
          <cell r="C15">
            <v>4944.01</v>
          </cell>
        </row>
        <row r="16">
          <cell r="C16">
            <v>987.3</v>
          </cell>
        </row>
        <row r="17">
          <cell r="C17">
            <v>2117.16</v>
          </cell>
        </row>
        <row r="18">
          <cell r="C18">
            <v>14710.29</v>
          </cell>
        </row>
        <row r="19">
          <cell r="C19">
            <v>5003.3999999999996</v>
          </cell>
        </row>
        <row r="20">
          <cell r="C20">
            <v>4276.8100000000004</v>
          </cell>
        </row>
        <row r="21">
          <cell r="C21">
            <v>3170.99</v>
          </cell>
        </row>
        <row r="22">
          <cell r="C22">
            <v>10122.84</v>
          </cell>
        </row>
        <row r="23">
          <cell r="C23">
            <v>3862.63</v>
          </cell>
        </row>
        <row r="24">
          <cell r="C24">
            <v>12745.82</v>
          </cell>
        </row>
        <row r="25">
          <cell r="C25">
            <v>25653.05</v>
          </cell>
        </row>
        <row r="26">
          <cell r="C26">
            <v>5099.63</v>
          </cell>
        </row>
        <row r="27">
          <cell r="C27">
            <v>10536.4</v>
          </cell>
        </row>
        <row r="28">
          <cell r="C28">
            <v>1281.79</v>
          </cell>
        </row>
        <row r="29">
          <cell r="C29">
            <v>4432.6499999999996</v>
          </cell>
        </row>
        <row r="30">
          <cell r="C30">
            <v>5265.03</v>
          </cell>
        </row>
        <row r="31">
          <cell r="C31">
            <v>5154.74</v>
          </cell>
        </row>
        <row r="32">
          <cell r="C32">
            <v>10000.49</v>
          </cell>
        </row>
        <row r="33">
          <cell r="C33">
            <v>3970.32</v>
          </cell>
        </row>
        <row r="34">
          <cell r="C34">
            <v>4218.51</v>
          </cell>
        </row>
        <row r="35">
          <cell r="C35">
            <v>5658.85</v>
          </cell>
        </row>
        <row r="36">
          <cell r="C36">
            <v>7221.5</v>
          </cell>
        </row>
        <row r="37">
          <cell r="C37">
            <v>21484.76</v>
          </cell>
        </row>
        <row r="38">
          <cell r="C38">
            <v>5422.68</v>
          </cell>
        </row>
        <row r="39">
          <cell r="C39">
            <v>5383.09</v>
          </cell>
        </row>
        <row r="40">
          <cell r="C40">
            <v>2978.89</v>
          </cell>
        </row>
        <row r="41">
          <cell r="C41">
            <v>11502</v>
          </cell>
        </row>
        <row r="42">
          <cell r="C42">
            <v>10699.49</v>
          </cell>
        </row>
        <row r="43">
          <cell r="C43">
            <v>12009.57</v>
          </cell>
        </row>
        <row r="44">
          <cell r="C44">
            <v>7800.93</v>
          </cell>
        </row>
        <row r="45">
          <cell r="C45">
            <v>7937.77</v>
          </cell>
        </row>
        <row r="46">
          <cell r="C46">
            <v>7550.75</v>
          </cell>
        </row>
        <row r="47">
          <cell r="C47">
            <v>7242.63</v>
          </cell>
        </row>
        <row r="48">
          <cell r="C48">
            <v>6469.74</v>
          </cell>
        </row>
        <row r="49">
          <cell r="C49">
            <v>30164.25</v>
          </cell>
        </row>
        <row r="50">
          <cell r="C50">
            <v>18899.240000000002</v>
          </cell>
        </row>
        <row r="51">
          <cell r="C51">
            <v>10376.74</v>
          </cell>
        </row>
        <row r="52">
          <cell r="C52">
            <v>5615.64</v>
          </cell>
        </row>
        <row r="59">
          <cell r="C59">
            <v>3953.22</v>
          </cell>
        </row>
        <row r="60">
          <cell r="C60">
            <v>3902.89</v>
          </cell>
        </row>
        <row r="61">
          <cell r="C61">
            <v>5374.5</v>
          </cell>
        </row>
        <row r="62">
          <cell r="C62">
            <v>3018.68</v>
          </cell>
        </row>
        <row r="63">
          <cell r="C63">
            <v>7619.3</v>
          </cell>
        </row>
        <row r="64">
          <cell r="C64">
            <v>3103.45</v>
          </cell>
        </row>
        <row r="65">
          <cell r="C65">
            <v>4691.17</v>
          </cell>
        </row>
        <row r="66">
          <cell r="C66">
            <v>3212.64</v>
          </cell>
        </row>
        <row r="67">
          <cell r="C67">
            <v>7140.05</v>
          </cell>
        </row>
        <row r="68">
          <cell r="C68">
            <v>4726.2</v>
          </cell>
        </row>
        <row r="69">
          <cell r="C69">
            <v>25816.799999999999</v>
          </cell>
        </row>
        <row r="70">
          <cell r="C70">
            <v>10694.22</v>
          </cell>
        </row>
        <row r="71">
          <cell r="C71">
            <v>6327.25</v>
          </cell>
        </row>
        <row r="72">
          <cell r="C72">
            <v>8903.17</v>
          </cell>
        </row>
        <row r="73">
          <cell r="C73">
            <v>5137.51</v>
          </cell>
        </row>
        <row r="74">
          <cell r="C74">
            <v>26303.72</v>
          </cell>
        </row>
        <row r="75">
          <cell r="C75">
            <v>11128.12</v>
          </cell>
        </row>
        <row r="76">
          <cell r="C76">
            <v>7382.86</v>
          </cell>
        </row>
        <row r="77">
          <cell r="C77">
            <v>16469.48</v>
          </cell>
        </row>
        <row r="78">
          <cell r="C78">
            <v>6542.91</v>
          </cell>
        </row>
        <row r="79">
          <cell r="C79">
            <v>5740.17</v>
          </cell>
        </row>
        <row r="80">
          <cell r="C80">
            <v>9518.08</v>
          </cell>
        </row>
        <row r="81">
          <cell r="C81">
            <v>1915.06</v>
          </cell>
        </row>
        <row r="82">
          <cell r="C82">
            <v>6776.49</v>
          </cell>
        </row>
        <row r="83">
          <cell r="C83">
            <v>5711.82</v>
          </cell>
        </row>
        <row r="84">
          <cell r="C84">
            <v>6145.32</v>
          </cell>
        </row>
        <row r="85">
          <cell r="C85">
            <v>7289.41</v>
          </cell>
        </row>
        <row r="86">
          <cell r="C86">
            <v>4893.78</v>
          </cell>
        </row>
        <row r="87">
          <cell r="C87">
            <v>10921.27</v>
          </cell>
        </row>
        <row r="88">
          <cell r="C88">
            <v>6498.19</v>
          </cell>
        </row>
        <row r="89">
          <cell r="C89">
            <v>1548.91</v>
          </cell>
        </row>
        <row r="90">
          <cell r="C90">
            <v>7372.71</v>
          </cell>
        </row>
        <row r="91">
          <cell r="C91">
            <v>4731.9399999999996</v>
          </cell>
        </row>
        <row r="92">
          <cell r="C92">
            <v>4120.3100000000004</v>
          </cell>
        </row>
        <row r="93">
          <cell r="C93">
            <v>3735.09</v>
          </cell>
        </row>
        <row r="94">
          <cell r="C94">
            <v>3540.39</v>
          </cell>
        </row>
        <row r="95">
          <cell r="C95">
            <v>2932.65</v>
          </cell>
        </row>
        <row r="96">
          <cell r="C96">
            <v>4870.28</v>
          </cell>
        </row>
        <row r="97">
          <cell r="C97">
            <v>5379.05</v>
          </cell>
        </row>
        <row r="98">
          <cell r="C98">
            <v>4314.12</v>
          </cell>
        </row>
        <row r="99">
          <cell r="C99">
            <v>5337.76</v>
          </cell>
        </row>
        <row r="100">
          <cell r="C100">
            <v>267.43</v>
          </cell>
        </row>
        <row r="101">
          <cell r="C101">
            <v>1405.87</v>
          </cell>
        </row>
        <row r="102">
          <cell r="C102">
            <v>2390.52</v>
          </cell>
        </row>
        <row r="109">
          <cell r="C109">
            <v>14512.45</v>
          </cell>
        </row>
        <row r="110">
          <cell r="C110">
            <v>20275.23</v>
          </cell>
        </row>
        <row r="111">
          <cell r="C111">
            <v>4183.08</v>
          </cell>
        </row>
        <row r="112">
          <cell r="C112">
            <v>1158.21</v>
          </cell>
        </row>
        <row r="113">
          <cell r="C113">
            <v>5005.82</v>
          </cell>
        </row>
        <row r="114">
          <cell r="C114">
            <v>5322.16</v>
          </cell>
        </row>
        <row r="115">
          <cell r="C115">
            <v>3835.04</v>
          </cell>
        </row>
        <row r="116">
          <cell r="C116">
            <v>7230.97</v>
          </cell>
        </row>
        <row r="117">
          <cell r="C117">
            <v>6183.39</v>
          </cell>
        </row>
        <row r="118">
          <cell r="C118">
            <v>4722.12</v>
          </cell>
        </row>
        <row r="119">
          <cell r="C119">
            <v>6039.93</v>
          </cell>
        </row>
        <row r="120">
          <cell r="C120">
            <v>2102.75</v>
          </cell>
        </row>
        <row r="121">
          <cell r="C121">
            <v>5593.92</v>
          </cell>
        </row>
        <row r="122">
          <cell r="C122">
            <v>5489.47</v>
          </cell>
        </row>
        <row r="123">
          <cell r="C123">
            <v>4878.55</v>
          </cell>
        </row>
        <row r="124">
          <cell r="C124">
            <v>5154.8100000000004</v>
          </cell>
        </row>
        <row r="125">
          <cell r="C125">
            <v>2643.67</v>
          </cell>
        </row>
        <row r="126">
          <cell r="C126">
            <v>8498.6</v>
          </cell>
        </row>
        <row r="167">
          <cell r="E167">
            <v>47085</v>
          </cell>
        </row>
        <row r="168">
          <cell r="E168">
            <v>138279</v>
          </cell>
        </row>
        <row r="169">
          <cell r="E169">
            <v>19033</v>
          </cell>
        </row>
        <row r="170">
          <cell r="E170">
            <v>41099</v>
          </cell>
        </row>
        <row r="171">
          <cell r="E171">
            <v>20048</v>
          </cell>
        </row>
        <row r="172">
          <cell r="E172">
            <v>29736</v>
          </cell>
        </row>
        <row r="173">
          <cell r="E173">
            <v>15837</v>
          </cell>
        </row>
        <row r="174">
          <cell r="E174">
            <v>12084</v>
          </cell>
        </row>
        <row r="175">
          <cell r="E175">
            <v>17917</v>
          </cell>
        </row>
        <row r="176">
          <cell r="E176">
            <v>10004</v>
          </cell>
        </row>
        <row r="177">
          <cell r="E177">
            <v>10815</v>
          </cell>
        </row>
        <row r="178">
          <cell r="E178">
            <v>37345</v>
          </cell>
        </row>
        <row r="179">
          <cell r="E179">
            <v>13098</v>
          </cell>
        </row>
        <row r="180">
          <cell r="E180">
            <v>16700</v>
          </cell>
        </row>
        <row r="181">
          <cell r="E181">
            <v>18221</v>
          </cell>
        </row>
        <row r="182">
          <cell r="E182">
            <v>16294</v>
          </cell>
        </row>
        <row r="183">
          <cell r="E183">
            <v>13098</v>
          </cell>
        </row>
        <row r="184">
          <cell r="E184">
            <v>44752</v>
          </cell>
        </row>
        <row r="185">
          <cell r="E185">
            <v>43590</v>
          </cell>
        </row>
        <row r="186">
          <cell r="E186">
            <v>14772</v>
          </cell>
        </row>
        <row r="187">
          <cell r="E187">
            <v>34911</v>
          </cell>
        </row>
        <row r="188">
          <cell r="E188">
            <v>10765</v>
          </cell>
        </row>
        <row r="189">
          <cell r="E189">
            <v>20504</v>
          </cell>
        </row>
        <row r="190">
          <cell r="E190">
            <v>14772</v>
          </cell>
        </row>
        <row r="191">
          <cell r="E191">
            <v>17841</v>
          </cell>
        </row>
        <row r="192">
          <cell r="E192">
            <v>26642</v>
          </cell>
        </row>
        <row r="193">
          <cell r="E193">
            <v>16700</v>
          </cell>
        </row>
        <row r="194">
          <cell r="E194">
            <v>14924</v>
          </cell>
        </row>
        <row r="195">
          <cell r="E195">
            <v>15381</v>
          </cell>
        </row>
        <row r="196">
          <cell r="E196">
            <v>26896</v>
          </cell>
        </row>
        <row r="197">
          <cell r="E197">
            <v>64992</v>
          </cell>
        </row>
        <row r="198">
          <cell r="E198">
            <v>17613</v>
          </cell>
        </row>
        <row r="199">
          <cell r="E199">
            <v>17968</v>
          </cell>
        </row>
        <row r="200">
          <cell r="E200">
            <v>10612</v>
          </cell>
        </row>
        <row r="201">
          <cell r="E201">
            <v>47339</v>
          </cell>
        </row>
        <row r="202">
          <cell r="E202">
            <v>32476</v>
          </cell>
        </row>
        <row r="203">
          <cell r="E203">
            <v>31208</v>
          </cell>
        </row>
        <row r="204">
          <cell r="E204">
            <v>32222</v>
          </cell>
        </row>
        <row r="205">
          <cell r="E205">
            <v>23446</v>
          </cell>
        </row>
        <row r="206">
          <cell r="E206">
            <v>22280</v>
          </cell>
        </row>
        <row r="207">
          <cell r="E207">
            <v>20200</v>
          </cell>
        </row>
        <row r="208">
          <cell r="E208">
            <v>20809</v>
          </cell>
        </row>
        <row r="209">
          <cell r="E209">
            <v>42664</v>
          </cell>
        </row>
        <row r="210">
          <cell r="E210">
            <v>27758</v>
          </cell>
        </row>
        <row r="211">
          <cell r="E211">
            <v>28062</v>
          </cell>
        </row>
        <row r="212">
          <cell r="E212">
            <v>23091</v>
          </cell>
        </row>
        <row r="219">
          <cell r="E219">
            <v>14924</v>
          </cell>
        </row>
        <row r="220">
          <cell r="E220">
            <v>16395</v>
          </cell>
        </row>
        <row r="221">
          <cell r="E221">
            <v>15431</v>
          </cell>
        </row>
        <row r="222">
          <cell r="E222">
            <v>73099</v>
          </cell>
        </row>
        <row r="223">
          <cell r="E223">
            <v>19743</v>
          </cell>
        </row>
        <row r="224">
          <cell r="E224">
            <v>15939</v>
          </cell>
        </row>
        <row r="225">
          <cell r="E225">
            <v>83397</v>
          </cell>
        </row>
        <row r="226">
          <cell r="E226">
            <v>13453</v>
          </cell>
        </row>
        <row r="227">
          <cell r="E227">
            <v>32070</v>
          </cell>
        </row>
        <row r="228">
          <cell r="E228">
            <v>18221</v>
          </cell>
        </row>
        <row r="229">
          <cell r="E229">
            <v>59513</v>
          </cell>
        </row>
        <row r="230">
          <cell r="E230">
            <v>33389</v>
          </cell>
        </row>
        <row r="231">
          <cell r="E231">
            <v>22685</v>
          </cell>
        </row>
        <row r="232">
          <cell r="E232">
            <v>32425</v>
          </cell>
        </row>
        <row r="233">
          <cell r="E233">
            <v>19490</v>
          </cell>
        </row>
        <row r="234">
          <cell r="E234">
            <v>87971</v>
          </cell>
        </row>
        <row r="235">
          <cell r="E235">
            <v>27999</v>
          </cell>
        </row>
        <row r="236">
          <cell r="E236">
            <v>26997</v>
          </cell>
        </row>
        <row r="237">
          <cell r="E237">
            <v>29381</v>
          </cell>
        </row>
        <row r="238">
          <cell r="E238">
            <v>22432</v>
          </cell>
        </row>
        <row r="239">
          <cell r="E239">
            <v>17511</v>
          </cell>
        </row>
        <row r="240">
          <cell r="E240">
            <v>33135</v>
          </cell>
        </row>
        <row r="241">
          <cell r="E241">
            <v>10714</v>
          </cell>
        </row>
        <row r="242">
          <cell r="E242">
            <v>23497</v>
          </cell>
        </row>
        <row r="243">
          <cell r="E243">
            <v>21874</v>
          </cell>
        </row>
        <row r="244">
          <cell r="E244">
            <v>16750</v>
          </cell>
        </row>
        <row r="245">
          <cell r="E245">
            <v>20403</v>
          </cell>
        </row>
        <row r="246">
          <cell r="E246">
            <v>19946</v>
          </cell>
        </row>
        <row r="247">
          <cell r="E247">
            <v>43889</v>
          </cell>
        </row>
        <row r="248">
          <cell r="E248">
            <v>29483</v>
          </cell>
        </row>
        <row r="249">
          <cell r="E249">
            <v>12489</v>
          </cell>
        </row>
        <row r="250">
          <cell r="E250">
            <v>25425</v>
          </cell>
        </row>
        <row r="251">
          <cell r="E251">
            <v>20504</v>
          </cell>
        </row>
        <row r="252">
          <cell r="E252">
            <v>23446</v>
          </cell>
        </row>
        <row r="253">
          <cell r="E253">
            <v>23700</v>
          </cell>
        </row>
        <row r="254">
          <cell r="E254">
            <v>15127</v>
          </cell>
        </row>
        <row r="255">
          <cell r="E255">
            <v>68889</v>
          </cell>
        </row>
        <row r="256">
          <cell r="E256">
            <v>25222</v>
          </cell>
        </row>
        <row r="257">
          <cell r="E257">
            <v>22229</v>
          </cell>
        </row>
        <row r="258">
          <cell r="E258">
            <v>76041</v>
          </cell>
        </row>
        <row r="259">
          <cell r="E259">
            <v>22787</v>
          </cell>
        </row>
        <row r="260">
          <cell r="E260">
            <v>7417</v>
          </cell>
        </row>
        <row r="261">
          <cell r="E261">
            <v>11830</v>
          </cell>
        </row>
        <row r="262">
          <cell r="E262">
            <v>11576</v>
          </cell>
        </row>
        <row r="269">
          <cell r="E269">
            <v>36787</v>
          </cell>
        </row>
        <row r="270">
          <cell r="E270">
            <v>36382</v>
          </cell>
        </row>
        <row r="271">
          <cell r="E271">
            <v>20200</v>
          </cell>
        </row>
        <row r="272">
          <cell r="E272">
            <v>9040</v>
          </cell>
        </row>
        <row r="273">
          <cell r="E273">
            <v>19084</v>
          </cell>
        </row>
        <row r="274">
          <cell r="E274">
            <v>20098</v>
          </cell>
        </row>
        <row r="275">
          <cell r="E275">
            <v>10195</v>
          </cell>
        </row>
        <row r="276">
          <cell r="E276">
            <v>6757</v>
          </cell>
        </row>
        <row r="277">
          <cell r="E277">
            <v>6757</v>
          </cell>
        </row>
        <row r="278">
          <cell r="E278">
            <v>6757</v>
          </cell>
        </row>
        <row r="279">
          <cell r="E279">
            <v>19388</v>
          </cell>
        </row>
        <row r="280">
          <cell r="E280">
            <v>6757</v>
          </cell>
        </row>
        <row r="281">
          <cell r="E281">
            <v>6757</v>
          </cell>
        </row>
        <row r="282">
          <cell r="E282">
            <v>6757</v>
          </cell>
        </row>
        <row r="283">
          <cell r="E283">
            <v>6757</v>
          </cell>
        </row>
        <row r="284">
          <cell r="E284">
            <v>6757</v>
          </cell>
        </row>
        <row r="285">
          <cell r="E285">
            <v>6757</v>
          </cell>
        </row>
        <row r="286">
          <cell r="E286">
            <v>10757</v>
          </cell>
        </row>
        <row r="328">
          <cell r="F328">
            <v>4753.2299999999996</v>
          </cell>
          <cell r="G328">
            <v>0</v>
          </cell>
        </row>
        <row r="329">
          <cell r="F329">
            <v>25555.64</v>
          </cell>
          <cell r="G329">
            <v>0</v>
          </cell>
        </row>
        <row r="330">
          <cell r="F330">
            <v>1889.44</v>
          </cell>
          <cell r="G330">
            <v>0</v>
          </cell>
        </row>
        <row r="331">
          <cell r="F331">
            <v>7367.98</v>
          </cell>
          <cell r="G331">
            <v>0</v>
          </cell>
        </row>
        <row r="332">
          <cell r="F332">
            <v>8134.4</v>
          </cell>
          <cell r="G332">
            <v>75897.33</v>
          </cell>
        </row>
        <row r="333">
          <cell r="F333">
            <v>2028.46</v>
          </cell>
          <cell r="G333">
            <v>5371.19</v>
          </cell>
        </row>
        <row r="334">
          <cell r="F334">
            <v>850.03</v>
          </cell>
          <cell r="G334">
            <v>0</v>
          </cell>
        </row>
        <row r="335">
          <cell r="F335">
            <v>1093.74</v>
          </cell>
          <cell r="G335">
            <v>0</v>
          </cell>
        </row>
        <row r="336">
          <cell r="F336">
            <v>2175.1799999999998</v>
          </cell>
          <cell r="G336">
            <v>8259.2999999999993</v>
          </cell>
        </row>
        <row r="337">
          <cell r="F337">
            <v>414.78</v>
          </cell>
          <cell r="G337">
            <v>327.51</v>
          </cell>
        </row>
        <row r="338">
          <cell r="F338">
            <v>833.25</v>
          </cell>
          <cell r="G338">
            <v>0</v>
          </cell>
        </row>
        <row r="339">
          <cell r="F339">
            <v>5527</v>
          </cell>
          <cell r="G339">
            <v>0</v>
          </cell>
        </row>
        <row r="340">
          <cell r="F340">
            <v>2035.48</v>
          </cell>
          <cell r="G340">
            <v>0</v>
          </cell>
        </row>
        <row r="341">
          <cell r="F341">
            <v>1763.24</v>
          </cell>
          <cell r="G341">
            <v>0</v>
          </cell>
        </row>
        <row r="342">
          <cell r="F342">
            <v>1311.15</v>
          </cell>
          <cell r="G342">
            <v>7387.26</v>
          </cell>
        </row>
        <row r="343">
          <cell r="F343">
            <v>8622.58</v>
          </cell>
          <cell r="G343">
            <v>67095.100000000006</v>
          </cell>
        </row>
        <row r="344">
          <cell r="F344">
            <v>0</v>
          </cell>
          <cell r="G344">
            <v>0</v>
          </cell>
        </row>
        <row r="345">
          <cell r="F345">
            <v>10005.619999999999</v>
          </cell>
          <cell r="G345">
            <v>0</v>
          </cell>
        </row>
        <row r="346">
          <cell r="F346">
            <v>10065.85</v>
          </cell>
          <cell r="G346">
            <v>0</v>
          </cell>
        </row>
        <row r="347">
          <cell r="F347">
            <v>4584.5300000000007</v>
          </cell>
          <cell r="G347">
            <v>144991.15</v>
          </cell>
        </row>
        <row r="348">
          <cell r="F348">
            <v>4356.07</v>
          </cell>
          <cell r="G348">
            <v>0</v>
          </cell>
        </row>
        <row r="349">
          <cell r="F349">
            <v>488.05</v>
          </cell>
          <cell r="G349">
            <v>0</v>
          </cell>
        </row>
        <row r="350">
          <cell r="F350">
            <v>1866.51</v>
          </cell>
          <cell r="G350">
            <v>17816.62</v>
          </cell>
        </row>
        <row r="351">
          <cell r="F351">
            <v>2514.21</v>
          </cell>
          <cell r="G351">
            <v>228197.18</v>
          </cell>
        </row>
        <row r="352">
          <cell r="F352">
            <v>2314.9899999999998</v>
          </cell>
          <cell r="G352">
            <v>83320.179999999993</v>
          </cell>
        </row>
        <row r="353">
          <cell r="F353">
            <v>3893.62</v>
          </cell>
          <cell r="G353">
            <v>0</v>
          </cell>
        </row>
        <row r="354">
          <cell r="F354">
            <v>1525.19</v>
          </cell>
          <cell r="G354">
            <v>5698.7</v>
          </cell>
        </row>
        <row r="355">
          <cell r="F355">
            <v>1715.49</v>
          </cell>
          <cell r="G355">
            <v>0</v>
          </cell>
        </row>
        <row r="356">
          <cell r="F356">
            <v>2328.9899999999998</v>
          </cell>
          <cell r="G356">
            <v>0</v>
          </cell>
        </row>
        <row r="357">
          <cell r="F357">
            <v>2793.16</v>
          </cell>
          <cell r="G357">
            <v>0</v>
          </cell>
        </row>
        <row r="358">
          <cell r="F358">
            <v>10180.799999999999</v>
          </cell>
          <cell r="G358">
            <v>56576.84</v>
          </cell>
        </row>
        <row r="359">
          <cell r="F359">
            <v>0</v>
          </cell>
          <cell r="G359">
            <v>0</v>
          </cell>
        </row>
        <row r="360">
          <cell r="F360">
            <v>2123.66</v>
          </cell>
          <cell r="G360">
            <v>0</v>
          </cell>
        </row>
        <row r="361">
          <cell r="F361">
            <v>3682.42</v>
          </cell>
          <cell r="G361">
            <v>2174.2800000000002</v>
          </cell>
        </row>
        <row r="362">
          <cell r="F362">
            <v>4326.78</v>
          </cell>
          <cell r="G362">
            <v>0</v>
          </cell>
        </row>
        <row r="363">
          <cell r="F363">
            <v>4366.8900000000003</v>
          </cell>
          <cell r="G363">
            <v>0</v>
          </cell>
        </row>
        <row r="364">
          <cell r="F364">
            <v>4810.66</v>
          </cell>
          <cell r="G364">
            <v>0</v>
          </cell>
        </row>
        <row r="365">
          <cell r="F365">
            <v>3255.96</v>
          </cell>
          <cell r="G365">
            <v>0</v>
          </cell>
        </row>
        <row r="366">
          <cell r="F366">
            <v>3212.71</v>
          </cell>
          <cell r="G366">
            <v>0</v>
          </cell>
        </row>
        <row r="367">
          <cell r="F367">
            <v>3247.74</v>
          </cell>
          <cell r="G367">
            <v>2659.88</v>
          </cell>
        </row>
        <row r="368">
          <cell r="F368">
            <v>3074.49</v>
          </cell>
          <cell r="G368">
            <v>0</v>
          </cell>
        </row>
        <row r="369">
          <cell r="F369">
            <v>9744.77</v>
          </cell>
          <cell r="G369">
            <v>0</v>
          </cell>
        </row>
        <row r="370">
          <cell r="F370">
            <v>3866.83</v>
          </cell>
          <cell r="G370">
            <v>0</v>
          </cell>
        </row>
        <row r="371">
          <cell r="F371">
            <v>7298.02</v>
          </cell>
          <cell r="G371">
            <v>0</v>
          </cell>
        </row>
        <row r="372">
          <cell r="F372">
            <v>4123.2700000000004</v>
          </cell>
          <cell r="G372">
            <v>0</v>
          </cell>
        </row>
        <row r="373">
          <cell r="F373">
            <v>2342.4899999999998</v>
          </cell>
          <cell r="G373">
            <v>0</v>
          </cell>
        </row>
        <row r="380">
          <cell r="F380">
            <v>1805.74</v>
          </cell>
          <cell r="G380">
            <v>1955.22</v>
          </cell>
        </row>
        <row r="381">
          <cell r="F381">
            <v>1516.13</v>
          </cell>
          <cell r="G381">
            <v>0</v>
          </cell>
        </row>
        <row r="382">
          <cell r="F382">
            <v>2136.21</v>
          </cell>
          <cell r="G382">
            <v>0</v>
          </cell>
        </row>
        <row r="383">
          <cell r="F383">
            <v>0</v>
          </cell>
          <cell r="G383">
            <v>0</v>
          </cell>
        </row>
        <row r="384">
          <cell r="F384">
            <v>10724.38</v>
          </cell>
          <cell r="G384">
            <v>9784.2800000000007</v>
          </cell>
        </row>
        <row r="385">
          <cell r="F385">
            <v>1166.99</v>
          </cell>
          <cell r="G385">
            <v>0</v>
          </cell>
        </row>
        <row r="386">
          <cell r="F386">
            <v>1919.69</v>
          </cell>
          <cell r="G386">
            <v>0</v>
          </cell>
        </row>
        <row r="387">
          <cell r="F387">
            <v>1203.53</v>
          </cell>
          <cell r="G387">
            <v>0</v>
          </cell>
        </row>
        <row r="388">
          <cell r="F388">
            <v>2743.35</v>
          </cell>
          <cell r="G388">
            <v>0</v>
          </cell>
        </row>
        <row r="389">
          <cell r="F389">
            <v>2355.12</v>
          </cell>
          <cell r="G389">
            <v>16568.11</v>
          </cell>
        </row>
        <row r="390">
          <cell r="F390">
            <v>25566.94</v>
          </cell>
          <cell r="G390">
            <v>0</v>
          </cell>
        </row>
        <row r="391">
          <cell r="F391">
            <v>3975.8</v>
          </cell>
          <cell r="G391">
            <v>0</v>
          </cell>
        </row>
        <row r="392">
          <cell r="F392">
            <v>2866.25</v>
          </cell>
          <cell r="G392">
            <v>11200.89</v>
          </cell>
        </row>
        <row r="393">
          <cell r="F393">
            <v>828.99</v>
          </cell>
          <cell r="G393">
            <v>0</v>
          </cell>
        </row>
        <row r="394">
          <cell r="F394">
            <v>3322</v>
          </cell>
          <cell r="G394">
            <v>786.03</v>
          </cell>
        </row>
        <row r="395">
          <cell r="F395">
            <v>9492.5300000000007</v>
          </cell>
          <cell r="G395">
            <v>164.1</v>
          </cell>
        </row>
        <row r="396">
          <cell r="F396">
            <v>4363.78</v>
          </cell>
          <cell r="G396">
            <v>0</v>
          </cell>
        </row>
        <row r="397">
          <cell r="F397">
            <v>3053.87</v>
          </cell>
          <cell r="G397">
            <v>0</v>
          </cell>
        </row>
        <row r="398">
          <cell r="F398">
            <v>10136.44</v>
          </cell>
          <cell r="G398">
            <v>0</v>
          </cell>
        </row>
        <row r="399">
          <cell r="F399">
            <v>2790.74</v>
          </cell>
          <cell r="G399">
            <v>984.58</v>
          </cell>
        </row>
        <row r="400">
          <cell r="F400">
            <v>2286.09</v>
          </cell>
          <cell r="G400">
            <v>0</v>
          </cell>
        </row>
        <row r="401">
          <cell r="F401">
            <v>3667.82</v>
          </cell>
          <cell r="G401">
            <v>0</v>
          </cell>
        </row>
        <row r="402">
          <cell r="F402">
            <v>702.27</v>
          </cell>
          <cell r="G402">
            <v>0</v>
          </cell>
        </row>
        <row r="403">
          <cell r="F403">
            <v>2606.31</v>
          </cell>
          <cell r="G403">
            <v>0</v>
          </cell>
        </row>
        <row r="404">
          <cell r="F404">
            <v>2333.42</v>
          </cell>
          <cell r="G404">
            <v>0</v>
          </cell>
        </row>
        <row r="405">
          <cell r="F405">
            <v>2473.08</v>
          </cell>
          <cell r="G405">
            <v>0</v>
          </cell>
        </row>
        <row r="406">
          <cell r="F406">
            <v>10939.15</v>
          </cell>
          <cell r="G406">
            <v>6399.78</v>
          </cell>
        </row>
        <row r="407">
          <cell r="F407">
            <v>1930.17</v>
          </cell>
          <cell r="G407">
            <v>0</v>
          </cell>
        </row>
        <row r="408">
          <cell r="F408">
            <v>4344.49</v>
          </cell>
          <cell r="G408">
            <v>0</v>
          </cell>
        </row>
        <row r="409">
          <cell r="F409">
            <v>2511.71</v>
          </cell>
          <cell r="G409">
            <v>0</v>
          </cell>
        </row>
        <row r="410">
          <cell r="F410">
            <v>502.72</v>
          </cell>
          <cell r="G410">
            <v>0</v>
          </cell>
        </row>
        <row r="411">
          <cell r="F411">
            <v>3051.81</v>
          </cell>
          <cell r="G411">
            <v>0</v>
          </cell>
        </row>
        <row r="412">
          <cell r="F412">
            <v>1942.38</v>
          </cell>
          <cell r="G412">
            <v>0</v>
          </cell>
        </row>
        <row r="413">
          <cell r="F413">
            <v>1671.21</v>
          </cell>
          <cell r="G413">
            <v>0</v>
          </cell>
        </row>
        <row r="414">
          <cell r="F414">
            <v>1466.53</v>
          </cell>
          <cell r="G414">
            <v>0</v>
          </cell>
        </row>
        <row r="415">
          <cell r="F415">
            <v>1464.63</v>
          </cell>
          <cell r="G415">
            <v>6091.71</v>
          </cell>
        </row>
        <row r="416">
          <cell r="F416">
            <v>0</v>
          </cell>
          <cell r="G416">
            <v>0</v>
          </cell>
        </row>
        <row r="417">
          <cell r="F417">
            <v>2018.21</v>
          </cell>
          <cell r="G417">
            <v>0</v>
          </cell>
        </row>
        <row r="418">
          <cell r="F418">
            <v>2181.52</v>
          </cell>
          <cell r="G418">
            <v>0</v>
          </cell>
        </row>
        <row r="419">
          <cell r="F419">
            <v>1791.63</v>
          </cell>
          <cell r="G419">
            <v>0</v>
          </cell>
        </row>
        <row r="420">
          <cell r="F420">
            <v>2167.65</v>
          </cell>
          <cell r="G420">
            <v>0</v>
          </cell>
        </row>
        <row r="421">
          <cell r="F421">
            <v>91.38</v>
          </cell>
          <cell r="G421">
            <v>0</v>
          </cell>
        </row>
        <row r="422">
          <cell r="F422">
            <v>659.76</v>
          </cell>
          <cell r="G422">
            <v>0</v>
          </cell>
        </row>
        <row r="423">
          <cell r="F423">
            <v>963.64</v>
          </cell>
          <cell r="G423">
            <v>0</v>
          </cell>
        </row>
        <row r="430">
          <cell r="F430">
            <v>6802.55</v>
          </cell>
          <cell r="G430">
            <v>1105.6099999999999</v>
          </cell>
        </row>
        <row r="431">
          <cell r="F431">
            <v>7910.7</v>
          </cell>
          <cell r="G431">
            <v>0</v>
          </cell>
        </row>
        <row r="432">
          <cell r="F432">
            <v>1734.28</v>
          </cell>
          <cell r="G432">
            <v>0</v>
          </cell>
        </row>
        <row r="433">
          <cell r="F433">
            <v>0</v>
          </cell>
          <cell r="G433">
            <v>0</v>
          </cell>
        </row>
        <row r="434">
          <cell r="F434">
            <v>2065.5100000000002</v>
          </cell>
          <cell r="G434">
            <v>0</v>
          </cell>
        </row>
        <row r="435">
          <cell r="F435">
            <v>2201.98</v>
          </cell>
          <cell r="G435">
            <v>0</v>
          </cell>
        </row>
        <row r="436">
          <cell r="F436">
            <v>1542.12</v>
          </cell>
          <cell r="G436">
            <v>0</v>
          </cell>
        </row>
        <row r="437">
          <cell r="F437">
            <v>2931.89</v>
          </cell>
          <cell r="G437">
            <v>5273.96</v>
          </cell>
        </row>
        <row r="438">
          <cell r="F438">
            <v>2465.17</v>
          </cell>
          <cell r="G438">
            <v>17792.48</v>
          </cell>
        </row>
        <row r="439">
          <cell r="F439">
            <v>1967</v>
          </cell>
          <cell r="G439">
            <v>6732.92</v>
          </cell>
        </row>
        <row r="440">
          <cell r="F440">
            <v>2810.8999999999996</v>
          </cell>
          <cell r="G440">
            <v>917.03</v>
          </cell>
        </row>
        <row r="441">
          <cell r="F441">
            <v>899.82</v>
          </cell>
          <cell r="G441">
            <v>0</v>
          </cell>
        </row>
        <row r="442">
          <cell r="F442">
            <v>2261.62</v>
          </cell>
          <cell r="G442">
            <v>0</v>
          </cell>
        </row>
        <row r="443">
          <cell r="F443">
            <v>2231.44</v>
          </cell>
          <cell r="G443">
            <v>0</v>
          </cell>
        </row>
        <row r="444">
          <cell r="F444">
            <v>2009.18</v>
          </cell>
          <cell r="G444">
            <v>0</v>
          </cell>
        </row>
        <row r="445">
          <cell r="F445">
            <v>2095.2399999999998</v>
          </cell>
          <cell r="G445">
            <v>0</v>
          </cell>
        </row>
        <row r="446">
          <cell r="F446">
            <v>1060.4000000000001</v>
          </cell>
          <cell r="G446">
            <v>0</v>
          </cell>
        </row>
        <row r="447">
          <cell r="F447">
            <v>3449.71</v>
          </cell>
          <cell r="G447">
            <v>0</v>
          </cell>
        </row>
        <row r="484">
          <cell r="C484">
            <v>0</v>
          </cell>
          <cell r="D484">
            <v>51838.229999999996</v>
          </cell>
          <cell r="E484">
            <v>78001</v>
          </cell>
          <cell r="F484">
            <v>0</v>
          </cell>
          <cell r="G484">
            <v>85600</v>
          </cell>
        </row>
        <row r="485">
          <cell r="C485">
            <v>0</v>
          </cell>
          <cell r="D485">
            <v>163834.64000000001</v>
          </cell>
          <cell r="E485">
            <v>305830</v>
          </cell>
          <cell r="F485">
            <v>21776</v>
          </cell>
          <cell r="G485">
            <v>135716</v>
          </cell>
        </row>
        <row r="486">
          <cell r="C486">
            <v>0</v>
          </cell>
          <cell r="D486">
            <v>20922.439999999999</v>
          </cell>
          <cell r="E486">
            <v>30385</v>
          </cell>
          <cell r="F486">
            <v>1622</v>
          </cell>
          <cell r="G486">
            <v>47820</v>
          </cell>
        </row>
        <row r="487">
          <cell r="C487">
            <v>0</v>
          </cell>
          <cell r="D487">
            <v>48466.979999999996</v>
          </cell>
          <cell r="E487">
            <v>111674</v>
          </cell>
          <cell r="F487">
            <v>0</v>
          </cell>
          <cell r="G487">
            <v>125000</v>
          </cell>
        </row>
        <row r="488">
          <cell r="C488">
            <v>0</v>
          </cell>
          <cell r="D488">
            <v>104079.73</v>
          </cell>
          <cell r="E488">
            <v>36319</v>
          </cell>
          <cell r="F488">
            <v>0</v>
          </cell>
          <cell r="G488">
            <v>0</v>
          </cell>
        </row>
        <row r="489">
          <cell r="C489">
            <v>20000</v>
          </cell>
          <cell r="D489">
            <v>57135.65</v>
          </cell>
          <cell r="E489">
            <v>32602</v>
          </cell>
          <cell r="F489">
            <v>0</v>
          </cell>
          <cell r="G489">
            <v>0</v>
          </cell>
        </row>
        <row r="490">
          <cell r="C490">
            <v>0</v>
          </cell>
          <cell r="D490">
            <v>16687.03</v>
          </cell>
          <cell r="E490">
            <v>20996</v>
          </cell>
          <cell r="F490">
            <v>0</v>
          </cell>
          <cell r="G490">
            <v>0</v>
          </cell>
        </row>
        <row r="491">
          <cell r="C491">
            <v>0</v>
          </cell>
          <cell r="D491">
            <v>13177.74</v>
          </cell>
          <cell r="E491">
            <v>20996</v>
          </cell>
          <cell r="F491">
            <v>0</v>
          </cell>
          <cell r="G491">
            <v>0</v>
          </cell>
        </row>
        <row r="492">
          <cell r="C492">
            <v>0</v>
          </cell>
          <cell r="D492">
            <v>28351.48</v>
          </cell>
          <cell r="E492">
            <v>26453</v>
          </cell>
          <cell r="F492">
            <v>0</v>
          </cell>
          <cell r="G492">
            <v>0</v>
          </cell>
        </row>
        <row r="493">
          <cell r="C493">
            <v>0</v>
          </cell>
          <cell r="D493">
            <v>10746.29</v>
          </cell>
          <cell r="E493">
            <v>20994</v>
          </cell>
          <cell r="F493">
            <v>0</v>
          </cell>
          <cell r="G493">
            <v>0</v>
          </cell>
        </row>
        <row r="494">
          <cell r="C494">
            <v>0</v>
          </cell>
          <cell r="D494">
            <v>11648.25</v>
          </cell>
          <cell r="E494">
            <v>20996</v>
          </cell>
          <cell r="F494">
            <v>449</v>
          </cell>
          <cell r="G494">
            <v>0</v>
          </cell>
        </row>
        <row r="495">
          <cell r="C495">
            <v>0</v>
          </cell>
          <cell r="D495">
            <v>42872</v>
          </cell>
          <cell r="E495">
            <v>95589</v>
          </cell>
          <cell r="F495">
            <v>1784</v>
          </cell>
          <cell r="G495">
            <v>0</v>
          </cell>
        </row>
        <row r="496">
          <cell r="C496">
            <v>0</v>
          </cell>
          <cell r="D496">
            <v>15133.48</v>
          </cell>
          <cell r="E496">
            <v>36319</v>
          </cell>
          <cell r="F496">
            <v>0</v>
          </cell>
          <cell r="G496">
            <v>0</v>
          </cell>
        </row>
        <row r="497">
          <cell r="C497">
            <v>0</v>
          </cell>
          <cell r="D497">
            <v>18463.240000000002</v>
          </cell>
          <cell r="E497">
            <v>27954</v>
          </cell>
          <cell r="F497">
            <v>0</v>
          </cell>
          <cell r="G497">
            <v>0</v>
          </cell>
        </row>
        <row r="498">
          <cell r="C498">
            <v>0</v>
          </cell>
          <cell r="D498">
            <v>26919.410000000003</v>
          </cell>
          <cell r="E498">
            <v>20996</v>
          </cell>
          <cell r="F498">
            <v>0</v>
          </cell>
          <cell r="G498">
            <v>0</v>
          </cell>
        </row>
        <row r="499">
          <cell r="C499">
            <v>0</v>
          </cell>
          <cell r="D499">
            <v>92011.680000000008</v>
          </cell>
          <cell r="E499">
            <v>53049</v>
          </cell>
          <cell r="F499">
            <v>0</v>
          </cell>
          <cell r="G499">
            <v>0</v>
          </cell>
        </row>
        <row r="500">
          <cell r="C500">
            <v>0</v>
          </cell>
          <cell r="D500">
            <v>13098</v>
          </cell>
          <cell r="E500">
            <v>26096</v>
          </cell>
          <cell r="F500">
            <v>0</v>
          </cell>
          <cell r="G500">
            <v>0</v>
          </cell>
        </row>
        <row r="501">
          <cell r="C501">
            <v>0</v>
          </cell>
          <cell r="D501">
            <v>54757.619999999995</v>
          </cell>
          <cell r="E501">
            <v>79073</v>
          </cell>
          <cell r="F501">
            <v>0</v>
          </cell>
          <cell r="G501">
            <v>0</v>
          </cell>
        </row>
        <row r="502">
          <cell r="C502">
            <v>0</v>
          </cell>
          <cell r="D502">
            <v>53655.85</v>
          </cell>
          <cell r="E502">
            <v>152356</v>
          </cell>
          <cell r="F502">
            <v>0</v>
          </cell>
          <cell r="G502">
            <v>30306</v>
          </cell>
        </row>
        <row r="503">
          <cell r="C503">
            <v>0</v>
          </cell>
          <cell r="D503">
            <v>164347.68</v>
          </cell>
          <cell r="E503">
            <v>29098</v>
          </cell>
          <cell r="F503">
            <v>0</v>
          </cell>
          <cell r="G503">
            <v>0</v>
          </cell>
        </row>
        <row r="504">
          <cell r="C504">
            <v>0</v>
          </cell>
          <cell r="D504">
            <v>39267.07</v>
          </cell>
          <cell r="E504">
            <v>73425</v>
          </cell>
          <cell r="F504">
            <v>0</v>
          </cell>
          <cell r="G504">
            <v>0</v>
          </cell>
        </row>
        <row r="505">
          <cell r="C505">
            <v>0</v>
          </cell>
          <cell r="D505">
            <v>11253.05</v>
          </cell>
          <cell r="E505">
            <v>20996</v>
          </cell>
          <cell r="F505">
            <v>0</v>
          </cell>
          <cell r="G505">
            <v>0</v>
          </cell>
        </row>
        <row r="506">
          <cell r="C506">
            <v>20000</v>
          </cell>
          <cell r="D506">
            <v>60187.13</v>
          </cell>
          <cell r="E506">
            <v>24165</v>
          </cell>
          <cell r="F506">
            <v>0</v>
          </cell>
          <cell r="G506">
            <v>0</v>
          </cell>
        </row>
        <row r="507">
          <cell r="C507">
            <v>0</v>
          </cell>
          <cell r="D507">
            <v>245483.38999999998</v>
          </cell>
          <cell r="E507">
            <v>29527</v>
          </cell>
          <cell r="F507">
            <v>0</v>
          </cell>
          <cell r="G507">
            <v>0</v>
          </cell>
        </row>
        <row r="508">
          <cell r="C508">
            <v>0</v>
          </cell>
          <cell r="D508">
            <v>103476.17</v>
          </cell>
          <cell r="E508">
            <v>28026</v>
          </cell>
          <cell r="F508">
            <v>0</v>
          </cell>
          <cell r="G508">
            <v>0</v>
          </cell>
        </row>
        <row r="509">
          <cell r="C509">
            <v>0</v>
          </cell>
          <cell r="D509">
            <v>30535.62</v>
          </cell>
          <cell r="E509">
            <v>61771</v>
          </cell>
          <cell r="F509">
            <v>0</v>
          </cell>
          <cell r="G509">
            <v>9055</v>
          </cell>
        </row>
        <row r="510">
          <cell r="C510">
            <v>0</v>
          </cell>
          <cell r="D510">
            <v>23923.89</v>
          </cell>
          <cell r="E510">
            <v>22735</v>
          </cell>
          <cell r="F510">
            <v>0</v>
          </cell>
          <cell r="G510">
            <v>0</v>
          </cell>
        </row>
        <row r="511">
          <cell r="C511">
            <v>0</v>
          </cell>
          <cell r="D511">
            <v>16639.490000000002</v>
          </cell>
          <cell r="E511">
            <v>30171</v>
          </cell>
          <cell r="F511">
            <v>0</v>
          </cell>
          <cell r="G511">
            <v>0</v>
          </cell>
        </row>
        <row r="512">
          <cell r="C512">
            <v>0</v>
          </cell>
          <cell r="D512">
            <v>17709.989999999998</v>
          </cell>
          <cell r="E512">
            <v>37892</v>
          </cell>
          <cell r="F512">
            <v>0</v>
          </cell>
          <cell r="G512">
            <v>0</v>
          </cell>
        </row>
        <row r="513">
          <cell r="C513">
            <v>0</v>
          </cell>
          <cell r="D513">
            <v>29689.16</v>
          </cell>
          <cell r="E513">
            <v>48259</v>
          </cell>
          <cell r="F513">
            <v>0</v>
          </cell>
          <cell r="G513">
            <v>0</v>
          </cell>
        </row>
        <row r="514">
          <cell r="C514">
            <v>0</v>
          </cell>
          <cell r="D514">
            <v>131749.63999999998</v>
          </cell>
          <cell r="E514">
            <v>128619</v>
          </cell>
          <cell r="F514">
            <v>0</v>
          </cell>
          <cell r="G514">
            <v>0</v>
          </cell>
        </row>
        <row r="515">
          <cell r="C515">
            <v>0</v>
          </cell>
          <cell r="D515">
            <v>17613</v>
          </cell>
          <cell r="E515">
            <v>36534</v>
          </cell>
          <cell r="F515">
            <v>0</v>
          </cell>
          <cell r="G515">
            <v>0</v>
          </cell>
        </row>
        <row r="516">
          <cell r="C516">
            <v>0</v>
          </cell>
          <cell r="D516">
            <v>20091.66</v>
          </cell>
          <cell r="E516">
            <v>38607</v>
          </cell>
          <cell r="F516">
            <v>0</v>
          </cell>
          <cell r="G516">
            <v>0</v>
          </cell>
        </row>
        <row r="517">
          <cell r="C517">
            <v>0</v>
          </cell>
          <cell r="D517">
            <v>16468.7</v>
          </cell>
          <cell r="E517">
            <v>20996</v>
          </cell>
          <cell r="F517">
            <v>0</v>
          </cell>
          <cell r="G517">
            <v>0</v>
          </cell>
        </row>
        <row r="518">
          <cell r="C518">
            <v>20000</v>
          </cell>
          <cell r="D518">
            <v>71665.78</v>
          </cell>
          <cell r="E518">
            <v>73210</v>
          </cell>
          <cell r="F518">
            <v>0</v>
          </cell>
          <cell r="G518">
            <v>0</v>
          </cell>
        </row>
        <row r="519">
          <cell r="C519">
            <v>0</v>
          </cell>
          <cell r="D519">
            <v>36842.89</v>
          </cell>
          <cell r="E519">
            <v>71566</v>
          </cell>
          <cell r="F519">
            <v>2170</v>
          </cell>
          <cell r="G519">
            <v>0</v>
          </cell>
        </row>
        <row r="520">
          <cell r="C520">
            <v>0</v>
          </cell>
          <cell r="D520">
            <v>36018.660000000003</v>
          </cell>
          <cell r="E520">
            <v>76070</v>
          </cell>
          <cell r="F520">
            <v>0</v>
          </cell>
          <cell r="G520">
            <v>0</v>
          </cell>
        </row>
        <row r="521">
          <cell r="C521">
            <v>0</v>
          </cell>
          <cell r="D521">
            <v>35477.96</v>
          </cell>
          <cell r="E521">
            <v>53263</v>
          </cell>
          <cell r="F521">
            <v>0</v>
          </cell>
          <cell r="G521">
            <v>18701</v>
          </cell>
        </row>
        <row r="522">
          <cell r="C522">
            <v>0</v>
          </cell>
          <cell r="D522">
            <v>26658.71</v>
          </cell>
          <cell r="E522">
            <v>54836</v>
          </cell>
          <cell r="F522">
            <v>0</v>
          </cell>
          <cell r="G522">
            <v>0</v>
          </cell>
        </row>
        <row r="523">
          <cell r="C523">
            <v>0</v>
          </cell>
          <cell r="D523">
            <v>28187.620000000003</v>
          </cell>
          <cell r="E523">
            <v>41967</v>
          </cell>
          <cell r="F523">
            <v>0</v>
          </cell>
          <cell r="G523">
            <v>0</v>
          </cell>
        </row>
        <row r="524">
          <cell r="C524">
            <v>0</v>
          </cell>
          <cell r="D524">
            <v>23274.489999999998</v>
          </cell>
          <cell r="E524">
            <v>53835</v>
          </cell>
          <cell r="F524">
            <v>0</v>
          </cell>
          <cell r="G524">
            <v>0</v>
          </cell>
        </row>
        <row r="525">
          <cell r="C525">
            <v>0</v>
          </cell>
          <cell r="D525">
            <v>30553.77</v>
          </cell>
          <cell r="E525">
            <v>44255</v>
          </cell>
          <cell r="F525">
            <v>0</v>
          </cell>
          <cell r="G525">
            <v>7500</v>
          </cell>
        </row>
        <row r="526">
          <cell r="C526">
            <v>0</v>
          </cell>
          <cell r="D526">
            <v>46530.83</v>
          </cell>
          <cell r="E526">
            <v>74497</v>
          </cell>
          <cell r="F526">
            <v>0</v>
          </cell>
          <cell r="G526">
            <v>0</v>
          </cell>
        </row>
        <row r="527">
          <cell r="C527">
            <v>0</v>
          </cell>
          <cell r="D527">
            <v>35056.020000000004</v>
          </cell>
          <cell r="E527">
            <v>118824</v>
          </cell>
          <cell r="F527">
            <v>5364</v>
          </cell>
          <cell r="G527">
            <v>0</v>
          </cell>
        </row>
        <row r="528">
          <cell r="C528">
            <v>0</v>
          </cell>
          <cell r="D528">
            <v>32185.27</v>
          </cell>
          <cell r="E528">
            <v>72853</v>
          </cell>
          <cell r="F528">
            <v>0</v>
          </cell>
          <cell r="G528">
            <v>0</v>
          </cell>
        </row>
        <row r="529">
          <cell r="C529">
            <v>0</v>
          </cell>
          <cell r="D529">
            <v>25433.489999999998</v>
          </cell>
          <cell r="E529">
            <v>41753</v>
          </cell>
          <cell r="F529">
            <v>0</v>
          </cell>
          <cell r="G529">
            <v>0</v>
          </cell>
        </row>
        <row r="536">
          <cell r="C536">
            <v>0</v>
          </cell>
          <cell r="D536">
            <v>18684.960000000003</v>
          </cell>
          <cell r="E536">
            <v>22449</v>
          </cell>
          <cell r="F536">
            <v>0</v>
          </cell>
          <cell r="G536">
            <v>0</v>
          </cell>
        </row>
        <row r="537">
          <cell r="C537">
            <v>0</v>
          </cell>
          <cell r="D537">
            <v>17911.13</v>
          </cell>
          <cell r="E537">
            <v>26453</v>
          </cell>
          <cell r="F537">
            <v>0</v>
          </cell>
          <cell r="G537">
            <v>0</v>
          </cell>
        </row>
        <row r="538">
          <cell r="C538">
            <v>0</v>
          </cell>
          <cell r="D538">
            <v>17567.21</v>
          </cell>
          <cell r="E538">
            <v>37892</v>
          </cell>
          <cell r="F538">
            <v>0</v>
          </cell>
          <cell r="G538">
            <v>0</v>
          </cell>
        </row>
        <row r="539">
          <cell r="C539">
            <v>0</v>
          </cell>
          <cell r="D539">
            <v>73099</v>
          </cell>
          <cell r="E539">
            <v>21448</v>
          </cell>
          <cell r="F539">
            <v>0</v>
          </cell>
          <cell r="G539">
            <v>0</v>
          </cell>
        </row>
        <row r="540">
          <cell r="C540">
            <v>0</v>
          </cell>
          <cell r="D540">
            <v>40251.659999999996</v>
          </cell>
          <cell r="E540">
            <v>45042</v>
          </cell>
          <cell r="F540">
            <v>0</v>
          </cell>
          <cell r="G540">
            <v>0</v>
          </cell>
        </row>
        <row r="541">
          <cell r="C541">
            <v>0</v>
          </cell>
          <cell r="D541">
            <v>17105.990000000002</v>
          </cell>
          <cell r="E541">
            <v>20996</v>
          </cell>
          <cell r="F541">
            <v>0</v>
          </cell>
          <cell r="G541">
            <v>0</v>
          </cell>
        </row>
        <row r="542">
          <cell r="C542">
            <v>20000</v>
          </cell>
          <cell r="D542">
            <v>105316.69</v>
          </cell>
          <cell r="E542">
            <v>34674</v>
          </cell>
          <cell r="F542">
            <v>0</v>
          </cell>
          <cell r="G542">
            <v>0</v>
          </cell>
        </row>
        <row r="543">
          <cell r="C543">
            <v>0</v>
          </cell>
          <cell r="D543">
            <v>14656.53</v>
          </cell>
          <cell r="E543">
            <v>21734</v>
          </cell>
          <cell r="F543">
            <v>0</v>
          </cell>
          <cell r="G543">
            <v>0</v>
          </cell>
        </row>
        <row r="544">
          <cell r="C544">
            <v>0</v>
          </cell>
          <cell r="D544">
            <v>34813.35</v>
          </cell>
          <cell r="E544">
            <v>48259</v>
          </cell>
          <cell r="F544">
            <v>0</v>
          </cell>
          <cell r="G544">
            <v>0</v>
          </cell>
        </row>
        <row r="545">
          <cell r="C545">
            <v>0</v>
          </cell>
          <cell r="D545">
            <v>37144.230000000003</v>
          </cell>
          <cell r="E545">
            <v>20996</v>
          </cell>
          <cell r="F545">
            <v>0</v>
          </cell>
          <cell r="G545">
            <v>0</v>
          </cell>
        </row>
        <row r="546">
          <cell r="C546">
            <v>0</v>
          </cell>
          <cell r="D546">
            <v>85079.94</v>
          </cell>
          <cell r="E546">
            <v>147207</v>
          </cell>
          <cell r="F546">
            <v>15000</v>
          </cell>
          <cell r="G546">
            <v>71000</v>
          </cell>
        </row>
        <row r="547">
          <cell r="C547">
            <v>0</v>
          </cell>
          <cell r="D547">
            <v>37364.800000000003</v>
          </cell>
          <cell r="E547">
            <v>68420</v>
          </cell>
          <cell r="F547">
            <v>0</v>
          </cell>
          <cell r="G547">
            <v>0</v>
          </cell>
        </row>
        <row r="548">
          <cell r="C548">
            <v>0</v>
          </cell>
          <cell r="D548">
            <v>36752.14</v>
          </cell>
          <cell r="E548">
            <v>33960</v>
          </cell>
          <cell r="F548">
            <v>0</v>
          </cell>
          <cell r="G548">
            <v>0</v>
          </cell>
        </row>
        <row r="549">
          <cell r="C549">
            <v>0</v>
          </cell>
          <cell r="D549">
            <v>33253.99</v>
          </cell>
          <cell r="E549">
            <v>56695</v>
          </cell>
          <cell r="F549">
            <v>0</v>
          </cell>
          <cell r="G549">
            <v>0</v>
          </cell>
        </row>
        <row r="550">
          <cell r="C550">
            <v>0</v>
          </cell>
          <cell r="D550">
            <v>23598.03</v>
          </cell>
          <cell r="E550">
            <v>28598</v>
          </cell>
          <cell r="F550">
            <v>0</v>
          </cell>
          <cell r="G550">
            <v>0</v>
          </cell>
        </row>
        <row r="551">
          <cell r="C551">
            <v>0</v>
          </cell>
          <cell r="D551">
            <v>97627.63</v>
          </cell>
          <cell r="E551">
            <v>137055</v>
          </cell>
          <cell r="F551">
            <v>0</v>
          </cell>
          <cell r="G551">
            <v>0</v>
          </cell>
        </row>
        <row r="552">
          <cell r="C552">
            <v>0</v>
          </cell>
          <cell r="D552">
            <v>32362.78</v>
          </cell>
          <cell r="E552">
            <v>71495</v>
          </cell>
          <cell r="F552">
            <v>0</v>
          </cell>
          <cell r="G552">
            <v>0</v>
          </cell>
        </row>
        <row r="553">
          <cell r="C553">
            <v>0</v>
          </cell>
          <cell r="D553">
            <v>30050.87</v>
          </cell>
          <cell r="E553">
            <v>49188</v>
          </cell>
          <cell r="F553">
            <v>0</v>
          </cell>
          <cell r="G553">
            <v>0</v>
          </cell>
        </row>
        <row r="554">
          <cell r="C554">
            <v>0</v>
          </cell>
          <cell r="D554">
            <v>39517.440000000002</v>
          </cell>
          <cell r="E554">
            <v>105026</v>
          </cell>
          <cell r="F554">
            <v>4531</v>
          </cell>
          <cell r="G554">
            <v>27986</v>
          </cell>
        </row>
        <row r="555">
          <cell r="C555">
            <v>0</v>
          </cell>
          <cell r="D555">
            <v>26207.32</v>
          </cell>
          <cell r="E555">
            <v>36462</v>
          </cell>
          <cell r="F555">
            <v>0</v>
          </cell>
          <cell r="G555">
            <v>0</v>
          </cell>
        </row>
        <row r="556">
          <cell r="C556">
            <v>0</v>
          </cell>
          <cell r="D556">
            <v>19797.09</v>
          </cell>
          <cell r="E556">
            <v>39536</v>
          </cell>
          <cell r="F556">
            <v>0</v>
          </cell>
          <cell r="G556">
            <v>0</v>
          </cell>
        </row>
        <row r="557">
          <cell r="C557">
            <v>0</v>
          </cell>
          <cell r="D557">
            <v>36802.82</v>
          </cell>
          <cell r="E557">
            <v>63702</v>
          </cell>
          <cell r="F557">
            <v>0</v>
          </cell>
          <cell r="G557">
            <v>0</v>
          </cell>
        </row>
        <row r="558">
          <cell r="C558">
            <v>0</v>
          </cell>
          <cell r="D558">
            <v>11416.27</v>
          </cell>
          <cell r="E558">
            <v>20996</v>
          </cell>
          <cell r="F558">
            <v>0</v>
          </cell>
          <cell r="G558">
            <v>21778</v>
          </cell>
        </row>
        <row r="559">
          <cell r="C559">
            <v>0</v>
          </cell>
          <cell r="D559">
            <v>26103.31</v>
          </cell>
          <cell r="E559">
            <v>45614</v>
          </cell>
          <cell r="F559">
            <v>0</v>
          </cell>
          <cell r="G559">
            <v>0</v>
          </cell>
        </row>
        <row r="560">
          <cell r="C560">
            <v>0</v>
          </cell>
          <cell r="D560">
            <v>24207.42</v>
          </cell>
          <cell r="E560">
            <v>27311</v>
          </cell>
          <cell r="F560">
            <v>1008</v>
          </cell>
          <cell r="G560">
            <v>0</v>
          </cell>
        </row>
        <row r="561">
          <cell r="C561">
            <v>0</v>
          </cell>
          <cell r="D561">
            <v>19223.080000000002</v>
          </cell>
          <cell r="E561">
            <v>41395</v>
          </cell>
          <cell r="F561">
            <v>3287</v>
          </cell>
          <cell r="G561">
            <v>0</v>
          </cell>
        </row>
        <row r="562">
          <cell r="C562">
            <v>0</v>
          </cell>
          <cell r="D562">
            <v>37741.93</v>
          </cell>
          <cell r="E562">
            <v>40250</v>
          </cell>
          <cell r="F562">
            <v>0</v>
          </cell>
          <cell r="G562">
            <v>0</v>
          </cell>
        </row>
        <row r="563">
          <cell r="C563">
            <v>0</v>
          </cell>
          <cell r="D563">
            <v>21876.17</v>
          </cell>
          <cell r="E563">
            <v>35175</v>
          </cell>
          <cell r="F563">
            <v>0</v>
          </cell>
          <cell r="G563">
            <v>18000</v>
          </cell>
        </row>
        <row r="564">
          <cell r="C564">
            <v>0</v>
          </cell>
          <cell r="D564">
            <v>48233.49</v>
          </cell>
          <cell r="E564">
            <v>68492</v>
          </cell>
          <cell r="F564">
            <v>0</v>
          </cell>
          <cell r="G564">
            <v>0</v>
          </cell>
        </row>
        <row r="565">
          <cell r="C565">
            <v>0</v>
          </cell>
          <cell r="D565">
            <v>31994.71</v>
          </cell>
          <cell r="E565">
            <v>44184</v>
          </cell>
          <cell r="F565">
            <v>0</v>
          </cell>
          <cell r="G565">
            <v>0</v>
          </cell>
        </row>
        <row r="566">
          <cell r="C566">
            <v>0</v>
          </cell>
          <cell r="D566">
            <v>12991.72</v>
          </cell>
          <cell r="E566">
            <v>20996</v>
          </cell>
          <cell r="F566">
            <v>859</v>
          </cell>
          <cell r="G566">
            <v>0</v>
          </cell>
        </row>
        <row r="567">
          <cell r="C567">
            <v>0</v>
          </cell>
          <cell r="D567">
            <v>28476.81</v>
          </cell>
          <cell r="E567">
            <v>48187</v>
          </cell>
          <cell r="F567">
            <v>0</v>
          </cell>
          <cell r="G567">
            <v>0</v>
          </cell>
        </row>
        <row r="568">
          <cell r="C568">
            <v>0</v>
          </cell>
          <cell r="D568">
            <v>22446.38</v>
          </cell>
          <cell r="E568">
            <v>33030</v>
          </cell>
          <cell r="F568">
            <v>0</v>
          </cell>
          <cell r="G568">
            <v>0</v>
          </cell>
        </row>
        <row r="569">
          <cell r="C569">
            <v>0</v>
          </cell>
          <cell r="D569">
            <v>25117.21</v>
          </cell>
          <cell r="E569">
            <v>28169</v>
          </cell>
          <cell r="F569">
            <v>0</v>
          </cell>
          <cell r="G569">
            <v>0</v>
          </cell>
        </row>
        <row r="570">
          <cell r="C570">
            <v>0</v>
          </cell>
          <cell r="D570">
            <v>25166.53</v>
          </cell>
          <cell r="E570">
            <v>25452</v>
          </cell>
          <cell r="F570">
            <v>0</v>
          </cell>
          <cell r="G570">
            <v>68435</v>
          </cell>
        </row>
        <row r="571">
          <cell r="C571">
            <v>0</v>
          </cell>
          <cell r="D571">
            <v>22683.34</v>
          </cell>
          <cell r="E571">
            <v>20996</v>
          </cell>
          <cell r="F571">
            <v>0</v>
          </cell>
          <cell r="G571">
            <v>0</v>
          </cell>
        </row>
        <row r="572">
          <cell r="C572">
            <v>0</v>
          </cell>
          <cell r="D572">
            <v>68889</v>
          </cell>
          <cell r="E572">
            <v>20996</v>
          </cell>
          <cell r="F572">
            <v>0</v>
          </cell>
          <cell r="G572">
            <v>0</v>
          </cell>
        </row>
        <row r="573">
          <cell r="C573">
            <v>0</v>
          </cell>
          <cell r="D573">
            <v>27240.21</v>
          </cell>
          <cell r="E573">
            <v>34818</v>
          </cell>
          <cell r="F573">
            <v>0</v>
          </cell>
          <cell r="G573">
            <v>70516</v>
          </cell>
        </row>
        <row r="574">
          <cell r="C574">
            <v>0</v>
          </cell>
          <cell r="D574">
            <v>24410.52</v>
          </cell>
          <cell r="E574">
            <v>39894</v>
          </cell>
          <cell r="F574">
            <v>0</v>
          </cell>
          <cell r="G574">
            <v>0</v>
          </cell>
        </row>
        <row r="575">
          <cell r="C575">
            <v>20000</v>
          </cell>
          <cell r="D575">
            <v>97832.63</v>
          </cell>
          <cell r="E575">
            <v>32745</v>
          </cell>
          <cell r="F575">
            <v>0</v>
          </cell>
          <cell r="G575">
            <v>0</v>
          </cell>
        </row>
        <row r="576">
          <cell r="C576">
            <v>0</v>
          </cell>
          <cell r="D576">
            <v>24954.65</v>
          </cell>
          <cell r="E576">
            <v>38107</v>
          </cell>
          <cell r="F576">
            <v>0</v>
          </cell>
          <cell r="G576">
            <v>0</v>
          </cell>
        </row>
        <row r="577">
          <cell r="C577">
            <v>0</v>
          </cell>
          <cell r="D577">
            <v>7508.38</v>
          </cell>
          <cell r="E577">
            <v>20996</v>
          </cell>
          <cell r="F577">
            <v>0</v>
          </cell>
          <cell r="G577">
            <v>0</v>
          </cell>
        </row>
        <row r="578">
          <cell r="C578">
            <v>0</v>
          </cell>
          <cell r="D578">
            <v>12489.76</v>
          </cell>
          <cell r="E578">
            <v>20996</v>
          </cell>
          <cell r="F578">
            <v>0</v>
          </cell>
          <cell r="G578">
            <v>0</v>
          </cell>
        </row>
        <row r="579">
          <cell r="C579">
            <v>0</v>
          </cell>
          <cell r="D579">
            <v>12539.64</v>
          </cell>
          <cell r="E579">
            <v>20996</v>
          </cell>
          <cell r="F579">
            <v>0</v>
          </cell>
          <cell r="G579">
            <v>0</v>
          </cell>
        </row>
        <row r="586">
          <cell r="C586">
            <v>0</v>
          </cell>
          <cell r="D586">
            <v>44695.16</v>
          </cell>
          <cell r="E586">
            <v>85936</v>
          </cell>
          <cell r="F586">
            <v>0</v>
          </cell>
          <cell r="G586">
            <v>0</v>
          </cell>
        </row>
        <row r="587">
          <cell r="C587">
            <v>0</v>
          </cell>
          <cell r="D587">
            <v>44292.7</v>
          </cell>
          <cell r="E587">
            <v>136769</v>
          </cell>
          <cell r="F587">
            <v>0</v>
          </cell>
          <cell r="G587">
            <v>0</v>
          </cell>
        </row>
        <row r="588">
          <cell r="C588">
            <v>0</v>
          </cell>
          <cell r="D588">
            <v>21934.28</v>
          </cell>
          <cell r="E588">
            <v>30099</v>
          </cell>
          <cell r="F588">
            <v>0</v>
          </cell>
          <cell r="G588">
            <v>0</v>
          </cell>
        </row>
        <row r="589">
          <cell r="C589">
            <v>0</v>
          </cell>
          <cell r="D589">
            <v>9040</v>
          </cell>
          <cell r="E589">
            <v>20996</v>
          </cell>
          <cell r="F589">
            <v>0</v>
          </cell>
          <cell r="G589">
            <v>0</v>
          </cell>
        </row>
        <row r="590">
          <cell r="C590">
            <v>0</v>
          </cell>
          <cell r="D590">
            <v>21149.510000000002</v>
          </cell>
          <cell r="E590">
            <v>35318</v>
          </cell>
          <cell r="F590">
            <v>0</v>
          </cell>
          <cell r="G590">
            <v>0</v>
          </cell>
        </row>
        <row r="591">
          <cell r="C591">
            <v>0</v>
          </cell>
          <cell r="D591">
            <v>22299.98</v>
          </cell>
          <cell r="E591">
            <v>37535</v>
          </cell>
          <cell r="F591">
            <v>0</v>
          </cell>
          <cell r="G591">
            <v>61326</v>
          </cell>
        </row>
        <row r="592">
          <cell r="C592">
            <v>0</v>
          </cell>
          <cell r="D592">
            <v>11737.119999999999</v>
          </cell>
          <cell r="E592">
            <v>28955</v>
          </cell>
          <cell r="F592">
            <v>0</v>
          </cell>
          <cell r="G592">
            <v>0</v>
          </cell>
        </row>
        <row r="593">
          <cell r="C593">
            <v>0</v>
          </cell>
          <cell r="D593">
            <v>14962.849999999999</v>
          </cell>
          <cell r="E593">
            <v>45971</v>
          </cell>
          <cell r="F593">
            <v>4681</v>
          </cell>
          <cell r="G593">
            <v>0</v>
          </cell>
        </row>
        <row r="594">
          <cell r="C594">
            <v>0</v>
          </cell>
          <cell r="D594">
            <v>27014.65</v>
          </cell>
          <cell r="E594">
            <v>39394</v>
          </cell>
          <cell r="F594">
            <v>0</v>
          </cell>
          <cell r="G594">
            <v>0</v>
          </cell>
        </row>
        <row r="595">
          <cell r="C595">
            <v>0</v>
          </cell>
          <cell r="D595">
            <v>15456.92</v>
          </cell>
          <cell r="E595">
            <v>21591</v>
          </cell>
          <cell r="F595">
            <v>0</v>
          </cell>
          <cell r="G595">
            <v>0</v>
          </cell>
        </row>
        <row r="596">
          <cell r="C596">
            <v>0</v>
          </cell>
          <cell r="D596">
            <v>23115.93</v>
          </cell>
          <cell r="E596">
            <v>32602</v>
          </cell>
          <cell r="F596">
            <v>0</v>
          </cell>
          <cell r="G596">
            <v>0</v>
          </cell>
        </row>
        <row r="597">
          <cell r="C597">
            <v>0</v>
          </cell>
          <cell r="D597">
            <v>7656.82</v>
          </cell>
          <cell r="E597">
            <v>20996</v>
          </cell>
          <cell r="F597">
            <v>0</v>
          </cell>
          <cell r="G597">
            <v>0</v>
          </cell>
        </row>
        <row r="598">
          <cell r="C598">
            <v>0</v>
          </cell>
          <cell r="D598">
            <v>9018.619999999999</v>
          </cell>
          <cell r="E598">
            <v>40895</v>
          </cell>
          <cell r="F598">
            <v>0</v>
          </cell>
          <cell r="G598">
            <v>0</v>
          </cell>
        </row>
        <row r="599">
          <cell r="C599">
            <v>0</v>
          </cell>
          <cell r="D599">
            <v>8988.44</v>
          </cell>
          <cell r="E599">
            <v>38607</v>
          </cell>
          <cell r="F599">
            <v>0</v>
          </cell>
          <cell r="G599">
            <v>0</v>
          </cell>
        </row>
        <row r="600">
          <cell r="C600">
            <v>0</v>
          </cell>
          <cell r="D600">
            <v>8766.18</v>
          </cell>
          <cell r="E600">
            <v>35747</v>
          </cell>
          <cell r="F600">
            <v>0</v>
          </cell>
          <cell r="G600">
            <v>0</v>
          </cell>
        </row>
        <row r="601">
          <cell r="C601">
            <v>0</v>
          </cell>
          <cell r="D601">
            <v>8852.24</v>
          </cell>
          <cell r="E601">
            <v>40752</v>
          </cell>
          <cell r="F601">
            <v>0</v>
          </cell>
          <cell r="G601">
            <v>0</v>
          </cell>
        </row>
        <row r="602">
          <cell r="C602">
            <v>0</v>
          </cell>
          <cell r="D602">
            <v>7817.4</v>
          </cell>
          <cell r="E602">
            <v>25738</v>
          </cell>
          <cell r="F602">
            <v>0</v>
          </cell>
          <cell r="G602">
            <v>0</v>
          </cell>
        </row>
        <row r="603">
          <cell r="C603">
            <v>0</v>
          </cell>
          <cell r="D603">
            <v>14206.71</v>
          </cell>
          <cell r="E603">
            <v>59483</v>
          </cell>
          <cell r="F603">
            <v>0</v>
          </cell>
          <cell r="G603">
            <v>0</v>
          </cell>
        </row>
        <row r="639">
          <cell r="C639">
            <v>2205102</v>
          </cell>
          <cell r="D639">
            <v>323262.98</v>
          </cell>
          <cell r="E639">
            <v>110200</v>
          </cell>
          <cell r="F639">
            <v>47155.26</v>
          </cell>
        </row>
        <row r="640">
          <cell r="C640">
            <v>8548272</v>
          </cell>
          <cell r="D640">
            <v>1136110.94</v>
          </cell>
          <cell r="E640">
            <v>427200</v>
          </cell>
          <cell r="F640">
            <v>162761.67000000001</v>
          </cell>
        </row>
        <row r="641">
          <cell r="C641">
            <v>832416</v>
          </cell>
          <cell r="D641">
            <v>167757.54</v>
          </cell>
          <cell r="E641">
            <v>41600</v>
          </cell>
          <cell r="F641">
            <v>16493.759999999998</v>
          </cell>
        </row>
        <row r="642">
          <cell r="C642">
            <v>2613306</v>
          </cell>
          <cell r="D642">
            <v>403963.99</v>
          </cell>
          <cell r="E642">
            <v>130600</v>
          </cell>
          <cell r="F642">
            <v>45348.04</v>
          </cell>
        </row>
        <row r="643">
          <cell r="C643">
            <v>958479</v>
          </cell>
          <cell r="D643">
            <v>119628.16</v>
          </cell>
          <cell r="E643">
            <v>47900</v>
          </cell>
          <cell r="F643">
            <v>0</v>
          </cell>
        </row>
        <row r="644">
          <cell r="C644">
            <v>918459</v>
          </cell>
          <cell r="D644">
            <v>158856.51</v>
          </cell>
          <cell r="E644">
            <v>45900</v>
          </cell>
          <cell r="F644">
            <v>23238.19</v>
          </cell>
        </row>
        <row r="645">
          <cell r="C645">
            <v>274137</v>
          </cell>
          <cell r="D645">
            <v>79171.740000000005</v>
          </cell>
          <cell r="E645">
            <v>13700</v>
          </cell>
          <cell r="F645">
            <v>0</v>
          </cell>
        </row>
        <row r="646">
          <cell r="C646">
            <v>532266</v>
          </cell>
          <cell r="D646">
            <v>87931.85</v>
          </cell>
          <cell r="E646">
            <v>26600</v>
          </cell>
          <cell r="F646">
            <v>7249.04</v>
          </cell>
        </row>
        <row r="647">
          <cell r="C647">
            <v>776388</v>
          </cell>
          <cell r="D647">
            <v>116550.23</v>
          </cell>
          <cell r="E647">
            <v>38800</v>
          </cell>
          <cell r="F647">
            <v>0</v>
          </cell>
        </row>
        <row r="648">
          <cell r="C648">
            <v>152076</v>
          </cell>
          <cell r="D648">
            <v>28395.39</v>
          </cell>
          <cell r="E648">
            <v>7600</v>
          </cell>
          <cell r="F648">
            <v>0</v>
          </cell>
        </row>
        <row r="649">
          <cell r="C649">
            <v>398199</v>
          </cell>
          <cell r="D649">
            <v>66979.11</v>
          </cell>
          <cell r="E649">
            <v>19900</v>
          </cell>
          <cell r="F649">
            <v>6011.23</v>
          </cell>
        </row>
        <row r="650">
          <cell r="C650">
            <v>2721360</v>
          </cell>
          <cell r="D650">
            <v>367903.46</v>
          </cell>
          <cell r="E650">
            <v>136000</v>
          </cell>
          <cell r="F650">
            <v>40283.53</v>
          </cell>
        </row>
        <row r="651">
          <cell r="C651">
            <v>944472</v>
          </cell>
          <cell r="D651">
            <v>119783.36</v>
          </cell>
          <cell r="E651">
            <v>47200</v>
          </cell>
          <cell r="F651">
            <v>11147.96</v>
          </cell>
        </row>
        <row r="652">
          <cell r="C652">
            <v>784392</v>
          </cell>
          <cell r="D652">
            <v>97542.58</v>
          </cell>
          <cell r="E652">
            <v>39200</v>
          </cell>
          <cell r="F652">
            <v>0</v>
          </cell>
        </row>
        <row r="653">
          <cell r="C653">
            <v>438219</v>
          </cell>
          <cell r="D653">
            <v>82424.86</v>
          </cell>
          <cell r="E653">
            <v>21900</v>
          </cell>
          <cell r="F653">
            <v>0</v>
          </cell>
        </row>
        <row r="654">
          <cell r="C654">
            <v>1530765</v>
          </cell>
          <cell r="D654">
            <v>169612.49</v>
          </cell>
          <cell r="E654">
            <v>76500</v>
          </cell>
          <cell r="F654">
            <v>0</v>
          </cell>
        </row>
        <row r="655">
          <cell r="C655">
            <v>728364</v>
          </cell>
          <cell r="D655">
            <v>93057.919999999998</v>
          </cell>
          <cell r="E655">
            <v>36400</v>
          </cell>
          <cell r="F655">
            <v>9176.07</v>
          </cell>
        </row>
        <row r="656">
          <cell r="C656">
            <v>2337168</v>
          </cell>
          <cell r="D656">
            <v>291843.05</v>
          </cell>
          <cell r="E656">
            <v>116800</v>
          </cell>
          <cell r="F656">
            <v>42085.72</v>
          </cell>
        </row>
        <row r="657">
          <cell r="C657">
            <v>4824411</v>
          </cell>
          <cell r="D657">
            <v>501453.68</v>
          </cell>
          <cell r="E657">
            <v>241100</v>
          </cell>
          <cell r="F657">
            <v>62577.38</v>
          </cell>
        </row>
        <row r="658">
          <cell r="C658">
            <v>772386</v>
          </cell>
          <cell r="D658">
            <v>96944.13</v>
          </cell>
          <cell r="E658">
            <v>38600</v>
          </cell>
          <cell r="F658">
            <v>0</v>
          </cell>
        </row>
        <row r="659">
          <cell r="C659">
            <v>2035017</v>
          </cell>
          <cell r="D659">
            <v>226078.97</v>
          </cell>
          <cell r="E659">
            <v>101700</v>
          </cell>
          <cell r="F659">
            <v>32166.43</v>
          </cell>
        </row>
        <row r="660">
          <cell r="C660">
            <v>240120</v>
          </cell>
          <cell r="D660">
            <v>23466.240000000002</v>
          </cell>
          <cell r="E660">
            <v>12000</v>
          </cell>
          <cell r="F660">
            <v>4383.83</v>
          </cell>
        </row>
        <row r="661">
          <cell r="C661">
            <v>702351</v>
          </cell>
          <cell r="D661">
            <v>74260.100000000006</v>
          </cell>
          <cell r="E661">
            <v>35100</v>
          </cell>
          <cell r="F661">
            <v>0</v>
          </cell>
        </row>
        <row r="662">
          <cell r="C662">
            <v>858429</v>
          </cell>
          <cell r="D662">
            <v>66135.070000000007</v>
          </cell>
          <cell r="E662">
            <v>42900</v>
          </cell>
          <cell r="F662">
            <v>0</v>
          </cell>
        </row>
        <row r="663">
          <cell r="C663">
            <v>790395</v>
          </cell>
          <cell r="D663">
            <v>92449.54</v>
          </cell>
          <cell r="E663">
            <v>39500</v>
          </cell>
          <cell r="F663">
            <v>0</v>
          </cell>
        </row>
        <row r="664">
          <cell r="C664">
            <v>1732866</v>
          </cell>
          <cell r="D664">
            <v>221687.18</v>
          </cell>
          <cell r="E664">
            <v>86600</v>
          </cell>
          <cell r="F664">
            <v>26487.67</v>
          </cell>
        </row>
        <row r="665">
          <cell r="C665">
            <v>594297</v>
          </cell>
          <cell r="D665">
            <v>91726.92</v>
          </cell>
          <cell r="E665">
            <v>29700</v>
          </cell>
          <cell r="F665">
            <v>0</v>
          </cell>
        </row>
        <row r="666">
          <cell r="C666">
            <v>834417</v>
          </cell>
          <cell r="D666">
            <v>102599.62</v>
          </cell>
          <cell r="E666">
            <v>41700</v>
          </cell>
          <cell r="F666">
            <v>12266.06</v>
          </cell>
        </row>
        <row r="667">
          <cell r="C667">
            <v>1060530</v>
          </cell>
          <cell r="D667">
            <v>142883.32999999999</v>
          </cell>
          <cell r="E667">
            <v>53000</v>
          </cell>
          <cell r="F667">
            <v>13842.77</v>
          </cell>
        </row>
        <row r="668">
          <cell r="C668">
            <v>1350675</v>
          </cell>
          <cell r="D668">
            <v>190833.92000000001</v>
          </cell>
          <cell r="E668">
            <v>67500</v>
          </cell>
          <cell r="F668">
            <v>22479.97</v>
          </cell>
        </row>
        <row r="669">
          <cell r="C669">
            <v>3457728</v>
          </cell>
          <cell r="D669">
            <v>463556.33</v>
          </cell>
          <cell r="E669">
            <v>172800</v>
          </cell>
          <cell r="F669">
            <v>68048.72</v>
          </cell>
        </row>
        <row r="670">
          <cell r="C670">
            <v>1024512</v>
          </cell>
          <cell r="D670">
            <v>144016.17000000001</v>
          </cell>
          <cell r="E670">
            <v>51200</v>
          </cell>
          <cell r="F670">
            <v>16701.64</v>
          </cell>
        </row>
        <row r="671">
          <cell r="C671">
            <v>960480</v>
          </cell>
          <cell r="D671">
            <v>111710.98</v>
          </cell>
          <cell r="E671">
            <v>48000</v>
          </cell>
          <cell r="F671">
            <v>14791.4</v>
          </cell>
        </row>
        <row r="672">
          <cell r="C672">
            <v>386193</v>
          </cell>
          <cell r="D672">
            <v>54661.94</v>
          </cell>
          <cell r="E672">
            <v>19300</v>
          </cell>
          <cell r="F672">
            <v>0</v>
          </cell>
        </row>
        <row r="673">
          <cell r="C673">
            <v>2077038</v>
          </cell>
          <cell r="D673">
            <v>258513.54</v>
          </cell>
          <cell r="E673">
            <v>103800</v>
          </cell>
          <cell r="F673">
            <v>42709.64</v>
          </cell>
        </row>
        <row r="674">
          <cell r="C674">
            <v>2037018</v>
          </cell>
          <cell r="D674">
            <v>221364.86</v>
          </cell>
          <cell r="E674">
            <v>101800</v>
          </cell>
          <cell r="F674">
            <v>29219.73</v>
          </cell>
        </row>
        <row r="675">
          <cell r="C675">
            <v>2221110</v>
          </cell>
          <cell r="D675">
            <v>281592.40000000002</v>
          </cell>
          <cell r="E675">
            <v>111000</v>
          </cell>
          <cell r="F675">
            <v>31625.55</v>
          </cell>
        </row>
        <row r="676">
          <cell r="C676">
            <v>1526763</v>
          </cell>
          <cell r="D676">
            <v>192945.88</v>
          </cell>
          <cell r="E676">
            <v>76300</v>
          </cell>
          <cell r="F676">
            <v>26301.86</v>
          </cell>
        </row>
        <row r="677">
          <cell r="C677">
            <v>1518759</v>
          </cell>
          <cell r="D677">
            <v>164884.48000000001</v>
          </cell>
          <cell r="E677">
            <v>75900</v>
          </cell>
          <cell r="F677">
            <v>19340.509999999998</v>
          </cell>
        </row>
        <row r="678">
          <cell r="C678">
            <v>1114557</v>
          </cell>
          <cell r="D678">
            <v>166506.01</v>
          </cell>
          <cell r="E678">
            <v>55700</v>
          </cell>
          <cell r="F678">
            <v>0</v>
          </cell>
        </row>
        <row r="679">
          <cell r="C679">
            <v>1442721</v>
          </cell>
          <cell r="D679">
            <v>180199.86</v>
          </cell>
          <cell r="E679">
            <v>72100</v>
          </cell>
          <cell r="F679">
            <v>19014.75</v>
          </cell>
        </row>
        <row r="680">
          <cell r="C680">
            <v>1256628</v>
          </cell>
          <cell r="D680">
            <v>195241.60000000001</v>
          </cell>
          <cell r="E680">
            <v>62800</v>
          </cell>
          <cell r="F680">
            <v>17002.72</v>
          </cell>
        </row>
        <row r="681">
          <cell r="C681">
            <v>2213106</v>
          </cell>
          <cell r="D681">
            <v>470969.92</v>
          </cell>
          <cell r="E681">
            <v>110600</v>
          </cell>
          <cell r="F681">
            <v>75392.289999999994</v>
          </cell>
        </row>
        <row r="682">
          <cell r="C682">
            <v>3479739</v>
          </cell>
          <cell r="D682">
            <v>462051.26</v>
          </cell>
          <cell r="E682">
            <v>173900</v>
          </cell>
          <cell r="F682">
            <v>56658.13</v>
          </cell>
        </row>
        <row r="683">
          <cell r="C683">
            <v>2001000</v>
          </cell>
          <cell r="D683">
            <v>237114.56</v>
          </cell>
          <cell r="E683">
            <v>100000</v>
          </cell>
          <cell r="F683">
            <v>30171.11</v>
          </cell>
        </row>
        <row r="684">
          <cell r="C684">
            <v>1166583</v>
          </cell>
          <cell r="D684">
            <v>120643.79</v>
          </cell>
          <cell r="E684">
            <v>58300</v>
          </cell>
          <cell r="F684">
            <v>19384.29</v>
          </cell>
        </row>
        <row r="690">
          <cell r="C690">
            <v>588294</v>
          </cell>
          <cell r="D690">
            <v>62137.11</v>
          </cell>
          <cell r="E690">
            <v>29400</v>
          </cell>
          <cell r="F690">
            <v>0</v>
          </cell>
        </row>
        <row r="691">
          <cell r="C691">
            <v>748374</v>
          </cell>
          <cell r="D691">
            <v>112116.48</v>
          </cell>
          <cell r="E691">
            <v>37400</v>
          </cell>
          <cell r="F691">
            <v>12261.24</v>
          </cell>
        </row>
        <row r="692">
          <cell r="C692">
            <v>1060530</v>
          </cell>
          <cell r="D692">
            <v>108702.08</v>
          </cell>
          <cell r="E692">
            <v>53000</v>
          </cell>
          <cell r="F692">
            <v>13691.11</v>
          </cell>
        </row>
        <row r="693">
          <cell r="C693">
            <v>592296</v>
          </cell>
          <cell r="D693">
            <v>84091.83</v>
          </cell>
          <cell r="E693">
            <v>29600</v>
          </cell>
          <cell r="F693">
            <v>15152.66</v>
          </cell>
        </row>
        <row r="694">
          <cell r="C694">
            <v>1254627</v>
          </cell>
          <cell r="D694">
            <v>201217.92000000001</v>
          </cell>
          <cell r="E694">
            <v>62700</v>
          </cell>
          <cell r="F694">
            <v>0</v>
          </cell>
        </row>
        <row r="695">
          <cell r="C695">
            <v>592296</v>
          </cell>
          <cell r="D695">
            <v>73502.720000000001</v>
          </cell>
          <cell r="E695">
            <v>29600</v>
          </cell>
          <cell r="F695">
            <v>10842.63</v>
          </cell>
        </row>
        <row r="696">
          <cell r="C696">
            <v>962481</v>
          </cell>
          <cell r="D696">
            <v>86539.520000000004</v>
          </cell>
          <cell r="E696">
            <v>48100</v>
          </cell>
          <cell r="F696">
            <v>23783.360000000001</v>
          </cell>
        </row>
        <row r="697">
          <cell r="C697">
            <v>608304</v>
          </cell>
          <cell r="D697">
            <v>109198.72</v>
          </cell>
          <cell r="E697">
            <v>30400</v>
          </cell>
          <cell r="F697">
            <v>10092.64</v>
          </cell>
        </row>
        <row r="698">
          <cell r="C698">
            <v>1350675</v>
          </cell>
          <cell r="D698">
            <v>138438.39999999999</v>
          </cell>
          <cell r="E698">
            <v>67500</v>
          </cell>
          <cell r="F698">
            <v>28358.34</v>
          </cell>
        </row>
        <row r="699">
          <cell r="C699">
            <v>640320</v>
          </cell>
          <cell r="D699">
            <v>102548.71</v>
          </cell>
          <cell r="E699">
            <v>32000</v>
          </cell>
          <cell r="F699">
            <v>0</v>
          </cell>
        </row>
        <row r="700">
          <cell r="C700">
            <v>4300149</v>
          </cell>
          <cell r="D700">
            <v>693940.92</v>
          </cell>
          <cell r="E700">
            <v>214900</v>
          </cell>
          <cell r="F700">
            <v>67732.95</v>
          </cell>
        </row>
        <row r="701">
          <cell r="C701">
            <v>1894947</v>
          </cell>
          <cell r="D701">
            <v>240609.66</v>
          </cell>
          <cell r="E701">
            <v>94700</v>
          </cell>
          <cell r="F701">
            <v>29191.13</v>
          </cell>
        </row>
        <row r="702">
          <cell r="C702">
            <v>866433</v>
          </cell>
          <cell r="D702">
            <v>96472.320000000007</v>
          </cell>
          <cell r="E702">
            <v>43300</v>
          </cell>
          <cell r="F702">
            <v>0</v>
          </cell>
        </row>
        <row r="703">
          <cell r="C703">
            <v>1552776</v>
          </cell>
          <cell r="D703">
            <v>225486.98</v>
          </cell>
          <cell r="E703">
            <v>77600</v>
          </cell>
          <cell r="F703">
            <v>28809.21</v>
          </cell>
        </row>
        <row r="704">
          <cell r="C704">
            <v>796398</v>
          </cell>
          <cell r="D704">
            <v>119913.73</v>
          </cell>
          <cell r="E704">
            <v>39800</v>
          </cell>
          <cell r="F704">
            <v>0</v>
          </cell>
        </row>
        <row r="705">
          <cell r="C705">
            <v>4058028</v>
          </cell>
          <cell r="D705">
            <v>400404.33</v>
          </cell>
          <cell r="E705">
            <v>202800</v>
          </cell>
          <cell r="F705">
            <v>85742.42</v>
          </cell>
        </row>
        <row r="706">
          <cell r="C706">
            <v>2007003</v>
          </cell>
          <cell r="D706">
            <v>245849.22</v>
          </cell>
          <cell r="E706">
            <v>100300</v>
          </cell>
          <cell r="F706">
            <v>28437.13</v>
          </cell>
        </row>
        <row r="707">
          <cell r="C707">
            <v>1462731</v>
          </cell>
          <cell r="D707">
            <v>146379.67000000001</v>
          </cell>
          <cell r="E707">
            <v>73100</v>
          </cell>
          <cell r="F707">
            <v>23124.91</v>
          </cell>
        </row>
        <row r="708">
          <cell r="C708">
            <v>3055527</v>
          </cell>
          <cell r="D708">
            <v>363765.71</v>
          </cell>
          <cell r="E708">
            <v>152700</v>
          </cell>
          <cell r="F708">
            <v>48989.71</v>
          </cell>
        </row>
        <row r="709">
          <cell r="C709">
            <v>1050525</v>
          </cell>
          <cell r="D709">
            <v>159284.85999999999</v>
          </cell>
          <cell r="E709">
            <v>52500</v>
          </cell>
          <cell r="F709">
            <v>0</v>
          </cell>
        </row>
        <row r="710">
          <cell r="C710">
            <v>1140570</v>
          </cell>
          <cell r="D710">
            <v>141579.65</v>
          </cell>
          <cell r="E710">
            <v>57000</v>
          </cell>
          <cell r="F710">
            <v>16087.95</v>
          </cell>
        </row>
        <row r="711">
          <cell r="C711">
            <v>1754877</v>
          </cell>
          <cell r="D711">
            <v>224103.83</v>
          </cell>
          <cell r="E711">
            <v>87700</v>
          </cell>
          <cell r="F711">
            <v>32675.72</v>
          </cell>
        </row>
        <row r="712">
          <cell r="C712">
            <v>336168</v>
          </cell>
          <cell r="D712">
            <v>64768.06</v>
          </cell>
          <cell r="E712">
            <v>16800</v>
          </cell>
          <cell r="F712">
            <v>5575.58</v>
          </cell>
        </row>
        <row r="713">
          <cell r="C713">
            <v>1310655</v>
          </cell>
          <cell r="D713">
            <v>148619.51999999999</v>
          </cell>
          <cell r="E713">
            <v>65500</v>
          </cell>
          <cell r="F713">
            <v>19393.09</v>
          </cell>
        </row>
        <row r="714">
          <cell r="C714">
            <v>1226613</v>
          </cell>
          <cell r="D714">
            <v>97516.51</v>
          </cell>
          <cell r="E714">
            <v>61300</v>
          </cell>
          <cell r="F714">
            <v>17060.71</v>
          </cell>
        </row>
        <row r="715">
          <cell r="C715">
            <v>1210605</v>
          </cell>
          <cell r="D715">
            <v>163310.63</v>
          </cell>
          <cell r="E715">
            <v>60500</v>
          </cell>
          <cell r="F715">
            <v>14275.92</v>
          </cell>
        </row>
        <row r="716">
          <cell r="C716">
            <v>1084542</v>
          </cell>
          <cell r="D716">
            <v>109875.39</v>
          </cell>
          <cell r="E716">
            <v>54200</v>
          </cell>
          <cell r="F716">
            <v>0</v>
          </cell>
        </row>
        <row r="717">
          <cell r="C717">
            <v>974487</v>
          </cell>
          <cell r="D717">
            <v>107398.39999999999</v>
          </cell>
          <cell r="E717">
            <v>48700</v>
          </cell>
          <cell r="F717">
            <v>15413.27</v>
          </cell>
        </row>
        <row r="718">
          <cell r="C718">
            <v>1906953</v>
          </cell>
          <cell r="D718">
            <v>150217.70000000001</v>
          </cell>
          <cell r="E718">
            <v>95300</v>
          </cell>
          <cell r="F718">
            <v>34415.839999999997</v>
          </cell>
        </row>
        <row r="719">
          <cell r="C719">
            <v>1084542</v>
          </cell>
          <cell r="D719">
            <v>139252.39000000001</v>
          </cell>
          <cell r="E719">
            <v>54200</v>
          </cell>
          <cell r="F719">
            <v>19976.21</v>
          </cell>
        </row>
        <row r="720">
          <cell r="C720">
            <v>226113</v>
          </cell>
          <cell r="D720">
            <v>42214.400000000001</v>
          </cell>
          <cell r="E720">
            <v>11300</v>
          </cell>
          <cell r="F720">
            <v>5412.22</v>
          </cell>
        </row>
        <row r="721">
          <cell r="C721">
            <v>1370685</v>
          </cell>
          <cell r="D721">
            <v>179987.3</v>
          </cell>
          <cell r="E721">
            <v>68500</v>
          </cell>
          <cell r="F721">
            <v>19328.14</v>
          </cell>
        </row>
        <row r="722">
          <cell r="C722">
            <v>914457</v>
          </cell>
          <cell r="D722">
            <v>103174.48</v>
          </cell>
          <cell r="E722">
            <v>45700</v>
          </cell>
          <cell r="F722">
            <v>15472.89</v>
          </cell>
        </row>
        <row r="723">
          <cell r="C723">
            <v>860430</v>
          </cell>
          <cell r="D723">
            <v>73006.080000000002</v>
          </cell>
          <cell r="E723">
            <v>43000</v>
          </cell>
          <cell r="F723">
            <v>14947.82</v>
          </cell>
        </row>
        <row r="724">
          <cell r="C724">
            <v>590295</v>
          </cell>
          <cell r="D724">
            <v>88218.66</v>
          </cell>
          <cell r="E724">
            <v>29500</v>
          </cell>
          <cell r="F724">
            <v>14711.1</v>
          </cell>
        </row>
        <row r="725">
          <cell r="C725">
            <v>262131</v>
          </cell>
          <cell r="D725">
            <v>47912.85</v>
          </cell>
          <cell r="E725">
            <v>13100</v>
          </cell>
          <cell r="F725">
            <v>0</v>
          </cell>
        </row>
        <row r="726">
          <cell r="C726">
            <v>430215</v>
          </cell>
          <cell r="D726">
            <v>101662.21</v>
          </cell>
          <cell r="E726">
            <v>21500</v>
          </cell>
          <cell r="F726">
            <v>0</v>
          </cell>
        </row>
        <row r="727">
          <cell r="C727">
            <v>1016508</v>
          </cell>
          <cell r="D727">
            <v>50036.480000000003</v>
          </cell>
          <cell r="E727">
            <v>50800</v>
          </cell>
          <cell r="F727">
            <v>21194.99</v>
          </cell>
        </row>
        <row r="728">
          <cell r="C728">
            <v>1066533</v>
          </cell>
          <cell r="D728">
            <v>117827.84</v>
          </cell>
          <cell r="E728">
            <v>53300</v>
          </cell>
          <cell r="F728">
            <v>18027.689999999999</v>
          </cell>
        </row>
        <row r="729">
          <cell r="C729">
            <v>800400</v>
          </cell>
          <cell r="D729">
            <v>41717.760000000002</v>
          </cell>
          <cell r="E729">
            <v>40000</v>
          </cell>
          <cell r="F729">
            <v>18802.16</v>
          </cell>
        </row>
        <row r="730">
          <cell r="C730">
            <v>1066533</v>
          </cell>
          <cell r="D730">
            <v>94858.240000000005</v>
          </cell>
          <cell r="E730">
            <v>53300</v>
          </cell>
          <cell r="F730">
            <v>16317.4</v>
          </cell>
        </row>
        <row r="731">
          <cell r="C731">
            <v>74037</v>
          </cell>
          <cell r="D731">
            <v>5990.72</v>
          </cell>
          <cell r="E731">
            <v>3700</v>
          </cell>
          <cell r="F731">
            <v>612.47</v>
          </cell>
        </row>
        <row r="732">
          <cell r="C732">
            <v>226113</v>
          </cell>
          <cell r="D732">
            <v>25552.13</v>
          </cell>
          <cell r="E732">
            <v>11300</v>
          </cell>
          <cell r="F732">
            <v>0</v>
          </cell>
        </row>
        <row r="733">
          <cell r="C733">
            <v>310155</v>
          </cell>
          <cell r="D733">
            <v>36503.040000000001</v>
          </cell>
          <cell r="E733">
            <v>15500</v>
          </cell>
          <cell r="F733">
            <v>0</v>
          </cell>
        </row>
        <row r="739">
          <cell r="C739">
            <v>2645322</v>
          </cell>
          <cell r="D739">
            <v>299445.12</v>
          </cell>
          <cell r="E739">
            <v>132200</v>
          </cell>
          <cell r="F739">
            <v>43398.53</v>
          </cell>
        </row>
        <row r="740">
          <cell r="C740">
            <v>3783891</v>
          </cell>
          <cell r="D740">
            <v>476458.29</v>
          </cell>
          <cell r="E740">
            <v>189100</v>
          </cell>
          <cell r="F740">
            <v>58973.19</v>
          </cell>
        </row>
        <row r="741">
          <cell r="C741">
            <v>852426</v>
          </cell>
          <cell r="D741">
            <v>64754.41</v>
          </cell>
          <cell r="E741">
            <v>42600</v>
          </cell>
          <cell r="F741">
            <v>14610</v>
          </cell>
        </row>
        <row r="742">
          <cell r="C742">
            <v>186093</v>
          </cell>
          <cell r="D742">
            <v>14340.48</v>
          </cell>
          <cell r="E742">
            <v>9300</v>
          </cell>
          <cell r="F742">
            <v>0</v>
          </cell>
        </row>
        <row r="743">
          <cell r="C743">
            <v>982491</v>
          </cell>
          <cell r="D743">
            <v>124274.23</v>
          </cell>
          <cell r="E743">
            <v>49100</v>
          </cell>
          <cell r="F743">
            <v>12824.37</v>
          </cell>
        </row>
        <row r="744">
          <cell r="C744">
            <v>1100550</v>
          </cell>
          <cell r="D744">
            <v>137904.51</v>
          </cell>
          <cell r="E744">
            <v>55000</v>
          </cell>
          <cell r="F744">
            <v>16716.919999999998</v>
          </cell>
        </row>
        <row r="745">
          <cell r="C745">
            <v>756378</v>
          </cell>
          <cell r="D745">
            <v>102183.67999999999</v>
          </cell>
          <cell r="E745">
            <v>37800</v>
          </cell>
          <cell r="F745">
            <v>15271.93</v>
          </cell>
        </row>
        <row r="746">
          <cell r="C746">
            <v>1232616</v>
          </cell>
          <cell r="D746">
            <v>136552.65</v>
          </cell>
          <cell r="E746">
            <v>61600</v>
          </cell>
          <cell r="F746">
            <v>20476.21</v>
          </cell>
        </row>
        <row r="747">
          <cell r="C747">
            <v>1006503</v>
          </cell>
          <cell r="D747">
            <v>83332.47</v>
          </cell>
          <cell r="E747">
            <v>50300</v>
          </cell>
          <cell r="F747">
            <v>14705.34</v>
          </cell>
        </row>
        <row r="748">
          <cell r="C748">
            <v>766383</v>
          </cell>
          <cell r="D748">
            <v>80323.570000000007</v>
          </cell>
          <cell r="E748">
            <v>38300</v>
          </cell>
          <cell r="F748">
            <v>0</v>
          </cell>
        </row>
        <row r="749">
          <cell r="C749">
            <v>1006503</v>
          </cell>
          <cell r="D749">
            <v>134091.31</v>
          </cell>
          <cell r="E749">
            <v>50300</v>
          </cell>
          <cell r="F749">
            <v>0</v>
          </cell>
        </row>
        <row r="750">
          <cell r="C750">
            <v>332166</v>
          </cell>
          <cell r="D750">
            <v>45978.19</v>
          </cell>
          <cell r="E750">
            <v>16600</v>
          </cell>
          <cell r="F750">
            <v>0</v>
          </cell>
        </row>
        <row r="751">
          <cell r="C751">
            <v>1150575</v>
          </cell>
          <cell r="D751">
            <v>146508.79999999999</v>
          </cell>
          <cell r="E751">
            <v>57500</v>
          </cell>
          <cell r="F751">
            <v>18020.61</v>
          </cell>
        </row>
        <row r="752">
          <cell r="C752">
            <v>1072536</v>
          </cell>
          <cell r="D752">
            <v>106901.75999999999</v>
          </cell>
          <cell r="E752">
            <v>53600</v>
          </cell>
          <cell r="F752">
            <v>12011.29</v>
          </cell>
        </row>
        <row r="753">
          <cell r="C753">
            <v>1000500</v>
          </cell>
          <cell r="D753">
            <v>103251.46</v>
          </cell>
          <cell r="E753">
            <v>50000</v>
          </cell>
          <cell r="F753">
            <v>10786.64</v>
          </cell>
        </row>
        <row r="754">
          <cell r="C754">
            <v>1018509</v>
          </cell>
          <cell r="D754">
            <v>83435.520000000004</v>
          </cell>
          <cell r="E754">
            <v>50900</v>
          </cell>
          <cell r="F754">
            <v>11346.07</v>
          </cell>
        </row>
        <row r="755">
          <cell r="C755">
            <v>428214</v>
          </cell>
          <cell r="D755">
            <v>83200.86</v>
          </cell>
          <cell r="E755">
            <v>21400</v>
          </cell>
          <cell r="F755">
            <v>0</v>
          </cell>
        </row>
        <row r="756">
          <cell r="C756">
            <v>1676838</v>
          </cell>
          <cell r="D756">
            <v>215603.84</v>
          </cell>
          <cell r="E756">
            <v>83800</v>
          </cell>
          <cell r="F756">
            <v>18645.419999999998</v>
          </cell>
        </row>
        <row r="795">
          <cell r="C795">
            <v>0</v>
          </cell>
          <cell r="D795">
            <v>1309.3</v>
          </cell>
          <cell r="E795">
            <v>0</v>
          </cell>
        </row>
        <row r="796">
          <cell r="C796">
            <v>0</v>
          </cell>
          <cell r="D796">
            <v>4714.03</v>
          </cell>
          <cell r="E796">
            <v>0</v>
          </cell>
        </row>
        <row r="797">
          <cell r="C797">
            <v>0</v>
          </cell>
          <cell r="D797">
            <v>625.48</v>
          </cell>
          <cell r="E797">
            <v>20001</v>
          </cell>
        </row>
        <row r="798">
          <cell r="C798">
            <v>0</v>
          </cell>
          <cell r="D798">
            <v>1343.42</v>
          </cell>
          <cell r="E798">
            <v>0</v>
          </cell>
        </row>
        <row r="799">
          <cell r="C799">
            <v>0</v>
          </cell>
          <cell r="D799">
            <v>720.44</v>
          </cell>
          <cell r="E799">
            <v>0</v>
          </cell>
        </row>
        <row r="800">
          <cell r="C800">
            <v>0</v>
          </cell>
          <cell r="D800">
            <v>668.86</v>
          </cell>
          <cell r="E800">
            <v>0</v>
          </cell>
        </row>
        <row r="801">
          <cell r="C801">
            <v>0</v>
          </cell>
          <cell r="D801">
            <v>374.71</v>
          </cell>
          <cell r="E801">
            <v>0</v>
          </cell>
        </row>
        <row r="802">
          <cell r="C802">
            <v>0</v>
          </cell>
          <cell r="D802">
            <v>486.21</v>
          </cell>
          <cell r="E802">
            <v>15316</v>
          </cell>
        </row>
        <row r="803">
          <cell r="C803">
            <v>0</v>
          </cell>
          <cell r="D803">
            <v>578.71</v>
          </cell>
          <cell r="E803">
            <v>0</v>
          </cell>
        </row>
        <row r="804">
          <cell r="C804">
            <v>0</v>
          </cell>
          <cell r="D804">
            <v>276.19</v>
          </cell>
          <cell r="E804">
            <v>0</v>
          </cell>
        </row>
        <row r="805">
          <cell r="C805">
            <v>0</v>
          </cell>
          <cell r="D805">
            <v>406.54</v>
          </cell>
          <cell r="E805">
            <v>6491</v>
          </cell>
        </row>
        <row r="806">
          <cell r="C806">
            <v>0</v>
          </cell>
          <cell r="D806">
            <v>1771.95</v>
          </cell>
          <cell r="E806">
            <v>0</v>
          </cell>
        </row>
        <row r="807">
          <cell r="C807">
            <v>0</v>
          </cell>
          <cell r="D807">
            <v>719.68</v>
          </cell>
          <cell r="E807">
            <v>0</v>
          </cell>
        </row>
        <row r="808">
          <cell r="C808">
            <v>0</v>
          </cell>
          <cell r="D808">
            <v>607.96</v>
          </cell>
          <cell r="E808">
            <v>0</v>
          </cell>
        </row>
        <row r="809">
          <cell r="C809">
            <v>0</v>
          </cell>
          <cell r="D809">
            <v>444.7</v>
          </cell>
          <cell r="E809">
            <v>0</v>
          </cell>
        </row>
        <row r="810">
          <cell r="C810">
            <v>0</v>
          </cell>
          <cell r="D810">
            <v>940.47</v>
          </cell>
          <cell r="E810">
            <v>0</v>
          </cell>
        </row>
        <row r="811">
          <cell r="C811">
            <v>0</v>
          </cell>
          <cell r="D811">
            <v>584.45000000000005</v>
          </cell>
          <cell r="E811">
            <v>0</v>
          </cell>
        </row>
        <row r="812">
          <cell r="C812">
            <v>0</v>
          </cell>
          <cell r="D812">
            <v>1323.58</v>
          </cell>
          <cell r="E812">
            <v>0</v>
          </cell>
        </row>
        <row r="813">
          <cell r="C813">
            <v>10000</v>
          </cell>
          <cell r="D813">
            <v>2239.38</v>
          </cell>
          <cell r="E813">
            <v>75916</v>
          </cell>
        </row>
        <row r="814">
          <cell r="C814">
            <v>0</v>
          </cell>
          <cell r="D814">
            <v>606.83000000000004</v>
          </cell>
          <cell r="E814">
            <v>0</v>
          </cell>
        </row>
        <row r="815">
          <cell r="C815">
            <v>10000</v>
          </cell>
          <cell r="D815">
            <v>1232.28</v>
          </cell>
          <cell r="E815">
            <v>0</v>
          </cell>
        </row>
        <row r="816">
          <cell r="C816">
            <v>0</v>
          </cell>
          <cell r="D816">
            <v>333.96</v>
          </cell>
          <cell r="E816">
            <v>15502</v>
          </cell>
        </row>
        <row r="817">
          <cell r="C817">
            <v>0</v>
          </cell>
          <cell r="D817">
            <v>533.07000000000005</v>
          </cell>
          <cell r="E817">
            <v>0</v>
          </cell>
        </row>
        <row r="818">
          <cell r="C818">
            <v>0</v>
          </cell>
          <cell r="D818">
            <v>843.39</v>
          </cell>
          <cell r="E818">
            <v>0</v>
          </cell>
        </row>
        <row r="819">
          <cell r="C819">
            <v>0</v>
          </cell>
          <cell r="D819">
            <v>604.88</v>
          </cell>
          <cell r="E819">
            <v>0</v>
          </cell>
        </row>
        <row r="820">
          <cell r="C820">
            <v>0</v>
          </cell>
          <cell r="D820">
            <v>1085.95</v>
          </cell>
          <cell r="E820">
            <v>0</v>
          </cell>
        </row>
        <row r="821">
          <cell r="C821">
            <v>0</v>
          </cell>
          <cell r="D821">
            <v>517.45000000000005</v>
          </cell>
          <cell r="E821">
            <v>0</v>
          </cell>
        </row>
        <row r="822">
          <cell r="C822">
            <v>0</v>
          </cell>
          <cell r="D822">
            <v>638.71</v>
          </cell>
          <cell r="E822">
            <v>0</v>
          </cell>
        </row>
        <row r="823">
          <cell r="C823">
            <v>0</v>
          </cell>
          <cell r="D823">
            <v>749.48</v>
          </cell>
          <cell r="E823">
            <v>20687</v>
          </cell>
        </row>
        <row r="824">
          <cell r="C824">
            <v>0</v>
          </cell>
          <cell r="D824">
            <v>898.06</v>
          </cell>
          <cell r="E824">
            <v>22937</v>
          </cell>
        </row>
        <row r="825">
          <cell r="C825">
            <v>10000</v>
          </cell>
          <cell r="D825">
            <v>2001.88</v>
          </cell>
          <cell r="E825">
            <v>0</v>
          </cell>
        </row>
        <row r="826">
          <cell r="C826">
            <v>0</v>
          </cell>
          <cell r="D826">
            <v>728.03</v>
          </cell>
          <cell r="E826">
            <v>0</v>
          </cell>
        </row>
        <row r="827">
          <cell r="C827">
            <v>0</v>
          </cell>
          <cell r="D827">
            <v>748.92</v>
          </cell>
          <cell r="E827">
            <v>0</v>
          </cell>
        </row>
        <row r="828">
          <cell r="C828">
            <v>0</v>
          </cell>
          <cell r="D828">
            <v>412.74</v>
          </cell>
          <cell r="E828">
            <v>0</v>
          </cell>
        </row>
        <row r="829">
          <cell r="C829">
            <v>0</v>
          </cell>
          <cell r="D829">
            <v>1448.64</v>
          </cell>
          <cell r="E829">
            <v>0</v>
          </cell>
        </row>
        <row r="830">
          <cell r="C830">
            <v>0</v>
          </cell>
          <cell r="D830">
            <v>1209.6400000000001</v>
          </cell>
          <cell r="E830">
            <v>0</v>
          </cell>
        </row>
        <row r="831">
          <cell r="C831">
            <v>0</v>
          </cell>
          <cell r="D831">
            <v>1287.94</v>
          </cell>
          <cell r="E831">
            <v>0</v>
          </cell>
        </row>
        <row r="832">
          <cell r="C832">
            <v>0</v>
          </cell>
          <cell r="D832">
            <v>954.63</v>
          </cell>
          <cell r="E832">
            <v>0</v>
          </cell>
        </row>
        <row r="833">
          <cell r="C833">
            <v>0</v>
          </cell>
          <cell r="D833">
            <v>980.54</v>
          </cell>
          <cell r="E833">
            <v>0</v>
          </cell>
        </row>
        <row r="834">
          <cell r="C834">
            <v>0</v>
          </cell>
          <cell r="D834">
            <v>801.15</v>
          </cell>
          <cell r="E834">
            <v>0</v>
          </cell>
        </row>
        <row r="835">
          <cell r="C835">
            <v>10000</v>
          </cell>
          <cell r="D835">
            <v>954.4</v>
          </cell>
          <cell r="E835">
            <v>0</v>
          </cell>
        </row>
        <row r="836">
          <cell r="C836">
            <v>0</v>
          </cell>
          <cell r="D836">
            <v>837.21</v>
          </cell>
          <cell r="E836">
            <v>0</v>
          </cell>
        </row>
        <row r="837">
          <cell r="C837">
            <v>0</v>
          </cell>
          <cell r="D837">
            <v>1452.04</v>
          </cell>
          <cell r="E837">
            <v>0</v>
          </cell>
        </row>
        <row r="838">
          <cell r="C838">
            <v>0</v>
          </cell>
          <cell r="D838">
            <v>2075.56</v>
          </cell>
          <cell r="E838">
            <v>52682</v>
          </cell>
        </row>
        <row r="839">
          <cell r="C839">
            <v>0</v>
          </cell>
          <cell r="D839">
            <v>1226</v>
          </cell>
          <cell r="E839">
            <v>19896</v>
          </cell>
        </row>
        <row r="840">
          <cell r="C840">
            <v>0</v>
          </cell>
          <cell r="D840">
            <v>796.82</v>
          </cell>
          <cell r="E840">
            <v>0</v>
          </cell>
        </row>
        <row r="846">
          <cell r="C846">
            <v>0</v>
          </cell>
          <cell r="D846">
            <v>519.37</v>
          </cell>
          <cell r="E846">
            <v>0</v>
          </cell>
        </row>
        <row r="847">
          <cell r="C847">
            <v>0</v>
          </cell>
          <cell r="D847">
            <v>584.22</v>
          </cell>
          <cell r="E847">
            <v>0</v>
          </cell>
        </row>
        <row r="848">
          <cell r="C848">
            <v>0</v>
          </cell>
          <cell r="D848">
            <v>749.78</v>
          </cell>
          <cell r="E848">
            <v>29798</v>
          </cell>
        </row>
        <row r="849">
          <cell r="C849">
            <v>0</v>
          </cell>
          <cell r="D849">
            <v>513.9</v>
          </cell>
          <cell r="E849">
            <v>32732</v>
          </cell>
        </row>
        <row r="850">
          <cell r="C850">
            <v>0</v>
          </cell>
          <cell r="D850">
            <v>845.99</v>
          </cell>
          <cell r="E850">
            <v>0</v>
          </cell>
        </row>
        <row r="851">
          <cell r="C851">
            <v>0</v>
          </cell>
          <cell r="D851">
            <v>437.67</v>
          </cell>
          <cell r="E851">
            <v>16728</v>
          </cell>
        </row>
        <row r="852">
          <cell r="C852">
            <v>0</v>
          </cell>
          <cell r="D852">
            <v>682.51</v>
          </cell>
          <cell r="E852">
            <v>18984</v>
          </cell>
        </row>
        <row r="853">
          <cell r="C853">
            <v>0</v>
          </cell>
          <cell r="D853">
            <v>516.37</v>
          </cell>
          <cell r="E853">
            <v>23002</v>
          </cell>
        </row>
        <row r="854">
          <cell r="C854">
            <v>0</v>
          </cell>
          <cell r="D854">
            <v>883.35</v>
          </cell>
          <cell r="E854">
            <v>12905</v>
          </cell>
        </row>
        <row r="855">
          <cell r="C855">
            <v>0</v>
          </cell>
          <cell r="D855">
            <v>498.6</v>
          </cell>
          <cell r="E855">
            <v>0</v>
          </cell>
        </row>
        <row r="856">
          <cell r="C856">
            <v>0</v>
          </cell>
          <cell r="D856">
            <v>2280.35</v>
          </cell>
          <cell r="E856">
            <v>0</v>
          </cell>
        </row>
        <row r="857">
          <cell r="C857">
            <v>0</v>
          </cell>
          <cell r="D857">
            <v>1171.8399999999999</v>
          </cell>
          <cell r="E857">
            <v>0</v>
          </cell>
        </row>
        <row r="858">
          <cell r="C858">
            <v>0</v>
          </cell>
          <cell r="D858">
            <v>695.39</v>
          </cell>
          <cell r="E858">
            <v>0</v>
          </cell>
        </row>
        <row r="859">
          <cell r="C859">
            <v>0</v>
          </cell>
          <cell r="D859">
            <v>995.23</v>
          </cell>
          <cell r="E859">
            <v>0</v>
          </cell>
        </row>
        <row r="860">
          <cell r="C860">
            <v>0</v>
          </cell>
          <cell r="D860">
            <v>617.41999999999996</v>
          </cell>
          <cell r="E860">
            <v>0</v>
          </cell>
        </row>
        <row r="861">
          <cell r="C861">
            <v>0</v>
          </cell>
          <cell r="D861">
            <v>2019.11</v>
          </cell>
          <cell r="E861">
            <v>0</v>
          </cell>
        </row>
        <row r="862">
          <cell r="C862">
            <v>0</v>
          </cell>
          <cell r="D862">
            <v>1220.3499999999999</v>
          </cell>
          <cell r="E862">
            <v>31207</v>
          </cell>
        </row>
        <row r="863">
          <cell r="C863">
            <v>0</v>
          </cell>
          <cell r="D863">
            <v>907.52</v>
          </cell>
          <cell r="E863">
            <v>0</v>
          </cell>
        </row>
        <row r="864">
          <cell r="C864">
            <v>0</v>
          </cell>
          <cell r="D864">
            <v>1892.41</v>
          </cell>
          <cell r="E864">
            <v>47830</v>
          </cell>
        </row>
        <row r="865">
          <cell r="C865">
            <v>0</v>
          </cell>
          <cell r="D865">
            <v>712.99</v>
          </cell>
          <cell r="E865">
            <v>0</v>
          </cell>
        </row>
        <row r="866">
          <cell r="C866">
            <v>0</v>
          </cell>
          <cell r="D866">
            <v>777.2</v>
          </cell>
          <cell r="E866">
            <v>0</v>
          </cell>
        </row>
        <row r="867">
          <cell r="C867">
            <v>0</v>
          </cell>
          <cell r="D867">
            <v>1094.1400000000001</v>
          </cell>
          <cell r="E867">
            <v>0</v>
          </cell>
        </row>
        <row r="868">
          <cell r="C868">
            <v>0</v>
          </cell>
          <cell r="D868">
            <v>389.07</v>
          </cell>
          <cell r="E868">
            <v>21048</v>
          </cell>
        </row>
        <row r="869">
          <cell r="C869">
            <v>0</v>
          </cell>
          <cell r="D869">
            <v>850.68</v>
          </cell>
          <cell r="E869">
            <v>0</v>
          </cell>
        </row>
        <row r="870">
          <cell r="C870">
            <v>0</v>
          </cell>
          <cell r="D870">
            <v>580.86</v>
          </cell>
          <cell r="E870">
            <v>25962</v>
          </cell>
        </row>
        <row r="871">
          <cell r="C871">
            <v>0</v>
          </cell>
          <cell r="D871">
            <v>788.24</v>
          </cell>
          <cell r="E871">
            <v>20720</v>
          </cell>
        </row>
        <row r="872">
          <cell r="C872">
            <v>0</v>
          </cell>
          <cell r="D872">
            <v>766.67</v>
          </cell>
          <cell r="E872">
            <v>0</v>
          </cell>
        </row>
        <row r="873">
          <cell r="C873">
            <v>0</v>
          </cell>
          <cell r="D873">
            <v>696.76</v>
          </cell>
          <cell r="E873">
            <v>0</v>
          </cell>
        </row>
        <row r="874">
          <cell r="C874">
            <v>0</v>
          </cell>
          <cell r="D874">
            <v>1087.27</v>
          </cell>
          <cell r="E874">
            <v>0</v>
          </cell>
        </row>
        <row r="875">
          <cell r="C875">
            <v>0</v>
          </cell>
          <cell r="D875">
            <v>824.55</v>
          </cell>
          <cell r="E875">
            <v>0</v>
          </cell>
        </row>
        <row r="876">
          <cell r="C876">
            <v>0</v>
          </cell>
          <cell r="D876">
            <v>344.08</v>
          </cell>
          <cell r="E876">
            <v>0</v>
          </cell>
        </row>
        <row r="877">
          <cell r="C877">
            <v>0</v>
          </cell>
          <cell r="D877">
            <v>886.94</v>
          </cell>
          <cell r="E877">
            <v>0</v>
          </cell>
        </row>
        <row r="878">
          <cell r="C878">
            <v>0</v>
          </cell>
          <cell r="D878">
            <v>677.51</v>
          </cell>
          <cell r="E878">
            <v>0</v>
          </cell>
        </row>
        <row r="879">
          <cell r="C879">
            <v>0</v>
          </cell>
          <cell r="D879">
            <v>588.04</v>
          </cell>
          <cell r="E879">
            <v>16678</v>
          </cell>
        </row>
        <row r="880">
          <cell r="C880">
            <v>0</v>
          </cell>
          <cell r="D880">
            <v>574.46</v>
          </cell>
          <cell r="E880">
            <v>0</v>
          </cell>
        </row>
        <row r="881">
          <cell r="C881">
            <v>0</v>
          </cell>
          <cell r="D881">
            <v>471.83</v>
          </cell>
          <cell r="E881">
            <v>0</v>
          </cell>
        </row>
        <row r="882">
          <cell r="C882">
            <v>0</v>
          </cell>
          <cell r="D882">
            <v>414.93</v>
          </cell>
          <cell r="E882">
            <v>0</v>
          </cell>
        </row>
        <row r="883">
          <cell r="C883">
            <v>0</v>
          </cell>
          <cell r="D883">
            <v>701.24</v>
          </cell>
          <cell r="E883">
            <v>0</v>
          </cell>
        </row>
        <row r="884">
          <cell r="C884">
            <v>0</v>
          </cell>
          <cell r="D884">
            <v>758.34</v>
          </cell>
          <cell r="E884">
            <v>0</v>
          </cell>
        </row>
        <row r="885">
          <cell r="C885">
            <v>0</v>
          </cell>
          <cell r="D885">
            <v>645.53</v>
          </cell>
          <cell r="E885">
            <v>0</v>
          </cell>
        </row>
        <row r="886">
          <cell r="C886">
            <v>0</v>
          </cell>
          <cell r="D886">
            <v>749.28</v>
          </cell>
          <cell r="E886">
            <v>0</v>
          </cell>
        </row>
        <row r="887">
          <cell r="C887">
            <v>0</v>
          </cell>
          <cell r="D887">
            <v>249.68</v>
          </cell>
          <cell r="E887">
            <v>0</v>
          </cell>
        </row>
        <row r="888">
          <cell r="C888">
            <v>0</v>
          </cell>
          <cell r="D888">
            <v>324.02999999999997</v>
          </cell>
          <cell r="E888">
            <v>0</v>
          </cell>
        </row>
        <row r="889">
          <cell r="C889">
            <v>0</v>
          </cell>
          <cell r="D889">
            <v>386.21</v>
          </cell>
          <cell r="E889">
            <v>0</v>
          </cell>
        </row>
        <row r="895">
          <cell r="C895">
            <v>0</v>
          </cell>
          <cell r="D895">
            <v>1363.99</v>
          </cell>
          <cell r="E895">
            <v>0</v>
          </cell>
        </row>
        <row r="896">
          <cell r="C896">
            <v>0</v>
          </cell>
          <cell r="D896">
            <v>2533.94</v>
          </cell>
          <cell r="E896">
            <v>56012</v>
          </cell>
        </row>
        <row r="897">
          <cell r="C897">
            <v>0</v>
          </cell>
          <cell r="D897">
            <v>635.59</v>
          </cell>
          <cell r="E897">
            <v>0</v>
          </cell>
        </row>
        <row r="898">
          <cell r="C898">
            <v>0</v>
          </cell>
          <cell r="D898">
            <v>278.58</v>
          </cell>
          <cell r="E898">
            <v>0</v>
          </cell>
        </row>
        <row r="899">
          <cell r="C899">
            <v>0</v>
          </cell>
          <cell r="D899">
            <v>703.34</v>
          </cell>
          <cell r="E899">
            <v>0</v>
          </cell>
        </row>
        <row r="900">
          <cell r="C900">
            <v>0</v>
          </cell>
          <cell r="D900">
            <v>737.28</v>
          </cell>
          <cell r="E900">
            <v>0</v>
          </cell>
        </row>
        <row r="901">
          <cell r="C901">
            <v>0</v>
          </cell>
          <cell r="D901">
            <v>605.12</v>
          </cell>
          <cell r="E901">
            <v>18832</v>
          </cell>
        </row>
        <row r="902">
          <cell r="C902">
            <v>0</v>
          </cell>
          <cell r="D902">
            <v>854.12</v>
          </cell>
          <cell r="E902">
            <v>0</v>
          </cell>
        </row>
        <row r="903">
          <cell r="C903">
            <v>0</v>
          </cell>
          <cell r="D903">
            <v>761.14</v>
          </cell>
          <cell r="E903">
            <v>0</v>
          </cell>
        </row>
        <row r="904">
          <cell r="C904">
            <v>0</v>
          </cell>
          <cell r="D904">
            <v>516.17999999999995</v>
          </cell>
          <cell r="E904">
            <v>0</v>
          </cell>
        </row>
        <row r="905">
          <cell r="C905">
            <v>0</v>
          </cell>
          <cell r="D905">
            <v>637.11</v>
          </cell>
          <cell r="E905">
            <v>0</v>
          </cell>
        </row>
        <row r="906">
          <cell r="C906">
            <v>0</v>
          </cell>
          <cell r="D906">
            <v>365.61</v>
          </cell>
          <cell r="E906">
            <v>0</v>
          </cell>
        </row>
        <row r="907">
          <cell r="C907">
            <v>0</v>
          </cell>
          <cell r="D907">
            <v>727.95</v>
          </cell>
          <cell r="E907">
            <v>0</v>
          </cell>
        </row>
        <row r="908">
          <cell r="C908">
            <v>0</v>
          </cell>
          <cell r="D908">
            <v>757.45</v>
          </cell>
          <cell r="E908">
            <v>0</v>
          </cell>
        </row>
        <row r="909">
          <cell r="C909">
            <v>0</v>
          </cell>
          <cell r="D909">
            <v>721.07</v>
          </cell>
          <cell r="E909">
            <v>0</v>
          </cell>
        </row>
        <row r="910">
          <cell r="C910">
            <v>0</v>
          </cell>
          <cell r="D910">
            <v>730.16</v>
          </cell>
          <cell r="E910">
            <v>0</v>
          </cell>
        </row>
        <row r="911">
          <cell r="C911">
            <v>0</v>
          </cell>
          <cell r="D911">
            <v>432.02</v>
          </cell>
          <cell r="E911">
            <v>0</v>
          </cell>
        </row>
        <row r="912">
          <cell r="C912">
            <v>0</v>
          </cell>
          <cell r="D912">
            <v>1062.67</v>
          </cell>
          <cell r="E912">
            <v>0</v>
          </cell>
        </row>
        <row r="948">
          <cell r="C948">
            <v>13544.35</v>
          </cell>
          <cell r="D948">
            <v>35268</v>
          </cell>
          <cell r="E948">
            <v>0</v>
          </cell>
          <cell r="F948">
            <v>7147260.9299999997</v>
          </cell>
        </row>
        <row r="949">
          <cell r="C949">
            <v>43883.64</v>
          </cell>
          <cell r="D949">
            <v>78400</v>
          </cell>
          <cell r="E949">
            <v>171105.88751944402</v>
          </cell>
          <cell r="F949">
            <v>28537832.687519446</v>
          </cell>
        </row>
        <row r="950">
          <cell r="C950">
            <v>0</v>
          </cell>
          <cell r="D950">
            <v>53453</v>
          </cell>
          <cell r="E950">
            <v>0</v>
          </cell>
          <cell r="F950">
            <v>2952373.0599999996</v>
          </cell>
        </row>
        <row r="951">
          <cell r="C951">
            <v>13327.62</v>
          </cell>
          <cell r="D951">
            <v>0</v>
          </cell>
          <cell r="E951">
            <v>0</v>
          </cell>
          <cell r="F951">
            <v>8392334.4199999999</v>
          </cell>
        </row>
        <row r="952">
          <cell r="C952">
            <v>24579.78</v>
          </cell>
          <cell r="D952">
            <v>89818</v>
          </cell>
          <cell r="E952">
            <v>23965.202883892351</v>
          </cell>
          <cell r="F952">
            <v>3674076.3828838924</v>
          </cell>
        </row>
        <row r="953">
          <cell r="C953">
            <v>4139.1499999999996</v>
          </cell>
          <cell r="D953">
            <v>0</v>
          </cell>
          <cell r="E953">
            <v>21512.071880029354</v>
          </cell>
          <cell r="F953">
            <v>3444732.1118800291</v>
          </cell>
        </row>
        <row r="954">
          <cell r="C954">
            <v>17878.53</v>
          </cell>
          <cell r="D954">
            <v>71055</v>
          </cell>
          <cell r="E954">
            <v>0</v>
          </cell>
          <cell r="F954">
            <v>1334536.32</v>
          </cell>
        </row>
        <row r="955">
          <cell r="C955">
            <v>0</v>
          </cell>
          <cell r="D955">
            <v>0</v>
          </cell>
          <cell r="E955">
            <v>0</v>
          </cell>
          <cell r="F955">
            <v>1707919.5899999999</v>
          </cell>
        </row>
        <row r="956">
          <cell r="C956">
            <v>9751.91</v>
          </cell>
          <cell r="D956">
            <v>26960</v>
          </cell>
          <cell r="E956">
            <v>0</v>
          </cell>
          <cell r="F956">
            <v>2737693.48</v>
          </cell>
        </row>
        <row r="957">
          <cell r="C957">
            <v>0</v>
          </cell>
          <cell r="D957">
            <v>0</v>
          </cell>
          <cell r="E957">
            <v>0</v>
          </cell>
          <cell r="F957">
            <v>561704.32999999996</v>
          </cell>
        </row>
        <row r="958">
          <cell r="C958">
            <v>0</v>
          </cell>
          <cell r="D958">
            <v>0</v>
          </cell>
          <cell r="E958">
            <v>8916.18768711743</v>
          </cell>
          <cell r="F958">
            <v>1272555.9076871173</v>
          </cell>
        </row>
        <row r="959">
          <cell r="C959">
            <v>10835.48</v>
          </cell>
          <cell r="D959">
            <v>0</v>
          </cell>
          <cell r="E959">
            <v>0</v>
          </cell>
          <cell r="F959">
            <v>8508306.0899999999</v>
          </cell>
        </row>
        <row r="960">
          <cell r="C960">
            <v>0</v>
          </cell>
          <cell r="D960">
            <v>0</v>
          </cell>
          <cell r="E960">
            <v>0</v>
          </cell>
          <cell r="F960">
            <v>2906001.4899999998</v>
          </cell>
        </row>
        <row r="961">
          <cell r="C961">
            <v>8126.6</v>
          </cell>
          <cell r="D961">
            <v>24775</v>
          </cell>
          <cell r="E961">
            <v>18445.658125200607</v>
          </cell>
          <cell r="F961">
            <v>2499324.7981252004</v>
          </cell>
        </row>
        <row r="962">
          <cell r="C962">
            <v>20316.52</v>
          </cell>
          <cell r="D962">
            <v>0</v>
          </cell>
          <cell r="E962">
            <v>0</v>
          </cell>
          <cell r="F962">
            <v>1708413.13</v>
          </cell>
        </row>
        <row r="963">
          <cell r="C963">
            <v>26709.45</v>
          </cell>
          <cell r="D963">
            <v>44000</v>
          </cell>
          <cell r="E963">
            <v>35004.292401275838</v>
          </cell>
          <cell r="F963">
            <v>5531195.5924012754</v>
          </cell>
        </row>
        <row r="964">
          <cell r="C964">
            <v>0</v>
          </cell>
          <cell r="D964">
            <v>0</v>
          </cell>
          <cell r="E964">
            <v>0</v>
          </cell>
          <cell r="F964">
            <v>2243283.29</v>
          </cell>
        </row>
        <row r="965">
          <cell r="C965">
            <v>13544.35</v>
          </cell>
          <cell r="D965">
            <v>81466</v>
          </cell>
          <cell r="E965">
            <v>52176.209428316812</v>
          </cell>
          <cell r="F965">
            <v>7480416.829428317</v>
          </cell>
        </row>
        <row r="966">
          <cell r="C966">
            <v>9481.0300000000007</v>
          </cell>
          <cell r="D966">
            <v>0</v>
          </cell>
          <cell r="E966">
            <v>127374.10981596328</v>
          </cell>
          <cell r="F966">
            <v>14967076.709815964</v>
          </cell>
        </row>
        <row r="967">
          <cell r="C967">
            <v>12569.14</v>
          </cell>
          <cell r="D967">
            <v>0</v>
          </cell>
          <cell r="E967">
            <v>19200.467664850763</v>
          </cell>
          <cell r="F967">
            <v>2898275.4376648506</v>
          </cell>
        </row>
        <row r="968">
          <cell r="C968">
            <v>1751.74</v>
          </cell>
          <cell r="D968">
            <v>0</v>
          </cell>
          <cell r="E968">
            <v>0</v>
          </cell>
          <cell r="F968">
            <v>6166338.2200000007</v>
          </cell>
        </row>
        <row r="969">
          <cell r="C969">
            <v>0</v>
          </cell>
          <cell r="D969">
            <v>0</v>
          </cell>
          <cell r="E969">
            <v>0</v>
          </cell>
          <cell r="F969">
            <v>771567.23</v>
          </cell>
        </row>
        <row r="970">
          <cell r="C970">
            <v>0</v>
          </cell>
          <cell r="D970">
            <v>0</v>
          </cell>
          <cell r="E970">
            <v>0</v>
          </cell>
          <cell r="F970">
            <v>2430337.09</v>
          </cell>
        </row>
        <row r="971">
          <cell r="C971">
            <v>14763.33</v>
          </cell>
          <cell r="D971">
            <v>74272</v>
          </cell>
          <cell r="E971">
            <v>0</v>
          </cell>
          <cell r="F971">
            <v>3154105.41</v>
          </cell>
        </row>
        <row r="972">
          <cell r="C972">
            <v>5417.74</v>
          </cell>
          <cell r="D972">
            <v>49542</v>
          </cell>
          <cell r="E972">
            <v>18492.833721428742</v>
          </cell>
          <cell r="F972">
            <v>2917861.9037214285</v>
          </cell>
        </row>
        <row r="973">
          <cell r="C973">
            <v>0</v>
          </cell>
          <cell r="D973">
            <v>37300</v>
          </cell>
          <cell r="E973">
            <v>0</v>
          </cell>
          <cell r="F973">
            <v>5667657.3300000001</v>
          </cell>
        </row>
        <row r="974">
          <cell r="C974">
            <v>13900.56</v>
          </cell>
          <cell r="D974">
            <v>0</v>
          </cell>
          <cell r="E974">
            <v>15001.839600546786</v>
          </cell>
          <cell r="F974">
            <v>2165571.7696005469</v>
          </cell>
        </row>
        <row r="975">
          <cell r="C975">
            <v>0</v>
          </cell>
          <cell r="D975">
            <v>0</v>
          </cell>
          <cell r="E975">
            <v>0</v>
          </cell>
          <cell r="F975">
            <v>2498077.19</v>
          </cell>
        </row>
        <row r="976">
          <cell r="C976">
            <v>0</v>
          </cell>
          <cell r="D976">
            <v>0</v>
          </cell>
          <cell r="E976">
            <v>0</v>
          </cell>
          <cell r="F976">
            <v>3305313.6500000004</v>
          </cell>
        </row>
        <row r="977">
          <cell r="C977">
            <v>5417.74</v>
          </cell>
          <cell r="D977">
            <v>0</v>
          </cell>
          <cell r="E977">
            <v>0</v>
          </cell>
          <cell r="F977">
            <v>4237398.47</v>
          </cell>
        </row>
        <row r="978">
          <cell r="C978">
            <v>27411.05</v>
          </cell>
          <cell r="D978">
            <v>50000</v>
          </cell>
          <cell r="E978">
            <v>0</v>
          </cell>
          <cell r="F978">
            <v>11952218.939999999</v>
          </cell>
        </row>
        <row r="979">
          <cell r="C979">
            <v>3792.41</v>
          </cell>
          <cell r="D979">
            <v>0</v>
          </cell>
          <cell r="E979">
            <v>0</v>
          </cell>
          <cell r="F979">
            <v>3171396.8499999996</v>
          </cell>
        </row>
        <row r="980">
          <cell r="C980">
            <v>0</v>
          </cell>
          <cell r="D980">
            <v>0</v>
          </cell>
          <cell r="E980">
            <v>0</v>
          </cell>
          <cell r="F980">
            <v>3057032.79</v>
          </cell>
        </row>
        <row r="981">
          <cell r="C981">
            <v>5363.56</v>
          </cell>
          <cell r="D981">
            <v>29260</v>
          </cell>
          <cell r="E981">
            <v>9293.592456942506</v>
          </cell>
          <cell r="F981">
            <v>1572673.7824569424</v>
          </cell>
        </row>
        <row r="982">
          <cell r="C982">
            <v>0</v>
          </cell>
          <cell r="D982">
            <v>0</v>
          </cell>
          <cell r="E982">
            <v>0</v>
          </cell>
          <cell r="F982">
            <v>6608189.5299999993</v>
          </cell>
        </row>
        <row r="983">
          <cell r="C983">
            <v>8126.61</v>
          </cell>
          <cell r="D983">
            <v>0</v>
          </cell>
          <cell r="E983">
            <v>0</v>
          </cell>
          <cell r="F983">
            <v>6211447.96</v>
          </cell>
        </row>
        <row r="984">
          <cell r="C984">
            <v>8126.61</v>
          </cell>
          <cell r="D984">
            <v>39874</v>
          </cell>
          <cell r="E984">
            <v>0</v>
          </cell>
          <cell r="F984">
            <v>6962132.1399999997</v>
          </cell>
        </row>
        <row r="985">
          <cell r="C985">
            <v>3467.35</v>
          </cell>
          <cell r="D985">
            <v>30300</v>
          </cell>
          <cell r="E985">
            <v>35145.819189960239</v>
          </cell>
          <cell r="F985">
            <v>4698819.7691899603</v>
          </cell>
        </row>
        <row r="986">
          <cell r="C986">
            <v>9535.2099999999991</v>
          </cell>
          <cell r="D986">
            <v>7641</v>
          </cell>
          <cell r="E986">
            <v>36183.682306979201</v>
          </cell>
          <cell r="F986">
            <v>4661263.7423069794</v>
          </cell>
        </row>
        <row r="987">
          <cell r="C987">
            <v>921.01</v>
          </cell>
          <cell r="D987">
            <v>0</v>
          </cell>
          <cell r="E987">
            <v>0</v>
          </cell>
          <cell r="F987">
            <v>4021274.5599999996</v>
          </cell>
        </row>
        <row r="988">
          <cell r="C988">
            <v>3088.11</v>
          </cell>
          <cell r="D988">
            <v>0</v>
          </cell>
          <cell r="E988">
            <v>0</v>
          </cell>
          <cell r="F988">
            <v>4311207.3599999994</v>
          </cell>
        </row>
        <row r="989">
          <cell r="C989">
            <v>0</v>
          </cell>
          <cell r="D989">
            <v>0</v>
          </cell>
          <cell r="E989">
            <v>0</v>
          </cell>
          <cell r="F989">
            <v>3853412.25</v>
          </cell>
        </row>
        <row r="990">
          <cell r="C990">
            <v>8560.02</v>
          </cell>
          <cell r="D990">
            <v>0</v>
          </cell>
          <cell r="E990">
            <v>0</v>
          </cell>
          <cell r="F990">
            <v>13438236.770000001</v>
          </cell>
        </row>
        <row r="991">
          <cell r="C991">
            <v>26276.03</v>
          </cell>
          <cell r="D991">
            <v>0</v>
          </cell>
          <cell r="E991">
            <v>0</v>
          </cell>
          <cell r="F991">
            <v>10951949.350000001</v>
          </cell>
        </row>
        <row r="992">
          <cell r="C992">
            <v>0</v>
          </cell>
          <cell r="D992">
            <v>0</v>
          </cell>
          <cell r="E992">
            <v>0</v>
          </cell>
          <cell r="F992">
            <v>6084898.0999999996</v>
          </cell>
        </row>
        <row r="993">
          <cell r="C993">
            <v>0</v>
          </cell>
          <cell r="D993">
            <v>0</v>
          </cell>
          <cell r="E993">
            <v>27550.548197230575</v>
          </cell>
          <cell r="F993">
            <v>3403513.4181972304</v>
          </cell>
        </row>
        <row r="999">
          <cell r="C999">
            <v>0</v>
          </cell>
          <cell r="D999">
            <v>0</v>
          </cell>
          <cell r="E999">
            <v>14813.13721563425</v>
          </cell>
          <cell r="F999">
            <v>2107333.237215634</v>
          </cell>
        </row>
        <row r="1000">
          <cell r="C1000">
            <v>0</v>
          </cell>
          <cell r="D1000">
            <v>0</v>
          </cell>
          <cell r="E1000">
            <v>0</v>
          </cell>
          <cell r="F1000">
            <v>2305537.5099999998</v>
          </cell>
        </row>
        <row r="1001">
          <cell r="C1001">
            <v>0</v>
          </cell>
          <cell r="D1001">
            <v>0</v>
          </cell>
          <cell r="E1001">
            <v>0</v>
          </cell>
          <cell r="F1001">
            <v>3181561.0100000002</v>
          </cell>
        </row>
        <row r="1002">
          <cell r="C1002">
            <v>0</v>
          </cell>
          <cell r="D1002">
            <v>0</v>
          </cell>
          <cell r="E1002">
            <v>0</v>
          </cell>
          <cell r="F1002">
            <v>1893426.2000000002</v>
          </cell>
        </row>
        <row r="1003">
          <cell r="C1003">
            <v>29066.17</v>
          </cell>
          <cell r="D1003">
            <v>40911</v>
          </cell>
          <cell r="E1003">
            <v>0</v>
          </cell>
          <cell r="F1003">
            <v>4311013.7299999995</v>
          </cell>
        </row>
        <row r="1004">
          <cell r="C1004">
            <v>0</v>
          </cell>
          <cell r="D1004">
            <v>0</v>
          </cell>
          <cell r="E1004">
            <v>0</v>
          </cell>
          <cell r="F1004">
            <v>1835333.52</v>
          </cell>
        </row>
        <row r="1005">
          <cell r="C1005">
            <v>3629.88</v>
          </cell>
          <cell r="D1005">
            <v>0</v>
          </cell>
          <cell r="E1005">
            <v>0</v>
          </cell>
          <cell r="F1005">
            <v>2907382.46</v>
          </cell>
        </row>
        <row r="1006">
          <cell r="C1006">
            <v>0</v>
          </cell>
          <cell r="D1006">
            <v>0</v>
          </cell>
          <cell r="E1006">
            <v>0</v>
          </cell>
          <cell r="F1006">
            <v>1929509.5899999999</v>
          </cell>
        </row>
        <row r="1007">
          <cell r="C1007">
            <v>0</v>
          </cell>
          <cell r="D1007">
            <v>0</v>
          </cell>
          <cell r="E1007">
            <v>31843.527453990821</v>
          </cell>
          <cell r="F1007">
            <v>4184205.3574539907</v>
          </cell>
        </row>
        <row r="1008">
          <cell r="C1008">
            <v>14194.47</v>
          </cell>
          <cell r="D1008">
            <v>30000</v>
          </cell>
          <cell r="E1008">
            <v>0</v>
          </cell>
          <cell r="F1008">
            <v>2519381.13</v>
          </cell>
        </row>
        <row r="1009">
          <cell r="C1009">
            <v>24379.83</v>
          </cell>
          <cell r="D1009">
            <v>0</v>
          </cell>
          <cell r="E1009">
            <v>0</v>
          </cell>
          <cell r="F1009">
            <v>14554535.27</v>
          </cell>
        </row>
        <row r="1010">
          <cell r="C1010">
            <v>0</v>
          </cell>
          <cell r="D1010">
            <v>0</v>
          </cell>
          <cell r="E1010">
            <v>0</v>
          </cell>
          <cell r="F1010">
            <v>6066710.4000000004</v>
          </cell>
        </row>
        <row r="1011">
          <cell r="C1011">
            <v>2437.98</v>
          </cell>
          <cell r="D1011">
            <v>0</v>
          </cell>
          <cell r="E1011">
            <v>0</v>
          </cell>
          <cell r="F1011">
            <v>3278894.18</v>
          </cell>
        </row>
        <row r="1012">
          <cell r="C1012">
            <v>21941.81</v>
          </cell>
          <cell r="D1012">
            <v>0</v>
          </cell>
          <cell r="E1012">
            <v>0</v>
          </cell>
          <cell r="F1012">
            <v>5078144.0999999996</v>
          </cell>
        </row>
        <row r="1013">
          <cell r="C1013">
            <v>28470</v>
          </cell>
          <cell r="D1013">
            <v>58679</v>
          </cell>
          <cell r="E1013">
            <v>0</v>
          </cell>
          <cell r="F1013">
            <v>2883254.75</v>
          </cell>
        </row>
        <row r="1014">
          <cell r="C1014">
            <v>16253.22</v>
          </cell>
          <cell r="D1014">
            <v>0</v>
          </cell>
          <cell r="E1014">
            <v>0</v>
          </cell>
          <cell r="F1014">
            <v>14101275.800000001</v>
          </cell>
        </row>
        <row r="1015">
          <cell r="C1015">
            <v>10293.700000000001</v>
          </cell>
          <cell r="D1015">
            <v>0</v>
          </cell>
          <cell r="E1015">
            <v>47175.596228134549</v>
          </cell>
          <cell r="F1015">
            <v>6425781.5162281347</v>
          </cell>
        </row>
        <row r="1016">
          <cell r="C1016">
            <v>7693.18</v>
          </cell>
          <cell r="D1016">
            <v>0</v>
          </cell>
          <cell r="E1016">
            <v>0</v>
          </cell>
          <cell r="F1016">
            <v>4347718.07</v>
          </cell>
        </row>
        <row r="1017">
          <cell r="C1017">
            <v>10483.32</v>
          </cell>
          <cell r="D1017">
            <v>65226</v>
          </cell>
          <cell r="E1017">
            <v>69300.950859129662</v>
          </cell>
          <cell r="F1017">
            <v>9691379.7308591306</v>
          </cell>
        </row>
        <row r="1018">
          <cell r="C1018">
            <v>13381.79</v>
          </cell>
          <cell r="D1018">
            <v>68160</v>
          </cell>
          <cell r="E1018">
            <v>0</v>
          </cell>
          <cell r="F1018">
            <v>3671146.9299999997</v>
          </cell>
        </row>
        <row r="1019">
          <cell r="C1019">
            <v>0</v>
          </cell>
          <cell r="D1019">
            <v>0</v>
          </cell>
          <cell r="E1019">
            <v>0</v>
          </cell>
          <cell r="F1019">
            <v>3401504.7</v>
          </cell>
        </row>
        <row r="1020">
          <cell r="C1020">
            <v>0</v>
          </cell>
          <cell r="D1020">
            <v>0</v>
          </cell>
          <cell r="E1020">
            <v>0</v>
          </cell>
          <cell r="F1020">
            <v>5494303.6300000008</v>
          </cell>
        </row>
        <row r="1021">
          <cell r="C1021">
            <v>0</v>
          </cell>
          <cell r="D1021">
            <v>0</v>
          </cell>
          <cell r="E1021">
            <v>0</v>
          </cell>
          <cell r="F1021">
            <v>1161569.98</v>
          </cell>
        </row>
        <row r="1022">
          <cell r="C1022">
            <v>0</v>
          </cell>
          <cell r="D1022">
            <v>0</v>
          </cell>
          <cell r="E1022">
            <v>0</v>
          </cell>
          <cell r="F1022">
            <v>3961470.58</v>
          </cell>
        </row>
        <row r="1023">
          <cell r="C1023">
            <v>0</v>
          </cell>
          <cell r="D1023">
            <v>0</v>
          </cell>
          <cell r="E1023">
            <v>0</v>
          </cell>
          <cell r="F1023">
            <v>3457906.9699999997</v>
          </cell>
        </row>
        <row r="1024">
          <cell r="C1024">
            <v>0</v>
          </cell>
          <cell r="D1024">
            <v>0</v>
          </cell>
          <cell r="E1024">
            <v>27314.670216089904</v>
          </cell>
          <cell r="F1024">
            <v>3687762.0202160897</v>
          </cell>
        </row>
        <row r="1025">
          <cell r="C1025">
            <v>0</v>
          </cell>
          <cell r="D1025">
            <v>0</v>
          </cell>
          <cell r="E1025">
            <v>0</v>
          </cell>
          <cell r="F1025">
            <v>3852769.34</v>
          </cell>
        </row>
        <row r="1026">
          <cell r="C1026">
            <v>0</v>
          </cell>
          <cell r="D1026">
            <v>0</v>
          </cell>
          <cell r="E1026">
            <v>23210.393344242195</v>
          </cell>
          <cell r="F1026">
            <v>2938254.5333442418</v>
          </cell>
        </row>
        <row r="1027">
          <cell r="C1027">
            <v>8993.44</v>
          </cell>
          <cell r="D1027">
            <v>0</v>
          </cell>
          <cell r="E1027">
            <v>0</v>
          </cell>
          <cell r="F1027">
            <v>6092561.1299999999</v>
          </cell>
        </row>
        <row r="1028">
          <cell r="C1028">
            <v>2437.98</v>
          </cell>
          <cell r="D1028">
            <v>0</v>
          </cell>
          <cell r="E1028">
            <v>0</v>
          </cell>
          <cell r="F1028">
            <v>3625849.62</v>
          </cell>
        </row>
        <row r="1029">
          <cell r="C1029">
            <v>0</v>
          </cell>
          <cell r="D1029">
            <v>0</v>
          </cell>
          <cell r="E1029">
            <v>0</v>
          </cell>
          <cell r="F1029">
            <v>856168.35000000009</v>
          </cell>
        </row>
        <row r="1030">
          <cell r="C1030">
            <v>13761.05</v>
          </cell>
          <cell r="D1030">
            <v>0</v>
          </cell>
          <cell r="E1030">
            <v>0</v>
          </cell>
          <cell r="F1030">
            <v>4280844.71</v>
          </cell>
        </row>
        <row r="1031">
          <cell r="C1031">
            <v>5417.74</v>
          </cell>
          <cell r="D1031">
            <v>0</v>
          </cell>
          <cell r="E1031">
            <v>21795.125457398161</v>
          </cell>
          <cell r="F1031">
            <v>2799469.985457398</v>
          </cell>
        </row>
        <row r="1032">
          <cell r="C1032">
            <v>0</v>
          </cell>
          <cell r="D1032">
            <v>0</v>
          </cell>
          <cell r="E1032">
            <v>0</v>
          </cell>
          <cell r="F1032">
            <v>2487602.54</v>
          </cell>
        </row>
        <row r="1033">
          <cell r="C1033">
            <v>0</v>
          </cell>
          <cell r="D1033">
            <v>0</v>
          </cell>
          <cell r="E1033">
            <v>0</v>
          </cell>
          <cell r="F1033">
            <v>2134730.86</v>
          </cell>
        </row>
        <row r="1034">
          <cell r="C1034">
            <v>5417.74</v>
          </cell>
          <cell r="D1034">
            <v>0</v>
          </cell>
          <cell r="E1034">
            <v>0</v>
          </cell>
          <cell r="F1034">
            <v>1597723.71</v>
          </cell>
        </row>
        <row r="1035">
          <cell r="C1035">
            <v>4875.96</v>
          </cell>
          <cell r="D1035">
            <v>0</v>
          </cell>
          <cell r="E1035">
            <v>0</v>
          </cell>
          <cell r="F1035">
            <v>1663279.0699999998</v>
          </cell>
        </row>
        <row r="1036">
          <cell r="C1036">
            <v>0</v>
          </cell>
          <cell r="D1036">
            <v>0</v>
          </cell>
          <cell r="E1036">
            <v>0</v>
          </cell>
          <cell r="F1036">
            <v>2956980.7800000003</v>
          </cell>
        </row>
        <row r="1037">
          <cell r="C1037">
            <v>0</v>
          </cell>
          <cell r="D1037">
            <v>0</v>
          </cell>
          <cell r="E1037">
            <v>26323.982695299081</v>
          </cell>
          <cell r="F1037">
            <v>3208279.6526952991</v>
          </cell>
        </row>
        <row r="1038">
          <cell r="C1038">
            <v>0</v>
          </cell>
          <cell r="D1038">
            <v>0</v>
          </cell>
          <cell r="E1038">
            <v>0</v>
          </cell>
          <cell r="F1038">
            <v>2524869.7999999998</v>
          </cell>
        </row>
        <row r="1039">
          <cell r="C1039">
            <v>0</v>
          </cell>
          <cell r="D1039">
            <v>0</v>
          </cell>
          <cell r="E1039">
            <v>0</v>
          </cell>
          <cell r="F1039">
            <v>3141736.16</v>
          </cell>
        </row>
        <row r="1040">
          <cell r="C1040">
            <v>0</v>
          </cell>
          <cell r="D1040">
            <v>0</v>
          </cell>
          <cell r="E1040">
            <v>0</v>
          </cell>
          <cell r="F1040">
            <v>205627.40999999997</v>
          </cell>
        </row>
        <row r="1041">
          <cell r="C1041">
            <v>0</v>
          </cell>
          <cell r="D1041">
            <v>0</v>
          </cell>
          <cell r="E1041">
            <v>0</v>
          </cell>
          <cell r="F1041">
            <v>783220.98</v>
          </cell>
        </row>
        <row r="1042">
          <cell r="C1042">
            <v>9481.0400000000009</v>
          </cell>
          <cell r="D1042">
            <v>35000</v>
          </cell>
          <cell r="E1042">
            <v>0</v>
          </cell>
          <cell r="F1042">
            <v>1267703.4099999999</v>
          </cell>
        </row>
        <row r="1048">
          <cell r="C1048">
            <v>5688.62</v>
          </cell>
          <cell r="D1048">
            <v>0</v>
          </cell>
          <cell r="E1048">
            <v>0</v>
          </cell>
          <cell r="F1048">
            <v>8289053.1499999994</v>
          </cell>
        </row>
        <row r="1049">
          <cell r="C1049">
            <v>5417.74</v>
          </cell>
          <cell r="D1049">
            <v>0</v>
          </cell>
          <cell r="E1049">
            <v>90246.915584421396</v>
          </cell>
          <cell r="F1049">
            <v>11859125.175584422</v>
          </cell>
        </row>
        <row r="1050">
          <cell r="C1050">
            <v>0</v>
          </cell>
          <cell r="D1050">
            <v>0</v>
          </cell>
          <cell r="E1050">
            <v>0</v>
          </cell>
          <cell r="F1050">
            <v>2474447.69</v>
          </cell>
        </row>
        <row r="1051">
          <cell r="C1051">
            <v>0</v>
          </cell>
          <cell r="D1051">
            <v>0</v>
          </cell>
          <cell r="E1051">
            <v>0</v>
          </cell>
          <cell r="F1051">
            <v>640800.03999999992</v>
          </cell>
        </row>
        <row r="1052">
          <cell r="C1052">
            <v>2708.87</v>
          </cell>
          <cell r="D1052">
            <v>0</v>
          </cell>
          <cell r="E1052">
            <v>0</v>
          </cell>
          <cell r="F1052">
            <v>2960631.6000000006</v>
          </cell>
        </row>
        <row r="1053">
          <cell r="C1053">
            <v>0</v>
          </cell>
          <cell r="D1053">
            <v>0</v>
          </cell>
          <cell r="E1053">
            <v>24767.188019770641</v>
          </cell>
          <cell r="F1053">
            <v>3298355.528019771</v>
          </cell>
        </row>
        <row r="1054">
          <cell r="C1054">
            <v>0</v>
          </cell>
          <cell r="D1054">
            <v>0</v>
          </cell>
          <cell r="E1054">
            <v>0</v>
          </cell>
          <cell r="F1054">
            <v>2298723.52</v>
          </cell>
        </row>
        <row r="1055">
          <cell r="C1055">
            <v>0</v>
          </cell>
          <cell r="D1055">
            <v>0</v>
          </cell>
          <cell r="E1055">
            <v>0</v>
          </cell>
          <cell r="F1055">
            <v>4019699.16</v>
          </cell>
        </row>
        <row r="1056">
          <cell r="C1056">
            <v>10835.48</v>
          </cell>
          <cell r="D1056">
            <v>0</v>
          </cell>
          <cell r="E1056">
            <v>0</v>
          </cell>
          <cell r="F1056">
            <v>3372360.59</v>
          </cell>
        </row>
        <row r="1057">
          <cell r="C1057">
            <v>10097.57</v>
          </cell>
          <cell r="D1057">
            <v>56162</v>
          </cell>
          <cell r="E1057">
            <v>0</v>
          </cell>
          <cell r="F1057">
            <v>2622731.7999999998</v>
          </cell>
        </row>
        <row r="1058">
          <cell r="C1058">
            <v>10835.48</v>
          </cell>
          <cell r="D1058">
            <v>0</v>
          </cell>
          <cell r="E1058">
            <v>0</v>
          </cell>
          <cell r="F1058">
            <v>3347959.26</v>
          </cell>
        </row>
        <row r="1059">
          <cell r="C1059">
            <v>7747.36</v>
          </cell>
          <cell r="D1059">
            <v>0</v>
          </cell>
          <cell r="E1059">
            <v>0</v>
          </cell>
          <cell r="F1059">
            <v>1159083.83</v>
          </cell>
        </row>
        <row r="1060">
          <cell r="C1060">
            <v>0</v>
          </cell>
          <cell r="D1060">
            <v>0</v>
          </cell>
          <cell r="E1060">
            <v>0</v>
          </cell>
          <cell r="F1060">
            <v>3358796.2199999997</v>
          </cell>
        </row>
        <row r="1061">
          <cell r="C1061">
            <v>0</v>
          </cell>
          <cell r="D1061">
            <v>0</v>
          </cell>
          <cell r="E1061">
            <v>0</v>
          </cell>
          <cell r="F1061">
            <v>3192811.8099999996</v>
          </cell>
        </row>
        <row r="1062">
          <cell r="C1062">
            <v>0</v>
          </cell>
          <cell r="D1062">
            <v>0</v>
          </cell>
          <cell r="E1062">
            <v>23587.798114067275</v>
          </cell>
          <cell r="F1062">
            <v>2921387.5581140672</v>
          </cell>
        </row>
        <row r="1063">
          <cell r="C1063">
            <v>0</v>
          </cell>
          <cell r="D1063">
            <v>0</v>
          </cell>
          <cell r="E1063">
            <v>0</v>
          </cell>
          <cell r="F1063">
            <v>2998140.9699999997</v>
          </cell>
        </row>
        <row r="1064">
          <cell r="C1064">
            <v>0</v>
          </cell>
          <cell r="D1064">
            <v>0</v>
          </cell>
          <cell r="E1064">
            <v>0</v>
          </cell>
          <cell r="F1064">
            <v>1481537.33</v>
          </cell>
        </row>
        <row r="1065">
          <cell r="C1065">
            <v>0</v>
          </cell>
          <cell r="D1065">
            <v>0</v>
          </cell>
          <cell r="E1065">
            <v>0</v>
          </cell>
          <cell r="F1065">
            <v>5010240.55</v>
          </cell>
        </row>
        <row r="1101">
          <cell r="C1101">
            <v>11981.29</v>
          </cell>
          <cell r="D1101">
            <v>0</v>
          </cell>
          <cell r="E1101">
            <v>0</v>
          </cell>
          <cell r="F1101">
            <v>0</v>
          </cell>
        </row>
        <row r="1102">
          <cell r="C1102">
            <v>40783.26</v>
          </cell>
          <cell r="D1102">
            <v>0</v>
          </cell>
          <cell r="E1102">
            <v>0</v>
          </cell>
          <cell r="F1102">
            <v>39655.318960590579</v>
          </cell>
        </row>
        <row r="1103">
          <cell r="C1103">
            <v>6603.73</v>
          </cell>
          <cell r="D1103">
            <v>0</v>
          </cell>
          <cell r="E1103">
            <v>0</v>
          </cell>
          <cell r="F1103">
            <v>0</v>
          </cell>
        </row>
        <row r="1104">
          <cell r="C1104">
            <v>14751.81</v>
          </cell>
          <cell r="D1104">
            <v>0</v>
          </cell>
          <cell r="E1104">
            <v>0</v>
          </cell>
          <cell r="F1104">
            <v>5000</v>
          </cell>
        </row>
        <row r="1105">
          <cell r="C1105">
            <v>4357.74</v>
          </cell>
          <cell r="D1105">
            <v>0</v>
          </cell>
          <cell r="E1105">
            <v>0</v>
          </cell>
          <cell r="F1105">
            <v>5554.1499950317102</v>
          </cell>
        </row>
        <row r="1106">
          <cell r="C1106">
            <v>5509.79</v>
          </cell>
          <cell r="D1106">
            <v>0</v>
          </cell>
          <cell r="E1106">
            <v>0</v>
          </cell>
          <cell r="F1106">
            <v>4985.6149561701968</v>
          </cell>
        </row>
        <row r="1107">
          <cell r="C1107">
            <v>2950.64</v>
          </cell>
          <cell r="D1107">
            <v>0</v>
          </cell>
          <cell r="E1107">
            <v>0</v>
          </cell>
          <cell r="F1107">
            <v>5000</v>
          </cell>
        </row>
        <row r="1108">
          <cell r="C1108">
            <v>3118.94</v>
          </cell>
          <cell r="D1108">
            <v>0</v>
          </cell>
          <cell r="E1108">
            <v>0</v>
          </cell>
          <cell r="F1108">
            <v>0</v>
          </cell>
        </row>
        <row r="1109">
          <cell r="C1109">
            <v>4188.4399999999996</v>
          </cell>
          <cell r="D1109">
            <v>0</v>
          </cell>
          <cell r="E1109">
            <v>0</v>
          </cell>
          <cell r="F1109">
            <v>0</v>
          </cell>
        </row>
        <row r="1110">
          <cell r="C1110">
            <v>990.63</v>
          </cell>
          <cell r="D1110">
            <v>0</v>
          </cell>
          <cell r="E1110">
            <v>0</v>
          </cell>
          <cell r="F1110">
            <v>0</v>
          </cell>
        </row>
        <row r="1111">
          <cell r="C1111">
            <v>2454.16</v>
          </cell>
          <cell r="D1111">
            <v>0</v>
          </cell>
          <cell r="E1111">
            <v>0</v>
          </cell>
          <cell r="F1111">
            <v>2066.4061989389629</v>
          </cell>
        </row>
        <row r="1112">
          <cell r="C1112">
            <v>12496.2</v>
          </cell>
          <cell r="D1112">
            <v>0</v>
          </cell>
          <cell r="E1112">
            <v>0</v>
          </cell>
          <cell r="F1112">
            <v>0</v>
          </cell>
        </row>
        <row r="1113">
          <cell r="C1113">
            <v>4482.96</v>
          </cell>
          <cell r="D1113">
            <v>0</v>
          </cell>
          <cell r="E1113">
            <v>0</v>
          </cell>
          <cell r="F1113">
            <v>0</v>
          </cell>
        </row>
        <row r="1114">
          <cell r="C1114">
            <v>3628.45</v>
          </cell>
          <cell r="D1114">
            <v>0</v>
          </cell>
          <cell r="E1114">
            <v>0</v>
          </cell>
          <cell r="F1114">
            <v>4274.9461575933046</v>
          </cell>
        </row>
        <row r="1115">
          <cell r="C1115">
            <v>3079.47</v>
          </cell>
          <cell r="D1115">
            <v>0</v>
          </cell>
          <cell r="E1115">
            <v>0</v>
          </cell>
          <cell r="F1115">
            <v>0</v>
          </cell>
        </row>
        <row r="1116">
          <cell r="C1116">
            <v>5958.59</v>
          </cell>
          <cell r="D1116">
            <v>0</v>
          </cell>
          <cell r="E1116">
            <v>0</v>
          </cell>
          <cell r="F1116">
            <v>8112.5576699085213</v>
          </cell>
        </row>
        <row r="1117">
          <cell r="C1117">
            <v>3362.22</v>
          </cell>
          <cell r="D1117">
            <v>0</v>
          </cell>
          <cell r="E1117">
            <v>0</v>
          </cell>
          <cell r="F1117">
            <v>0</v>
          </cell>
        </row>
        <row r="1118">
          <cell r="C1118">
            <v>11073.67</v>
          </cell>
          <cell r="D1118">
            <v>0</v>
          </cell>
          <cell r="E1118">
            <v>0</v>
          </cell>
          <cell r="F1118">
            <v>12092.302941939117</v>
          </cell>
        </row>
        <row r="1119">
          <cell r="C1119">
            <v>17978.939999999999</v>
          </cell>
          <cell r="D1119">
            <v>0</v>
          </cell>
          <cell r="E1119">
            <v>0</v>
          </cell>
          <cell r="F1119">
            <v>29520.088556270901</v>
          </cell>
        </row>
        <row r="1120">
          <cell r="C1120">
            <v>3486.19</v>
          </cell>
          <cell r="D1120">
            <v>0</v>
          </cell>
          <cell r="E1120">
            <v>0</v>
          </cell>
          <cell r="F1120">
            <v>4449.8800157045398</v>
          </cell>
        </row>
        <row r="1121">
          <cell r="C1121">
            <v>8485.8799999999992</v>
          </cell>
          <cell r="D1121">
            <v>0</v>
          </cell>
          <cell r="E1121">
            <v>0</v>
          </cell>
          <cell r="F1121">
            <v>0</v>
          </cell>
        </row>
        <row r="1122">
          <cell r="C1122">
            <v>901.6</v>
          </cell>
          <cell r="D1122">
            <v>0</v>
          </cell>
          <cell r="E1122">
            <v>0</v>
          </cell>
          <cell r="F1122">
            <v>0</v>
          </cell>
        </row>
        <row r="1123">
          <cell r="C1123">
            <v>2614.65</v>
          </cell>
          <cell r="D1123">
            <v>0</v>
          </cell>
          <cell r="E1123">
            <v>0</v>
          </cell>
          <cell r="F1123">
            <v>0</v>
          </cell>
        </row>
        <row r="1124">
          <cell r="C1124">
            <v>2009.57</v>
          </cell>
          <cell r="D1124">
            <v>0</v>
          </cell>
          <cell r="E1124">
            <v>0</v>
          </cell>
          <cell r="F1124">
            <v>5000</v>
          </cell>
        </row>
        <row r="1125">
          <cell r="C1125">
            <v>3289.04</v>
          </cell>
          <cell r="D1125">
            <v>0</v>
          </cell>
          <cell r="E1125">
            <v>0</v>
          </cell>
          <cell r="F1125">
            <v>4285.8795237252561</v>
          </cell>
        </row>
        <row r="1126">
          <cell r="C1126">
            <v>8023.66</v>
          </cell>
          <cell r="D1126">
            <v>0</v>
          </cell>
          <cell r="E1126">
            <v>0</v>
          </cell>
          <cell r="F1126">
            <v>0</v>
          </cell>
        </row>
        <row r="1127">
          <cell r="C1127">
            <v>3524.26</v>
          </cell>
          <cell r="D1127">
            <v>0</v>
          </cell>
          <cell r="E1127">
            <v>0</v>
          </cell>
          <cell r="F1127">
            <v>3476.8104299607949</v>
          </cell>
        </row>
        <row r="1128">
          <cell r="C1128">
            <v>3881.9</v>
          </cell>
          <cell r="D1128">
            <v>0</v>
          </cell>
          <cell r="E1128">
            <v>0</v>
          </cell>
          <cell r="F1128">
            <v>0</v>
          </cell>
        </row>
        <row r="1129">
          <cell r="C1129">
            <v>5389.58</v>
          </cell>
          <cell r="D1129">
            <v>0</v>
          </cell>
          <cell r="E1129">
            <v>0</v>
          </cell>
          <cell r="F1129">
            <v>0</v>
          </cell>
        </row>
        <row r="1130">
          <cell r="C1130">
            <v>6812.1</v>
          </cell>
          <cell r="D1130">
            <v>0</v>
          </cell>
          <cell r="E1130">
            <v>0</v>
          </cell>
          <cell r="F1130">
            <v>0</v>
          </cell>
        </row>
        <row r="1131">
          <cell r="C1131">
            <v>16753.77</v>
          </cell>
          <cell r="D1131">
            <v>0</v>
          </cell>
          <cell r="E1131">
            <v>0</v>
          </cell>
          <cell r="F1131">
            <v>0</v>
          </cell>
        </row>
        <row r="1132">
          <cell r="C1132">
            <v>5263.75</v>
          </cell>
          <cell r="D1132">
            <v>0</v>
          </cell>
          <cell r="E1132">
            <v>0</v>
          </cell>
          <cell r="F1132">
            <v>0</v>
          </cell>
        </row>
        <row r="1133">
          <cell r="C1133">
            <v>4172.8100000000004</v>
          </cell>
          <cell r="D1133">
            <v>0</v>
          </cell>
          <cell r="E1133">
            <v>0</v>
          </cell>
          <cell r="F1133">
            <v>0</v>
          </cell>
        </row>
        <row r="1134">
          <cell r="C1134">
            <v>1980.92</v>
          </cell>
          <cell r="D1134">
            <v>0</v>
          </cell>
          <cell r="E1134">
            <v>0</v>
          </cell>
          <cell r="F1134">
            <v>2153.8731279945805</v>
          </cell>
        </row>
        <row r="1135">
          <cell r="C1135">
            <v>9617.09</v>
          </cell>
          <cell r="D1135">
            <v>0</v>
          </cell>
          <cell r="E1135">
            <v>0</v>
          </cell>
          <cell r="F1135">
            <v>0</v>
          </cell>
        </row>
        <row r="1136">
          <cell r="C1136">
            <v>8304.75</v>
          </cell>
          <cell r="D1136">
            <v>0</v>
          </cell>
          <cell r="E1136">
            <v>0</v>
          </cell>
          <cell r="F1136">
            <v>0</v>
          </cell>
        </row>
        <row r="1137">
          <cell r="C1137">
            <v>10105.950000000001</v>
          </cell>
          <cell r="D1137">
            <v>0</v>
          </cell>
          <cell r="E1137">
            <v>0</v>
          </cell>
          <cell r="F1137">
            <v>0</v>
          </cell>
        </row>
        <row r="1138">
          <cell r="C1138">
            <v>7068.56</v>
          </cell>
          <cell r="D1138">
            <v>0</v>
          </cell>
          <cell r="E1138">
            <v>0</v>
          </cell>
          <cell r="F1138">
            <v>8145.3577683043786</v>
          </cell>
        </row>
        <row r="1139">
          <cell r="C1139">
            <v>5910.4</v>
          </cell>
          <cell r="D1139">
            <v>941.71923808382553</v>
          </cell>
          <cell r="E1139">
            <v>0</v>
          </cell>
          <cell r="F1139">
            <v>8385.8918232073265</v>
          </cell>
        </row>
        <row r="1140">
          <cell r="C1140">
            <v>6227.06</v>
          </cell>
          <cell r="D1140">
            <v>0</v>
          </cell>
          <cell r="E1140">
            <v>0</v>
          </cell>
          <cell r="F1140">
            <v>0</v>
          </cell>
        </row>
        <row r="1141">
          <cell r="C1141">
            <v>6639</v>
          </cell>
          <cell r="D1141">
            <v>0</v>
          </cell>
          <cell r="E1141">
            <v>0</v>
          </cell>
          <cell r="F1141">
            <v>0</v>
          </cell>
        </row>
        <row r="1142">
          <cell r="C1142">
            <v>7262.9</v>
          </cell>
          <cell r="D1142">
            <v>0</v>
          </cell>
          <cell r="E1142">
            <v>0</v>
          </cell>
          <cell r="F1142">
            <v>0</v>
          </cell>
        </row>
        <row r="1143">
          <cell r="C1143">
            <v>15727.94</v>
          </cell>
          <cell r="D1143">
            <v>0</v>
          </cell>
          <cell r="E1143">
            <v>0</v>
          </cell>
          <cell r="F1143">
            <v>5000</v>
          </cell>
        </row>
        <row r="1144">
          <cell r="C1144">
            <v>16766.79</v>
          </cell>
          <cell r="D1144">
            <v>0</v>
          </cell>
          <cell r="E1144">
            <v>0</v>
          </cell>
          <cell r="F1144">
            <v>0</v>
          </cell>
        </row>
        <row r="1145">
          <cell r="C1145">
            <v>8990.9699999999993</v>
          </cell>
          <cell r="D1145">
            <v>0</v>
          </cell>
          <cell r="E1145">
            <v>0</v>
          </cell>
          <cell r="F1145">
            <v>5000</v>
          </cell>
        </row>
        <row r="1146">
          <cell r="C1146">
            <v>4407.83</v>
          </cell>
          <cell r="D1146">
            <v>0</v>
          </cell>
          <cell r="E1146">
            <v>0</v>
          </cell>
          <cell r="F1146">
            <v>6385.0858210600754</v>
          </cell>
        </row>
        <row r="1152">
          <cell r="C1152">
            <v>2029.61</v>
          </cell>
          <cell r="D1152">
            <v>0</v>
          </cell>
          <cell r="E1152">
            <v>0</v>
          </cell>
          <cell r="F1152">
            <v>3433.0769654329865</v>
          </cell>
        </row>
        <row r="1153">
          <cell r="C1153">
            <v>4307.6499999999996</v>
          </cell>
          <cell r="D1153">
            <v>0</v>
          </cell>
          <cell r="E1153">
            <v>0</v>
          </cell>
          <cell r="F1153">
            <v>0</v>
          </cell>
        </row>
        <row r="1154">
          <cell r="C1154">
            <v>3806.76</v>
          </cell>
          <cell r="D1154">
            <v>0</v>
          </cell>
          <cell r="E1154">
            <v>0</v>
          </cell>
          <cell r="F1154">
            <v>0</v>
          </cell>
        </row>
        <row r="1155">
          <cell r="C1155">
            <v>3052.02</v>
          </cell>
          <cell r="D1155">
            <v>0</v>
          </cell>
          <cell r="E1155">
            <v>0</v>
          </cell>
          <cell r="F1155">
            <v>5000</v>
          </cell>
        </row>
        <row r="1156">
          <cell r="C1156">
            <v>7418.58</v>
          </cell>
          <cell r="D1156">
            <v>0</v>
          </cell>
          <cell r="E1156">
            <v>0</v>
          </cell>
          <cell r="F1156">
            <v>0</v>
          </cell>
        </row>
        <row r="1157">
          <cell r="C1157">
            <v>2504.4499999999998</v>
          </cell>
          <cell r="D1157">
            <v>0</v>
          </cell>
          <cell r="E1157">
            <v>0</v>
          </cell>
          <cell r="F1157">
            <v>0</v>
          </cell>
        </row>
        <row r="1158">
          <cell r="C1158">
            <v>3025.38</v>
          </cell>
          <cell r="D1158">
            <v>0</v>
          </cell>
          <cell r="E1158">
            <v>0</v>
          </cell>
          <cell r="F1158">
            <v>0</v>
          </cell>
        </row>
        <row r="1159">
          <cell r="C1159">
            <v>3406.05</v>
          </cell>
          <cell r="D1159">
            <v>0</v>
          </cell>
          <cell r="E1159">
            <v>0</v>
          </cell>
          <cell r="F1159">
            <v>0</v>
          </cell>
        </row>
        <row r="1160">
          <cell r="C1160">
            <v>5159.17</v>
          </cell>
          <cell r="D1160">
            <v>0</v>
          </cell>
          <cell r="E1160">
            <v>0</v>
          </cell>
          <cell r="F1160">
            <v>7380.0221390677252</v>
          </cell>
        </row>
        <row r="1161">
          <cell r="C1161">
            <v>3796.75</v>
          </cell>
          <cell r="D1161">
            <v>0</v>
          </cell>
          <cell r="E1161">
            <v>0</v>
          </cell>
          <cell r="F1161">
            <v>0</v>
          </cell>
        </row>
        <row r="1162">
          <cell r="C1162">
            <v>24620.34</v>
          </cell>
          <cell r="D1162">
            <v>0</v>
          </cell>
          <cell r="E1162">
            <v>0</v>
          </cell>
          <cell r="F1162">
            <v>0</v>
          </cell>
        </row>
        <row r="1163">
          <cell r="C1163">
            <v>8985.9699999999993</v>
          </cell>
          <cell r="D1163">
            <v>0</v>
          </cell>
          <cell r="E1163">
            <v>0</v>
          </cell>
          <cell r="F1163">
            <v>5000</v>
          </cell>
        </row>
        <row r="1164">
          <cell r="C1164">
            <v>3706.59</v>
          </cell>
          <cell r="D1164">
            <v>0</v>
          </cell>
          <cell r="E1164">
            <v>0</v>
          </cell>
          <cell r="F1164">
            <v>0</v>
          </cell>
        </row>
        <row r="1165">
          <cell r="C1165">
            <v>8424.9699999999993</v>
          </cell>
          <cell r="D1165">
            <v>0</v>
          </cell>
          <cell r="E1165">
            <v>0</v>
          </cell>
          <cell r="F1165">
            <v>5000</v>
          </cell>
        </row>
        <row r="1166">
          <cell r="C1166">
            <v>4487.97</v>
          </cell>
          <cell r="D1166">
            <v>0</v>
          </cell>
          <cell r="E1166">
            <v>0</v>
          </cell>
          <cell r="F1166">
            <v>0</v>
          </cell>
        </row>
        <row r="1167">
          <cell r="C1167">
            <v>14294</v>
          </cell>
          <cell r="D1167">
            <v>0</v>
          </cell>
          <cell r="E1167">
            <v>0</v>
          </cell>
          <cell r="F1167">
            <v>0</v>
          </cell>
        </row>
        <row r="1168">
          <cell r="C1168">
            <v>9126.2099999999991</v>
          </cell>
          <cell r="D1168">
            <v>0</v>
          </cell>
          <cell r="E1168">
            <v>0</v>
          </cell>
          <cell r="F1168">
            <v>10933.366131952185</v>
          </cell>
        </row>
        <row r="1169">
          <cell r="C1169">
            <v>5385.57</v>
          </cell>
          <cell r="D1169">
            <v>0</v>
          </cell>
          <cell r="E1169">
            <v>0</v>
          </cell>
          <cell r="F1169">
            <v>0</v>
          </cell>
        </row>
        <row r="1170">
          <cell r="C1170">
            <v>13003.1</v>
          </cell>
          <cell r="D1170">
            <v>0</v>
          </cell>
          <cell r="E1170">
            <v>0</v>
          </cell>
          <cell r="F1170">
            <v>16061.114847837762</v>
          </cell>
        </row>
        <row r="1171">
          <cell r="C1171">
            <v>5944.56</v>
          </cell>
          <cell r="D1171">
            <v>0</v>
          </cell>
          <cell r="E1171">
            <v>0</v>
          </cell>
          <cell r="F1171">
            <v>0</v>
          </cell>
        </row>
        <row r="1172">
          <cell r="C1172">
            <v>5439.66</v>
          </cell>
          <cell r="D1172">
            <v>0</v>
          </cell>
          <cell r="E1172">
            <v>0</v>
          </cell>
          <cell r="F1172">
            <v>0</v>
          </cell>
        </row>
        <row r="1173">
          <cell r="C1173">
            <v>8491.09</v>
          </cell>
          <cell r="D1173">
            <v>0</v>
          </cell>
          <cell r="E1173">
            <v>0</v>
          </cell>
          <cell r="F1173">
            <v>0</v>
          </cell>
        </row>
        <row r="1174">
          <cell r="C1174">
            <v>2289.0700000000002</v>
          </cell>
          <cell r="D1174">
            <v>0</v>
          </cell>
          <cell r="E1174">
            <v>0</v>
          </cell>
          <cell r="F1174">
            <v>0</v>
          </cell>
        </row>
        <row r="1175">
          <cell r="C1175">
            <v>5710.15</v>
          </cell>
          <cell r="D1175">
            <v>0</v>
          </cell>
          <cell r="E1175">
            <v>0</v>
          </cell>
          <cell r="F1175">
            <v>5000</v>
          </cell>
        </row>
        <row r="1176">
          <cell r="C1176">
            <v>3627.44</v>
          </cell>
          <cell r="D1176">
            <v>0</v>
          </cell>
          <cell r="E1176">
            <v>0</v>
          </cell>
          <cell r="F1176">
            <v>0</v>
          </cell>
        </row>
        <row r="1177">
          <cell r="C1177">
            <v>6005.07</v>
          </cell>
          <cell r="D1177">
            <v>0</v>
          </cell>
          <cell r="E1177">
            <v>0</v>
          </cell>
          <cell r="F1177">
            <v>6330.4189904003151</v>
          </cell>
        </row>
        <row r="1178">
          <cell r="C1178">
            <v>3875.89</v>
          </cell>
          <cell r="D1178">
            <v>0</v>
          </cell>
          <cell r="E1178">
            <v>0</v>
          </cell>
          <cell r="F1178">
            <v>0</v>
          </cell>
        </row>
        <row r="1179">
          <cell r="C1179">
            <v>4007.12</v>
          </cell>
          <cell r="D1179">
            <v>0</v>
          </cell>
          <cell r="E1179">
            <v>0</v>
          </cell>
          <cell r="F1179">
            <v>5379.216136920475</v>
          </cell>
        </row>
        <row r="1180">
          <cell r="C1180">
            <v>5533.03</v>
          </cell>
          <cell r="D1180">
            <v>0</v>
          </cell>
          <cell r="E1180">
            <v>0</v>
          </cell>
          <cell r="F1180">
            <v>0</v>
          </cell>
        </row>
        <row r="1181">
          <cell r="C1181">
            <v>4992.47</v>
          </cell>
          <cell r="D1181">
            <v>0</v>
          </cell>
          <cell r="E1181">
            <v>0</v>
          </cell>
          <cell r="F1181">
            <v>0</v>
          </cell>
        </row>
        <row r="1182">
          <cell r="C1182">
            <v>1502.67</v>
          </cell>
          <cell r="D1182">
            <v>0</v>
          </cell>
          <cell r="E1182">
            <v>0</v>
          </cell>
          <cell r="F1182">
            <v>0</v>
          </cell>
        </row>
        <row r="1183">
          <cell r="C1183">
            <v>6796.07</v>
          </cell>
          <cell r="D1183">
            <v>0</v>
          </cell>
          <cell r="E1183">
            <v>0</v>
          </cell>
          <cell r="F1183">
            <v>0</v>
          </cell>
        </row>
        <row r="1184">
          <cell r="C1184">
            <v>3844.83</v>
          </cell>
          <cell r="D1184">
            <v>0</v>
          </cell>
          <cell r="E1184">
            <v>0</v>
          </cell>
          <cell r="F1184">
            <v>5051.2151529619096</v>
          </cell>
        </row>
        <row r="1185">
          <cell r="C1185">
            <v>2804.98</v>
          </cell>
          <cell r="D1185">
            <v>0</v>
          </cell>
          <cell r="E1185">
            <v>0</v>
          </cell>
          <cell r="F1185">
            <v>0</v>
          </cell>
        </row>
        <row r="1186">
          <cell r="C1186">
            <v>3270.21</v>
          </cell>
          <cell r="D1186">
            <v>0</v>
          </cell>
          <cell r="E1186">
            <v>0</v>
          </cell>
          <cell r="F1186">
            <v>0</v>
          </cell>
        </row>
        <row r="1187">
          <cell r="C1187">
            <v>1840.87</v>
          </cell>
          <cell r="D1187">
            <v>0</v>
          </cell>
          <cell r="E1187">
            <v>0</v>
          </cell>
          <cell r="F1187">
            <v>0</v>
          </cell>
        </row>
        <row r="1188">
          <cell r="C1188">
            <v>3586.37</v>
          </cell>
          <cell r="D1188">
            <v>0</v>
          </cell>
          <cell r="E1188">
            <v>0</v>
          </cell>
          <cell r="F1188">
            <v>0</v>
          </cell>
        </row>
        <row r="1189">
          <cell r="C1189">
            <v>1803.2</v>
          </cell>
          <cell r="D1189">
            <v>0</v>
          </cell>
          <cell r="E1189">
            <v>0</v>
          </cell>
          <cell r="F1189">
            <v>0</v>
          </cell>
        </row>
        <row r="1190">
          <cell r="C1190">
            <v>4207.4799999999996</v>
          </cell>
          <cell r="D1190">
            <v>0</v>
          </cell>
          <cell r="E1190">
            <v>0</v>
          </cell>
          <cell r="F1190">
            <v>6100.8183016293196</v>
          </cell>
        </row>
        <row r="1191">
          <cell r="C1191">
            <v>1602.85</v>
          </cell>
          <cell r="D1191">
            <v>0</v>
          </cell>
          <cell r="E1191">
            <v>0</v>
          </cell>
          <cell r="F1191">
            <v>0</v>
          </cell>
        </row>
        <row r="1192">
          <cell r="C1192">
            <v>3406.05</v>
          </cell>
          <cell r="D1192">
            <v>0</v>
          </cell>
          <cell r="E1192">
            <v>0</v>
          </cell>
          <cell r="F1192">
            <v>0</v>
          </cell>
        </row>
        <row r="1193">
          <cell r="C1193">
            <v>200.36</v>
          </cell>
          <cell r="D1193">
            <v>0</v>
          </cell>
          <cell r="E1193">
            <v>0</v>
          </cell>
          <cell r="F1193">
            <v>0</v>
          </cell>
        </row>
        <row r="1194">
          <cell r="C1194">
            <v>981.74</v>
          </cell>
          <cell r="D1194">
            <v>0</v>
          </cell>
          <cell r="E1194">
            <v>0</v>
          </cell>
          <cell r="F1194">
            <v>0</v>
          </cell>
        </row>
        <row r="1195">
          <cell r="C1195">
            <v>1302.31</v>
          </cell>
          <cell r="D1195">
            <v>0</v>
          </cell>
          <cell r="E1195">
            <v>0</v>
          </cell>
          <cell r="F1195">
            <v>0</v>
          </cell>
        </row>
        <row r="1201">
          <cell r="C1201">
            <v>10930.22</v>
          </cell>
          <cell r="D1201">
            <v>0</v>
          </cell>
          <cell r="E1201">
            <v>0</v>
          </cell>
          <cell r="F1201">
            <v>0</v>
          </cell>
        </row>
        <row r="1202">
          <cell r="C1202">
            <v>17713.87</v>
          </cell>
          <cell r="D1202">
            <v>0</v>
          </cell>
          <cell r="E1202">
            <v>0</v>
          </cell>
          <cell r="F1202">
            <v>20915.529410424529</v>
          </cell>
        </row>
        <row r="1203">
          <cell r="C1203">
            <v>3229.74</v>
          </cell>
          <cell r="D1203">
            <v>0</v>
          </cell>
          <cell r="E1203">
            <v>0</v>
          </cell>
          <cell r="F1203">
            <v>0</v>
          </cell>
        </row>
        <row r="1204">
          <cell r="C1204">
            <v>550.98</v>
          </cell>
          <cell r="D1204">
            <v>0</v>
          </cell>
          <cell r="E1204">
            <v>0</v>
          </cell>
          <cell r="F1204">
            <v>0</v>
          </cell>
        </row>
        <row r="1205">
          <cell r="C1205">
            <v>4459.92</v>
          </cell>
          <cell r="D1205">
            <v>0</v>
          </cell>
          <cell r="E1205">
            <v>0</v>
          </cell>
          <cell r="F1205">
            <v>0</v>
          </cell>
        </row>
        <row r="1206">
          <cell r="C1206">
            <v>5179.2</v>
          </cell>
          <cell r="D1206">
            <v>0</v>
          </cell>
          <cell r="E1206">
            <v>0</v>
          </cell>
          <cell r="F1206">
            <v>5740.0172192748978</v>
          </cell>
        </row>
        <row r="1207">
          <cell r="C1207">
            <v>3606.41</v>
          </cell>
          <cell r="D1207">
            <v>0</v>
          </cell>
          <cell r="E1207">
            <v>0</v>
          </cell>
          <cell r="F1207">
            <v>0</v>
          </cell>
        </row>
        <row r="1208">
          <cell r="C1208">
            <v>5046.17</v>
          </cell>
          <cell r="D1208">
            <v>0</v>
          </cell>
          <cell r="E1208">
            <v>0</v>
          </cell>
          <cell r="F1208">
            <v>0</v>
          </cell>
        </row>
        <row r="1209">
          <cell r="C1209">
            <v>3082.48</v>
          </cell>
          <cell r="D1209">
            <v>0</v>
          </cell>
          <cell r="E1209">
            <v>0</v>
          </cell>
          <cell r="F1209">
            <v>0</v>
          </cell>
        </row>
        <row r="1210">
          <cell r="C1210">
            <v>2966.87</v>
          </cell>
          <cell r="D1210">
            <v>0</v>
          </cell>
          <cell r="E1210">
            <v>0</v>
          </cell>
          <cell r="F1210">
            <v>0</v>
          </cell>
        </row>
        <row r="1211">
          <cell r="C1211">
            <v>5151.95</v>
          </cell>
          <cell r="D1211">
            <v>0</v>
          </cell>
          <cell r="E1211">
            <v>0</v>
          </cell>
          <cell r="F1211">
            <v>0</v>
          </cell>
        </row>
        <row r="1212">
          <cell r="C1212">
            <v>1766.54</v>
          </cell>
          <cell r="D1212">
            <v>0</v>
          </cell>
          <cell r="E1212">
            <v>0</v>
          </cell>
          <cell r="F1212">
            <v>0</v>
          </cell>
        </row>
        <row r="1213">
          <cell r="C1213">
            <v>5509.79</v>
          </cell>
          <cell r="D1213">
            <v>0</v>
          </cell>
          <cell r="E1213">
            <v>0</v>
          </cell>
          <cell r="F1213">
            <v>0</v>
          </cell>
        </row>
        <row r="1214">
          <cell r="C1214">
            <v>4107.3</v>
          </cell>
          <cell r="D1214">
            <v>0</v>
          </cell>
          <cell r="E1214">
            <v>0</v>
          </cell>
          <cell r="F1214">
            <v>0</v>
          </cell>
        </row>
        <row r="1215">
          <cell r="C1215">
            <v>3967.05</v>
          </cell>
          <cell r="D1215">
            <v>0</v>
          </cell>
          <cell r="E1215">
            <v>0</v>
          </cell>
          <cell r="F1215">
            <v>5466.6830659760926</v>
          </cell>
        </row>
        <row r="1216">
          <cell r="C1216">
            <v>3205.7</v>
          </cell>
          <cell r="D1216">
            <v>0</v>
          </cell>
          <cell r="E1216">
            <v>0</v>
          </cell>
          <cell r="F1216">
            <v>0</v>
          </cell>
        </row>
        <row r="1217">
          <cell r="C1217">
            <v>3196.68</v>
          </cell>
          <cell r="D1217">
            <v>0</v>
          </cell>
          <cell r="E1217">
            <v>0</v>
          </cell>
          <cell r="F1217">
            <v>5000</v>
          </cell>
        </row>
        <row r="1218">
          <cell r="C1218">
            <v>7964.15</v>
          </cell>
          <cell r="D1218">
            <v>0</v>
          </cell>
          <cell r="E1218">
            <v>0</v>
          </cell>
          <cell r="F1218">
            <v>0</v>
          </cell>
        </row>
        <row r="1254">
          <cell r="C1254">
            <v>11981.29</v>
          </cell>
          <cell r="D1254">
            <v>7159242.2199999997</v>
          </cell>
        </row>
        <row r="1255">
          <cell r="C1255">
            <v>80438.578960590588</v>
          </cell>
          <cell r="D1255">
            <v>28618271.266480036</v>
          </cell>
        </row>
        <row r="1256">
          <cell r="C1256">
            <v>6603.73</v>
          </cell>
          <cell r="D1256">
            <v>2958976.7899999996</v>
          </cell>
        </row>
        <row r="1257">
          <cell r="C1257">
            <v>19751.809999999998</v>
          </cell>
          <cell r="D1257">
            <v>8412086.2300000004</v>
          </cell>
        </row>
        <row r="1258">
          <cell r="C1258">
            <v>9911.88999503171</v>
          </cell>
          <cell r="D1258">
            <v>3683988.2728789239</v>
          </cell>
        </row>
        <row r="1259">
          <cell r="C1259">
            <v>10495.404956170198</v>
          </cell>
          <cell r="D1259">
            <v>3455227.5168361994</v>
          </cell>
        </row>
        <row r="1260">
          <cell r="C1260">
            <v>7950.6399999999994</v>
          </cell>
          <cell r="D1260">
            <v>1342486.96</v>
          </cell>
        </row>
        <row r="1261">
          <cell r="C1261">
            <v>3118.94</v>
          </cell>
          <cell r="D1261">
            <v>1711038.5299999998</v>
          </cell>
        </row>
        <row r="1262">
          <cell r="C1262">
            <v>4188.4399999999996</v>
          </cell>
          <cell r="D1262">
            <v>2741881.92</v>
          </cell>
        </row>
        <row r="1263">
          <cell r="C1263">
            <v>990.63</v>
          </cell>
          <cell r="D1263">
            <v>562694.96</v>
          </cell>
        </row>
        <row r="1264">
          <cell r="C1264">
            <v>4520.5661989389628</v>
          </cell>
          <cell r="D1264">
            <v>1277076.4738860563</v>
          </cell>
        </row>
        <row r="1265">
          <cell r="C1265">
            <v>12496.2</v>
          </cell>
          <cell r="D1265">
            <v>8520802.2899999991</v>
          </cell>
        </row>
        <row r="1266">
          <cell r="C1266">
            <v>4482.96</v>
          </cell>
          <cell r="D1266">
            <v>2910484.4499999997</v>
          </cell>
        </row>
        <row r="1267">
          <cell r="C1267">
            <v>7903.3961575933045</v>
          </cell>
          <cell r="D1267">
            <v>2507228.1942827939</v>
          </cell>
        </row>
        <row r="1268">
          <cell r="C1268">
            <v>3079.47</v>
          </cell>
          <cell r="D1268">
            <v>1711492.5999999999</v>
          </cell>
        </row>
        <row r="1269">
          <cell r="C1269">
            <v>14071.147669908521</v>
          </cell>
          <cell r="D1269">
            <v>5545266.740071184</v>
          </cell>
        </row>
        <row r="1270">
          <cell r="C1270">
            <v>3362.22</v>
          </cell>
          <cell r="D1270">
            <v>2246645.5100000002</v>
          </cell>
        </row>
        <row r="1271">
          <cell r="C1271">
            <v>23165.972941939115</v>
          </cell>
          <cell r="D1271">
            <v>7503582.8023702558</v>
          </cell>
        </row>
        <row r="1272">
          <cell r="C1272">
            <v>47499.028556270903</v>
          </cell>
          <cell r="D1272">
            <v>15014575.738372235</v>
          </cell>
        </row>
        <row r="1273">
          <cell r="C1273">
            <v>7936.0700157045394</v>
          </cell>
          <cell r="D1273">
            <v>2906211.5076805553</v>
          </cell>
        </row>
        <row r="1274">
          <cell r="C1274">
            <v>8485.8799999999992</v>
          </cell>
          <cell r="D1274">
            <v>6174824.1000000006</v>
          </cell>
        </row>
        <row r="1275">
          <cell r="C1275">
            <v>901.6</v>
          </cell>
          <cell r="D1275">
            <v>772468.83</v>
          </cell>
        </row>
        <row r="1276">
          <cell r="C1276">
            <v>2614.65</v>
          </cell>
          <cell r="D1276">
            <v>2432951.7399999998</v>
          </cell>
        </row>
        <row r="1277">
          <cell r="C1277">
            <v>7009.57</v>
          </cell>
          <cell r="D1277">
            <v>3161114.98</v>
          </cell>
        </row>
        <row r="1278">
          <cell r="C1278">
            <v>7574.9195237252561</v>
          </cell>
          <cell r="D1278">
            <v>2925436.8232451538</v>
          </cell>
        </row>
        <row r="1279">
          <cell r="C1279">
            <v>8023.66</v>
          </cell>
          <cell r="D1279">
            <v>5675680.9900000002</v>
          </cell>
        </row>
        <row r="1280">
          <cell r="C1280">
            <v>7001.0704299607951</v>
          </cell>
          <cell r="D1280">
            <v>2172572.8400305077</v>
          </cell>
        </row>
        <row r="1281">
          <cell r="C1281">
            <v>3881.9</v>
          </cell>
          <cell r="D1281">
            <v>2501959.09</v>
          </cell>
        </row>
        <row r="1282">
          <cell r="C1282">
            <v>5389.58</v>
          </cell>
          <cell r="D1282">
            <v>3310703.2300000004</v>
          </cell>
        </row>
        <row r="1283">
          <cell r="C1283">
            <v>6812.1</v>
          </cell>
          <cell r="D1283">
            <v>4244210.5699999994</v>
          </cell>
        </row>
        <row r="1284">
          <cell r="C1284">
            <v>16753.77</v>
          </cell>
          <cell r="D1284">
            <v>11968972.709999999</v>
          </cell>
        </row>
        <row r="1285">
          <cell r="C1285">
            <v>5263.75</v>
          </cell>
          <cell r="D1285">
            <v>3176660.5999999996</v>
          </cell>
        </row>
        <row r="1286">
          <cell r="C1286">
            <v>4172.8100000000004</v>
          </cell>
          <cell r="D1286">
            <v>3061205.6</v>
          </cell>
        </row>
        <row r="1287">
          <cell r="C1287">
            <v>4134.7931279945806</v>
          </cell>
          <cell r="D1287">
            <v>1576808.5755849369</v>
          </cell>
        </row>
        <row r="1288">
          <cell r="C1288">
            <v>9617.09</v>
          </cell>
          <cell r="D1288">
            <v>6617806.6199999992</v>
          </cell>
        </row>
        <row r="1289">
          <cell r="C1289">
            <v>8304.75</v>
          </cell>
          <cell r="D1289">
            <v>6219752.71</v>
          </cell>
        </row>
        <row r="1290">
          <cell r="C1290">
            <v>10105.950000000001</v>
          </cell>
          <cell r="D1290">
            <v>6972238.0899999999</v>
          </cell>
        </row>
        <row r="1291">
          <cell r="C1291">
            <v>15213.917768304378</v>
          </cell>
          <cell r="D1291">
            <v>4714033.6869582646</v>
          </cell>
        </row>
        <row r="1292">
          <cell r="C1292">
            <v>15238.011061291152</v>
          </cell>
          <cell r="D1292">
            <v>4676501.7533682706</v>
          </cell>
        </row>
        <row r="1293">
          <cell r="C1293">
            <v>6227.06</v>
          </cell>
          <cell r="D1293">
            <v>4027501.6199999996</v>
          </cell>
        </row>
        <row r="1294">
          <cell r="C1294">
            <v>6639</v>
          </cell>
          <cell r="D1294">
            <v>4317846.3599999994</v>
          </cell>
        </row>
        <row r="1295">
          <cell r="C1295">
            <v>7262.9</v>
          </cell>
          <cell r="D1295">
            <v>3860675.15</v>
          </cell>
        </row>
        <row r="1296">
          <cell r="C1296">
            <v>20727.940000000002</v>
          </cell>
          <cell r="D1296">
            <v>13458964.710000001</v>
          </cell>
        </row>
        <row r="1297">
          <cell r="C1297">
            <v>16766.79</v>
          </cell>
          <cell r="D1297">
            <v>10968716.140000001</v>
          </cell>
        </row>
        <row r="1298">
          <cell r="C1298">
            <v>13990.97</v>
          </cell>
          <cell r="D1298">
            <v>6098889.0699999994</v>
          </cell>
        </row>
        <row r="1299">
          <cell r="C1299">
            <v>10792.915821060076</v>
          </cell>
          <cell r="D1299">
            <v>3414306.3340182905</v>
          </cell>
        </row>
        <row r="1305">
          <cell r="C1305">
            <v>5462.6869654329867</v>
          </cell>
          <cell r="D1305">
            <v>2112795.9241810669</v>
          </cell>
        </row>
        <row r="1306">
          <cell r="C1306">
            <v>4307.6499999999996</v>
          </cell>
          <cell r="D1306">
            <v>2309845.1599999997</v>
          </cell>
        </row>
        <row r="1307">
          <cell r="C1307">
            <v>3806.76</v>
          </cell>
          <cell r="D1307">
            <v>3185367.77</v>
          </cell>
        </row>
        <row r="1308">
          <cell r="C1308">
            <v>8052.02</v>
          </cell>
          <cell r="D1308">
            <v>1901478.2200000002</v>
          </cell>
        </row>
        <row r="1309">
          <cell r="C1309">
            <v>7418.58</v>
          </cell>
          <cell r="D1309">
            <v>4318432.3099999996</v>
          </cell>
        </row>
        <row r="1310">
          <cell r="C1310">
            <v>2504.4499999999998</v>
          </cell>
          <cell r="D1310">
            <v>1837837.97</v>
          </cell>
        </row>
        <row r="1311">
          <cell r="C1311">
            <v>3025.38</v>
          </cell>
          <cell r="D1311">
            <v>2910407.84</v>
          </cell>
        </row>
        <row r="1312">
          <cell r="C1312">
            <v>3406.05</v>
          </cell>
          <cell r="D1312">
            <v>1932915.64</v>
          </cell>
        </row>
        <row r="1313">
          <cell r="C1313">
            <v>12539.192139067725</v>
          </cell>
          <cell r="D1313">
            <v>4196744.5495930584</v>
          </cell>
        </row>
        <row r="1314">
          <cell r="C1314">
            <v>3796.75</v>
          </cell>
          <cell r="D1314">
            <v>2523177.88</v>
          </cell>
        </row>
        <row r="1315">
          <cell r="C1315">
            <v>24620.34</v>
          </cell>
          <cell r="D1315">
            <v>14579155.609999999</v>
          </cell>
        </row>
        <row r="1316">
          <cell r="C1316">
            <v>13985.97</v>
          </cell>
          <cell r="D1316">
            <v>6080696.3700000001</v>
          </cell>
        </row>
        <row r="1317">
          <cell r="C1317">
            <v>3706.59</v>
          </cell>
          <cell r="D1317">
            <v>3282600.77</v>
          </cell>
        </row>
        <row r="1318">
          <cell r="C1318">
            <v>13424.97</v>
          </cell>
          <cell r="D1318">
            <v>5091569.0699999994</v>
          </cell>
        </row>
        <row r="1319">
          <cell r="C1319">
            <v>4487.97</v>
          </cell>
          <cell r="D1319">
            <v>2887742.72</v>
          </cell>
        </row>
        <row r="1320">
          <cell r="C1320">
            <v>14294</v>
          </cell>
          <cell r="D1320">
            <v>14115569.800000001</v>
          </cell>
        </row>
        <row r="1321">
          <cell r="C1321">
            <v>20059.576131952184</v>
          </cell>
          <cell r="D1321">
            <v>6445841.0923600867</v>
          </cell>
        </row>
        <row r="1322">
          <cell r="C1322">
            <v>5385.57</v>
          </cell>
          <cell r="D1322">
            <v>4353103.6400000006</v>
          </cell>
        </row>
        <row r="1323">
          <cell r="C1323">
            <v>29064.214847837764</v>
          </cell>
          <cell r="D1323">
            <v>9720443.9457069691</v>
          </cell>
        </row>
        <row r="1324">
          <cell r="C1324">
            <v>5944.56</v>
          </cell>
          <cell r="D1324">
            <v>3677091.4899999998</v>
          </cell>
        </row>
        <row r="1325">
          <cell r="C1325">
            <v>5439.66</v>
          </cell>
          <cell r="D1325">
            <v>3406944.3600000003</v>
          </cell>
        </row>
        <row r="1326">
          <cell r="C1326">
            <v>8491.09</v>
          </cell>
          <cell r="D1326">
            <v>5502794.7200000007</v>
          </cell>
        </row>
        <row r="1327">
          <cell r="C1327">
            <v>2289.0700000000002</v>
          </cell>
          <cell r="D1327">
            <v>1163859.05</v>
          </cell>
        </row>
        <row r="1328">
          <cell r="C1328">
            <v>10710.15</v>
          </cell>
          <cell r="D1328">
            <v>3972180.73</v>
          </cell>
        </row>
        <row r="1329">
          <cell r="C1329">
            <v>3627.44</v>
          </cell>
          <cell r="D1329">
            <v>3461534.4099999997</v>
          </cell>
        </row>
        <row r="1330">
          <cell r="C1330">
            <v>12335.488990400314</v>
          </cell>
          <cell r="D1330">
            <v>3700097.5092064901</v>
          </cell>
        </row>
        <row r="1331">
          <cell r="C1331">
            <v>3875.89</v>
          </cell>
          <cell r="D1331">
            <v>3856645.23</v>
          </cell>
        </row>
        <row r="1332">
          <cell r="C1332">
            <v>9386.3361369204758</v>
          </cell>
          <cell r="D1332">
            <v>2947640.8694811622</v>
          </cell>
        </row>
        <row r="1333">
          <cell r="C1333">
            <v>5533.03</v>
          </cell>
          <cell r="D1333">
            <v>6098094.1600000001</v>
          </cell>
        </row>
        <row r="1334">
          <cell r="C1334">
            <v>4992.47</v>
          </cell>
          <cell r="D1334">
            <v>3630842.0900000003</v>
          </cell>
        </row>
        <row r="1335">
          <cell r="C1335">
            <v>1502.67</v>
          </cell>
          <cell r="D1335">
            <v>857671.02000000014</v>
          </cell>
        </row>
        <row r="1336">
          <cell r="C1336">
            <v>6796.07</v>
          </cell>
          <cell r="D1336">
            <v>4287640.78</v>
          </cell>
        </row>
        <row r="1337">
          <cell r="C1337">
            <v>8896.0451529619095</v>
          </cell>
          <cell r="D1337">
            <v>2808366.0306103597</v>
          </cell>
        </row>
        <row r="1338">
          <cell r="C1338">
            <v>2804.98</v>
          </cell>
          <cell r="D1338">
            <v>2490407.52</v>
          </cell>
        </row>
        <row r="1339">
          <cell r="C1339">
            <v>3270.21</v>
          </cell>
          <cell r="D1339">
            <v>2138001.0699999998</v>
          </cell>
        </row>
        <row r="1340">
          <cell r="C1340">
            <v>1840.87</v>
          </cell>
          <cell r="D1340">
            <v>1599564.58</v>
          </cell>
        </row>
        <row r="1341">
          <cell r="C1341">
            <v>3586.37</v>
          </cell>
          <cell r="D1341">
            <v>1666865.44</v>
          </cell>
        </row>
        <row r="1342">
          <cell r="C1342">
            <v>1803.2</v>
          </cell>
          <cell r="D1342">
            <v>2958783.9800000004</v>
          </cell>
        </row>
        <row r="1343">
          <cell r="C1343">
            <v>10308.298301629318</v>
          </cell>
          <cell r="D1343">
            <v>3218587.9509969284</v>
          </cell>
        </row>
        <row r="1344">
          <cell r="C1344">
            <v>1602.85</v>
          </cell>
          <cell r="D1344">
            <v>2526472.65</v>
          </cell>
        </row>
        <row r="1345">
          <cell r="C1345">
            <v>3406.05</v>
          </cell>
          <cell r="D1345">
            <v>3145142.21</v>
          </cell>
        </row>
        <row r="1346">
          <cell r="C1346">
            <v>200.36</v>
          </cell>
          <cell r="D1346">
            <v>205827.76999999996</v>
          </cell>
        </row>
        <row r="1347">
          <cell r="C1347">
            <v>981.74</v>
          </cell>
          <cell r="D1347">
            <v>784202.72</v>
          </cell>
        </row>
        <row r="1348">
          <cell r="C1348">
            <v>1302.31</v>
          </cell>
          <cell r="D1348">
            <v>1269005.72</v>
          </cell>
        </row>
        <row r="1354">
          <cell r="C1354">
            <v>10930.22</v>
          </cell>
          <cell r="D1354">
            <v>8299983.3699999992</v>
          </cell>
        </row>
        <row r="1355">
          <cell r="C1355">
            <v>38629.399410424528</v>
          </cell>
          <cell r="D1355">
            <v>11897754.574994847</v>
          </cell>
        </row>
        <row r="1356">
          <cell r="C1356">
            <v>3229.74</v>
          </cell>
          <cell r="D1356">
            <v>2477677.4300000002</v>
          </cell>
        </row>
        <row r="1357">
          <cell r="C1357">
            <v>550.98</v>
          </cell>
          <cell r="D1357">
            <v>641351.0199999999</v>
          </cell>
        </row>
        <row r="1358">
          <cell r="C1358">
            <v>4459.92</v>
          </cell>
          <cell r="D1358">
            <v>2965091.5200000005</v>
          </cell>
        </row>
        <row r="1359">
          <cell r="C1359">
            <v>10919.217219274899</v>
          </cell>
          <cell r="D1359">
            <v>3309274.7452390459</v>
          </cell>
        </row>
        <row r="1360">
          <cell r="C1360">
            <v>3606.41</v>
          </cell>
          <cell r="D1360">
            <v>2302329.9300000002</v>
          </cell>
        </row>
        <row r="1361">
          <cell r="C1361">
            <v>5046.17</v>
          </cell>
          <cell r="D1361">
            <v>4024745.33</v>
          </cell>
        </row>
        <row r="1362">
          <cell r="C1362">
            <v>3082.48</v>
          </cell>
          <cell r="D1362">
            <v>3375443.07</v>
          </cell>
        </row>
        <row r="1363">
          <cell r="C1363">
            <v>2966.87</v>
          </cell>
          <cell r="D1363">
            <v>2625698.67</v>
          </cell>
        </row>
        <row r="1364">
          <cell r="C1364">
            <v>5151.95</v>
          </cell>
          <cell r="D1364">
            <v>3353111.21</v>
          </cell>
        </row>
        <row r="1365">
          <cell r="C1365">
            <v>1766.54</v>
          </cell>
          <cell r="D1365">
            <v>1160850.3700000001</v>
          </cell>
        </row>
        <row r="1366">
          <cell r="C1366">
            <v>5509.79</v>
          </cell>
          <cell r="D1366">
            <v>3364306.01</v>
          </cell>
        </row>
        <row r="1367">
          <cell r="C1367">
            <v>4107.3</v>
          </cell>
          <cell r="D1367">
            <v>3196919.1099999994</v>
          </cell>
        </row>
        <row r="1368">
          <cell r="C1368">
            <v>9433.7330659760919</v>
          </cell>
          <cell r="D1368">
            <v>2930821.2911800435</v>
          </cell>
        </row>
        <row r="1369">
          <cell r="C1369">
            <v>3205.7</v>
          </cell>
          <cell r="D1369">
            <v>3001346.67</v>
          </cell>
        </row>
        <row r="1370">
          <cell r="C1370">
            <v>8196.68</v>
          </cell>
          <cell r="D1370">
            <v>1489734.01</v>
          </cell>
        </row>
        <row r="1371">
          <cell r="C1371">
            <v>7964.15</v>
          </cell>
          <cell r="D1371">
            <v>5018204.7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Charters"/>
      <sheetName val="Other State_Final Update-FY17"/>
    </sheetNames>
    <sheetDataSet>
      <sheetData sheetId="0" refreshError="1"/>
      <sheetData sheetId="1">
        <row r="7">
          <cell r="C7">
            <v>2415.0300000000002</v>
          </cell>
        </row>
        <row r="8">
          <cell r="C8">
            <v>7798.09</v>
          </cell>
        </row>
        <row r="9">
          <cell r="C9">
            <v>1001.34</v>
          </cell>
        </row>
        <row r="10">
          <cell r="C10">
            <v>2550.88</v>
          </cell>
        </row>
        <row r="11">
          <cell r="C11">
            <v>1177.52</v>
          </cell>
        </row>
        <row r="12">
          <cell r="C12">
            <v>1067.1400000000001</v>
          </cell>
        </row>
        <row r="13">
          <cell r="C13">
            <v>466.43</v>
          </cell>
        </row>
        <row r="14">
          <cell r="C14">
            <v>672.33</v>
          </cell>
        </row>
        <row r="15">
          <cell r="C15">
            <v>884.59</v>
          </cell>
        </row>
        <row r="16">
          <cell r="C16">
            <v>228.69</v>
          </cell>
        </row>
        <row r="17">
          <cell r="C17">
            <v>500.39</v>
          </cell>
        </row>
        <row r="18">
          <cell r="C18">
            <v>2937.2</v>
          </cell>
        </row>
        <row r="19">
          <cell r="C19">
            <v>1177.52</v>
          </cell>
        </row>
        <row r="20">
          <cell r="C20">
            <v>929.17</v>
          </cell>
        </row>
        <row r="21">
          <cell r="C21">
            <v>619.26</v>
          </cell>
        </row>
        <row r="22">
          <cell r="C22">
            <v>1674.22</v>
          </cell>
        </row>
        <row r="23">
          <cell r="C23">
            <v>873.98</v>
          </cell>
        </row>
        <row r="24">
          <cell r="C24">
            <v>2446.87</v>
          </cell>
        </row>
        <row r="25">
          <cell r="C25">
            <v>3928.49</v>
          </cell>
        </row>
        <row r="26">
          <cell r="C26">
            <v>963.13</v>
          </cell>
        </row>
        <row r="27">
          <cell r="C27">
            <v>2279.1799999999998</v>
          </cell>
        </row>
        <row r="28">
          <cell r="C28">
            <v>347.56</v>
          </cell>
        </row>
        <row r="29">
          <cell r="C29">
            <v>816.67</v>
          </cell>
        </row>
        <row r="30">
          <cell r="C30">
            <v>975.87</v>
          </cell>
        </row>
        <row r="31">
          <cell r="C31">
            <v>931.29</v>
          </cell>
        </row>
        <row r="32">
          <cell r="C32">
            <v>1933.19</v>
          </cell>
        </row>
        <row r="33">
          <cell r="C33">
            <v>774.22</v>
          </cell>
        </row>
        <row r="34">
          <cell r="C34">
            <v>994.97</v>
          </cell>
        </row>
        <row r="35">
          <cell r="C35">
            <v>1224.22</v>
          </cell>
        </row>
        <row r="36">
          <cell r="C36">
            <v>1532</v>
          </cell>
        </row>
        <row r="37">
          <cell r="C37">
            <v>3917.87</v>
          </cell>
        </row>
        <row r="38">
          <cell r="C38">
            <v>1183.8900000000001</v>
          </cell>
        </row>
        <row r="39">
          <cell r="C39">
            <v>1245.45</v>
          </cell>
        </row>
        <row r="40">
          <cell r="C40">
            <v>517.37</v>
          </cell>
        </row>
        <row r="41">
          <cell r="C41">
            <v>2272.81</v>
          </cell>
        </row>
        <row r="42">
          <cell r="C42">
            <v>2223.9899999999998</v>
          </cell>
        </row>
        <row r="43">
          <cell r="C43">
            <v>2357.7199999999998</v>
          </cell>
        </row>
        <row r="44">
          <cell r="C44">
            <v>1680.59</v>
          </cell>
        </row>
        <row r="45">
          <cell r="C45">
            <v>1727.29</v>
          </cell>
        </row>
        <row r="46">
          <cell r="C46">
            <v>1345.21</v>
          </cell>
        </row>
        <row r="47">
          <cell r="C47">
            <v>1697.57</v>
          </cell>
        </row>
        <row r="48">
          <cell r="C48">
            <v>1413.14</v>
          </cell>
        </row>
        <row r="49">
          <cell r="C49">
            <v>2311.02</v>
          </cell>
        </row>
        <row r="50">
          <cell r="C50">
            <v>3627.07</v>
          </cell>
        </row>
        <row r="51">
          <cell r="C51">
            <v>2262.1999999999998</v>
          </cell>
        </row>
        <row r="52">
          <cell r="C52">
            <v>1338.84</v>
          </cell>
        </row>
        <row r="58">
          <cell r="C58">
            <v>765.72</v>
          </cell>
        </row>
        <row r="59">
          <cell r="C59">
            <v>884.59</v>
          </cell>
        </row>
        <row r="60">
          <cell r="C60">
            <v>1224.22</v>
          </cell>
        </row>
        <row r="61">
          <cell r="C61">
            <v>736.01</v>
          </cell>
        </row>
        <row r="62">
          <cell r="C62">
            <v>1436.48</v>
          </cell>
        </row>
        <row r="63">
          <cell r="C63">
            <v>568.32000000000005</v>
          </cell>
        </row>
        <row r="64">
          <cell r="C64">
            <v>1128.7</v>
          </cell>
        </row>
        <row r="65">
          <cell r="C65">
            <v>744.5</v>
          </cell>
        </row>
        <row r="66">
          <cell r="C66">
            <v>1532</v>
          </cell>
        </row>
        <row r="67">
          <cell r="C67">
            <v>695.68</v>
          </cell>
        </row>
        <row r="68">
          <cell r="C68">
            <v>4469.76</v>
          </cell>
        </row>
        <row r="69">
          <cell r="C69">
            <v>2130.59</v>
          </cell>
        </row>
        <row r="70">
          <cell r="C70">
            <v>1107.47</v>
          </cell>
        </row>
        <row r="71">
          <cell r="C71">
            <v>1782.48</v>
          </cell>
        </row>
        <row r="72">
          <cell r="C72">
            <v>948.27</v>
          </cell>
        </row>
        <row r="73">
          <cell r="C73">
            <v>4168.3500000000004</v>
          </cell>
        </row>
        <row r="74">
          <cell r="C74">
            <v>2221.87</v>
          </cell>
        </row>
        <row r="75">
          <cell r="C75">
            <v>1559.6</v>
          </cell>
        </row>
        <row r="76">
          <cell r="C76">
            <v>3217.39</v>
          </cell>
        </row>
        <row r="77">
          <cell r="C77">
            <v>1181.77</v>
          </cell>
        </row>
        <row r="78">
          <cell r="C78">
            <v>1273.04</v>
          </cell>
        </row>
        <row r="79">
          <cell r="C79">
            <v>1990.5</v>
          </cell>
        </row>
        <row r="80">
          <cell r="C80">
            <v>470.68</v>
          </cell>
        </row>
        <row r="81">
          <cell r="C81">
            <v>1453.47</v>
          </cell>
        </row>
        <row r="82">
          <cell r="C82">
            <v>910.07</v>
          </cell>
        </row>
        <row r="83">
          <cell r="C83">
            <v>1328.23</v>
          </cell>
        </row>
        <row r="84">
          <cell r="C84">
            <v>1294.27</v>
          </cell>
        </row>
        <row r="85">
          <cell r="C85">
            <v>1143.56</v>
          </cell>
        </row>
        <row r="86">
          <cell r="C86">
            <v>2132.7199999999998</v>
          </cell>
        </row>
        <row r="87">
          <cell r="C87">
            <v>1411.01</v>
          </cell>
        </row>
        <row r="88">
          <cell r="C88">
            <v>375.16</v>
          </cell>
        </row>
        <row r="89">
          <cell r="C89">
            <v>1529.88</v>
          </cell>
        </row>
        <row r="90">
          <cell r="C90">
            <v>1079.8800000000001</v>
          </cell>
        </row>
        <row r="91">
          <cell r="C91">
            <v>935.54</v>
          </cell>
        </row>
        <row r="92">
          <cell r="C92">
            <v>854.88</v>
          </cell>
        </row>
        <row r="93">
          <cell r="C93">
            <v>676.57</v>
          </cell>
        </row>
        <row r="94">
          <cell r="C94">
            <v>506.76</v>
          </cell>
        </row>
        <row r="95">
          <cell r="C95">
            <v>1132.94</v>
          </cell>
        </row>
        <row r="96">
          <cell r="C96">
            <v>1283.6500000000001</v>
          </cell>
        </row>
        <row r="97">
          <cell r="C97">
            <v>1071.3900000000001</v>
          </cell>
        </row>
        <row r="98">
          <cell r="C98">
            <v>1230.5899999999999</v>
          </cell>
        </row>
        <row r="99">
          <cell r="C99">
            <v>175.63</v>
          </cell>
        </row>
        <row r="100">
          <cell r="C100">
            <v>324.20999999999998</v>
          </cell>
        </row>
        <row r="101">
          <cell r="C101">
            <v>481.29</v>
          </cell>
        </row>
        <row r="107">
          <cell r="C107">
            <v>2650.65</v>
          </cell>
        </row>
        <row r="108">
          <cell r="C108">
            <v>4159.8599999999997</v>
          </cell>
        </row>
        <row r="109">
          <cell r="C109">
            <v>992.85</v>
          </cell>
        </row>
        <row r="110">
          <cell r="C110">
            <v>235.06</v>
          </cell>
        </row>
        <row r="111">
          <cell r="C111">
            <v>1147.8</v>
          </cell>
        </row>
        <row r="112">
          <cell r="C112">
            <v>1213.6099999999999</v>
          </cell>
        </row>
        <row r="113">
          <cell r="C113">
            <v>958.89</v>
          </cell>
        </row>
        <row r="114">
          <cell r="C114">
            <v>1464.08</v>
          </cell>
        </row>
        <row r="115">
          <cell r="C115">
            <v>1268.79</v>
          </cell>
        </row>
        <row r="116">
          <cell r="C116">
            <v>740.25</v>
          </cell>
        </row>
        <row r="117">
          <cell r="C117">
            <v>1067.1400000000001</v>
          </cell>
        </row>
        <row r="118">
          <cell r="C118">
            <v>434.59</v>
          </cell>
        </row>
        <row r="119">
          <cell r="C119">
            <v>1313.37</v>
          </cell>
        </row>
        <row r="120">
          <cell r="C120">
            <v>1236.95</v>
          </cell>
        </row>
        <row r="121">
          <cell r="C121">
            <v>1160.54</v>
          </cell>
        </row>
        <row r="122">
          <cell r="C122">
            <v>1179.6400000000001</v>
          </cell>
        </row>
        <row r="123">
          <cell r="C123">
            <v>553.46</v>
          </cell>
        </row>
        <row r="124">
          <cell r="C124">
            <v>1878</v>
          </cell>
        </row>
        <row r="163">
          <cell r="E163">
            <v>7161657.25</v>
          </cell>
        </row>
        <row r="164">
          <cell r="E164">
            <v>28626069.356480036</v>
          </cell>
        </row>
        <row r="165">
          <cell r="E165">
            <v>2959978.1299999994</v>
          </cell>
        </row>
        <row r="166">
          <cell r="E166">
            <v>8414637.1100000013</v>
          </cell>
        </row>
        <row r="167">
          <cell r="E167">
            <v>3685165.7928789239</v>
          </cell>
        </row>
        <row r="168">
          <cell r="E168">
            <v>3456294.6568361996</v>
          </cell>
        </row>
        <row r="169">
          <cell r="E169">
            <v>1342953.39</v>
          </cell>
        </row>
        <row r="170">
          <cell r="E170">
            <v>1711710.8599999999</v>
          </cell>
        </row>
        <row r="171">
          <cell r="E171">
            <v>2742766.51</v>
          </cell>
        </row>
        <row r="172">
          <cell r="E172">
            <v>562923.64999999991</v>
          </cell>
        </row>
        <row r="173">
          <cell r="E173">
            <v>1277576.8638860562</v>
          </cell>
        </row>
        <row r="174">
          <cell r="E174">
            <v>8523739.4899999984</v>
          </cell>
        </row>
        <row r="175">
          <cell r="E175">
            <v>2911661.9699999997</v>
          </cell>
        </row>
        <row r="176">
          <cell r="E176">
            <v>2508157.3642827938</v>
          </cell>
        </row>
        <row r="177">
          <cell r="E177">
            <v>1712111.8599999999</v>
          </cell>
        </row>
        <row r="178">
          <cell r="E178">
            <v>5546940.9600711837</v>
          </cell>
        </row>
        <row r="179">
          <cell r="E179">
            <v>2247519.4900000002</v>
          </cell>
        </row>
        <row r="180">
          <cell r="E180">
            <v>7506029.6723702559</v>
          </cell>
        </row>
        <row r="181">
          <cell r="E181">
            <v>15018504.228372235</v>
          </cell>
        </row>
        <row r="182">
          <cell r="E182">
            <v>2907174.6376805552</v>
          </cell>
        </row>
        <row r="183">
          <cell r="E183">
            <v>6177103.2800000003</v>
          </cell>
        </row>
        <row r="184">
          <cell r="E184">
            <v>772816.39</v>
          </cell>
        </row>
        <row r="185">
          <cell r="E185">
            <v>2433768.4099999997</v>
          </cell>
        </row>
        <row r="186">
          <cell r="E186">
            <v>3162090.85</v>
          </cell>
        </row>
        <row r="187">
          <cell r="E187">
            <v>2926368.1132451538</v>
          </cell>
        </row>
        <row r="188">
          <cell r="E188">
            <v>5677614.1800000006</v>
          </cell>
        </row>
        <row r="189">
          <cell r="E189">
            <v>2173347.0600305079</v>
          </cell>
        </row>
        <row r="190">
          <cell r="E190">
            <v>2502954.06</v>
          </cell>
        </row>
        <row r="191">
          <cell r="E191">
            <v>3311927.4500000007</v>
          </cell>
        </row>
        <row r="192">
          <cell r="E192">
            <v>4245742.5699999994</v>
          </cell>
        </row>
        <row r="193">
          <cell r="E193">
            <v>11972890.579999998</v>
          </cell>
        </row>
        <row r="194">
          <cell r="E194">
            <v>3177844.4899999998</v>
          </cell>
        </row>
        <row r="195">
          <cell r="E195">
            <v>3062451.0500000003</v>
          </cell>
        </row>
        <row r="196">
          <cell r="E196">
            <v>1577325.945584937</v>
          </cell>
        </row>
        <row r="197">
          <cell r="E197">
            <v>6620079.4299999988</v>
          </cell>
        </row>
        <row r="198">
          <cell r="E198">
            <v>6221976.7000000002</v>
          </cell>
        </row>
        <row r="199">
          <cell r="E199">
            <v>6974595.8099999996</v>
          </cell>
        </row>
        <row r="200">
          <cell r="E200">
            <v>4715714.2769582644</v>
          </cell>
        </row>
        <row r="201">
          <cell r="E201">
            <v>4678229.0433682706</v>
          </cell>
        </row>
        <row r="202">
          <cell r="E202">
            <v>4028846.8299999996</v>
          </cell>
        </row>
        <row r="203">
          <cell r="E203">
            <v>4319543.93</v>
          </cell>
        </row>
        <row r="204">
          <cell r="E204">
            <v>3862088.29</v>
          </cell>
        </row>
        <row r="205">
          <cell r="E205">
            <v>13461275.73</v>
          </cell>
        </row>
        <row r="206">
          <cell r="E206">
            <v>10972343.210000001</v>
          </cell>
        </row>
        <row r="207">
          <cell r="E207">
            <v>6101151.2699999996</v>
          </cell>
        </row>
        <row r="208">
          <cell r="E208">
            <v>3415645.1740182904</v>
          </cell>
        </row>
        <row r="214">
          <cell r="E214">
            <v>2113561.6441810671</v>
          </cell>
        </row>
        <row r="215">
          <cell r="E215">
            <v>2310729.7499999995</v>
          </cell>
        </row>
        <row r="216">
          <cell r="E216">
            <v>3186591.99</v>
          </cell>
        </row>
        <row r="217">
          <cell r="E217">
            <v>1902214.2300000002</v>
          </cell>
        </row>
        <row r="218">
          <cell r="E218">
            <v>4319868.79</v>
          </cell>
        </row>
        <row r="219">
          <cell r="E219">
            <v>1838406.29</v>
          </cell>
        </row>
        <row r="220">
          <cell r="E220">
            <v>2911536.54</v>
          </cell>
        </row>
        <row r="221">
          <cell r="E221">
            <v>1933660.14</v>
          </cell>
        </row>
        <row r="222">
          <cell r="E222">
            <v>4198276.5495930584</v>
          </cell>
        </row>
        <row r="223">
          <cell r="E223">
            <v>2523873.56</v>
          </cell>
        </row>
        <row r="224">
          <cell r="E224">
            <v>14583625.369999999</v>
          </cell>
        </row>
        <row r="225">
          <cell r="E225">
            <v>6082826.96</v>
          </cell>
        </row>
        <row r="226">
          <cell r="E226">
            <v>3283708.24</v>
          </cell>
        </row>
        <row r="227">
          <cell r="E227">
            <v>5093351.55</v>
          </cell>
        </row>
        <row r="228">
          <cell r="E228">
            <v>2888690.99</v>
          </cell>
        </row>
        <row r="229">
          <cell r="E229">
            <v>14119738.15</v>
          </cell>
        </row>
        <row r="230">
          <cell r="E230">
            <v>6448062.9623600869</v>
          </cell>
        </row>
        <row r="231">
          <cell r="E231">
            <v>4354663.24</v>
          </cell>
        </row>
        <row r="232">
          <cell r="E232">
            <v>9723661.3357069697</v>
          </cell>
        </row>
        <row r="233">
          <cell r="E233">
            <v>3678273.26</v>
          </cell>
        </row>
        <row r="234">
          <cell r="E234">
            <v>3408217.4000000004</v>
          </cell>
        </row>
        <row r="235">
          <cell r="E235">
            <v>5504785.2200000007</v>
          </cell>
        </row>
        <row r="236">
          <cell r="E236">
            <v>1164329.73</v>
          </cell>
        </row>
        <row r="237">
          <cell r="E237">
            <v>3973634.2</v>
          </cell>
        </row>
        <row r="238">
          <cell r="E238">
            <v>3462444.4799999995</v>
          </cell>
        </row>
        <row r="239">
          <cell r="E239">
            <v>3701425.7392064901</v>
          </cell>
        </row>
        <row r="240">
          <cell r="E240">
            <v>3857939.5</v>
          </cell>
        </row>
        <row r="241">
          <cell r="E241">
            <v>2948784.4294811622</v>
          </cell>
        </row>
        <row r="242">
          <cell r="E242">
            <v>6100226.8799999999</v>
          </cell>
        </row>
        <row r="243">
          <cell r="E243">
            <v>3632253.1</v>
          </cell>
        </row>
        <row r="244">
          <cell r="E244">
            <v>858046.18000000017</v>
          </cell>
        </row>
        <row r="245">
          <cell r="E245">
            <v>4289170.66</v>
          </cell>
        </row>
        <row r="246">
          <cell r="E246">
            <v>2809445.9106103596</v>
          </cell>
        </row>
        <row r="247">
          <cell r="E247">
            <v>2491343.06</v>
          </cell>
        </row>
        <row r="248">
          <cell r="E248">
            <v>2138855.9499999997</v>
          </cell>
        </row>
        <row r="249">
          <cell r="E249">
            <v>1600241.1500000001</v>
          </cell>
        </row>
        <row r="250">
          <cell r="E250">
            <v>1667372.2</v>
          </cell>
        </row>
        <row r="251">
          <cell r="E251">
            <v>2959916.9200000004</v>
          </cell>
        </row>
        <row r="252">
          <cell r="E252">
            <v>3219871.6009969283</v>
          </cell>
        </row>
        <row r="253">
          <cell r="E253">
            <v>2527544.04</v>
          </cell>
        </row>
        <row r="254">
          <cell r="E254">
            <v>3146372.8</v>
          </cell>
        </row>
        <row r="255">
          <cell r="E255">
            <v>206003.39999999997</v>
          </cell>
        </row>
        <row r="256">
          <cell r="E256">
            <v>784526.92999999993</v>
          </cell>
        </row>
        <row r="257">
          <cell r="E257">
            <v>1269487.01</v>
          </cell>
        </row>
        <row r="263">
          <cell r="E263">
            <v>8302634.0199999996</v>
          </cell>
        </row>
        <row r="264">
          <cell r="E264">
            <v>11901914.434994847</v>
          </cell>
        </row>
        <row r="265">
          <cell r="E265">
            <v>2478670.2800000003</v>
          </cell>
        </row>
        <row r="266">
          <cell r="E266">
            <v>641586.07999999996</v>
          </cell>
        </row>
        <row r="267">
          <cell r="E267">
            <v>2966239.3200000003</v>
          </cell>
        </row>
        <row r="268">
          <cell r="E268">
            <v>3310488.3552390458</v>
          </cell>
        </row>
        <row r="269">
          <cell r="E269">
            <v>2303288.8200000003</v>
          </cell>
        </row>
        <row r="270">
          <cell r="E270">
            <v>4026209.41</v>
          </cell>
        </row>
        <row r="271">
          <cell r="E271">
            <v>3376711.86</v>
          </cell>
        </row>
        <row r="272">
          <cell r="E272">
            <v>2626438.92</v>
          </cell>
        </row>
        <row r="273">
          <cell r="E273">
            <v>3354178.35</v>
          </cell>
        </row>
        <row r="274">
          <cell r="E274">
            <v>1161284.9600000002</v>
          </cell>
        </row>
        <row r="275">
          <cell r="E275">
            <v>3365619.38</v>
          </cell>
        </row>
        <row r="276">
          <cell r="E276">
            <v>3198156.0599999996</v>
          </cell>
        </row>
        <row r="277">
          <cell r="E277">
            <v>2931981.8311800435</v>
          </cell>
        </row>
        <row r="278">
          <cell r="E278">
            <v>3002526.31</v>
          </cell>
        </row>
        <row r="279">
          <cell r="E279">
            <v>1490287.47</v>
          </cell>
        </row>
        <row r="280">
          <cell r="E280">
            <v>5020082.7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92.bin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93.bin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94.bin"/></Relationships>
</file>

<file path=xl/worksheets/_rels/sheet9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95.bin"/></Relationships>
</file>

<file path=xl/worksheets/_rels/sheet9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96.bin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97.bin"/></Relationships>
</file>

<file path=xl/worksheets/_rels/sheet9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98.bin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99.bin"/></Relationships>
</file>

<file path=xl/worksheets/_rels/sheet10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100.bin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101.bin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102.bin"/></Relationships>
</file>

<file path=xl/worksheets/_rels/sheet10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103.bin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orksheets/_rels/sheet10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orksheets/_rels/sheet10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orksheets/_rels/sheet10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orksheets/_rels/sheet10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H59"/>
  <sheetViews>
    <sheetView showGridLines="0" tabSelected="1" topLeftCell="A7" workbookViewId="0">
      <selection activeCell="K18" sqref="K18"/>
    </sheetView>
  </sheetViews>
  <sheetFormatPr defaultColWidth="9.140625" defaultRowHeight="12.75" x14ac:dyDescent="0.2"/>
  <cols>
    <col min="1" max="1" width="31.85546875" style="82" customWidth="1"/>
    <col min="2" max="2" width="16.140625" style="82" customWidth="1"/>
    <col min="3" max="3" width="14.85546875" style="83" customWidth="1"/>
    <col min="4" max="4" width="14.85546875" style="42" customWidth="1"/>
    <col min="5" max="5" width="7" style="42" customWidth="1"/>
    <col min="6" max="6" width="19.7109375" style="42" customWidth="1"/>
    <col min="7" max="7" width="5.7109375" style="42" customWidth="1"/>
    <col min="8" max="8" width="18" style="42" customWidth="1"/>
    <col min="9" max="16384" width="9.140625" style="82"/>
  </cols>
  <sheetData>
    <row r="1" spans="1:8" x14ac:dyDescent="0.2">
      <c r="A1" s="11" t="s">
        <v>1</v>
      </c>
      <c r="B1" s="12"/>
      <c r="C1" s="12"/>
      <c r="D1" s="13"/>
      <c r="E1" s="8"/>
      <c r="F1" s="8"/>
      <c r="G1" s="8"/>
      <c r="H1" s="8"/>
    </row>
    <row r="2" spans="1:8" x14ac:dyDescent="0.2">
      <c r="A2" s="14" t="s">
        <v>15</v>
      </c>
      <c r="B2" s="15"/>
      <c r="C2" s="15"/>
      <c r="D2" s="16"/>
      <c r="E2" s="8"/>
      <c r="F2" s="8"/>
      <c r="G2" s="8"/>
      <c r="H2" s="8"/>
    </row>
    <row r="3" spans="1:8" x14ac:dyDescent="0.2">
      <c r="A3" s="17" t="s">
        <v>62</v>
      </c>
      <c r="B3" s="18"/>
      <c r="C3" s="18"/>
      <c r="D3" s="19"/>
      <c r="E3" s="8"/>
      <c r="F3" s="8"/>
      <c r="G3" s="8"/>
      <c r="H3" s="8"/>
    </row>
    <row r="4" spans="1:8" x14ac:dyDescent="0.2">
      <c r="A4" s="20"/>
      <c r="B4" s="21"/>
      <c r="C4" s="22"/>
      <c r="D4" s="23"/>
      <c r="E4" s="8"/>
      <c r="F4" s="8" t="s">
        <v>34</v>
      </c>
      <c r="G4" s="8"/>
      <c r="H4" s="8"/>
    </row>
    <row r="5" spans="1:8" ht="15.75" x14ac:dyDescent="0.25">
      <c r="A5" s="24" t="s">
        <v>2</v>
      </c>
      <c r="B5" s="25" t="str">
        <f>[1]Charters!B8</f>
        <v>Ogden Preparatory Academy</v>
      </c>
      <c r="C5" s="26"/>
      <c r="D5" s="27"/>
      <c r="E5" s="8"/>
      <c r="F5" s="8"/>
      <c r="G5" s="8"/>
      <c r="H5" s="8"/>
    </row>
    <row r="6" spans="1:8" x14ac:dyDescent="0.2">
      <c r="A6" s="24"/>
      <c r="B6" s="28"/>
      <c r="C6" s="26"/>
      <c r="D6" s="27"/>
      <c r="E6" s="8"/>
      <c r="F6" s="8"/>
      <c r="G6" s="8"/>
      <c r="H6" s="8"/>
    </row>
    <row r="7" spans="1:8" x14ac:dyDescent="0.2">
      <c r="A7" s="29" t="s">
        <v>0</v>
      </c>
      <c r="B7" s="30">
        <f>[1]Charters!$E$6</f>
        <v>3184</v>
      </c>
      <c r="C7" s="26"/>
      <c r="D7" s="31"/>
      <c r="E7" s="8"/>
      <c r="F7" s="8"/>
      <c r="G7" s="8"/>
      <c r="H7" s="8"/>
    </row>
    <row r="8" spans="1:8" x14ac:dyDescent="0.2">
      <c r="A8" s="32"/>
      <c r="B8" s="6"/>
      <c r="C8" s="33"/>
      <c r="D8" s="34" t="s">
        <v>3</v>
      </c>
      <c r="E8" s="8"/>
      <c r="F8" s="8"/>
      <c r="G8" s="8"/>
      <c r="H8" s="8"/>
    </row>
    <row r="9" spans="1:8" x14ac:dyDescent="0.2">
      <c r="A9" s="29" t="s">
        <v>19</v>
      </c>
      <c r="B9" s="35">
        <f>[1]Charters!A8</f>
        <v>68</v>
      </c>
      <c r="C9" s="36" t="s">
        <v>4</v>
      </c>
      <c r="D9" s="37" t="s">
        <v>5</v>
      </c>
      <c r="E9" s="8"/>
      <c r="F9" s="8"/>
      <c r="G9" s="8"/>
      <c r="H9" s="8"/>
    </row>
    <row r="10" spans="1:8" x14ac:dyDescent="0.2">
      <c r="A10" s="38" t="s">
        <v>6</v>
      </c>
      <c r="B10" s="39"/>
      <c r="C10" s="40"/>
      <c r="D10" s="41"/>
      <c r="E10" s="8"/>
      <c r="F10" s="8"/>
      <c r="G10" s="8"/>
      <c r="H10" s="8"/>
    </row>
    <row r="11" spans="1:8" x14ac:dyDescent="0.2">
      <c r="A11" s="38" t="s">
        <v>7</v>
      </c>
      <c r="B11" s="39"/>
      <c r="C11" s="40"/>
      <c r="D11" s="41"/>
      <c r="E11" s="8"/>
      <c r="F11" s="42" t="s">
        <v>23</v>
      </c>
      <c r="G11" s="8"/>
      <c r="H11" s="42" t="s">
        <v>26</v>
      </c>
    </row>
    <row r="12" spans="1:8" x14ac:dyDescent="0.2">
      <c r="A12" s="20" t="s">
        <v>8</v>
      </c>
      <c r="B12" s="43"/>
      <c r="C12" s="44">
        <f>[1]Charters!C468</f>
        <v>987.58399999999995</v>
      </c>
      <c r="D12" s="45">
        <f>[1]Charters!E468</f>
        <v>3144468.17</v>
      </c>
      <c r="E12" s="8"/>
      <c r="F12" s="42">
        <f>[1]Charters!E623</f>
        <v>3388123.58</v>
      </c>
      <c r="G12" s="8"/>
      <c r="H12" s="42">
        <f>[2]Charters!E162</f>
        <v>4183853.04</v>
      </c>
    </row>
    <row r="13" spans="1:8" x14ac:dyDescent="0.2">
      <c r="A13" s="20" t="s">
        <v>14</v>
      </c>
      <c r="B13" s="43"/>
      <c r="C13" s="44">
        <f>[1]Charters!F468</f>
        <v>76.525000000000006</v>
      </c>
      <c r="D13" s="45">
        <f>[1]Charters!H468</f>
        <v>243655.41</v>
      </c>
      <c r="E13" s="8"/>
      <c r="F13" s="42">
        <f>SUM(D12:D14)</f>
        <v>3388123.58</v>
      </c>
      <c r="G13" s="8"/>
      <c r="H13" s="42">
        <f>D25</f>
        <v>4183853.04</v>
      </c>
    </row>
    <row r="14" spans="1:8" x14ac:dyDescent="0.2">
      <c r="A14" s="20" t="s">
        <v>32</v>
      </c>
      <c r="B14" s="43"/>
      <c r="C14" s="44">
        <f>[1]Charters!C161</f>
        <v>0</v>
      </c>
      <c r="D14" s="45">
        <f>[1]Charters!E161</f>
        <v>0</v>
      </c>
      <c r="E14" s="8"/>
      <c r="F14" s="42">
        <f>+F12-F13</f>
        <v>0</v>
      </c>
      <c r="G14" s="8"/>
      <c r="H14" s="42">
        <f>+H12-H13</f>
        <v>0</v>
      </c>
    </row>
    <row r="15" spans="1:8" x14ac:dyDescent="0.2">
      <c r="A15" s="38" t="s">
        <v>9</v>
      </c>
      <c r="B15" s="39"/>
      <c r="C15" s="46"/>
      <c r="D15" s="47"/>
      <c r="E15" s="8"/>
      <c r="F15" s="8"/>
      <c r="G15" s="8"/>
      <c r="H15" s="8"/>
    </row>
    <row r="16" spans="1:8" x14ac:dyDescent="0.2">
      <c r="A16" s="20" t="s">
        <v>10</v>
      </c>
      <c r="B16" s="43"/>
      <c r="C16" s="40">
        <f>[3]Charters!C7</f>
        <v>152.285</v>
      </c>
      <c r="D16" s="41">
        <f>[3]Charters!E7</f>
        <v>484875.89</v>
      </c>
      <c r="E16" s="8"/>
      <c r="F16" s="42" t="s">
        <v>24</v>
      </c>
      <c r="G16" s="8"/>
      <c r="H16" s="8"/>
    </row>
    <row r="17" spans="1:8" x14ac:dyDescent="0.2">
      <c r="A17" s="48" t="s">
        <v>11</v>
      </c>
      <c r="B17" s="43"/>
      <c r="C17" s="40">
        <f>[3]Charters!F7</f>
        <v>5.12</v>
      </c>
      <c r="D17" s="49">
        <f>[3]Charters!H7</f>
        <v>16302.08</v>
      </c>
      <c r="E17" s="8"/>
      <c r="F17" s="42">
        <f>[3]Charters!N318</f>
        <v>511012.29</v>
      </c>
      <c r="G17" s="8"/>
      <c r="H17" s="8"/>
    </row>
    <row r="18" spans="1:8" x14ac:dyDescent="0.2">
      <c r="A18" s="48" t="s">
        <v>12</v>
      </c>
      <c r="B18" s="43"/>
      <c r="C18" s="40">
        <f>[3]Charters!C162</f>
        <v>0</v>
      </c>
      <c r="D18" s="41">
        <f>[3]Charters!E162</f>
        <v>0</v>
      </c>
      <c r="E18" s="8"/>
      <c r="F18" s="42">
        <f>SUM(D16:D22)</f>
        <v>511012.29</v>
      </c>
      <c r="G18" s="8"/>
      <c r="H18" s="8"/>
    </row>
    <row r="19" spans="1:8" x14ac:dyDescent="0.2">
      <c r="A19" s="20" t="s">
        <v>13</v>
      </c>
      <c r="B19" s="43"/>
      <c r="C19" s="40">
        <f>[3]Charters!F162</f>
        <v>0.70899999999999996</v>
      </c>
      <c r="D19" s="41">
        <f>[3]Charters!H162</f>
        <v>2259</v>
      </c>
      <c r="E19" s="8"/>
      <c r="F19" s="42">
        <f>+F17-F18</f>
        <v>0</v>
      </c>
      <c r="G19" s="8"/>
      <c r="H19" s="8"/>
    </row>
    <row r="20" spans="1:8" x14ac:dyDescent="0.2">
      <c r="A20" s="48" t="s">
        <v>54</v>
      </c>
      <c r="B20" s="43"/>
      <c r="C20" s="40">
        <f>[3]Charters!C318</f>
        <v>2.379</v>
      </c>
      <c r="D20" s="41">
        <f>[3]Charters!E318</f>
        <v>7575.32</v>
      </c>
      <c r="E20" s="8"/>
      <c r="F20" s="8"/>
      <c r="G20" s="8"/>
      <c r="H20" s="8"/>
    </row>
    <row r="21" spans="1:8" x14ac:dyDescent="0.2">
      <c r="A21" s="48" t="s">
        <v>55</v>
      </c>
      <c r="B21" s="43"/>
      <c r="C21" s="40">
        <f>[3]Charters!F318</f>
        <v>0</v>
      </c>
      <c r="D21" s="41">
        <f>[3]Charters!H318</f>
        <v>0</v>
      </c>
      <c r="E21" s="8"/>
      <c r="F21" s="42" t="s">
        <v>25</v>
      </c>
      <c r="G21" s="8"/>
      <c r="H21" s="8"/>
    </row>
    <row r="22" spans="1:8" x14ac:dyDescent="0.2">
      <c r="A22" s="48" t="s">
        <v>56</v>
      </c>
      <c r="B22" s="43"/>
      <c r="C22" s="40">
        <f>[3]Charters!I318</f>
        <v>0</v>
      </c>
      <c r="D22" s="41">
        <f>[3]Charters!K318</f>
        <v>0</v>
      </c>
      <c r="E22" s="8"/>
      <c r="F22" s="42">
        <f>[2]Charters!H8</f>
        <v>795729.46</v>
      </c>
      <c r="G22" s="8"/>
      <c r="H22" s="8"/>
    </row>
    <row r="23" spans="1:8" x14ac:dyDescent="0.2">
      <c r="A23" s="20" t="s">
        <v>49</v>
      </c>
      <c r="B23" s="43"/>
      <c r="C23" s="40">
        <f>[3]Charters!C475</f>
        <v>1.627</v>
      </c>
      <c r="D23" s="41">
        <f>[3]Charters!E475</f>
        <v>5178.99</v>
      </c>
      <c r="E23" s="8"/>
      <c r="F23" s="42">
        <f>SUM(D16:D24)</f>
        <v>795729.46</v>
      </c>
      <c r="G23" s="8"/>
      <c r="H23" s="8"/>
    </row>
    <row r="24" spans="1:8" x14ac:dyDescent="0.2">
      <c r="A24" s="20" t="s">
        <v>50</v>
      </c>
      <c r="B24" s="43"/>
      <c r="C24" s="40">
        <f>[2]Charters!C8</f>
        <v>87.795000000000002</v>
      </c>
      <c r="D24" s="41">
        <f>[2]Charters!E8</f>
        <v>279538.18</v>
      </c>
      <c r="E24" s="8"/>
      <c r="F24" s="42">
        <f>+F22-F23</f>
        <v>0</v>
      </c>
      <c r="G24" s="8"/>
      <c r="H24" s="8"/>
    </row>
    <row r="25" spans="1:8" x14ac:dyDescent="0.2">
      <c r="A25" s="50"/>
      <c r="B25" s="51" t="s">
        <v>16</v>
      </c>
      <c r="C25" s="52">
        <f>SUM(C12:C24)</f>
        <v>1314.0239999999999</v>
      </c>
      <c r="D25" s="53">
        <f>SUM(D12:D24)</f>
        <v>4183853.04</v>
      </c>
      <c r="E25" s="8"/>
      <c r="F25" s="8"/>
      <c r="G25" s="8"/>
      <c r="H25" s="8"/>
    </row>
    <row r="26" spans="1:8" x14ac:dyDescent="0.2">
      <c r="A26" s="54" t="s">
        <v>17</v>
      </c>
      <c r="B26" s="39"/>
      <c r="C26" s="55"/>
      <c r="D26" s="47"/>
      <c r="E26" s="8"/>
      <c r="F26" s="8"/>
      <c r="G26" s="8"/>
      <c r="H26" s="42" t="s">
        <v>29</v>
      </c>
    </row>
    <row r="27" spans="1:8" x14ac:dyDescent="0.2">
      <c r="A27" s="20" t="s">
        <v>33</v>
      </c>
      <c r="B27" s="43"/>
      <c r="C27" s="56"/>
      <c r="D27" s="57">
        <f>[4]Charters!C7</f>
        <v>12126.77</v>
      </c>
      <c r="E27" s="8"/>
      <c r="F27" s="8"/>
      <c r="G27" s="8"/>
      <c r="H27" s="42">
        <f>[4]Charters!F948</f>
        <v>7147260.9299999997</v>
      </c>
    </row>
    <row r="28" spans="1:8" x14ac:dyDescent="0.2">
      <c r="A28" s="58" t="s">
        <v>35</v>
      </c>
      <c r="B28" s="43"/>
      <c r="C28" s="56"/>
      <c r="D28" s="41">
        <f>+[4]Charters!F328</f>
        <v>4753.2299999999996</v>
      </c>
      <c r="E28" s="8"/>
      <c r="F28" s="8"/>
      <c r="G28" s="8"/>
      <c r="H28" s="42">
        <f>SUM(D25:D44)</f>
        <v>7147260.9299999997</v>
      </c>
    </row>
    <row r="29" spans="1:8" x14ac:dyDescent="0.2">
      <c r="A29" s="59" t="s">
        <v>36</v>
      </c>
      <c r="B29" s="43"/>
      <c r="C29" s="56"/>
      <c r="D29" s="41">
        <f>[4]Charters!E167</f>
        <v>47085</v>
      </c>
      <c r="E29" s="8"/>
      <c r="F29" s="8"/>
      <c r="G29" s="8"/>
      <c r="H29" s="42">
        <f>+H27-H28</f>
        <v>0</v>
      </c>
    </row>
    <row r="30" spans="1:8" x14ac:dyDescent="0.2">
      <c r="A30" s="59" t="s">
        <v>52</v>
      </c>
      <c r="B30" s="43"/>
      <c r="C30" s="56"/>
      <c r="D30" s="41">
        <f>[4]Charters!G328</f>
        <v>0</v>
      </c>
      <c r="E30" s="8"/>
      <c r="F30" s="42" t="s">
        <v>27</v>
      </c>
      <c r="G30" s="8"/>
    </row>
    <row r="31" spans="1:8" x14ac:dyDescent="0.2">
      <c r="A31" s="20" t="s">
        <v>37</v>
      </c>
      <c r="B31" s="43"/>
      <c r="C31" s="56"/>
      <c r="D31" s="41">
        <f>[4]Charters!E484</f>
        <v>78001</v>
      </c>
      <c r="E31" s="8"/>
      <c r="F31" s="42">
        <f>[4]Charters!E167</f>
        <v>47085</v>
      </c>
      <c r="G31" s="8"/>
      <c r="H31" s="8"/>
    </row>
    <row r="32" spans="1:8" x14ac:dyDescent="0.2">
      <c r="A32" s="20" t="s">
        <v>38</v>
      </c>
      <c r="B32" s="43"/>
      <c r="C32" s="56"/>
      <c r="D32" s="41">
        <f>[4]Charters!F484</f>
        <v>0</v>
      </c>
      <c r="E32" s="8"/>
      <c r="F32" s="42">
        <f>SUM(D29:D29)</f>
        <v>47085</v>
      </c>
      <c r="G32" s="8"/>
      <c r="H32" s="8"/>
    </row>
    <row r="33" spans="1:8" x14ac:dyDescent="0.2">
      <c r="A33" s="59" t="s">
        <v>40</v>
      </c>
      <c r="B33" s="43"/>
      <c r="C33" s="56"/>
      <c r="D33" s="41">
        <f>[4]Charters!G484</f>
        <v>85600</v>
      </c>
      <c r="E33" s="8"/>
      <c r="F33" s="42">
        <f>+F31-F32</f>
        <v>0</v>
      </c>
      <c r="G33" s="8"/>
      <c r="H33" s="8"/>
    </row>
    <row r="34" spans="1:8" x14ac:dyDescent="0.2">
      <c r="A34" s="20" t="s">
        <v>41</v>
      </c>
      <c r="B34" s="43"/>
      <c r="C34" s="56"/>
      <c r="D34" s="41">
        <f>[4]Charters!C639</f>
        <v>2205102</v>
      </c>
      <c r="E34" s="8"/>
      <c r="F34" s="42" t="s">
        <v>28</v>
      </c>
      <c r="G34" s="8"/>
      <c r="H34" s="8"/>
    </row>
    <row r="35" spans="1:8" x14ac:dyDescent="0.2">
      <c r="A35" s="20" t="s">
        <v>42</v>
      </c>
      <c r="B35" s="43"/>
      <c r="C35" s="56"/>
      <c r="D35" s="41">
        <f>[4]Charters!D639</f>
        <v>323262.98</v>
      </c>
      <c r="E35" s="8"/>
      <c r="F35" s="42">
        <f>[4]Charters!D484</f>
        <v>51838.23</v>
      </c>
      <c r="G35" s="8"/>
      <c r="H35" s="8"/>
    </row>
    <row r="36" spans="1:8" x14ac:dyDescent="0.2">
      <c r="A36" s="20" t="s">
        <v>44</v>
      </c>
      <c r="B36" s="43"/>
      <c r="C36" s="56"/>
      <c r="D36" s="41">
        <f>[4]Charters!E639</f>
        <v>110200</v>
      </c>
      <c r="E36" s="8"/>
      <c r="F36" s="42">
        <f>SUM(D28:D30)</f>
        <v>51838.23</v>
      </c>
      <c r="G36" s="8"/>
      <c r="H36" s="8"/>
    </row>
    <row r="37" spans="1:8" x14ac:dyDescent="0.2">
      <c r="A37" s="59" t="s">
        <v>43</v>
      </c>
      <c r="B37" s="43"/>
      <c r="C37" s="56"/>
      <c r="D37" s="41">
        <f>[4]Charters!F639</f>
        <v>47155.26</v>
      </c>
      <c r="E37" s="8"/>
      <c r="F37" s="42">
        <f>+F35-F36</f>
        <v>0</v>
      </c>
      <c r="G37" s="8"/>
      <c r="H37" s="8"/>
    </row>
    <row r="38" spans="1:8" x14ac:dyDescent="0.2">
      <c r="A38" s="59" t="s">
        <v>45</v>
      </c>
      <c r="B38" s="43"/>
      <c r="C38" s="56"/>
      <c r="D38" s="41">
        <f>[4]Charters!C484</f>
        <v>0</v>
      </c>
      <c r="E38" s="8"/>
      <c r="F38" s="8"/>
      <c r="G38" s="8"/>
      <c r="H38" s="8"/>
    </row>
    <row r="39" spans="1:8" x14ac:dyDescent="0.2">
      <c r="A39" s="59" t="s">
        <v>46</v>
      </c>
      <c r="B39" s="43"/>
      <c r="C39" s="56"/>
      <c r="D39" s="41">
        <f>[4]Charters!C795</f>
        <v>0</v>
      </c>
      <c r="E39" s="8"/>
      <c r="F39" s="8"/>
      <c r="G39" s="8"/>
      <c r="H39" s="42" t="s">
        <v>31</v>
      </c>
    </row>
    <row r="40" spans="1:8" x14ac:dyDescent="0.2">
      <c r="A40" s="59" t="s">
        <v>51</v>
      </c>
      <c r="B40" s="43"/>
      <c r="C40" s="56"/>
      <c r="D40" s="60">
        <f>[4]Charters!D795</f>
        <v>1309.3</v>
      </c>
      <c r="E40" s="8"/>
      <c r="F40" s="8"/>
      <c r="G40" s="8"/>
      <c r="H40" s="42">
        <f>[4]Charters!D1254</f>
        <v>7159242.2199999997</v>
      </c>
    </row>
    <row r="41" spans="1:8" x14ac:dyDescent="0.2">
      <c r="A41" s="20" t="s">
        <v>47</v>
      </c>
      <c r="B41" s="43"/>
      <c r="C41" s="56"/>
      <c r="D41" s="60">
        <f>[4]Charters!E795</f>
        <v>0</v>
      </c>
      <c r="E41" s="8"/>
      <c r="F41" s="8"/>
      <c r="G41" s="8"/>
      <c r="H41" s="42">
        <f>D50</f>
        <v>7159242.2199999997</v>
      </c>
    </row>
    <row r="42" spans="1:8" x14ac:dyDescent="0.2">
      <c r="A42" s="20" t="s">
        <v>57</v>
      </c>
      <c r="B42" s="43"/>
      <c r="C42" s="56"/>
      <c r="D42" s="60">
        <f>[4]Charters!C948</f>
        <v>13544.35</v>
      </c>
      <c r="E42" s="8"/>
      <c r="F42" s="8"/>
      <c r="G42" s="8"/>
      <c r="H42" s="42">
        <f>+H40-H41</f>
        <v>0</v>
      </c>
    </row>
    <row r="43" spans="1:8" x14ac:dyDescent="0.2">
      <c r="A43" s="59" t="s">
        <v>53</v>
      </c>
      <c r="B43" s="43"/>
      <c r="C43" s="56"/>
      <c r="D43" s="60">
        <f>[4]Charters!D948</f>
        <v>35268</v>
      </c>
      <c r="E43" s="8"/>
      <c r="F43" s="42" t="s">
        <v>30</v>
      </c>
      <c r="G43" s="8"/>
      <c r="H43" s="8"/>
    </row>
    <row r="44" spans="1:8" x14ac:dyDescent="0.2">
      <c r="A44" s="59" t="s">
        <v>59</v>
      </c>
      <c r="B44" s="43"/>
      <c r="C44" s="56"/>
      <c r="D44" s="60">
        <f>[4]Charters!E948</f>
        <v>0</v>
      </c>
      <c r="E44" s="8"/>
      <c r="F44" s="8"/>
      <c r="G44" s="8"/>
      <c r="H44" s="8"/>
    </row>
    <row r="45" spans="1:8" x14ac:dyDescent="0.2">
      <c r="A45" s="38" t="s">
        <v>18</v>
      </c>
      <c r="B45" s="61"/>
      <c r="C45" s="62"/>
      <c r="D45" s="63"/>
      <c r="E45" s="8"/>
      <c r="F45" s="42">
        <f>[4]Charters!C1254</f>
        <v>11981.29</v>
      </c>
      <c r="G45" s="8"/>
      <c r="H45" s="8"/>
    </row>
    <row r="46" spans="1:8" x14ac:dyDescent="0.2">
      <c r="A46" s="59" t="s">
        <v>39</v>
      </c>
      <c r="B46" s="43"/>
      <c r="C46" s="56"/>
      <c r="D46" s="41">
        <f>[4]Charters!C1101</f>
        <v>11981.29</v>
      </c>
      <c r="E46" s="8"/>
      <c r="F46" s="42">
        <f>SUM(D46:D49)</f>
        <v>11981.29</v>
      </c>
      <c r="G46" s="8"/>
      <c r="H46" s="8"/>
    </row>
    <row r="47" spans="1:8" x14ac:dyDescent="0.2">
      <c r="A47" s="59" t="s">
        <v>48</v>
      </c>
      <c r="B47" s="43"/>
      <c r="C47" s="56"/>
      <c r="D47" s="41">
        <f>[4]Charters!D1101</f>
        <v>0</v>
      </c>
      <c r="E47" s="8"/>
      <c r="F47" s="42">
        <f>+F45-F46</f>
        <v>0</v>
      </c>
      <c r="G47" s="8"/>
      <c r="H47" s="8"/>
    </row>
    <row r="48" spans="1:8" x14ac:dyDescent="0.2">
      <c r="A48" s="59" t="s">
        <v>60</v>
      </c>
      <c r="B48" s="43"/>
      <c r="C48" s="56"/>
      <c r="D48" s="41">
        <f>[4]Charters!E1101</f>
        <v>0</v>
      </c>
      <c r="E48" s="8"/>
      <c r="F48" s="8"/>
      <c r="G48" s="8"/>
      <c r="H48" s="8"/>
    </row>
    <row r="49" spans="1:8" x14ac:dyDescent="0.2">
      <c r="A49" s="59" t="s">
        <v>61</v>
      </c>
      <c r="B49" s="43"/>
      <c r="C49" s="56"/>
      <c r="D49" s="41">
        <f>[4]Charters!F1101</f>
        <v>0</v>
      </c>
      <c r="E49" s="8"/>
      <c r="F49" s="8"/>
      <c r="G49" s="8"/>
      <c r="H49" s="8"/>
    </row>
    <row r="50" spans="1:8" ht="13.5" thickBot="1" x14ac:dyDescent="0.25">
      <c r="A50" s="64"/>
      <c r="B50" s="65"/>
      <c r="C50" s="66"/>
      <c r="D50" s="67">
        <f>SUM(D25:D49)</f>
        <v>7159242.2199999997</v>
      </c>
      <c r="E50" s="8"/>
      <c r="F50" s="8"/>
      <c r="G50" s="8"/>
      <c r="H50" s="8"/>
    </row>
    <row r="51" spans="1:8" ht="13.5" thickTop="1" x14ac:dyDescent="0.2">
      <c r="A51" s="68"/>
      <c r="B51" s="43"/>
      <c r="C51" s="56"/>
      <c r="D51" s="69"/>
      <c r="E51" s="8"/>
      <c r="F51" s="8"/>
      <c r="G51" s="8"/>
      <c r="H51" s="8"/>
    </row>
    <row r="52" spans="1:8" x14ac:dyDescent="0.2">
      <c r="A52" s="38" t="s">
        <v>20</v>
      </c>
      <c r="B52" s="39"/>
      <c r="C52" s="70"/>
      <c r="D52" s="71" t="s">
        <v>21</v>
      </c>
      <c r="E52" s="8"/>
      <c r="F52" s="8"/>
      <c r="G52" s="8"/>
      <c r="H52" s="8"/>
    </row>
    <row r="53" spans="1:8" x14ac:dyDescent="0.2">
      <c r="A53" s="72" t="s">
        <v>22</v>
      </c>
      <c r="B53" s="73"/>
      <c r="C53" s="74"/>
      <c r="D53" s="41">
        <f>[5]Charters!C7</f>
        <v>2415.0300000000002</v>
      </c>
      <c r="E53" s="8"/>
      <c r="F53" s="8"/>
      <c r="G53" s="8"/>
      <c r="H53" s="8"/>
    </row>
    <row r="54" spans="1:8" x14ac:dyDescent="0.2">
      <c r="A54" s="75"/>
      <c r="B54" s="61"/>
      <c r="C54" s="76"/>
      <c r="D54" s="77">
        <f>SUM(D53:D53)</f>
        <v>2415.0300000000002</v>
      </c>
      <c r="E54" s="8"/>
      <c r="F54" s="8"/>
      <c r="G54" s="8"/>
      <c r="H54" s="8"/>
    </row>
    <row r="55" spans="1:8" x14ac:dyDescent="0.2">
      <c r="A55" s="78" t="s">
        <v>58</v>
      </c>
      <c r="B55" s="79"/>
      <c r="C55" s="80"/>
      <c r="D55" s="77">
        <f>D54+D50</f>
        <v>7161657.25</v>
      </c>
      <c r="E55" s="8"/>
      <c r="F55" s="8"/>
      <c r="G55" s="8"/>
      <c r="H55" s="8"/>
    </row>
    <row r="56" spans="1:8" x14ac:dyDescent="0.2">
      <c r="A56" s="4"/>
      <c r="B56" s="4"/>
      <c r="C56" s="9"/>
      <c r="D56" s="81"/>
      <c r="E56" s="8"/>
      <c r="F56" s="8"/>
      <c r="G56" s="8"/>
      <c r="H56" s="8"/>
    </row>
    <row r="57" spans="1:8" x14ac:dyDescent="0.2">
      <c r="A57" s="4"/>
      <c r="B57" s="4"/>
      <c r="C57" s="9"/>
      <c r="D57" s="81">
        <f>[5]Charters!E163</f>
        <v>7161657.25</v>
      </c>
      <c r="E57" s="8"/>
      <c r="F57" s="8"/>
      <c r="G57" s="8"/>
      <c r="H57" s="8"/>
    </row>
    <row r="58" spans="1:8" x14ac:dyDescent="0.2">
      <c r="A58" s="4"/>
      <c r="B58" s="4"/>
      <c r="C58" s="9"/>
      <c r="D58" s="81">
        <f>D55</f>
        <v>7161657.25</v>
      </c>
      <c r="E58" s="8"/>
      <c r="F58" s="8"/>
      <c r="G58" s="8"/>
      <c r="H58" s="8"/>
    </row>
    <row r="59" spans="1:8" x14ac:dyDescent="0.2">
      <c r="A59" s="1"/>
      <c r="B59" s="1"/>
      <c r="C59" s="10"/>
      <c r="D59" s="42">
        <f>D57-D58</f>
        <v>0</v>
      </c>
      <c r="E59" s="8"/>
      <c r="F59" s="8"/>
      <c r="G59" s="8"/>
      <c r="H59" s="8"/>
    </row>
  </sheetData>
  <mergeCells count="4">
    <mergeCell ref="A1:D1"/>
    <mergeCell ref="A2:D2"/>
    <mergeCell ref="A3:D3"/>
    <mergeCell ref="A55:C55"/>
  </mergeCells>
  <phoneticPr fontId="0" type="noConversion"/>
  <printOptions horizontalCentered="1" verticalCentered="1"/>
  <pageMargins left="0.5" right="0.5" top="0.5" bottom="0.5" header="0.25" footer="0.25"/>
  <pageSetup orientation="portrait" r:id="rId1"/>
  <headerFooter alignWithMargins="0">
    <oddHeader>&amp;R&amp;8Current as of: &amp;D</oddHeader>
    <oddFooter>&amp;L&amp;8USOE, School Finance</oddFooter>
  </headerFooter>
  <picture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H60"/>
  <sheetViews>
    <sheetView showGridLines="0" workbookViewId="0">
      <selection activeCell="C12" sqref="C12"/>
    </sheetView>
  </sheetViews>
  <sheetFormatPr defaultColWidth="9.140625" defaultRowHeight="12.75" x14ac:dyDescent="0.2"/>
  <cols>
    <col min="1" max="1" width="31.85546875" style="82" customWidth="1"/>
    <col min="2" max="2" width="16.140625" style="82" customWidth="1"/>
    <col min="3" max="4" width="14.85546875" style="82" customWidth="1"/>
    <col min="5" max="5" width="7" style="82" customWidth="1"/>
    <col min="6" max="6" width="19.7109375" style="82" customWidth="1"/>
    <col min="7" max="7" width="5.7109375" style="82" customWidth="1"/>
    <col min="8" max="8" width="18" style="82" customWidth="1"/>
    <col min="9" max="16384" width="9.140625" style="82"/>
  </cols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1" t="s">
        <v>1</v>
      </c>
      <c r="B2" s="12"/>
      <c r="C2" s="12"/>
      <c r="D2" s="13"/>
      <c r="E2" s="8"/>
      <c r="F2" s="8"/>
      <c r="G2" s="8"/>
      <c r="H2" s="8"/>
    </row>
    <row r="3" spans="1:8" x14ac:dyDescent="0.2">
      <c r="A3" s="14" t="s">
        <v>15</v>
      </c>
      <c r="B3" s="15"/>
      <c r="C3" s="15"/>
      <c r="D3" s="16"/>
      <c r="E3" s="8"/>
      <c r="F3" s="8"/>
      <c r="G3" s="8"/>
      <c r="H3" s="8"/>
    </row>
    <row r="4" spans="1:8" x14ac:dyDescent="0.2">
      <c r="A4" s="17" t="s">
        <v>62</v>
      </c>
      <c r="B4" s="18"/>
      <c r="C4" s="18"/>
      <c r="D4" s="19"/>
      <c r="E4" s="8"/>
      <c r="F4" s="8"/>
      <c r="G4" s="8"/>
      <c r="H4" s="8"/>
    </row>
    <row r="5" spans="1:8" x14ac:dyDescent="0.2">
      <c r="A5" s="20"/>
      <c r="B5" s="21"/>
      <c r="C5" s="22"/>
      <c r="D5" s="23"/>
      <c r="E5" s="8"/>
      <c r="F5" s="8" t="s">
        <v>34</v>
      </c>
      <c r="G5" s="8"/>
      <c r="H5" s="8"/>
    </row>
    <row r="6" spans="1:8" ht="15.75" x14ac:dyDescent="0.25">
      <c r="A6" s="24" t="s">
        <v>2</v>
      </c>
      <c r="B6" s="25" t="str">
        <f>[1]Charters!B9</f>
        <v>American Preparatory Academy</v>
      </c>
      <c r="C6" s="26"/>
      <c r="D6" s="27"/>
      <c r="E6" s="8"/>
      <c r="F6" s="8"/>
      <c r="G6" s="8"/>
      <c r="H6" s="8"/>
    </row>
    <row r="7" spans="1:8" x14ac:dyDescent="0.2">
      <c r="A7" s="24"/>
      <c r="B7" s="28"/>
      <c r="C7" s="26"/>
      <c r="D7" s="27"/>
      <c r="E7" s="8"/>
      <c r="F7" s="8"/>
      <c r="G7" s="8"/>
      <c r="H7" s="8"/>
    </row>
    <row r="8" spans="1:8" x14ac:dyDescent="0.2">
      <c r="A8" s="29" t="s">
        <v>0</v>
      </c>
      <c r="B8" s="30">
        <f>[1]Charters!$E$6</f>
        <v>3184</v>
      </c>
      <c r="C8" s="26"/>
      <c r="D8" s="31"/>
      <c r="E8" s="8"/>
      <c r="F8" s="8"/>
      <c r="G8" s="8"/>
      <c r="H8" s="8"/>
    </row>
    <row r="9" spans="1:8" x14ac:dyDescent="0.2">
      <c r="A9" s="32"/>
      <c r="B9" s="6"/>
      <c r="C9" s="33"/>
      <c r="D9" s="34" t="s">
        <v>3</v>
      </c>
      <c r="E9" s="8"/>
      <c r="F9" s="8"/>
      <c r="G9" s="8"/>
      <c r="H9" s="8"/>
    </row>
    <row r="10" spans="1:8" x14ac:dyDescent="0.2">
      <c r="A10" s="29" t="s">
        <v>19</v>
      </c>
      <c r="B10" s="35">
        <f>[1]Charters!A9</f>
        <v>74</v>
      </c>
      <c r="C10" s="36" t="s">
        <v>4</v>
      </c>
      <c r="D10" s="37" t="s">
        <v>5</v>
      </c>
      <c r="E10" s="8"/>
      <c r="F10" s="8"/>
      <c r="G10" s="8"/>
      <c r="H10" s="8"/>
    </row>
    <row r="11" spans="1:8" x14ac:dyDescent="0.2">
      <c r="A11" s="38" t="s">
        <v>6</v>
      </c>
      <c r="B11" s="39"/>
      <c r="C11" s="40"/>
      <c r="D11" s="41"/>
      <c r="E11" s="8"/>
      <c r="F11" s="8"/>
      <c r="G11" s="8"/>
      <c r="H11" s="8"/>
    </row>
    <row r="12" spans="1:8" x14ac:dyDescent="0.2">
      <c r="A12" s="38" t="s">
        <v>7</v>
      </c>
      <c r="B12" s="39"/>
      <c r="C12" s="40"/>
      <c r="D12" s="41"/>
      <c r="E12" s="8"/>
      <c r="F12" s="42" t="s">
        <v>23</v>
      </c>
      <c r="G12" s="8"/>
      <c r="H12" s="42" t="s">
        <v>26</v>
      </c>
    </row>
    <row r="13" spans="1:8" x14ac:dyDescent="0.2">
      <c r="A13" s="20" t="s">
        <v>8</v>
      </c>
      <c r="B13" s="43"/>
      <c r="C13" s="44">
        <f>[1]Charters!C469</f>
        <v>3931.8009999999999</v>
      </c>
      <c r="D13" s="45">
        <f>[1]Charters!E469</f>
        <v>12518852.859999999</v>
      </c>
      <c r="E13" s="8"/>
      <c r="F13" s="42">
        <f>[1]Charters!E624</f>
        <v>13105473.789999999</v>
      </c>
      <c r="G13" s="8"/>
      <c r="H13" s="42">
        <f>[2]Charters!E163</f>
        <v>17288118.82</v>
      </c>
    </row>
    <row r="14" spans="1:8" x14ac:dyDescent="0.2">
      <c r="A14" s="20" t="s">
        <v>14</v>
      </c>
      <c r="B14" s="43"/>
      <c r="C14" s="44">
        <f>[1]Charters!F469</f>
        <v>184.24</v>
      </c>
      <c r="D14" s="45">
        <f>[1]Charters!H469</f>
        <v>586620.93000000005</v>
      </c>
      <c r="E14" s="8"/>
      <c r="F14" s="42">
        <f>SUM(D13:D15)</f>
        <v>13105473.789999999</v>
      </c>
      <c r="G14" s="8"/>
      <c r="H14" s="42">
        <f>D26</f>
        <v>17288118.82</v>
      </c>
    </row>
    <row r="15" spans="1:8" x14ac:dyDescent="0.2">
      <c r="A15" s="20" t="s">
        <v>32</v>
      </c>
      <c r="B15" s="43"/>
      <c r="C15" s="44">
        <f>[1]Charters!C162</f>
        <v>0</v>
      </c>
      <c r="D15" s="45">
        <f>[1]Charters!E162</f>
        <v>0</v>
      </c>
      <c r="E15" s="8"/>
      <c r="F15" s="42">
        <f>+F13-F14</f>
        <v>0</v>
      </c>
      <c r="G15" s="8"/>
      <c r="H15" s="42">
        <f>+H13-H14</f>
        <v>0</v>
      </c>
    </row>
    <row r="16" spans="1:8" x14ac:dyDescent="0.2">
      <c r="A16" s="38" t="s">
        <v>9</v>
      </c>
      <c r="B16" s="39"/>
      <c r="C16" s="46"/>
      <c r="D16" s="47"/>
      <c r="E16" s="8"/>
      <c r="F16" s="8"/>
      <c r="G16" s="8"/>
      <c r="H16" s="8"/>
    </row>
    <row r="17" spans="1:8" x14ac:dyDescent="0.2">
      <c r="A17" s="20" t="s">
        <v>10</v>
      </c>
      <c r="B17" s="43"/>
      <c r="C17" s="40">
        <f>[3]Charters!C8</f>
        <v>970.029</v>
      </c>
      <c r="D17" s="41">
        <f>[3]Charters!E8</f>
        <v>3088571.18</v>
      </c>
      <c r="E17" s="8"/>
      <c r="F17" s="42" t="s">
        <v>24</v>
      </c>
      <c r="G17" s="8"/>
      <c r="H17" s="8"/>
    </row>
    <row r="18" spans="1:8" x14ac:dyDescent="0.2">
      <c r="A18" s="48" t="s">
        <v>11</v>
      </c>
      <c r="B18" s="43"/>
      <c r="C18" s="40">
        <f>[3]Charters!F8</f>
        <v>10.46</v>
      </c>
      <c r="D18" s="49">
        <f>[3]Charters!H8</f>
        <v>33304.639999999999</v>
      </c>
      <c r="E18" s="8"/>
      <c r="F18" s="42">
        <f>[3]Charters!N319</f>
        <v>3160729.28</v>
      </c>
      <c r="G18" s="8"/>
      <c r="H18" s="8"/>
    </row>
    <row r="19" spans="1:8" x14ac:dyDescent="0.2">
      <c r="A19" s="48" t="s">
        <v>12</v>
      </c>
      <c r="B19" s="43"/>
      <c r="C19" s="40">
        <f>[3]Charters!C163</f>
        <v>0</v>
      </c>
      <c r="D19" s="41">
        <f>[3]Charters!E163</f>
        <v>0</v>
      </c>
      <c r="E19" s="8"/>
      <c r="F19" s="42">
        <f>SUM(D17:D23)</f>
        <v>3160729.28</v>
      </c>
      <c r="G19" s="8"/>
      <c r="H19" s="8"/>
    </row>
    <row r="20" spans="1:8" x14ac:dyDescent="0.2">
      <c r="A20" s="20" t="s">
        <v>13</v>
      </c>
      <c r="B20" s="43"/>
      <c r="C20" s="40">
        <f>[3]Charters!F163</f>
        <v>2.4740000000000002</v>
      </c>
      <c r="D20" s="41">
        <f>[3]Charters!H163</f>
        <v>7877.17</v>
      </c>
      <c r="E20" s="8"/>
      <c r="F20" s="42">
        <f>+F18-F19</f>
        <v>0</v>
      </c>
      <c r="G20" s="8"/>
      <c r="H20" s="8"/>
    </row>
    <row r="21" spans="1:8" x14ac:dyDescent="0.2">
      <c r="A21" s="48" t="s">
        <v>54</v>
      </c>
      <c r="B21" s="43"/>
      <c r="C21" s="40">
        <f>[3]Charters!C319</f>
        <v>9.7289999999999992</v>
      </c>
      <c r="D21" s="41">
        <f>[3]Charters!E319</f>
        <v>30976.29</v>
      </c>
      <c r="E21" s="8"/>
      <c r="F21" s="8"/>
      <c r="G21" s="8"/>
      <c r="H21" s="8"/>
    </row>
    <row r="22" spans="1:8" x14ac:dyDescent="0.2">
      <c r="A22" s="48" t="s">
        <v>55</v>
      </c>
      <c r="B22" s="43"/>
      <c r="C22" s="40">
        <f>[3]Charters!F319</f>
        <v>0</v>
      </c>
      <c r="D22" s="41">
        <f>[3]Charters!H319</f>
        <v>0</v>
      </c>
      <c r="E22" s="8"/>
      <c r="F22" s="42" t="s">
        <v>25</v>
      </c>
      <c r="G22" s="8"/>
      <c r="H22" s="8"/>
    </row>
    <row r="23" spans="1:8" x14ac:dyDescent="0.2">
      <c r="A23" s="48" t="s">
        <v>56</v>
      </c>
      <c r="B23" s="43"/>
      <c r="C23" s="40">
        <f>[3]Charters!I319</f>
        <v>0</v>
      </c>
      <c r="D23" s="41">
        <f>[3]Charters!K319</f>
        <v>0</v>
      </c>
      <c r="E23" s="8"/>
      <c r="F23" s="42">
        <f>[2]Charters!H9</f>
        <v>4182645.03</v>
      </c>
      <c r="G23" s="8"/>
      <c r="H23" s="8"/>
    </row>
    <row r="24" spans="1:8" x14ac:dyDescent="0.2">
      <c r="A24" s="20" t="s">
        <v>49</v>
      </c>
      <c r="B24" s="43"/>
      <c r="C24" s="40">
        <f>[3]Charters!C476</f>
        <v>0</v>
      </c>
      <c r="D24" s="41">
        <f>[3]Charters!E476</f>
        <v>0</v>
      </c>
      <c r="E24" s="8"/>
      <c r="F24" s="42">
        <f>SUM(D17:D25)</f>
        <v>4182645.03</v>
      </c>
      <c r="G24" s="8"/>
      <c r="H24" s="8"/>
    </row>
    <row r="25" spans="1:8" x14ac:dyDescent="0.2">
      <c r="A25" s="20" t="s">
        <v>50</v>
      </c>
      <c r="B25" s="43"/>
      <c r="C25" s="40">
        <f>[2]Charters!C9</f>
        <v>320.95299999999997</v>
      </c>
      <c r="D25" s="41">
        <f>[2]Charters!E9</f>
        <v>1021915.75</v>
      </c>
      <c r="E25" s="8"/>
      <c r="F25" s="42">
        <f>+F23-F24</f>
        <v>0</v>
      </c>
      <c r="G25" s="8"/>
      <c r="H25" s="8"/>
    </row>
    <row r="26" spans="1:8" x14ac:dyDescent="0.2">
      <c r="A26" s="50"/>
      <c r="B26" s="51" t="s">
        <v>16</v>
      </c>
      <c r="C26" s="52">
        <f>SUM(C13:C25)</f>
        <v>5429.6859999999997</v>
      </c>
      <c r="D26" s="53">
        <f>SUM(D13:D25)</f>
        <v>17288118.82</v>
      </c>
      <c r="E26" s="8"/>
      <c r="F26" s="8"/>
      <c r="G26" s="8"/>
      <c r="H26" s="8"/>
    </row>
    <row r="27" spans="1:8" x14ac:dyDescent="0.2">
      <c r="A27" s="54" t="s">
        <v>17</v>
      </c>
      <c r="B27" s="39"/>
      <c r="C27" s="55"/>
      <c r="D27" s="47"/>
      <c r="E27" s="8"/>
      <c r="F27" s="8"/>
      <c r="G27" s="8"/>
      <c r="H27" s="42" t="s">
        <v>29</v>
      </c>
    </row>
    <row r="28" spans="1:8" x14ac:dyDescent="0.2">
      <c r="A28" s="20" t="s">
        <v>33</v>
      </c>
      <c r="B28" s="43"/>
      <c r="C28" s="56"/>
      <c r="D28" s="57">
        <f>[4]Charters!C8</f>
        <v>50109.06</v>
      </c>
      <c r="E28" s="8"/>
      <c r="F28" s="8"/>
      <c r="G28" s="8"/>
      <c r="H28" s="42">
        <f>[4]Charters!F949</f>
        <v>28537832.690000001</v>
      </c>
    </row>
    <row r="29" spans="1:8" x14ac:dyDescent="0.2">
      <c r="A29" s="58" t="s">
        <v>35</v>
      </c>
      <c r="B29" s="43"/>
      <c r="C29" s="56"/>
      <c r="D29" s="41">
        <f>+[4]Charters!F329</f>
        <v>25555.64</v>
      </c>
      <c r="E29" s="8"/>
      <c r="F29" s="8"/>
      <c r="G29" s="8"/>
      <c r="H29" s="42">
        <f>SUM(D26:D45)</f>
        <v>28537832.690000001</v>
      </c>
    </row>
    <row r="30" spans="1:8" x14ac:dyDescent="0.2">
      <c r="A30" s="59" t="s">
        <v>36</v>
      </c>
      <c r="B30" s="43"/>
      <c r="C30" s="56"/>
      <c r="D30" s="41">
        <f>[4]Charters!E168</f>
        <v>138279</v>
      </c>
      <c r="E30" s="8"/>
      <c r="F30" s="8"/>
      <c r="G30" s="8"/>
      <c r="H30" s="42">
        <f>+H28-H29</f>
        <v>0</v>
      </c>
    </row>
    <row r="31" spans="1:8" x14ac:dyDescent="0.2">
      <c r="A31" s="59" t="s">
        <v>52</v>
      </c>
      <c r="B31" s="43"/>
      <c r="C31" s="56"/>
      <c r="D31" s="41">
        <f>[4]Charters!G329</f>
        <v>0</v>
      </c>
      <c r="E31" s="8"/>
      <c r="F31" s="42" t="s">
        <v>27</v>
      </c>
      <c r="G31" s="8"/>
      <c r="H31" s="42"/>
    </row>
    <row r="32" spans="1:8" x14ac:dyDescent="0.2">
      <c r="A32" s="20" t="s">
        <v>37</v>
      </c>
      <c r="B32" s="43"/>
      <c r="C32" s="56"/>
      <c r="D32" s="41">
        <f>[4]Charters!E485</f>
        <v>305830</v>
      </c>
      <c r="E32" s="8"/>
      <c r="F32" s="42">
        <f>[4]Charters!E168</f>
        <v>138279</v>
      </c>
      <c r="G32" s="8"/>
      <c r="H32" s="8"/>
    </row>
    <row r="33" spans="1:8" x14ac:dyDescent="0.2">
      <c r="A33" s="20" t="s">
        <v>38</v>
      </c>
      <c r="B33" s="43"/>
      <c r="C33" s="56"/>
      <c r="D33" s="41">
        <f>[4]Charters!F485</f>
        <v>21776</v>
      </c>
      <c r="E33" s="8"/>
      <c r="F33" s="42">
        <f>SUM(D30:D30)</f>
        <v>138279</v>
      </c>
      <c r="G33" s="8"/>
      <c r="H33" s="8"/>
    </row>
    <row r="34" spans="1:8" x14ac:dyDescent="0.2">
      <c r="A34" s="59" t="s">
        <v>40</v>
      </c>
      <c r="B34" s="43"/>
      <c r="C34" s="56"/>
      <c r="D34" s="41">
        <f>[4]Charters!G485</f>
        <v>135716</v>
      </c>
      <c r="E34" s="8"/>
      <c r="F34" s="42">
        <f>+F32-F33</f>
        <v>0</v>
      </c>
      <c r="G34" s="8"/>
      <c r="H34" s="8"/>
    </row>
    <row r="35" spans="1:8" x14ac:dyDescent="0.2">
      <c r="A35" s="20" t="s">
        <v>41</v>
      </c>
      <c r="B35" s="43"/>
      <c r="C35" s="56"/>
      <c r="D35" s="41">
        <f>[4]Charters!C640</f>
        <v>8548272</v>
      </c>
      <c r="E35" s="8"/>
      <c r="F35" s="42" t="s">
        <v>28</v>
      </c>
      <c r="G35" s="8"/>
      <c r="H35" s="8"/>
    </row>
    <row r="36" spans="1:8" x14ac:dyDescent="0.2">
      <c r="A36" s="20" t="s">
        <v>42</v>
      </c>
      <c r="B36" s="43"/>
      <c r="C36" s="56"/>
      <c r="D36" s="41">
        <f>[4]Charters!D640</f>
        <v>1136110.94</v>
      </c>
      <c r="E36" s="8"/>
      <c r="F36" s="42">
        <f>[4]Charters!D485</f>
        <v>163834.64000000001</v>
      </c>
      <c r="G36" s="8"/>
      <c r="H36" s="8"/>
    </row>
    <row r="37" spans="1:8" x14ac:dyDescent="0.2">
      <c r="A37" s="20" t="s">
        <v>44</v>
      </c>
      <c r="B37" s="43"/>
      <c r="C37" s="56"/>
      <c r="D37" s="41">
        <f>[4]Charters!E640</f>
        <v>427200</v>
      </c>
      <c r="E37" s="8"/>
      <c r="F37" s="42">
        <f>SUM(D29:D31)</f>
        <v>163834.64000000001</v>
      </c>
      <c r="G37" s="8"/>
      <c r="H37" s="8"/>
    </row>
    <row r="38" spans="1:8" x14ac:dyDescent="0.2">
      <c r="A38" s="59" t="s">
        <v>43</v>
      </c>
      <c r="B38" s="43"/>
      <c r="C38" s="56"/>
      <c r="D38" s="41">
        <f>[4]Charters!F640</f>
        <v>162761.67000000001</v>
      </c>
      <c r="E38" s="8"/>
      <c r="F38" s="42">
        <f>+F36-F37</f>
        <v>0</v>
      </c>
      <c r="G38" s="8"/>
      <c r="H38" s="8"/>
    </row>
    <row r="39" spans="1:8" x14ac:dyDescent="0.2">
      <c r="A39" s="59" t="s">
        <v>45</v>
      </c>
      <c r="B39" s="43"/>
      <c r="C39" s="56"/>
      <c r="D39" s="41">
        <f>[4]Charters!C485</f>
        <v>0</v>
      </c>
      <c r="E39" s="8"/>
      <c r="F39" s="8"/>
      <c r="G39" s="8"/>
      <c r="H39" s="8"/>
    </row>
    <row r="40" spans="1:8" x14ac:dyDescent="0.2">
      <c r="A40" s="59" t="s">
        <v>46</v>
      </c>
      <c r="B40" s="43"/>
      <c r="C40" s="56"/>
      <c r="D40" s="41">
        <f>[4]Charters!C796</f>
        <v>0</v>
      </c>
      <c r="E40" s="8"/>
      <c r="F40" s="8"/>
      <c r="G40" s="8"/>
      <c r="H40" s="42" t="s">
        <v>31</v>
      </c>
    </row>
    <row r="41" spans="1:8" x14ac:dyDescent="0.2">
      <c r="A41" s="59" t="s">
        <v>51</v>
      </c>
      <c r="B41" s="43"/>
      <c r="C41" s="56"/>
      <c r="D41" s="60">
        <f>[4]Charters!D796</f>
        <v>4714.03</v>
      </c>
      <c r="E41" s="8"/>
      <c r="F41" s="8"/>
      <c r="G41" s="8"/>
      <c r="H41" s="42">
        <f>[4]Charters!D1255</f>
        <v>28618271.27</v>
      </c>
    </row>
    <row r="42" spans="1:8" x14ac:dyDescent="0.2">
      <c r="A42" s="20" t="s">
        <v>47</v>
      </c>
      <c r="B42" s="43"/>
      <c r="C42" s="56"/>
      <c r="D42" s="60">
        <f>[4]Charters!E796</f>
        <v>0</v>
      </c>
      <c r="E42" s="8"/>
      <c r="F42" s="8"/>
      <c r="G42" s="8"/>
      <c r="H42" s="42">
        <f>D51</f>
        <v>28618271.27</v>
      </c>
    </row>
    <row r="43" spans="1:8" x14ac:dyDescent="0.2">
      <c r="A43" s="20" t="s">
        <v>57</v>
      </c>
      <c r="B43" s="43"/>
      <c r="C43" s="56"/>
      <c r="D43" s="60">
        <f>[4]Charters!C949</f>
        <v>43883.64</v>
      </c>
      <c r="E43" s="8"/>
      <c r="F43" s="8"/>
      <c r="G43" s="8"/>
      <c r="H43" s="42">
        <f>+H41-H42</f>
        <v>0</v>
      </c>
    </row>
    <row r="44" spans="1:8" x14ac:dyDescent="0.2">
      <c r="A44" s="59" t="s">
        <v>53</v>
      </c>
      <c r="B44" s="43"/>
      <c r="C44" s="56"/>
      <c r="D44" s="60">
        <f>[4]Charters!D949</f>
        <v>78400</v>
      </c>
      <c r="E44" s="8"/>
      <c r="F44" s="42" t="s">
        <v>30</v>
      </c>
      <c r="G44" s="8"/>
      <c r="H44" s="8"/>
    </row>
    <row r="45" spans="1:8" x14ac:dyDescent="0.2">
      <c r="A45" s="59" t="s">
        <v>59</v>
      </c>
      <c r="B45" s="43"/>
      <c r="C45" s="56"/>
      <c r="D45" s="60">
        <f>[4]Charters!E949</f>
        <v>171105.89</v>
      </c>
      <c r="E45" s="8"/>
      <c r="F45" s="8"/>
      <c r="G45" s="8"/>
      <c r="H45" s="8"/>
    </row>
    <row r="46" spans="1:8" x14ac:dyDescent="0.2">
      <c r="A46" s="38" t="s">
        <v>18</v>
      </c>
      <c r="B46" s="61"/>
      <c r="C46" s="62"/>
      <c r="D46" s="63"/>
      <c r="E46" s="8"/>
      <c r="F46" s="42">
        <f>[4]Charters!C1255</f>
        <v>80438.58</v>
      </c>
      <c r="G46" s="8"/>
      <c r="H46" s="8"/>
    </row>
    <row r="47" spans="1:8" x14ac:dyDescent="0.2">
      <c r="A47" s="59" t="s">
        <v>39</v>
      </c>
      <c r="B47" s="43"/>
      <c r="C47" s="56"/>
      <c r="D47" s="41">
        <f>[4]Charters!C1102</f>
        <v>40783.26</v>
      </c>
      <c r="E47" s="8"/>
      <c r="F47" s="42">
        <f>SUM(D47:D50)</f>
        <v>80438.58</v>
      </c>
      <c r="G47" s="8"/>
      <c r="H47" s="8"/>
    </row>
    <row r="48" spans="1:8" x14ac:dyDescent="0.2">
      <c r="A48" s="59" t="s">
        <v>48</v>
      </c>
      <c r="B48" s="43"/>
      <c r="C48" s="56"/>
      <c r="D48" s="41">
        <f>[4]Charters!D1102</f>
        <v>0</v>
      </c>
      <c r="E48" s="8"/>
      <c r="F48" s="42">
        <f>+F46-F47</f>
        <v>0</v>
      </c>
      <c r="G48" s="8"/>
      <c r="H48" s="8"/>
    </row>
    <row r="49" spans="1:8" x14ac:dyDescent="0.2">
      <c r="A49" s="59" t="s">
        <v>60</v>
      </c>
      <c r="B49" s="43"/>
      <c r="C49" s="56"/>
      <c r="D49" s="41">
        <f>[4]Charters!E1102</f>
        <v>0</v>
      </c>
      <c r="E49" s="8"/>
      <c r="F49" s="8"/>
      <c r="G49" s="8"/>
      <c r="H49" s="8"/>
    </row>
    <row r="50" spans="1:8" x14ac:dyDescent="0.2">
      <c r="A50" s="59" t="s">
        <v>61</v>
      </c>
      <c r="B50" s="43"/>
      <c r="C50" s="56"/>
      <c r="D50" s="41">
        <f>[4]Charters!F1102</f>
        <v>39655.32</v>
      </c>
      <c r="E50" s="8"/>
      <c r="F50" s="8"/>
      <c r="G50" s="8"/>
      <c r="H50" s="8"/>
    </row>
    <row r="51" spans="1:8" ht="13.5" thickBot="1" x14ac:dyDescent="0.25">
      <c r="A51" s="64"/>
      <c r="B51" s="65"/>
      <c r="C51" s="66"/>
      <c r="D51" s="67">
        <f>SUM(D26:D50)</f>
        <v>28618271.27</v>
      </c>
      <c r="E51" s="8"/>
      <c r="F51" s="8"/>
      <c r="G51" s="8"/>
      <c r="H51" s="8"/>
    </row>
    <row r="52" spans="1:8" ht="13.5" thickTop="1" x14ac:dyDescent="0.2">
      <c r="A52" s="68"/>
      <c r="B52" s="43"/>
      <c r="C52" s="56"/>
      <c r="D52" s="69"/>
      <c r="E52" s="8"/>
      <c r="F52" s="8"/>
      <c r="G52" s="8"/>
      <c r="H52" s="8"/>
    </row>
    <row r="53" spans="1:8" x14ac:dyDescent="0.2">
      <c r="A53" s="38" t="s">
        <v>20</v>
      </c>
      <c r="B53" s="39"/>
      <c r="C53" s="70"/>
      <c r="D53" s="71" t="s">
        <v>21</v>
      </c>
      <c r="E53" s="8"/>
      <c r="F53" s="8"/>
      <c r="G53" s="8"/>
      <c r="H53" s="8"/>
    </row>
    <row r="54" spans="1:8" x14ac:dyDescent="0.2">
      <c r="A54" s="72" t="s">
        <v>22</v>
      </c>
      <c r="B54" s="73"/>
      <c r="C54" s="74"/>
      <c r="D54" s="41">
        <f>[5]Charters!C8</f>
        <v>7798.09</v>
      </c>
      <c r="E54" s="8"/>
      <c r="F54" s="8"/>
      <c r="G54" s="8"/>
      <c r="H54" s="8"/>
    </row>
    <row r="55" spans="1:8" x14ac:dyDescent="0.2">
      <c r="A55" s="75"/>
      <c r="B55" s="61"/>
      <c r="C55" s="76"/>
      <c r="D55" s="77">
        <f>SUM(D54:D54)</f>
        <v>7798.09</v>
      </c>
      <c r="E55" s="8"/>
      <c r="F55" s="8"/>
      <c r="G55" s="8"/>
      <c r="H55" s="8"/>
    </row>
    <row r="56" spans="1:8" x14ac:dyDescent="0.2">
      <c r="A56" s="78" t="s">
        <v>58</v>
      </c>
      <c r="B56" s="79"/>
      <c r="C56" s="80"/>
      <c r="D56" s="77">
        <f>D55+D51</f>
        <v>28626069.359999999</v>
      </c>
      <c r="E56" s="8"/>
      <c r="F56" s="8"/>
      <c r="G56" s="8"/>
      <c r="H56" s="8"/>
    </row>
    <row r="57" spans="1:8" x14ac:dyDescent="0.2">
      <c r="A57" s="4"/>
      <c r="B57" s="4"/>
      <c r="C57" s="9"/>
      <c r="D57" s="81"/>
      <c r="E57" s="8"/>
      <c r="F57" s="8"/>
      <c r="G57" s="8"/>
      <c r="H57" s="8"/>
    </row>
    <row r="58" spans="1:8" x14ac:dyDescent="0.2">
      <c r="A58" s="4"/>
      <c r="B58" s="4"/>
      <c r="C58" s="9"/>
      <c r="D58" s="81">
        <f>[5]Charters!E164</f>
        <v>28626069.359999999</v>
      </c>
      <c r="E58" s="8"/>
      <c r="F58" s="8"/>
      <c r="G58" s="8"/>
      <c r="H58" s="8"/>
    </row>
    <row r="59" spans="1:8" x14ac:dyDescent="0.2">
      <c r="A59" s="4"/>
      <c r="B59" s="4"/>
      <c r="C59" s="9"/>
      <c r="D59" s="81">
        <f>D56</f>
        <v>28626069.359999999</v>
      </c>
      <c r="E59" s="8"/>
      <c r="F59" s="8"/>
      <c r="G59" s="8"/>
      <c r="H59" s="8"/>
    </row>
    <row r="60" spans="1:8" x14ac:dyDescent="0.2">
      <c r="C60" s="83"/>
      <c r="D60" s="42">
        <f>D58-D59</f>
        <v>0</v>
      </c>
      <c r="E60" s="42"/>
      <c r="F60" s="42"/>
      <c r="G60" s="42"/>
      <c r="H60" s="42"/>
    </row>
  </sheetData>
  <mergeCells count="4">
    <mergeCell ref="A2:D2"/>
    <mergeCell ref="A3:D3"/>
    <mergeCell ref="A4:D4"/>
    <mergeCell ref="A56:C56"/>
  </mergeCells>
  <phoneticPr fontId="0" type="noConversion"/>
  <printOptions horizontalCentered="1" verticalCentered="1"/>
  <pageMargins left="0.5" right="0.5" top="0.5" bottom="0.5" header="0.25" footer="0.25"/>
  <pageSetup orientation="portrait" r:id="rId1"/>
  <headerFooter alignWithMargins="0">
    <oddHeader>&amp;R&amp;8Current as of: &amp;D</oddHeader>
    <oddFooter>&amp;L&amp;8USOE, School Finance</oddFooter>
  </headerFooter>
  <picture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pageSetUpPr fitToPage="1"/>
  </sheetPr>
  <dimension ref="A1:H61"/>
  <sheetViews>
    <sheetView showGridLines="0" workbookViewId="0">
      <selection activeCell="C12" sqref="C12"/>
    </sheetView>
  </sheetViews>
  <sheetFormatPr defaultColWidth="9.140625" defaultRowHeight="12.75" x14ac:dyDescent="0.2"/>
  <cols>
    <col min="1" max="1" width="31.85546875" style="82" customWidth="1"/>
    <col min="2" max="2" width="16.28515625" style="82" customWidth="1"/>
    <col min="3" max="4" width="14.85546875" style="82" customWidth="1"/>
    <col min="5" max="5" width="7" style="82" customWidth="1"/>
    <col min="6" max="6" width="19.7109375" style="82" customWidth="1"/>
    <col min="7" max="7" width="5.7109375" style="82" customWidth="1"/>
    <col min="8" max="8" width="18" style="82" customWidth="1"/>
    <col min="9" max="16384" width="9.140625" style="82"/>
  </cols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1" t="s">
        <v>1</v>
      </c>
      <c r="B3" s="12"/>
      <c r="C3" s="12"/>
      <c r="D3" s="13"/>
      <c r="E3" s="8"/>
      <c r="F3" s="8"/>
      <c r="G3" s="8"/>
      <c r="H3" s="8"/>
    </row>
    <row r="4" spans="1:8" x14ac:dyDescent="0.2">
      <c r="A4" s="14" t="s">
        <v>15</v>
      </c>
      <c r="B4" s="15"/>
      <c r="C4" s="15"/>
      <c r="D4" s="16"/>
      <c r="E4" s="8"/>
      <c r="F4" s="8"/>
      <c r="G4" s="8"/>
      <c r="H4" s="8"/>
    </row>
    <row r="5" spans="1:8" x14ac:dyDescent="0.2">
      <c r="A5" s="17" t="s">
        <v>62</v>
      </c>
      <c r="B5" s="18"/>
      <c r="C5" s="18"/>
      <c r="D5" s="19"/>
      <c r="E5" s="8"/>
      <c r="F5" s="8"/>
      <c r="G5" s="8"/>
      <c r="H5" s="8"/>
    </row>
    <row r="6" spans="1:8" x14ac:dyDescent="0.2">
      <c r="A6" s="20"/>
      <c r="B6" s="21"/>
      <c r="C6" s="22"/>
      <c r="D6" s="23"/>
      <c r="E6" s="8"/>
      <c r="F6" s="8" t="s">
        <v>34</v>
      </c>
      <c r="G6" s="8"/>
      <c r="H6" s="8"/>
    </row>
    <row r="7" spans="1:8" ht="15.75" x14ac:dyDescent="0.25">
      <c r="A7" s="24" t="s">
        <v>2</v>
      </c>
      <c r="B7" s="25" t="str">
        <f>[1]Charters!B10</f>
        <v>Walden School of Liberal Arts</v>
      </c>
      <c r="C7" s="26"/>
      <c r="D7" s="27"/>
      <c r="E7" s="8"/>
      <c r="F7" s="8"/>
      <c r="G7" s="8"/>
      <c r="H7" s="8"/>
    </row>
    <row r="8" spans="1:8" x14ac:dyDescent="0.2">
      <c r="A8" s="24"/>
      <c r="B8" s="28"/>
      <c r="C8" s="26"/>
      <c r="D8" s="27"/>
      <c r="E8" s="8"/>
      <c r="F8" s="8"/>
      <c r="G8" s="8"/>
      <c r="H8" s="8"/>
    </row>
    <row r="9" spans="1:8" x14ac:dyDescent="0.2">
      <c r="A9" s="29" t="s">
        <v>0</v>
      </c>
      <c r="B9" s="30">
        <f>[1]Charters!$E$6</f>
        <v>3184</v>
      </c>
      <c r="C9" s="26"/>
      <c r="D9" s="31"/>
      <c r="E9" s="8"/>
      <c r="F9" s="8"/>
      <c r="G9" s="8"/>
      <c r="H9" s="8"/>
    </row>
    <row r="10" spans="1:8" x14ac:dyDescent="0.2">
      <c r="A10" s="32"/>
      <c r="B10" s="6"/>
      <c r="C10" s="33"/>
      <c r="D10" s="34" t="s">
        <v>3</v>
      </c>
      <c r="E10" s="8"/>
      <c r="F10" s="8"/>
      <c r="G10" s="8"/>
      <c r="H10" s="8"/>
    </row>
    <row r="11" spans="1:8" x14ac:dyDescent="0.2">
      <c r="A11" s="29" t="s">
        <v>19</v>
      </c>
      <c r="B11" s="35">
        <f>[1]Charters!A10</f>
        <v>81</v>
      </c>
      <c r="C11" s="36" t="s">
        <v>4</v>
      </c>
      <c r="D11" s="37" t="s">
        <v>5</v>
      </c>
      <c r="E11" s="8"/>
      <c r="F11" s="8"/>
      <c r="G11" s="8"/>
      <c r="H11" s="8"/>
    </row>
    <row r="12" spans="1:8" x14ac:dyDescent="0.2">
      <c r="A12" s="38" t="s">
        <v>6</v>
      </c>
      <c r="B12" s="39"/>
      <c r="C12" s="40"/>
      <c r="D12" s="41"/>
      <c r="E12" s="8"/>
      <c r="F12" s="8"/>
      <c r="G12" s="8"/>
      <c r="H12" s="8"/>
    </row>
    <row r="13" spans="1:8" x14ac:dyDescent="0.2">
      <c r="A13" s="38" t="s">
        <v>7</v>
      </c>
      <c r="B13" s="39"/>
      <c r="C13" s="40"/>
      <c r="D13" s="41"/>
      <c r="E13" s="8"/>
      <c r="F13" s="42" t="s">
        <v>23</v>
      </c>
      <c r="G13" s="8"/>
      <c r="H13" s="42" t="s">
        <v>26</v>
      </c>
    </row>
    <row r="14" spans="1:8" x14ac:dyDescent="0.2">
      <c r="A14" s="20" t="s">
        <v>8</v>
      </c>
      <c r="B14" s="43"/>
      <c r="C14" s="44">
        <f>[1]Charters!C470</f>
        <v>392.57100000000003</v>
      </c>
      <c r="D14" s="45">
        <f>[1]Charters!E470</f>
        <v>1249946.77</v>
      </c>
      <c r="E14" s="8"/>
      <c r="F14" s="42">
        <f>[1]Charters!E625</f>
        <v>1339541.23</v>
      </c>
      <c r="G14" s="8"/>
      <c r="H14" s="42">
        <f>[2]Charters!E164</f>
        <v>1714326.38</v>
      </c>
    </row>
    <row r="15" spans="1:8" x14ac:dyDescent="0.2">
      <c r="A15" s="20" t="s">
        <v>14</v>
      </c>
      <c r="B15" s="43"/>
      <c r="C15" s="44">
        <f>[1]Charters!F470</f>
        <v>26.138999999999999</v>
      </c>
      <c r="D15" s="45">
        <f>[1]Charters!H470</f>
        <v>83226.460000000006</v>
      </c>
      <c r="E15" s="8"/>
      <c r="F15" s="42">
        <f>SUM(D14:D16)</f>
        <v>1339541.23</v>
      </c>
      <c r="G15" s="8"/>
      <c r="H15" s="42">
        <f>D27</f>
        <v>1714326.38</v>
      </c>
    </row>
    <row r="16" spans="1:8" x14ac:dyDescent="0.2">
      <c r="A16" s="20" t="s">
        <v>32</v>
      </c>
      <c r="B16" s="43"/>
      <c r="C16" s="44">
        <f>[1]Charters!C163</f>
        <v>2</v>
      </c>
      <c r="D16" s="45">
        <f>[1]Charters!E163</f>
        <v>6368</v>
      </c>
      <c r="E16" s="8"/>
      <c r="F16" s="42">
        <f>+F14-F15</f>
        <v>0</v>
      </c>
      <c r="G16" s="8"/>
      <c r="H16" s="42">
        <f>+H14-H15</f>
        <v>0</v>
      </c>
    </row>
    <row r="17" spans="1:8" x14ac:dyDescent="0.2">
      <c r="A17" s="38" t="s">
        <v>9</v>
      </c>
      <c r="B17" s="39"/>
      <c r="C17" s="46"/>
      <c r="D17" s="47"/>
      <c r="E17" s="8"/>
      <c r="F17" s="8"/>
      <c r="G17" s="8"/>
      <c r="H17" s="8"/>
    </row>
    <row r="18" spans="1:8" x14ac:dyDescent="0.2">
      <c r="A18" s="20" t="s">
        <v>10</v>
      </c>
      <c r="B18" s="43"/>
      <c r="C18" s="40">
        <f>[3]Charters!C9</f>
        <v>80.260999999999996</v>
      </c>
      <c r="D18" s="41">
        <f>[3]Charters!E9</f>
        <v>255551.02</v>
      </c>
      <c r="E18" s="8"/>
      <c r="F18" s="42" t="s">
        <v>24</v>
      </c>
      <c r="G18" s="8"/>
      <c r="H18" s="8"/>
    </row>
    <row r="19" spans="1:8" x14ac:dyDescent="0.2">
      <c r="A19" s="48" t="s">
        <v>11</v>
      </c>
      <c r="B19" s="43"/>
      <c r="C19" s="40">
        <f>[3]Charters!F9</f>
        <v>3.89</v>
      </c>
      <c r="D19" s="49">
        <f>[3]Charters!H9</f>
        <v>12385.76</v>
      </c>
      <c r="E19" s="8"/>
      <c r="F19" s="42">
        <f>[3]Charters!N320</f>
        <v>277461.51</v>
      </c>
      <c r="G19" s="8"/>
      <c r="H19" s="8"/>
    </row>
    <row r="20" spans="1:8" x14ac:dyDescent="0.2">
      <c r="A20" s="48" t="s">
        <v>12</v>
      </c>
      <c r="B20" s="43"/>
      <c r="C20" s="40">
        <f>[3]Charters!C164</f>
        <v>0</v>
      </c>
      <c r="D20" s="41">
        <f>[3]Charters!E164</f>
        <v>0</v>
      </c>
      <c r="E20" s="8"/>
      <c r="F20" s="42">
        <f>SUM(D18:D24)</f>
        <v>277461.51</v>
      </c>
      <c r="G20" s="8"/>
      <c r="H20" s="8"/>
    </row>
    <row r="21" spans="1:8" x14ac:dyDescent="0.2">
      <c r="A21" s="20" t="s">
        <v>13</v>
      </c>
      <c r="B21" s="43"/>
      <c r="C21" s="40">
        <f>[3]Charters!F164</f>
        <v>1.06</v>
      </c>
      <c r="D21" s="41">
        <f>[3]Charters!H164</f>
        <v>3374.47</v>
      </c>
      <c r="E21" s="8"/>
      <c r="F21" s="42">
        <f>+F19-F20</f>
        <v>0</v>
      </c>
      <c r="G21" s="8"/>
      <c r="H21" s="8"/>
    </row>
    <row r="22" spans="1:8" x14ac:dyDescent="0.2">
      <c r="A22" s="48" t="s">
        <v>54</v>
      </c>
      <c r="B22" s="43"/>
      <c r="C22" s="40">
        <f>[3]Charters!C320</f>
        <v>1.9319999999999999</v>
      </c>
      <c r="D22" s="41">
        <f>[3]Charters!E320</f>
        <v>6150.26</v>
      </c>
      <c r="E22" s="8"/>
      <c r="F22" s="8"/>
      <c r="G22" s="8"/>
      <c r="H22" s="8"/>
    </row>
    <row r="23" spans="1:8" x14ac:dyDescent="0.2">
      <c r="A23" s="48" t="s">
        <v>55</v>
      </c>
      <c r="B23" s="43"/>
      <c r="C23" s="40">
        <f>[3]Charters!F320</f>
        <v>0</v>
      </c>
      <c r="D23" s="41">
        <f>[3]Charters!H320</f>
        <v>0</v>
      </c>
      <c r="E23" s="8"/>
      <c r="F23" s="42" t="s">
        <v>25</v>
      </c>
      <c r="G23" s="8"/>
      <c r="H23" s="8"/>
    </row>
    <row r="24" spans="1:8" x14ac:dyDescent="0.2">
      <c r="A24" s="48" t="s">
        <v>56</v>
      </c>
      <c r="B24" s="43"/>
      <c r="C24" s="40">
        <f>[3]Charters!I320</f>
        <v>0</v>
      </c>
      <c r="D24" s="41">
        <f>[3]Charters!K320</f>
        <v>0</v>
      </c>
      <c r="E24" s="8"/>
      <c r="F24" s="42">
        <f>[2]Charters!H10</f>
        <v>374785.15</v>
      </c>
      <c r="G24" s="8"/>
      <c r="H24" s="8"/>
    </row>
    <row r="25" spans="1:8" x14ac:dyDescent="0.2">
      <c r="A25" s="20" t="s">
        <v>49</v>
      </c>
      <c r="B25" s="43"/>
      <c r="C25" s="40">
        <f>[3]Charters!C477</f>
        <v>6.3</v>
      </c>
      <c r="D25" s="41">
        <f>[3]Charters!E477</f>
        <v>20059</v>
      </c>
      <c r="E25" s="8"/>
      <c r="F25" s="42">
        <f>SUM(D18:D26)</f>
        <v>374785.15</v>
      </c>
      <c r="G25" s="8"/>
      <c r="H25" s="8"/>
    </row>
    <row r="26" spans="1:8" x14ac:dyDescent="0.2">
      <c r="A26" s="20" t="s">
        <v>50</v>
      </c>
      <c r="B26" s="43"/>
      <c r="C26" s="40">
        <f>[2]Charters!C10</f>
        <v>24.266999999999999</v>
      </c>
      <c r="D26" s="41">
        <f>[2]Charters!E10</f>
        <v>77264.639999999999</v>
      </c>
      <c r="E26" s="8"/>
      <c r="F26" s="42">
        <f>+F24-F25</f>
        <v>0</v>
      </c>
      <c r="G26" s="8"/>
      <c r="H26" s="8"/>
    </row>
    <row r="27" spans="1:8" x14ac:dyDescent="0.2">
      <c r="A27" s="50"/>
      <c r="B27" s="51" t="s">
        <v>16</v>
      </c>
      <c r="C27" s="52">
        <f>SUM(C14:C26)</f>
        <v>538.41999999999996</v>
      </c>
      <c r="D27" s="53">
        <f>SUM(D14:D26)</f>
        <v>1714326.38</v>
      </c>
      <c r="E27" s="8"/>
      <c r="F27" s="8"/>
      <c r="G27" s="8"/>
      <c r="H27" s="8"/>
    </row>
    <row r="28" spans="1:8" x14ac:dyDescent="0.2">
      <c r="A28" s="54" t="s">
        <v>17</v>
      </c>
      <c r="B28" s="39"/>
      <c r="C28" s="55"/>
      <c r="D28" s="47"/>
      <c r="E28" s="8"/>
      <c r="F28" s="8"/>
      <c r="G28" s="8"/>
      <c r="H28" s="42" t="s">
        <v>29</v>
      </c>
    </row>
    <row r="29" spans="1:8" x14ac:dyDescent="0.2">
      <c r="A29" s="20" t="s">
        <v>33</v>
      </c>
      <c r="B29" s="43"/>
      <c r="C29" s="56"/>
      <c r="D29" s="57">
        <f>[4]Charters!C9</f>
        <v>4950.46</v>
      </c>
      <c r="E29" s="8"/>
      <c r="F29" s="8"/>
      <c r="G29" s="8"/>
      <c r="H29" s="42">
        <f>[4]Charters!F950</f>
        <v>2952373.06</v>
      </c>
    </row>
    <row r="30" spans="1:8" x14ac:dyDescent="0.2">
      <c r="A30" s="58" t="s">
        <v>35</v>
      </c>
      <c r="B30" s="43"/>
      <c r="C30" s="56"/>
      <c r="D30" s="41">
        <f>+[4]Charters!F330</f>
        <v>1889.44</v>
      </c>
      <c r="E30" s="8"/>
      <c r="F30" s="8"/>
      <c r="G30" s="8"/>
      <c r="H30" s="42">
        <f>SUM(D27:D46)</f>
        <v>2952373.06</v>
      </c>
    </row>
    <row r="31" spans="1:8" x14ac:dyDescent="0.2">
      <c r="A31" s="59" t="s">
        <v>36</v>
      </c>
      <c r="B31" s="43"/>
      <c r="C31" s="56"/>
      <c r="D31" s="41">
        <f>[4]Charters!E169</f>
        <v>19033</v>
      </c>
      <c r="E31" s="8"/>
      <c r="F31" s="8"/>
      <c r="G31" s="8"/>
      <c r="H31" s="42">
        <f>+H29-H30</f>
        <v>0</v>
      </c>
    </row>
    <row r="32" spans="1:8" x14ac:dyDescent="0.2">
      <c r="A32" s="59" t="s">
        <v>52</v>
      </c>
      <c r="B32" s="43"/>
      <c r="C32" s="56"/>
      <c r="D32" s="41">
        <f>[4]Charters!G330</f>
        <v>0</v>
      </c>
      <c r="E32" s="8"/>
      <c r="F32" s="42" t="s">
        <v>27</v>
      </c>
      <c r="G32" s="8"/>
      <c r="H32" s="42"/>
    </row>
    <row r="33" spans="1:8" x14ac:dyDescent="0.2">
      <c r="A33" s="20" t="s">
        <v>37</v>
      </c>
      <c r="B33" s="43"/>
      <c r="C33" s="56"/>
      <c r="D33" s="41">
        <f>[4]Charters!E486</f>
        <v>30385</v>
      </c>
      <c r="E33" s="8"/>
      <c r="F33" s="42">
        <f>[4]Charters!E169</f>
        <v>19033</v>
      </c>
      <c r="G33" s="8"/>
      <c r="H33" s="8"/>
    </row>
    <row r="34" spans="1:8" x14ac:dyDescent="0.2">
      <c r="A34" s="20" t="s">
        <v>38</v>
      </c>
      <c r="B34" s="43"/>
      <c r="C34" s="56"/>
      <c r="D34" s="41">
        <f>[4]Charters!F486</f>
        <v>1622</v>
      </c>
      <c r="E34" s="8"/>
      <c r="F34" s="42">
        <f>SUM(D31:D31)</f>
        <v>19033</v>
      </c>
      <c r="G34" s="8"/>
      <c r="H34" s="8"/>
    </row>
    <row r="35" spans="1:8" x14ac:dyDescent="0.2">
      <c r="A35" s="59" t="s">
        <v>40</v>
      </c>
      <c r="B35" s="43"/>
      <c r="C35" s="56"/>
      <c r="D35" s="41">
        <f>[4]Charters!G486</f>
        <v>47820</v>
      </c>
      <c r="E35" s="8"/>
      <c r="F35" s="42">
        <f>+F33-F34</f>
        <v>0</v>
      </c>
      <c r="G35" s="8"/>
      <c r="H35" s="8"/>
    </row>
    <row r="36" spans="1:8" x14ac:dyDescent="0.2">
      <c r="A36" s="20" t="s">
        <v>41</v>
      </c>
      <c r="B36" s="43"/>
      <c r="C36" s="56"/>
      <c r="D36" s="41">
        <f>[4]Charters!C641</f>
        <v>832416</v>
      </c>
      <c r="E36" s="8"/>
      <c r="F36" s="42" t="s">
        <v>28</v>
      </c>
      <c r="G36" s="8"/>
      <c r="H36" s="8"/>
    </row>
    <row r="37" spans="1:8" x14ac:dyDescent="0.2">
      <c r="A37" s="20" t="s">
        <v>42</v>
      </c>
      <c r="B37" s="43"/>
      <c r="C37" s="56"/>
      <c r="D37" s="41">
        <f>[4]Charters!D641</f>
        <v>167757.54</v>
      </c>
      <c r="E37" s="8"/>
      <c r="F37" s="42">
        <f>[4]Charters!D486</f>
        <v>20922.439999999999</v>
      </c>
      <c r="G37" s="8"/>
      <c r="H37" s="8"/>
    </row>
    <row r="38" spans="1:8" x14ac:dyDescent="0.2">
      <c r="A38" s="20" t="s">
        <v>44</v>
      </c>
      <c r="B38" s="43"/>
      <c r="C38" s="56"/>
      <c r="D38" s="41">
        <f>[4]Charters!E641</f>
        <v>41600</v>
      </c>
      <c r="E38" s="8"/>
      <c r="F38" s="42">
        <f>SUM(D30:D32)</f>
        <v>20922.439999999999</v>
      </c>
      <c r="G38" s="8"/>
      <c r="H38" s="8"/>
    </row>
    <row r="39" spans="1:8" x14ac:dyDescent="0.2">
      <c r="A39" s="59" t="s">
        <v>43</v>
      </c>
      <c r="B39" s="43"/>
      <c r="C39" s="56"/>
      <c r="D39" s="41">
        <f>[4]Charters!F641</f>
        <v>16493.759999999998</v>
      </c>
      <c r="E39" s="8"/>
      <c r="F39" s="42">
        <f>+F37-F38</f>
        <v>0</v>
      </c>
      <c r="G39" s="8"/>
      <c r="H39" s="8"/>
    </row>
    <row r="40" spans="1:8" x14ac:dyDescent="0.2">
      <c r="A40" s="59" t="s">
        <v>45</v>
      </c>
      <c r="B40" s="43"/>
      <c r="C40" s="56"/>
      <c r="D40" s="41">
        <f>[4]Charters!C486</f>
        <v>0</v>
      </c>
      <c r="E40" s="8"/>
      <c r="F40" s="8"/>
      <c r="G40" s="8"/>
      <c r="H40" s="8"/>
    </row>
    <row r="41" spans="1:8" x14ac:dyDescent="0.2">
      <c r="A41" s="59" t="s">
        <v>46</v>
      </c>
      <c r="B41" s="43"/>
      <c r="C41" s="56"/>
      <c r="D41" s="41">
        <f>[4]Charters!C797</f>
        <v>0</v>
      </c>
      <c r="E41" s="8"/>
      <c r="F41" s="8"/>
      <c r="G41" s="8"/>
      <c r="H41" s="42" t="s">
        <v>31</v>
      </c>
    </row>
    <row r="42" spans="1:8" x14ac:dyDescent="0.2">
      <c r="A42" s="59" t="s">
        <v>51</v>
      </c>
      <c r="B42" s="43"/>
      <c r="C42" s="56"/>
      <c r="D42" s="60">
        <f>[4]Charters!D797</f>
        <v>625.48</v>
      </c>
      <c r="E42" s="8"/>
      <c r="F42" s="8"/>
      <c r="G42" s="8"/>
      <c r="H42" s="42">
        <f>[4]Charters!D1256</f>
        <v>2958976.79</v>
      </c>
    </row>
    <row r="43" spans="1:8" x14ac:dyDescent="0.2">
      <c r="A43" s="20" t="s">
        <v>47</v>
      </c>
      <c r="B43" s="43"/>
      <c r="C43" s="56"/>
      <c r="D43" s="60">
        <f>[4]Charters!E797</f>
        <v>20001</v>
      </c>
      <c r="E43" s="8"/>
      <c r="F43" s="8"/>
      <c r="G43" s="8"/>
      <c r="H43" s="42">
        <f>D52</f>
        <v>2958976.79</v>
      </c>
    </row>
    <row r="44" spans="1:8" x14ac:dyDescent="0.2">
      <c r="A44" s="20" t="s">
        <v>57</v>
      </c>
      <c r="B44" s="43"/>
      <c r="C44" s="56"/>
      <c r="D44" s="60">
        <f>[4]Charters!C950</f>
        <v>0</v>
      </c>
      <c r="E44" s="8"/>
      <c r="F44" s="8"/>
      <c r="G44" s="8"/>
      <c r="H44" s="42">
        <f>+H42-H43</f>
        <v>0</v>
      </c>
    </row>
    <row r="45" spans="1:8" x14ac:dyDescent="0.2">
      <c r="A45" s="59" t="s">
        <v>53</v>
      </c>
      <c r="B45" s="43"/>
      <c r="C45" s="56"/>
      <c r="D45" s="60">
        <f>[4]Charters!D950</f>
        <v>53453</v>
      </c>
      <c r="E45" s="8"/>
      <c r="F45" s="42" t="s">
        <v>30</v>
      </c>
      <c r="G45" s="8"/>
      <c r="H45" s="8"/>
    </row>
    <row r="46" spans="1:8" x14ac:dyDescent="0.2">
      <c r="A46" s="59" t="s">
        <v>59</v>
      </c>
      <c r="B46" s="43"/>
      <c r="C46" s="56"/>
      <c r="D46" s="60">
        <f>[4]Charters!E950</f>
        <v>0</v>
      </c>
      <c r="E46" s="8"/>
      <c r="F46" s="8"/>
      <c r="G46" s="8"/>
      <c r="H46" s="8"/>
    </row>
    <row r="47" spans="1:8" x14ac:dyDescent="0.2">
      <c r="A47" s="38" t="s">
        <v>18</v>
      </c>
      <c r="B47" s="61"/>
      <c r="C47" s="62"/>
      <c r="D47" s="63"/>
      <c r="E47" s="8"/>
      <c r="F47" s="42">
        <f>[4]Charters!C1256</f>
        <v>6603.73</v>
      </c>
      <c r="G47" s="8"/>
      <c r="H47" s="8"/>
    </row>
    <row r="48" spans="1:8" x14ac:dyDescent="0.2">
      <c r="A48" s="59" t="s">
        <v>39</v>
      </c>
      <c r="B48" s="43"/>
      <c r="C48" s="56"/>
      <c r="D48" s="41">
        <f>[4]Charters!C1103</f>
        <v>6603.73</v>
      </c>
      <c r="E48" s="8"/>
      <c r="F48" s="42">
        <f>SUM(D48:D51)</f>
        <v>6603.73</v>
      </c>
      <c r="G48" s="8"/>
      <c r="H48" s="8"/>
    </row>
    <row r="49" spans="1:8" x14ac:dyDescent="0.2">
      <c r="A49" s="59" t="s">
        <v>48</v>
      </c>
      <c r="B49" s="43"/>
      <c r="C49" s="56"/>
      <c r="D49" s="41">
        <f>[4]Charters!D1103</f>
        <v>0</v>
      </c>
      <c r="E49" s="8"/>
      <c r="F49" s="42">
        <f>+F47-F48</f>
        <v>0</v>
      </c>
      <c r="G49" s="8"/>
      <c r="H49" s="8"/>
    </row>
    <row r="50" spans="1:8" x14ac:dyDescent="0.2">
      <c r="A50" s="59" t="s">
        <v>60</v>
      </c>
      <c r="B50" s="43"/>
      <c r="C50" s="56"/>
      <c r="D50" s="41">
        <f>[4]Charters!E1103</f>
        <v>0</v>
      </c>
      <c r="E50" s="8"/>
      <c r="F50" s="8"/>
      <c r="G50" s="8"/>
      <c r="H50" s="8"/>
    </row>
    <row r="51" spans="1:8" x14ac:dyDescent="0.2">
      <c r="A51" s="59" t="s">
        <v>61</v>
      </c>
      <c r="B51" s="43"/>
      <c r="C51" s="56"/>
      <c r="D51" s="41">
        <f>[4]Charters!F1103</f>
        <v>0</v>
      </c>
      <c r="E51" s="8"/>
      <c r="F51" s="8"/>
      <c r="G51" s="8"/>
      <c r="H51" s="8"/>
    </row>
    <row r="52" spans="1:8" ht="13.5" thickBot="1" x14ac:dyDescent="0.25">
      <c r="A52" s="64"/>
      <c r="B52" s="65"/>
      <c r="C52" s="66"/>
      <c r="D52" s="67">
        <f>SUM(D27:D51)</f>
        <v>2958976.79</v>
      </c>
      <c r="E52" s="8"/>
      <c r="F52" s="8"/>
      <c r="G52" s="8"/>
      <c r="H52" s="8"/>
    </row>
    <row r="53" spans="1:8" ht="13.5" thickTop="1" x14ac:dyDescent="0.2">
      <c r="A53" s="68"/>
      <c r="B53" s="43"/>
      <c r="C53" s="56"/>
      <c r="D53" s="69"/>
      <c r="E53" s="8"/>
      <c r="F53" s="8"/>
      <c r="G53" s="8"/>
      <c r="H53" s="8"/>
    </row>
    <row r="54" spans="1:8" x14ac:dyDescent="0.2">
      <c r="A54" s="38" t="s">
        <v>20</v>
      </c>
      <c r="B54" s="39"/>
      <c r="C54" s="70"/>
      <c r="D54" s="71" t="s">
        <v>21</v>
      </c>
      <c r="E54" s="8"/>
      <c r="F54" s="8"/>
      <c r="G54" s="8"/>
      <c r="H54" s="8"/>
    </row>
    <row r="55" spans="1:8" x14ac:dyDescent="0.2">
      <c r="A55" s="72" t="s">
        <v>22</v>
      </c>
      <c r="B55" s="73"/>
      <c r="C55" s="74"/>
      <c r="D55" s="41">
        <f>[5]Charters!C9</f>
        <v>1001.34</v>
      </c>
      <c r="E55" s="8"/>
      <c r="F55" s="8"/>
      <c r="G55" s="8"/>
      <c r="H55" s="8"/>
    </row>
    <row r="56" spans="1:8" x14ac:dyDescent="0.2">
      <c r="A56" s="75"/>
      <c r="B56" s="61"/>
      <c r="C56" s="76"/>
      <c r="D56" s="77">
        <f>SUM(D55:D55)</f>
        <v>1001.34</v>
      </c>
      <c r="E56" s="8"/>
      <c r="F56" s="8"/>
      <c r="G56" s="8"/>
      <c r="H56" s="8"/>
    </row>
    <row r="57" spans="1:8" x14ac:dyDescent="0.2">
      <c r="A57" s="78" t="s">
        <v>58</v>
      </c>
      <c r="B57" s="79"/>
      <c r="C57" s="80"/>
      <c r="D57" s="77">
        <f>D56+D52</f>
        <v>2959978.13</v>
      </c>
      <c r="E57" s="8"/>
      <c r="F57" s="8"/>
      <c r="G57" s="8"/>
      <c r="H57" s="8"/>
    </row>
    <row r="58" spans="1:8" x14ac:dyDescent="0.2">
      <c r="A58" s="4"/>
      <c r="B58" s="4"/>
      <c r="C58" s="9"/>
      <c r="D58" s="81"/>
      <c r="E58" s="8"/>
      <c r="F58" s="8"/>
      <c r="G58" s="8"/>
      <c r="H58" s="8"/>
    </row>
    <row r="59" spans="1:8" x14ac:dyDescent="0.2">
      <c r="A59" s="4"/>
      <c r="B59" s="4"/>
      <c r="C59" s="9"/>
      <c r="D59" s="81">
        <f>[5]Charters!E165</f>
        <v>2959978.13</v>
      </c>
      <c r="E59" s="8"/>
      <c r="F59" s="8"/>
      <c r="G59" s="8"/>
      <c r="H59" s="8"/>
    </row>
    <row r="60" spans="1:8" x14ac:dyDescent="0.2">
      <c r="A60" s="84"/>
      <c r="B60" s="84"/>
      <c r="C60" s="85"/>
      <c r="D60" s="81">
        <f>D57</f>
        <v>2959978.13</v>
      </c>
      <c r="E60" s="42"/>
      <c r="F60" s="42"/>
      <c r="G60" s="42"/>
      <c r="H60" s="42"/>
    </row>
    <row r="61" spans="1:8" x14ac:dyDescent="0.2">
      <c r="C61" s="83"/>
      <c r="D61" s="42">
        <f>D59-D60</f>
        <v>0</v>
      </c>
      <c r="E61" s="42"/>
      <c r="F61" s="42"/>
      <c r="G61" s="42"/>
      <c r="H61" s="42"/>
    </row>
  </sheetData>
  <mergeCells count="4">
    <mergeCell ref="A3:D3"/>
    <mergeCell ref="A4:D4"/>
    <mergeCell ref="A5:D5"/>
    <mergeCell ref="A57:C57"/>
  </mergeCells>
  <phoneticPr fontId="0" type="noConversion"/>
  <printOptions horizontalCentered="1" verticalCentered="1"/>
  <pageMargins left="0.5" right="0.5" top="0.5" bottom="0.5" header="0.25" footer="0.25"/>
  <pageSetup orientation="portrait" r:id="rId1"/>
  <headerFooter alignWithMargins="0">
    <oddHeader>&amp;R&amp;8Current as of: &amp;D</oddHeader>
    <oddFooter>&amp;L&amp;8USOE, School Finance</oddFooter>
  </headerFooter>
  <picture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pageSetUpPr fitToPage="1"/>
  </sheetPr>
  <dimension ref="A1:H62"/>
  <sheetViews>
    <sheetView showGridLines="0" workbookViewId="0">
      <selection activeCell="C12" sqref="C12"/>
    </sheetView>
  </sheetViews>
  <sheetFormatPr defaultColWidth="9.140625" defaultRowHeight="12.75" x14ac:dyDescent="0.2"/>
  <cols>
    <col min="1" max="1" width="31.85546875" style="82" customWidth="1"/>
    <col min="2" max="2" width="16" style="82" customWidth="1"/>
    <col min="3" max="4" width="14.85546875" style="82" customWidth="1"/>
    <col min="5" max="5" width="7" style="82" customWidth="1"/>
    <col min="6" max="6" width="19.7109375" style="82" customWidth="1"/>
    <col min="7" max="7" width="5.7109375" style="82" customWidth="1"/>
    <col min="8" max="8" width="18" style="82" customWidth="1"/>
    <col min="9" max="16384" width="9.140625" style="82"/>
  </cols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"/>
      <c r="B3" s="1"/>
      <c r="C3" s="1"/>
      <c r="D3" s="1"/>
      <c r="E3" s="1"/>
      <c r="F3" s="1"/>
      <c r="G3" s="1"/>
      <c r="H3" s="1"/>
    </row>
    <row r="4" spans="1:8" x14ac:dyDescent="0.2">
      <c r="A4" s="11" t="s">
        <v>1</v>
      </c>
      <c r="B4" s="12"/>
      <c r="C4" s="12"/>
      <c r="D4" s="13"/>
      <c r="E4" s="8"/>
      <c r="F4" s="8"/>
      <c r="G4" s="8"/>
      <c r="H4" s="8"/>
    </row>
    <row r="5" spans="1:8" x14ac:dyDescent="0.2">
      <c r="A5" s="14" t="s">
        <v>15</v>
      </c>
      <c r="B5" s="15"/>
      <c r="C5" s="15"/>
      <c r="D5" s="16"/>
      <c r="E5" s="8"/>
      <c r="F5" s="8"/>
      <c r="G5" s="8"/>
      <c r="H5" s="8"/>
    </row>
    <row r="6" spans="1:8" x14ac:dyDescent="0.2">
      <c r="A6" s="17" t="s">
        <v>62</v>
      </c>
      <c r="B6" s="18"/>
      <c r="C6" s="18"/>
      <c r="D6" s="19"/>
      <c r="E6" s="8"/>
      <c r="F6" s="8"/>
      <c r="G6" s="8"/>
      <c r="H6" s="8"/>
    </row>
    <row r="7" spans="1:8" x14ac:dyDescent="0.2">
      <c r="A7" s="20"/>
      <c r="B7" s="21"/>
      <c r="C7" s="22"/>
      <c r="D7" s="23"/>
      <c r="E7" s="8"/>
      <c r="F7" s="8" t="s">
        <v>34</v>
      </c>
      <c r="G7" s="8"/>
      <c r="H7" s="8"/>
    </row>
    <row r="8" spans="1:8" ht="15.75" x14ac:dyDescent="0.25">
      <c r="A8" s="24" t="s">
        <v>2</v>
      </c>
      <c r="B8" s="25" t="str">
        <f>[1]Charters!B11</f>
        <v>Freedom Preparatory Academy</v>
      </c>
      <c r="C8" s="26"/>
      <c r="D8" s="27"/>
      <c r="E8" s="8"/>
      <c r="F8" s="8"/>
      <c r="G8" s="8"/>
      <c r="H8" s="8"/>
    </row>
    <row r="9" spans="1:8" x14ac:dyDescent="0.2">
      <c r="A9" s="24"/>
      <c r="B9" s="28"/>
      <c r="C9" s="26"/>
      <c r="D9" s="27"/>
      <c r="E9" s="8"/>
      <c r="F9" s="8"/>
      <c r="G9" s="8"/>
      <c r="H9" s="8"/>
    </row>
    <row r="10" spans="1:8" x14ac:dyDescent="0.2">
      <c r="A10" s="29" t="s">
        <v>0</v>
      </c>
      <c r="B10" s="30">
        <f>[1]Charters!$E$6</f>
        <v>3184</v>
      </c>
      <c r="C10" s="26"/>
      <c r="D10" s="31"/>
      <c r="E10" s="8"/>
      <c r="F10" s="8"/>
      <c r="G10" s="8"/>
      <c r="H10" s="8"/>
    </row>
    <row r="11" spans="1:8" x14ac:dyDescent="0.2">
      <c r="A11" s="32"/>
      <c r="B11" s="6"/>
      <c r="C11" s="33"/>
      <c r="D11" s="34" t="s">
        <v>3</v>
      </c>
      <c r="E11" s="8"/>
      <c r="F11" s="8"/>
      <c r="G11" s="8"/>
      <c r="H11" s="8"/>
    </row>
    <row r="12" spans="1:8" x14ac:dyDescent="0.2">
      <c r="A12" s="29" t="s">
        <v>19</v>
      </c>
      <c r="B12" s="35">
        <f>[1]Charters!A11</f>
        <v>82</v>
      </c>
      <c r="C12" s="36" t="s">
        <v>4</v>
      </c>
      <c r="D12" s="37" t="s">
        <v>5</v>
      </c>
      <c r="E12" s="8"/>
      <c r="F12" s="8"/>
      <c r="G12" s="8"/>
      <c r="H12" s="8"/>
    </row>
    <row r="13" spans="1:8" x14ac:dyDescent="0.2">
      <c r="A13" s="38" t="s">
        <v>6</v>
      </c>
      <c r="B13" s="39"/>
      <c r="C13" s="40"/>
      <c r="D13" s="41"/>
      <c r="E13" s="8"/>
      <c r="F13" s="8"/>
      <c r="G13" s="8"/>
      <c r="H13" s="8"/>
    </row>
    <row r="14" spans="1:8" x14ac:dyDescent="0.2">
      <c r="A14" s="38" t="s">
        <v>7</v>
      </c>
      <c r="B14" s="39"/>
      <c r="C14" s="40"/>
      <c r="D14" s="41"/>
      <c r="E14" s="8"/>
      <c r="F14" s="42" t="s">
        <v>23</v>
      </c>
      <c r="G14" s="8"/>
      <c r="H14" s="42" t="s">
        <v>26</v>
      </c>
    </row>
    <row r="15" spans="1:8" x14ac:dyDescent="0.2">
      <c r="A15" s="20" t="s">
        <v>8</v>
      </c>
      <c r="B15" s="43"/>
      <c r="C15" s="44">
        <f>[1]Charters!C471</f>
        <v>1186.3720000000001</v>
      </c>
      <c r="D15" s="45">
        <f>[1]Charters!E471</f>
        <v>3777408.63</v>
      </c>
      <c r="E15" s="8"/>
      <c r="F15" s="42">
        <f>[1]Charters!E626</f>
        <v>3979685.08</v>
      </c>
      <c r="G15" s="8"/>
      <c r="H15" s="42">
        <f>[2]Charters!E165</f>
        <v>4885144.93</v>
      </c>
    </row>
    <row r="16" spans="1:8" x14ac:dyDescent="0.2">
      <c r="A16" s="20" t="s">
        <v>14</v>
      </c>
      <c r="B16" s="43"/>
      <c r="C16" s="44">
        <f>[1]Charters!F471</f>
        <v>63.529000000000003</v>
      </c>
      <c r="D16" s="45">
        <f>[1]Charters!H471</f>
        <v>202276.45</v>
      </c>
      <c r="E16" s="8"/>
      <c r="F16" s="42">
        <f>SUM(D15:D17)</f>
        <v>3979685.08</v>
      </c>
      <c r="G16" s="8"/>
      <c r="H16" s="42">
        <f>D28</f>
        <v>4885144.93</v>
      </c>
    </row>
    <row r="17" spans="1:8" x14ac:dyDescent="0.2">
      <c r="A17" s="20" t="s">
        <v>32</v>
      </c>
      <c r="B17" s="43"/>
      <c r="C17" s="44">
        <f>[1]Charters!C164</f>
        <v>0</v>
      </c>
      <c r="D17" s="45">
        <f>[1]Charters!E164</f>
        <v>0</v>
      </c>
      <c r="E17" s="8"/>
      <c r="F17" s="42">
        <f>+F15-F16</f>
        <v>0</v>
      </c>
      <c r="G17" s="8"/>
      <c r="H17" s="42">
        <f>+H15-H16</f>
        <v>0</v>
      </c>
    </row>
    <row r="18" spans="1:8" x14ac:dyDescent="0.2">
      <c r="A18" s="38" t="s">
        <v>9</v>
      </c>
      <c r="B18" s="39"/>
      <c r="C18" s="46"/>
      <c r="D18" s="47"/>
      <c r="E18" s="8"/>
      <c r="F18" s="8"/>
      <c r="G18" s="8"/>
      <c r="H18" s="8"/>
    </row>
    <row r="19" spans="1:8" x14ac:dyDescent="0.2">
      <c r="A19" s="20" t="s">
        <v>10</v>
      </c>
      <c r="B19" s="43"/>
      <c r="C19" s="40">
        <f>[3]Charters!C10</f>
        <v>156.078</v>
      </c>
      <c r="D19" s="41">
        <f>[3]Charters!E10</f>
        <v>496953.7</v>
      </c>
      <c r="E19" s="8"/>
      <c r="F19" s="42" t="s">
        <v>24</v>
      </c>
      <c r="G19" s="8"/>
      <c r="H19" s="8"/>
    </row>
    <row r="20" spans="1:8" x14ac:dyDescent="0.2">
      <c r="A20" s="48" t="s">
        <v>11</v>
      </c>
      <c r="B20" s="43"/>
      <c r="C20" s="40">
        <f>[3]Charters!F10</f>
        <v>1</v>
      </c>
      <c r="D20" s="49">
        <f>[3]Charters!H10</f>
        <v>3184</v>
      </c>
      <c r="E20" s="8"/>
      <c r="F20" s="42">
        <f>[3]Charters!N321</f>
        <v>512054.8</v>
      </c>
      <c r="G20" s="8"/>
      <c r="H20" s="8"/>
    </row>
    <row r="21" spans="1:8" x14ac:dyDescent="0.2">
      <c r="A21" s="48" t="s">
        <v>12</v>
      </c>
      <c r="B21" s="43"/>
      <c r="C21" s="40">
        <f>[3]Charters!C165</f>
        <v>0</v>
      </c>
      <c r="D21" s="41">
        <f>[3]Charters!E165</f>
        <v>0</v>
      </c>
      <c r="E21" s="8"/>
      <c r="F21" s="42">
        <f>SUM(D19:D25)</f>
        <v>512054.8</v>
      </c>
      <c r="G21" s="8"/>
      <c r="H21" s="8"/>
    </row>
    <row r="22" spans="1:8" x14ac:dyDescent="0.2">
      <c r="A22" s="20" t="s">
        <v>13</v>
      </c>
      <c r="B22" s="43"/>
      <c r="C22" s="40">
        <f>[3]Charters!F165</f>
        <v>1.175</v>
      </c>
      <c r="D22" s="41">
        <f>[3]Charters!H165</f>
        <v>3741.76</v>
      </c>
      <c r="E22" s="8"/>
      <c r="F22" s="42">
        <f>+F20-F21</f>
        <v>0</v>
      </c>
      <c r="G22" s="8"/>
      <c r="H22" s="8"/>
    </row>
    <row r="23" spans="1:8" x14ac:dyDescent="0.2">
      <c r="A23" s="48" t="s">
        <v>54</v>
      </c>
      <c r="B23" s="43"/>
      <c r="C23" s="40">
        <f>[3]Charters!C321</f>
        <v>2.5680000000000001</v>
      </c>
      <c r="D23" s="41">
        <f>[3]Charters!E321</f>
        <v>8175.34</v>
      </c>
      <c r="E23" s="8"/>
      <c r="F23" s="8"/>
      <c r="G23" s="8"/>
      <c r="H23" s="8"/>
    </row>
    <row r="24" spans="1:8" x14ac:dyDescent="0.2">
      <c r="A24" s="48" t="s">
        <v>55</v>
      </c>
      <c r="B24" s="43"/>
      <c r="C24" s="40">
        <f>[3]Charters!F321</f>
        <v>0</v>
      </c>
      <c r="D24" s="41">
        <f>[3]Charters!H321</f>
        <v>0</v>
      </c>
      <c r="E24" s="8"/>
      <c r="F24" s="42" t="s">
        <v>25</v>
      </c>
      <c r="G24" s="8"/>
      <c r="H24" s="8"/>
    </row>
    <row r="25" spans="1:8" x14ac:dyDescent="0.2">
      <c r="A25" s="48" t="s">
        <v>56</v>
      </c>
      <c r="B25" s="43"/>
      <c r="C25" s="40">
        <f>[3]Charters!I321</f>
        <v>0</v>
      </c>
      <c r="D25" s="41">
        <f>[3]Charters!K321</f>
        <v>0</v>
      </c>
      <c r="E25" s="8"/>
      <c r="F25" s="42">
        <f>[2]Charters!H11</f>
        <v>905459.85</v>
      </c>
      <c r="G25" s="8"/>
      <c r="H25" s="8"/>
    </row>
    <row r="26" spans="1:8" x14ac:dyDescent="0.2">
      <c r="A26" s="20" t="s">
        <v>49</v>
      </c>
      <c r="B26" s="43"/>
      <c r="C26" s="40">
        <f>[3]Charters!C478</f>
        <v>28.158000000000001</v>
      </c>
      <c r="D26" s="41">
        <f>[3]Charters!E478</f>
        <v>89654.21</v>
      </c>
      <c r="E26" s="8"/>
      <c r="F26" s="42">
        <f>SUM(D19:D27)</f>
        <v>905459.85</v>
      </c>
      <c r="G26" s="8"/>
      <c r="H26" s="8"/>
    </row>
    <row r="27" spans="1:8" x14ac:dyDescent="0.2">
      <c r="A27" s="20" t="s">
        <v>50</v>
      </c>
      <c r="B27" s="43"/>
      <c r="C27" s="40">
        <f>[2]Charters!C11</f>
        <v>95.399000000000001</v>
      </c>
      <c r="D27" s="41">
        <f>[2]Charters!E11</f>
        <v>303750.84000000003</v>
      </c>
      <c r="E27" s="8"/>
      <c r="F27" s="42">
        <f>+F25-F26</f>
        <v>0</v>
      </c>
      <c r="G27" s="8"/>
      <c r="H27" s="8"/>
    </row>
    <row r="28" spans="1:8" x14ac:dyDescent="0.2">
      <c r="A28" s="50"/>
      <c r="B28" s="51" t="s">
        <v>16</v>
      </c>
      <c r="C28" s="52">
        <f>SUM(C15:C27)</f>
        <v>1534.279</v>
      </c>
      <c r="D28" s="53">
        <f>SUM(D15:D27)</f>
        <v>4885144.93</v>
      </c>
      <c r="E28" s="8"/>
      <c r="F28" s="8"/>
      <c r="G28" s="8"/>
      <c r="H28" s="8"/>
    </row>
    <row r="29" spans="1:8" x14ac:dyDescent="0.2">
      <c r="A29" s="54" t="s">
        <v>17</v>
      </c>
      <c r="B29" s="39"/>
      <c r="C29" s="55"/>
      <c r="D29" s="47"/>
      <c r="E29" s="8"/>
      <c r="F29" s="8"/>
      <c r="G29" s="8"/>
      <c r="H29" s="42" t="s">
        <v>29</v>
      </c>
    </row>
    <row r="30" spans="1:8" x14ac:dyDescent="0.2">
      <c r="A30" s="20" t="s">
        <v>33</v>
      </c>
      <c r="B30" s="43"/>
      <c r="C30" s="56"/>
      <c r="D30" s="57">
        <f>[4]Charters!C10</f>
        <v>14159.44</v>
      </c>
      <c r="E30" s="8"/>
      <c r="F30" s="8"/>
      <c r="G30" s="8"/>
      <c r="H30" s="42">
        <f>[4]Charters!F951</f>
        <v>8392334.4199999999</v>
      </c>
    </row>
    <row r="31" spans="1:8" x14ac:dyDescent="0.2">
      <c r="A31" s="58" t="s">
        <v>35</v>
      </c>
      <c r="B31" s="43"/>
      <c r="C31" s="56"/>
      <c r="D31" s="41">
        <f>+[4]Charters!F331</f>
        <v>7367.98</v>
      </c>
      <c r="E31" s="8"/>
      <c r="F31" s="8"/>
      <c r="G31" s="8"/>
      <c r="H31" s="42">
        <f>SUM(D28:D47)</f>
        <v>8392334.4199999999</v>
      </c>
    </row>
    <row r="32" spans="1:8" x14ac:dyDescent="0.2">
      <c r="A32" s="59" t="s">
        <v>36</v>
      </c>
      <c r="B32" s="43"/>
      <c r="C32" s="56"/>
      <c r="D32" s="41">
        <f>[4]Charters!E170</f>
        <v>41099</v>
      </c>
      <c r="E32" s="8"/>
      <c r="F32" s="8"/>
      <c r="G32" s="8"/>
      <c r="H32" s="42">
        <f>+H30-H31</f>
        <v>0</v>
      </c>
    </row>
    <row r="33" spans="1:8" x14ac:dyDescent="0.2">
      <c r="A33" s="59" t="s">
        <v>52</v>
      </c>
      <c r="B33" s="43"/>
      <c r="C33" s="56"/>
      <c r="D33" s="41">
        <f>[4]Charters!G331</f>
        <v>0</v>
      </c>
      <c r="E33" s="8"/>
      <c r="F33" s="42" t="s">
        <v>27</v>
      </c>
      <c r="G33" s="8"/>
      <c r="H33" s="42"/>
    </row>
    <row r="34" spans="1:8" x14ac:dyDescent="0.2">
      <c r="A34" s="20" t="s">
        <v>37</v>
      </c>
      <c r="B34" s="43"/>
      <c r="C34" s="56"/>
      <c r="D34" s="41">
        <f>[4]Charters!E487</f>
        <v>111674</v>
      </c>
      <c r="E34" s="8"/>
      <c r="F34" s="42">
        <f>[4]Charters!E170</f>
        <v>41099</v>
      </c>
      <c r="G34" s="8"/>
      <c r="H34" s="8"/>
    </row>
    <row r="35" spans="1:8" x14ac:dyDescent="0.2">
      <c r="A35" s="20" t="s">
        <v>38</v>
      </c>
      <c r="B35" s="43"/>
      <c r="C35" s="56"/>
      <c r="D35" s="41">
        <f>[4]Charters!F487</f>
        <v>0</v>
      </c>
      <c r="E35" s="8"/>
      <c r="F35" s="42">
        <f>SUM(D32:D32)</f>
        <v>41099</v>
      </c>
      <c r="G35" s="8"/>
      <c r="H35" s="8"/>
    </row>
    <row r="36" spans="1:8" x14ac:dyDescent="0.2">
      <c r="A36" s="59" t="s">
        <v>40</v>
      </c>
      <c r="B36" s="43"/>
      <c r="C36" s="56"/>
      <c r="D36" s="41">
        <f>[4]Charters!G487</f>
        <v>125000</v>
      </c>
      <c r="E36" s="8"/>
      <c r="F36" s="42">
        <f>+F34-F35</f>
        <v>0</v>
      </c>
      <c r="G36" s="8"/>
      <c r="H36" s="8"/>
    </row>
    <row r="37" spans="1:8" x14ac:dyDescent="0.2">
      <c r="A37" s="20" t="s">
        <v>41</v>
      </c>
      <c r="B37" s="43"/>
      <c r="C37" s="56"/>
      <c r="D37" s="41">
        <f>[4]Charters!C642</f>
        <v>2613306</v>
      </c>
      <c r="E37" s="8"/>
      <c r="F37" s="42" t="s">
        <v>28</v>
      </c>
      <c r="G37" s="8"/>
      <c r="H37" s="8"/>
    </row>
    <row r="38" spans="1:8" x14ac:dyDescent="0.2">
      <c r="A38" s="20" t="s">
        <v>42</v>
      </c>
      <c r="B38" s="43"/>
      <c r="C38" s="56"/>
      <c r="D38" s="41">
        <f>[4]Charters!D642</f>
        <v>403963.99</v>
      </c>
      <c r="E38" s="8"/>
      <c r="F38" s="42">
        <f>[4]Charters!D487</f>
        <v>48466.98</v>
      </c>
      <c r="G38" s="8"/>
      <c r="H38" s="8"/>
    </row>
    <row r="39" spans="1:8" x14ac:dyDescent="0.2">
      <c r="A39" s="20" t="s">
        <v>44</v>
      </c>
      <c r="B39" s="43"/>
      <c r="C39" s="56"/>
      <c r="D39" s="41">
        <f>[4]Charters!E642</f>
        <v>130600</v>
      </c>
      <c r="E39" s="8"/>
      <c r="F39" s="42">
        <f>SUM(D31:D33)</f>
        <v>48466.98</v>
      </c>
      <c r="G39" s="8"/>
      <c r="H39" s="8"/>
    </row>
    <row r="40" spans="1:8" x14ac:dyDescent="0.2">
      <c r="A40" s="59" t="s">
        <v>43</v>
      </c>
      <c r="B40" s="43"/>
      <c r="C40" s="56"/>
      <c r="D40" s="41">
        <f>[4]Charters!F642</f>
        <v>45348.04</v>
      </c>
      <c r="E40" s="8"/>
      <c r="F40" s="42">
        <f>+F38-F39</f>
        <v>0</v>
      </c>
      <c r="G40" s="8"/>
      <c r="H40" s="8"/>
    </row>
    <row r="41" spans="1:8" x14ac:dyDescent="0.2">
      <c r="A41" s="59" t="s">
        <v>45</v>
      </c>
      <c r="B41" s="43"/>
      <c r="C41" s="56"/>
      <c r="D41" s="41">
        <f>[4]Charters!C487</f>
        <v>0</v>
      </c>
      <c r="E41" s="8"/>
      <c r="F41" s="8"/>
      <c r="G41" s="8"/>
      <c r="H41" s="8"/>
    </row>
    <row r="42" spans="1:8" x14ac:dyDescent="0.2">
      <c r="A42" s="59" t="s">
        <v>46</v>
      </c>
      <c r="B42" s="43"/>
      <c r="C42" s="56"/>
      <c r="D42" s="41">
        <f>[4]Charters!C798</f>
        <v>0</v>
      </c>
      <c r="E42" s="8"/>
      <c r="F42" s="8"/>
      <c r="G42" s="8"/>
      <c r="H42" s="42" t="s">
        <v>31</v>
      </c>
    </row>
    <row r="43" spans="1:8" x14ac:dyDescent="0.2">
      <c r="A43" s="59" t="s">
        <v>51</v>
      </c>
      <c r="B43" s="43"/>
      <c r="C43" s="56"/>
      <c r="D43" s="60">
        <f>[4]Charters!D798</f>
        <v>1343.42</v>
      </c>
      <c r="E43" s="8"/>
      <c r="F43" s="8"/>
      <c r="G43" s="8"/>
      <c r="H43" s="42">
        <f>[4]Charters!D1257</f>
        <v>8412086.2300000004</v>
      </c>
    </row>
    <row r="44" spans="1:8" x14ac:dyDescent="0.2">
      <c r="A44" s="20" t="s">
        <v>47</v>
      </c>
      <c r="B44" s="43"/>
      <c r="C44" s="56"/>
      <c r="D44" s="60">
        <f>[4]Charters!E798</f>
        <v>0</v>
      </c>
      <c r="E44" s="8"/>
      <c r="F44" s="8"/>
      <c r="G44" s="8"/>
      <c r="H44" s="42">
        <f>D53</f>
        <v>8412086.2300000004</v>
      </c>
    </row>
    <row r="45" spans="1:8" x14ac:dyDescent="0.2">
      <c r="A45" s="20" t="s">
        <v>57</v>
      </c>
      <c r="B45" s="43"/>
      <c r="C45" s="56"/>
      <c r="D45" s="60">
        <f>[4]Charters!C951</f>
        <v>13327.62</v>
      </c>
      <c r="E45" s="8"/>
      <c r="F45" s="8"/>
      <c r="G45" s="8"/>
      <c r="H45" s="42">
        <f>+H43-H44</f>
        <v>0</v>
      </c>
    </row>
    <row r="46" spans="1:8" x14ac:dyDescent="0.2">
      <c r="A46" s="59" t="s">
        <v>53</v>
      </c>
      <c r="B46" s="43"/>
      <c r="C46" s="56"/>
      <c r="D46" s="60">
        <f>[4]Charters!D951</f>
        <v>0</v>
      </c>
      <c r="E46" s="8"/>
      <c r="F46" s="42" t="s">
        <v>30</v>
      </c>
      <c r="G46" s="8"/>
      <c r="H46" s="8"/>
    </row>
    <row r="47" spans="1:8" x14ac:dyDescent="0.2">
      <c r="A47" s="59" t="s">
        <v>59</v>
      </c>
      <c r="B47" s="43"/>
      <c r="C47" s="56"/>
      <c r="D47" s="60">
        <f>[4]Charters!E951</f>
        <v>0</v>
      </c>
      <c r="E47" s="8"/>
      <c r="F47" s="8"/>
      <c r="G47" s="8"/>
      <c r="H47" s="8"/>
    </row>
    <row r="48" spans="1:8" x14ac:dyDescent="0.2">
      <c r="A48" s="38" t="s">
        <v>18</v>
      </c>
      <c r="B48" s="61"/>
      <c r="C48" s="62"/>
      <c r="D48" s="63"/>
      <c r="E48" s="8"/>
      <c r="F48" s="42">
        <f>[4]Charters!C1257</f>
        <v>19751.810000000001</v>
      </c>
      <c r="G48" s="8"/>
      <c r="H48" s="8"/>
    </row>
    <row r="49" spans="1:8" x14ac:dyDescent="0.2">
      <c r="A49" s="59" t="s">
        <v>39</v>
      </c>
      <c r="B49" s="43"/>
      <c r="C49" s="56"/>
      <c r="D49" s="41">
        <f>[4]Charters!C1104</f>
        <v>14751.81</v>
      </c>
      <c r="E49" s="8"/>
      <c r="F49" s="42">
        <f>SUM(D49:D52)</f>
        <v>19751.810000000001</v>
      </c>
      <c r="G49" s="8"/>
      <c r="H49" s="8"/>
    </row>
    <row r="50" spans="1:8" x14ac:dyDescent="0.2">
      <c r="A50" s="59" t="s">
        <v>48</v>
      </c>
      <c r="B50" s="43"/>
      <c r="C50" s="56"/>
      <c r="D50" s="41">
        <f>[4]Charters!D1104</f>
        <v>0</v>
      </c>
      <c r="E50" s="8"/>
      <c r="F50" s="42">
        <f>+F48-F49</f>
        <v>0</v>
      </c>
      <c r="G50" s="8"/>
      <c r="H50" s="8"/>
    </row>
    <row r="51" spans="1:8" x14ac:dyDescent="0.2">
      <c r="A51" s="59" t="s">
        <v>60</v>
      </c>
      <c r="B51" s="43"/>
      <c r="C51" s="56"/>
      <c r="D51" s="41">
        <f>[4]Charters!E1104</f>
        <v>0</v>
      </c>
      <c r="E51" s="8"/>
      <c r="F51" s="8"/>
      <c r="G51" s="8"/>
      <c r="H51" s="8"/>
    </row>
    <row r="52" spans="1:8" x14ac:dyDescent="0.2">
      <c r="A52" s="59" t="s">
        <v>61</v>
      </c>
      <c r="B52" s="43"/>
      <c r="C52" s="56"/>
      <c r="D52" s="41">
        <f>[4]Charters!F1104</f>
        <v>5000</v>
      </c>
      <c r="E52" s="8"/>
      <c r="F52" s="8"/>
      <c r="G52" s="8"/>
      <c r="H52" s="8"/>
    </row>
    <row r="53" spans="1:8" ht="13.5" thickBot="1" x14ac:dyDescent="0.25">
      <c r="A53" s="64"/>
      <c r="B53" s="65"/>
      <c r="C53" s="66"/>
      <c r="D53" s="67">
        <f>SUM(D28:D52)</f>
        <v>8412086.2300000004</v>
      </c>
      <c r="E53" s="8"/>
      <c r="F53" s="8"/>
      <c r="G53" s="8"/>
      <c r="H53" s="8"/>
    </row>
    <row r="54" spans="1:8" ht="13.5" thickTop="1" x14ac:dyDescent="0.2">
      <c r="A54" s="68"/>
      <c r="B54" s="43"/>
      <c r="C54" s="56"/>
      <c r="D54" s="69"/>
      <c r="E54" s="8"/>
      <c r="F54" s="8"/>
      <c r="G54" s="8"/>
      <c r="H54" s="8"/>
    </row>
    <row r="55" spans="1:8" x14ac:dyDescent="0.2">
      <c r="A55" s="38" t="s">
        <v>20</v>
      </c>
      <c r="B55" s="39"/>
      <c r="C55" s="70"/>
      <c r="D55" s="71" t="s">
        <v>21</v>
      </c>
      <c r="E55" s="8"/>
      <c r="F55" s="8"/>
      <c r="G55" s="8"/>
      <c r="H55" s="8"/>
    </row>
    <row r="56" spans="1:8" x14ac:dyDescent="0.2">
      <c r="A56" s="72" t="s">
        <v>22</v>
      </c>
      <c r="B56" s="73"/>
      <c r="C56" s="74"/>
      <c r="D56" s="41">
        <f>[5]Charters!C10</f>
        <v>2550.88</v>
      </c>
      <c r="E56" s="8"/>
      <c r="F56" s="8"/>
      <c r="G56" s="8"/>
      <c r="H56" s="8"/>
    </row>
    <row r="57" spans="1:8" x14ac:dyDescent="0.2">
      <c r="A57" s="75"/>
      <c r="B57" s="61"/>
      <c r="C57" s="76"/>
      <c r="D57" s="77">
        <f>SUM(D56:D56)</f>
        <v>2550.88</v>
      </c>
      <c r="E57" s="8"/>
      <c r="F57" s="8"/>
      <c r="G57" s="8"/>
      <c r="H57" s="8"/>
    </row>
    <row r="58" spans="1:8" x14ac:dyDescent="0.2">
      <c r="A58" s="78" t="s">
        <v>58</v>
      </c>
      <c r="B58" s="79"/>
      <c r="C58" s="80"/>
      <c r="D58" s="77">
        <f>D57+D53</f>
        <v>8414637.1099999994</v>
      </c>
      <c r="E58" s="8"/>
      <c r="F58" s="8"/>
      <c r="G58" s="8"/>
      <c r="H58" s="8"/>
    </row>
    <row r="59" spans="1:8" x14ac:dyDescent="0.2">
      <c r="A59" s="4"/>
      <c r="B59" s="4"/>
      <c r="C59" s="9"/>
      <c r="D59" s="81"/>
      <c r="E59" s="8"/>
      <c r="F59" s="8"/>
      <c r="G59" s="8"/>
      <c r="H59" s="8"/>
    </row>
    <row r="60" spans="1:8" x14ac:dyDescent="0.2">
      <c r="A60" s="84"/>
      <c r="B60" s="84"/>
      <c r="C60" s="85"/>
      <c r="D60" s="81">
        <f>[5]Charters!E166</f>
        <v>8414637.1099999994</v>
      </c>
      <c r="E60" s="42"/>
      <c r="F60" s="42"/>
      <c r="G60" s="42"/>
      <c r="H60" s="42"/>
    </row>
    <row r="61" spans="1:8" x14ac:dyDescent="0.2">
      <c r="A61" s="84"/>
      <c r="B61" s="84"/>
      <c r="C61" s="85"/>
      <c r="D61" s="81">
        <f>D58</f>
        <v>8414637.1099999994</v>
      </c>
      <c r="E61" s="42"/>
      <c r="F61" s="42"/>
      <c r="G61" s="42"/>
      <c r="H61" s="42"/>
    </row>
    <row r="62" spans="1:8" x14ac:dyDescent="0.2">
      <c r="C62" s="83"/>
      <c r="D62" s="42">
        <f>D60-D61</f>
        <v>0</v>
      </c>
      <c r="E62" s="42"/>
      <c r="F62" s="42"/>
      <c r="G62" s="42"/>
      <c r="H62" s="42"/>
    </row>
  </sheetData>
  <mergeCells count="4">
    <mergeCell ref="A4:D4"/>
    <mergeCell ref="A5:D5"/>
    <mergeCell ref="A6:D6"/>
    <mergeCell ref="A58:C58"/>
  </mergeCells>
  <phoneticPr fontId="0" type="noConversion"/>
  <printOptions horizontalCentered="1" verticalCentered="1"/>
  <pageMargins left="0.5" right="0.5" top="0.5" bottom="0.5" header="0.25" footer="0.25"/>
  <pageSetup orientation="portrait" r:id="rId1"/>
  <headerFooter alignWithMargins="0">
    <oddHeader>&amp;R&amp;8Current as of: &amp;D</oddHeader>
    <oddFooter>&amp;L&amp;8USOE, School Finance</oddFooter>
  </headerFooter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A1:H63"/>
  <sheetViews>
    <sheetView showGridLines="0" workbookViewId="0">
      <selection activeCell="C12" sqref="C12"/>
    </sheetView>
  </sheetViews>
  <sheetFormatPr defaultColWidth="9.140625" defaultRowHeight="12.75" x14ac:dyDescent="0.2"/>
  <cols>
    <col min="1" max="1" width="31.85546875" style="82" customWidth="1"/>
    <col min="2" max="2" width="16.140625" style="82" customWidth="1"/>
    <col min="3" max="4" width="14.85546875" style="82" customWidth="1"/>
    <col min="5" max="5" width="7" style="82" customWidth="1"/>
    <col min="6" max="6" width="19.7109375" style="82" customWidth="1"/>
    <col min="7" max="7" width="5.7109375" style="82" customWidth="1"/>
    <col min="8" max="8" width="18" style="82" customWidth="1"/>
    <col min="9" max="16384" width="9.140625" style="82"/>
  </cols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"/>
      <c r="B3" s="1"/>
      <c r="C3" s="1"/>
      <c r="D3" s="1"/>
      <c r="E3" s="1"/>
      <c r="F3" s="1"/>
      <c r="G3" s="1"/>
      <c r="H3" s="1"/>
    </row>
    <row r="4" spans="1:8" x14ac:dyDescent="0.2">
      <c r="A4" s="1"/>
      <c r="B4" s="1"/>
      <c r="C4" s="1"/>
      <c r="D4" s="1"/>
      <c r="E4" s="1"/>
      <c r="F4" s="1"/>
      <c r="G4" s="1"/>
      <c r="H4" s="1"/>
    </row>
    <row r="5" spans="1:8" x14ac:dyDescent="0.2">
      <c r="A5" s="11" t="s">
        <v>1</v>
      </c>
      <c r="B5" s="12"/>
      <c r="C5" s="12"/>
      <c r="D5" s="13"/>
      <c r="E5" s="8"/>
      <c r="F5" s="8"/>
      <c r="G5" s="8"/>
      <c r="H5" s="8"/>
    </row>
    <row r="6" spans="1:8" x14ac:dyDescent="0.2">
      <c r="A6" s="14" t="s">
        <v>15</v>
      </c>
      <c r="B6" s="15"/>
      <c r="C6" s="15"/>
      <c r="D6" s="16"/>
      <c r="E6" s="8"/>
      <c r="F6" s="8"/>
      <c r="G6" s="8"/>
      <c r="H6" s="8"/>
    </row>
    <row r="7" spans="1:8" x14ac:dyDescent="0.2">
      <c r="A7" s="17" t="s">
        <v>62</v>
      </c>
      <c r="B7" s="18"/>
      <c r="C7" s="18"/>
      <c r="D7" s="19"/>
      <c r="E7" s="8"/>
      <c r="F7" s="8"/>
      <c r="G7" s="8"/>
      <c r="H7" s="8"/>
    </row>
    <row r="8" spans="1:8" x14ac:dyDescent="0.2">
      <c r="A8" s="20"/>
      <c r="B8" s="21"/>
      <c r="C8" s="22"/>
      <c r="D8" s="23"/>
      <c r="E8" s="8"/>
      <c r="F8" s="8" t="s">
        <v>34</v>
      </c>
      <c r="G8" s="8"/>
      <c r="H8" s="8"/>
    </row>
    <row r="9" spans="1:8" ht="15.75" x14ac:dyDescent="0.25">
      <c r="A9" s="24" t="s">
        <v>2</v>
      </c>
      <c r="B9" s="25" t="str">
        <f>[1]Charters!B12</f>
        <v>Acad for Math Engineering Sci</v>
      </c>
      <c r="C9" s="26"/>
      <c r="D9" s="27"/>
      <c r="E9" s="8"/>
      <c r="F9" s="8"/>
      <c r="G9" s="8"/>
      <c r="H9" s="8"/>
    </row>
    <row r="10" spans="1:8" x14ac:dyDescent="0.2">
      <c r="A10" s="24"/>
      <c r="B10" s="28"/>
      <c r="C10" s="26"/>
      <c r="D10" s="27"/>
      <c r="E10" s="8"/>
      <c r="F10" s="8"/>
      <c r="G10" s="8"/>
      <c r="H10" s="8"/>
    </row>
    <row r="11" spans="1:8" x14ac:dyDescent="0.2">
      <c r="A11" s="29" t="s">
        <v>0</v>
      </c>
      <c r="B11" s="30">
        <f>[1]Charters!$E$6</f>
        <v>3184</v>
      </c>
      <c r="C11" s="26"/>
      <c r="D11" s="31"/>
      <c r="E11" s="8"/>
      <c r="F11" s="8"/>
      <c r="G11" s="8"/>
      <c r="H11" s="8"/>
    </row>
    <row r="12" spans="1:8" x14ac:dyDescent="0.2">
      <c r="A12" s="32"/>
      <c r="B12" s="6"/>
      <c r="C12" s="33"/>
      <c r="D12" s="34" t="s">
        <v>3</v>
      </c>
      <c r="E12" s="8"/>
      <c r="F12" s="8"/>
      <c r="G12" s="8"/>
      <c r="H12" s="8"/>
    </row>
    <row r="13" spans="1:8" x14ac:dyDescent="0.2">
      <c r="A13" s="29" t="s">
        <v>19</v>
      </c>
      <c r="B13" s="35">
        <f>[1]Charters!A12</f>
        <v>83</v>
      </c>
      <c r="C13" s="36" t="s">
        <v>4</v>
      </c>
      <c r="D13" s="37" t="s">
        <v>5</v>
      </c>
      <c r="E13" s="8"/>
      <c r="F13" s="8"/>
      <c r="G13" s="8"/>
      <c r="H13" s="8"/>
    </row>
    <row r="14" spans="1:8" x14ac:dyDescent="0.2">
      <c r="A14" s="38" t="s">
        <v>6</v>
      </c>
      <c r="B14" s="39"/>
      <c r="C14" s="40"/>
      <c r="D14" s="41"/>
      <c r="E14" s="8"/>
      <c r="F14" s="8"/>
      <c r="G14" s="8"/>
      <c r="H14" s="8"/>
    </row>
    <row r="15" spans="1:8" x14ac:dyDescent="0.2">
      <c r="A15" s="38" t="s">
        <v>7</v>
      </c>
      <c r="B15" s="39"/>
      <c r="C15" s="40"/>
      <c r="D15" s="41"/>
      <c r="E15" s="8"/>
      <c r="F15" s="42" t="s">
        <v>23</v>
      </c>
      <c r="G15" s="8"/>
      <c r="H15" s="42" t="s">
        <v>26</v>
      </c>
    </row>
    <row r="16" spans="1:8" x14ac:dyDescent="0.2">
      <c r="A16" s="20" t="s">
        <v>8</v>
      </c>
      <c r="B16" s="43"/>
      <c r="C16" s="44">
        <f>[1]Charters!C472</f>
        <v>599.23299999999995</v>
      </c>
      <c r="D16" s="45">
        <f>[1]Charters!E472</f>
        <v>1907958.93</v>
      </c>
      <c r="E16" s="8"/>
      <c r="F16" s="42">
        <f>[1]Charters!E627</f>
        <v>2098794.89</v>
      </c>
      <c r="G16" s="8"/>
      <c r="H16" s="42">
        <f>[2]Charters!E166</f>
        <v>2262030.65</v>
      </c>
    </row>
    <row r="17" spans="1:8" x14ac:dyDescent="0.2">
      <c r="A17" s="20" t="s">
        <v>14</v>
      </c>
      <c r="B17" s="43"/>
      <c r="C17" s="44">
        <f>[1]Charters!F472</f>
        <v>59.936</v>
      </c>
      <c r="D17" s="45">
        <f>[1]Charters!H472</f>
        <v>190835.96</v>
      </c>
      <c r="E17" s="8"/>
      <c r="F17" s="42">
        <f>SUM(D16:D18)</f>
        <v>2098794.89</v>
      </c>
      <c r="G17" s="8"/>
      <c r="H17" s="42">
        <f>D29</f>
        <v>2262030.65</v>
      </c>
    </row>
    <row r="18" spans="1:8" x14ac:dyDescent="0.2">
      <c r="A18" s="20" t="s">
        <v>32</v>
      </c>
      <c r="B18" s="43"/>
      <c r="C18" s="44">
        <f>[1]Charters!C165</f>
        <v>0</v>
      </c>
      <c r="D18" s="45">
        <f>[1]Charters!E165</f>
        <v>0</v>
      </c>
      <c r="E18" s="8"/>
      <c r="F18" s="42">
        <f>+F16-F17</f>
        <v>0</v>
      </c>
      <c r="G18" s="8"/>
      <c r="H18" s="42">
        <f>+H16-H17</f>
        <v>0</v>
      </c>
    </row>
    <row r="19" spans="1:8" x14ac:dyDescent="0.2">
      <c r="A19" s="38" t="s">
        <v>9</v>
      </c>
      <c r="B19" s="39"/>
      <c r="C19" s="46"/>
      <c r="D19" s="47"/>
      <c r="E19" s="8"/>
      <c r="F19" s="8"/>
      <c r="G19" s="8"/>
      <c r="H19" s="8"/>
    </row>
    <row r="20" spans="1:8" x14ac:dyDescent="0.2">
      <c r="A20" s="20" t="s">
        <v>10</v>
      </c>
      <c r="B20" s="43"/>
      <c r="C20" s="40">
        <f>[3]Charters!C11</f>
        <v>22.268000000000001</v>
      </c>
      <c r="D20" s="41">
        <f>[3]Charters!E11</f>
        <v>70900.09</v>
      </c>
      <c r="E20" s="8"/>
      <c r="F20" s="42" t="s">
        <v>24</v>
      </c>
      <c r="G20" s="8"/>
      <c r="H20" s="8"/>
    </row>
    <row r="21" spans="1:8" x14ac:dyDescent="0.2">
      <c r="A21" s="48" t="s">
        <v>11</v>
      </c>
      <c r="B21" s="43"/>
      <c r="C21" s="40">
        <f>[3]Charters!F11</f>
        <v>0.72</v>
      </c>
      <c r="D21" s="49">
        <f>[3]Charters!H11</f>
        <v>2292.48</v>
      </c>
      <c r="E21" s="8"/>
      <c r="F21" s="42">
        <f>[3]Charters!N322</f>
        <v>77551.66</v>
      </c>
      <c r="G21" s="8"/>
      <c r="H21" s="8"/>
    </row>
    <row r="22" spans="1:8" x14ac:dyDescent="0.2">
      <c r="A22" s="48" t="s">
        <v>12</v>
      </c>
      <c r="B22" s="43"/>
      <c r="C22" s="40">
        <f>[3]Charters!C166</f>
        <v>0</v>
      </c>
      <c r="D22" s="41">
        <f>[3]Charters!E166</f>
        <v>0</v>
      </c>
      <c r="E22" s="8"/>
      <c r="F22" s="42">
        <f>SUM(D20:D26)</f>
        <v>77551.66</v>
      </c>
      <c r="G22" s="8"/>
      <c r="H22" s="8"/>
    </row>
    <row r="23" spans="1:8" x14ac:dyDescent="0.2">
      <c r="A23" s="20" t="s">
        <v>13</v>
      </c>
      <c r="B23" s="43"/>
      <c r="C23" s="40">
        <f>[3]Charters!F166</f>
        <v>0.70899999999999996</v>
      </c>
      <c r="D23" s="41">
        <f>[3]Charters!H166</f>
        <v>2259</v>
      </c>
      <c r="E23" s="8"/>
      <c r="F23" s="42">
        <f>+F21-F22</f>
        <v>0</v>
      </c>
      <c r="G23" s="8"/>
      <c r="H23" s="8"/>
    </row>
    <row r="24" spans="1:8" x14ac:dyDescent="0.2">
      <c r="A24" s="48" t="s">
        <v>54</v>
      </c>
      <c r="B24" s="43"/>
      <c r="C24" s="40">
        <f>[3]Charters!C322</f>
        <v>0.66</v>
      </c>
      <c r="D24" s="41">
        <f>[3]Charters!E322</f>
        <v>2100.09</v>
      </c>
      <c r="E24" s="8"/>
      <c r="F24" s="8"/>
      <c r="G24" s="8"/>
      <c r="H24" s="8"/>
    </row>
    <row r="25" spans="1:8" x14ac:dyDescent="0.2">
      <c r="A25" s="48" t="s">
        <v>55</v>
      </c>
      <c r="B25" s="43"/>
      <c r="C25" s="40">
        <f>[3]Charters!F322</f>
        <v>0</v>
      </c>
      <c r="D25" s="41">
        <f>[3]Charters!H322</f>
        <v>0</v>
      </c>
      <c r="E25" s="8"/>
      <c r="F25" s="42" t="s">
        <v>25</v>
      </c>
      <c r="G25" s="8"/>
      <c r="H25" s="8"/>
    </row>
    <row r="26" spans="1:8" x14ac:dyDescent="0.2">
      <c r="A26" s="48" t="s">
        <v>56</v>
      </c>
      <c r="B26" s="43"/>
      <c r="C26" s="40">
        <f>[3]Charters!I322</f>
        <v>0</v>
      </c>
      <c r="D26" s="41">
        <f>[3]Charters!K322</f>
        <v>0</v>
      </c>
      <c r="E26" s="8"/>
      <c r="F26" s="42">
        <f>[2]Charters!H12</f>
        <v>163235.76</v>
      </c>
      <c r="G26" s="8"/>
      <c r="H26" s="8"/>
    </row>
    <row r="27" spans="1:8" x14ac:dyDescent="0.2">
      <c r="A27" s="20" t="s">
        <v>49</v>
      </c>
      <c r="B27" s="43"/>
      <c r="C27" s="40">
        <f>[3]Charters!C479</f>
        <v>26.911000000000001</v>
      </c>
      <c r="D27" s="41">
        <f>[3]Charters!E479</f>
        <v>85684.1</v>
      </c>
      <c r="E27" s="8"/>
      <c r="F27" s="42">
        <f>SUM(D20:D28)</f>
        <v>163235.76</v>
      </c>
      <c r="G27" s="8"/>
      <c r="H27" s="8"/>
    </row>
    <row r="28" spans="1:8" x14ac:dyDescent="0.2">
      <c r="A28" s="20" t="s">
        <v>50</v>
      </c>
      <c r="B28" s="43"/>
      <c r="C28" s="40">
        <f>[2]Charters!C12</f>
        <v>0</v>
      </c>
      <c r="D28" s="41">
        <f>[2]Charters!E12</f>
        <v>0</v>
      </c>
      <c r="E28" s="8"/>
      <c r="F28" s="42">
        <f>+F26-F27</f>
        <v>0</v>
      </c>
      <c r="G28" s="8"/>
      <c r="H28" s="8"/>
    </row>
    <row r="29" spans="1:8" x14ac:dyDescent="0.2">
      <c r="A29" s="50"/>
      <c r="B29" s="51" t="s">
        <v>16</v>
      </c>
      <c r="C29" s="52">
        <f>SUM(C16:C28)</f>
        <v>710.43700000000001</v>
      </c>
      <c r="D29" s="53">
        <f>SUM(D16:D28)</f>
        <v>2262030.65</v>
      </c>
      <c r="E29" s="8"/>
      <c r="F29" s="8"/>
      <c r="G29" s="8"/>
      <c r="H29" s="8"/>
    </row>
    <row r="30" spans="1:8" x14ac:dyDescent="0.2">
      <c r="A30" s="54" t="s">
        <v>17</v>
      </c>
      <c r="B30" s="39"/>
      <c r="C30" s="55"/>
      <c r="D30" s="47"/>
      <c r="E30" s="8"/>
      <c r="F30" s="8"/>
      <c r="G30" s="8"/>
      <c r="H30" s="42" t="s">
        <v>29</v>
      </c>
    </row>
    <row r="31" spans="1:8" x14ac:dyDescent="0.2">
      <c r="A31" s="20" t="s">
        <v>33</v>
      </c>
      <c r="B31" s="43"/>
      <c r="C31" s="56"/>
      <c r="D31" s="57">
        <f>[4]Charters!C11</f>
        <v>6556.42</v>
      </c>
      <c r="E31" s="8"/>
      <c r="F31" s="8"/>
      <c r="G31" s="8"/>
      <c r="H31" s="42">
        <f>[4]Charters!F952</f>
        <v>3674076.38</v>
      </c>
    </row>
    <row r="32" spans="1:8" x14ac:dyDescent="0.2">
      <c r="A32" s="58" t="s">
        <v>35</v>
      </c>
      <c r="B32" s="43"/>
      <c r="C32" s="56"/>
      <c r="D32" s="41">
        <f>+[4]Charters!F332</f>
        <v>8134.4</v>
      </c>
      <c r="E32" s="8"/>
      <c r="F32" s="8"/>
      <c r="G32" s="8"/>
      <c r="H32" s="42">
        <f>SUM(D29:D48)</f>
        <v>3674076.38</v>
      </c>
    </row>
    <row r="33" spans="1:8" x14ac:dyDescent="0.2">
      <c r="A33" s="59" t="s">
        <v>36</v>
      </c>
      <c r="B33" s="43"/>
      <c r="C33" s="56"/>
      <c r="D33" s="41">
        <f>[4]Charters!E171</f>
        <v>20048</v>
      </c>
      <c r="E33" s="8"/>
      <c r="F33" s="8"/>
      <c r="G33" s="8"/>
      <c r="H33" s="42">
        <f>+H31-H32</f>
        <v>0</v>
      </c>
    </row>
    <row r="34" spans="1:8" x14ac:dyDescent="0.2">
      <c r="A34" s="59" t="s">
        <v>52</v>
      </c>
      <c r="B34" s="43"/>
      <c r="C34" s="56"/>
      <c r="D34" s="41">
        <f>[4]Charters!G332</f>
        <v>75897.33</v>
      </c>
      <c r="E34" s="8"/>
      <c r="F34" s="42" t="s">
        <v>27</v>
      </c>
      <c r="G34" s="8"/>
      <c r="H34" s="42"/>
    </row>
    <row r="35" spans="1:8" x14ac:dyDescent="0.2">
      <c r="A35" s="20" t="s">
        <v>37</v>
      </c>
      <c r="B35" s="43"/>
      <c r="C35" s="56"/>
      <c r="D35" s="41">
        <f>[4]Charters!E488</f>
        <v>36319</v>
      </c>
      <c r="E35" s="8"/>
      <c r="F35" s="42">
        <f>[4]Charters!E171</f>
        <v>20048</v>
      </c>
      <c r="G35" s="8"/>
      <c r="H35" s="8"/>
    </row>
    <row r="36" spans="1:8" x14ac:dyDescent="0.2">
      <c r="A36" s="20" t="s">
        <v>38</v>
      </c>
      <c r="B36" s="43"/>
      <c r="C36" s="56"/>
      <c r="D36" s="41">
        <f>[4]Charters!F488</f>
        <v>0</v>
      </c>
      <c r="E36" s="8"/>
      <c r="F36" s="42">
        <f>SUM(D33:D33)</f>
        <v>20048</v>
      </c>
      <c r="G36" s="8"/>
      <c r="H36" s="8"/>
    </row>
    <row r="37" spans="1:8" x14ac:dyDescent="0.2">
      <c r="A37" s="59" t="s">
        <v>40</v>
      </c>
      <c r="B37" s="43"/>
      <c r="C37" s="56"/>
      <c r="D37" s="41">
        <f>[4]Charters!G488</f>
        <v>0</v>
      </c>
      <c r="E37" s="8"/>
      <c r="F37" s="42">
        <f>+F35-F36</f>
        <v>0</v>
      </c>
      <c r="G37" s="8"/>
      <c r="H37" s="8"/>
    </row>
    <row r="38" spans="1:8" x14ac:dyDescent="0.2">
      <c r="A38" s="20" t="s">
        <v>41</v>
      </c>
      <c r="B38" s="43"/>
      <c r="C38" s="56"/>
      <c r="D38" s="41">
        <f>[4]Charters!C643</f>
        <v>958479</v>
      </c>
      <c r="E38" s="8"/>
      <c r="F38" s="42" t="s">
        <v>28</v>
      </c>
      <c r="G38" s="8"/>
      <c r="H38" s="8"/>
    </row>
    <row r="39" spans="1:8" x14ac:dyDescent="0.2">
      <c r="A39" s="20" t="s">
        <v>42</v>
      </c>
      <c r="B39" s="43"/>
      <c r="C39" s="56"/>
      <c r="D39" s="41">
        <f>[4]Charters!D643</f>
        <v>119628.16</v>
      </c>
      <c r="E39" s="8"/>
      <c r="F39" s="42">
        <f>[4]Charters!D488</f>
        <v>104079.73</v>
      </c>
      <c r="G39" s="8"/>
      <c r="H39" s="8"/>
    </row>
    <row r="40" spans="1:8" x14ac:dyDescent="0.2">
      <c r="A40" s="20" t="s">
        <v>44</v>
      </c>
      <c r="B40" s="43"/>
      <c r="C40" s="56"/>
      <c r="D40" s="41">
        <f>[4]Charters!E643</f>
        <v>47900</v>
      </c>
      <c r="E40" s="8"/>
      <c r="F40" s="42">
        <f>SUM(D32:D34)</f>
        <v>104079.73</v>
      </c>
      <c r="G40" s="8"/>
      <c r="H40" s="8"/>
    </row>
    <row r="41" spans="1:8" x14ac:dyDescent="0.2">
      <c r="A41" s="59" t="s">
        <v>43</v>
      </c>
      <c r="B41" s="43"/>
      <c r="C41" s="56"/>
      <c r="D41" s="41">
        <f>[4]Charters!F643</f>
        <v>0</v>
      </c>
      <c r="E41" s="8"/>
      <c r="F41" s="42">
        <f>+F39-F40</f>
        <v>0</v>
      </c>
      <c r="G41" s="8"/>
      <c r="H41" s="8"/>
    </row>
    <row r="42" spans="1:8" x14ac:dyDescent="0.2">
      <c r="A42" s="59" t="s">
        <v>45</v>
      </c>
      <c r="B42" s="43"/>
      <c r="C42" s="56"/>
      <c r="D42" s="41">
        <f>[4]Charters!C488</f>
        <v>0</v>
      </c>
      <c r="E42" s="8"/>
      <c r="F42" s="8"/>
      <c r="G42" s="8"/>
      <c r="H42" s="8"/>
    </row>
    <row r="43" spans="1:8" x14ac:dyDescent="0.2">
      <c r="A43" s="59" t="s">
        <v>46</v>
      </c>
      <c r="B43" s="43"/>
      <c r="C43" s="56"/>
      <c r="D43" s="41">
        <f>[4]Charters!C799</f>
        <v>0</v>
      </c>
      <c r="E43" s="8"/>
      <c r="F43" s="8"/>
      <c r="G43" s="8"/>
      <c r="H43" s="42" t="s">
        <v>31</v>
      </c>
    </row>
    <row r="44" spans="1:8" x14ac:dyDescent="0.2">
      <c r="A44" s="59" t="s">
        <v>51</v>
      </c>
      <c r="B44" s="43"/>
      <c r="C44" s="56"/>
      <c r="D44" s="60">
        <f>[4]Charters!D799</f>
        <v>720.44</v>
      </c>
      <c r="E44" s="8"/>
      <c r="F44" s="8"/>
      <c r="G44" s="8"/>
      <c r="H44" s="42">
        <f>[4]Charters!D1258</f>
        <v>3683988.27</v>
      </c>
    </row>
    <row r="45" spans="1:8" x14ac:dyDescent="0.2">
      <c r="A45" s="20" t="s">
        <v>47</v>
      </c>
      <c r="B45" s="43"/>
      <c r="C45" s="56"/>
      <c r="D45" s="60">
        <f>[4]Charters!E799</f>
        <v>0</v>
      </c>
      <c r="E45" s="8"/>
      <c r="F45" s="8"/>
      <c r="G45" s="8"/>
      <c r="H45" s="42">
        <f>D54</f>
        <v>3683988.27</v>
      </c>
    </row>
    <row r="46" spans="1:8" x14ac:dyDescent="0.2">
      <c r="A46" s="20" t="s">
        <v>57</v>
      </c>
      <c r="B46" s="43"/>
      <c r="C46" s="56"/>
      <c r="D46" s="60">
        <f>[4]Charters!C952</f>
        <v>24579.78</v>
      </c>
      <c r="E46" s="8"/>
      <c r="F46" s="8"/>
      <c r="G46" s="8"/>
      <c r="H46" s="42">
        <f>+H44-H45</f>
        <v>0</v>
      </c>
    </row>
    <row r="47" spans="1:8" x14ac:dyDescent="0.2">
      <c r="A47" s="59" t="s">
        <v>53</v>
      </c>
      <c r="B47" s="43"/>
      <c r="C47" s="56"/>
      <c r="D47" s="60">
        <f>[4]Charters!D952</f>
        <v>89818</v>
      </c>
      <c r="E47" s="8"/>
      <c r="F47" s="42" t="s">
        <v>30</v>
      </c>
      <c r="G47" s="8"/>
      <c r="H47" s="8"/>
    </row>
    <row r="48" spans="1:8" x14ac:dyDescent="0.2">
      <c r="A48" s="59" t="s">
        <v>59</v>
      </c>
      <c r="B48" s="43"/>
      <c r="C48" s="56"/>
      <c r="D48" s="60">
        <f>[4]Charters!E952</f>
        <v>23965.200000000001</v>
      </c>
      <c r="E48" s="8"/>
      <c r="F48" s="8"/>
      <c r="G48" s="8"/>
      <c r="H48" s="8"/>
    </row>
    <row r="49" spans="1:8" x14ac:dyDescent="0.2">
      <c r="A49" s="38" t="s">
        <v>18</v>
      </c>
      <c r="B49" s="61"/>
      <c r="C49" s="62"/>
      <c r="D49" s="63"/>
      <c r="E49" s="8"/>
      <c r="F49" s="42">
        <f>[4]Charters!C1258</f>
        <v>9911.89</v>
      </c>
      <c r="G49" s="8"/>
      <c r="H49" s="8"/>
    </row>
    <row r="50" spans="1:8" x14ac:dyDescent="0.2">
      <c r="A50" s="59" t="s">
        <v>39</v>
      </c>
      <c r="B50" s="43"/>
      <c r="C50" s="56"/>
      <c r="D50" s="41">
        <f>[4]Charters!C1105</f>
        <v>4357.74</v>
      </c>
      <c r="E50" s="8"/>
      <c r="F50" s="42">
        <f>SUM(D50:D53)</f>
        <v>9911.89</v>
      </c>
      <c r="G50" s="8"/>
      <c r="H50" s="8"/>
    </row>
    <row r="51" spans="1:8" x14ac:dyDescent="0.2">
      <c r="A51" s="59" t="s">
        <v>48</v>
      </c>
      <c r="B51" s="43"/>
      <c r="C51" s="56"/>
      <c r="D51" s="41">
        <f>[4]Charters!D1105</f>
        <v>0</v>
      </c>
      <c r="E51" s="8"/>
      <c r="F51" s="42">
        <f>+F49-F50</f>
        <v>0</v>
      </c>
      <c r="G51" s="8"/>
      <c r="H51" s="8"/>
    </row>
    <row r="52" spans="1:8" x14ac:dyDescent="0.2">
      <c r="A52" s="59" t="s">
        <v>60</v>
      </c>
      <c r="B52" s="43"/>
      <c r="C52" s="56"/>
      <c r="D52" s="41">
        <f>[4]Charters!E1105</f>
        <v>0</v>
      </c>
      <c r="E52" s="8"/>
      <c r="F52" s="8"/>
      <c r="G52" s="8"/>
      <c r="H52" s="8"/>
    </row>
    <row r="53" spans="1:8" x14ac:dyDescent="0.2">
      <c r="A53" s="59" t="s">
        <v>61</v>
      </c>
      <c r="B53" s="43"/>
      <c r="C53" s="56"/>
      <c r="D53" s="41">
        <f>[4]Charters!F1105</f>
        <v>5554.15</v>
      </c>
      <c r="E53" s="8"/>
      <c r="F53" s="8"/>
      <c r="G53" s="8"/>
      <c r="H53" s="8"/>
    </row>
    <row r="54" spans="1:8" ht="13.5" thickBot="1" x14ac:dyDescent="0.25">
      <c r="A54" s="64"/>
      <c r="B54" s="65"/>
      <c r="C54" s="66"/>
      <c r="D54" s="67">
        <f>SUM(D29:D53)</f>
        <v>3683988.27</v>
      </c>
      <c r="E54" s="8"/>
      <c r="F54" s="8"/>
      <c r="G54" s="8"/>
      <c r="H54" s="8"/>
    </row>
    <row r="55" spans="1:8" ht="13.5" thickTop="1" x14ac:dyDescent="0.2">
      <c r="A55" s="68"/>
      <c r="B55" s="43"/>
      <c r="C55" s="56"/>
      <c r="D55" s="69"/>
      <c r="E55" s="8"/>
      <c r="F55" s="8"/>
      <c r="G55" s="8"/>
      <c r="H55" s="8"/>
    </row>
    <row r="56" spans="1:8" x14ac:dyDescent="0.2">
      <c r="A56" s="38" t="s">
        <v>20</v>
      </c>
      <c r="B56" s="39"/>
      <c r="C56" s="70"/>
      <c r="D56" s="71" t="s">
        <v>21</v>
      </c>
      <c r="E56" s="8"/>
      <c r="F56" s="8"/>
      <c r="G56" s="8"/>
      <c r="H56" s="8"/>
    </row>
    <row r="57" spans="1:8" x14ac:dyDescent="0.2">
      <c r="A57" s="72" t="s">
        <v>22</v>
      </c>
      <c r="B57" s="73"/>
      <c r="C57" s="74"/>
      <c r="D57" s="41">
        <f>[5]Charters!C11</f>
        <v>1177.52</v>
      </c>
      <c r="E57" s="8"/>
      <c r="F57" s="8"/>
      <c r="G57" s="8"/>
      <c r="H57" s="8"/>
    </row>
    <row r="58" spans="1:8" x14ac:dyDescent="0.2">
      <c r="A58" s="75"/>
      <c r="B58" s="61"/>
      <c r="C58" s="76"/>
      <c r="D58" s="77">
        <f>SUM(D57:D57)</f>
        <v>1177.52</v>
      </c>
      <c r="E58" s="8"/>
      <c r="F58" s="8"/>
      <c r="G58" s="8"/>
      <c r="H58" s="8"/>
    </row>
    <row r="59" spans="1:8" x14ac:dyDescent="0.2">
      <c r="A59" s="78" t="s">
        <v>58</v>
      </c>
      <c r="B59" s="79"/>
      <c r="C59" s="80"/>
      <c r="D59" s="77">
        <f>D58+D54</f>
        <v>3685165.79</v>
      </c>
      <c r="E59" s="8"/>
      <c r="F59" s="8"/>
      <c r="G59" s="8"/>
      <c r="H59" s="8"/>
    </row>
    <row r="60" spans="1:8" x14ac:dyDescent="0.2">
      <c r="A60" s="84"/>
      <c r="B60" s="84"/>
      <c r="C60" s="85"/>
      <c r="D60" s="81"/>
      <c r="E60" s="42"/>
      <c r="F60" s="42"/>
      <c r="G60" s="42"/>
      <c r="H60" s="42"/>
    </row>
    <row r="61" spans="1:8" x14ac:dyDescent="0.2">
      <c r="A61" s="84"/>
      <c r="B61" s="84"/>
      <c r="C61" s="85"/>
      <c r="D61" s="81">
        <f>[5]Charters!E167</f>
        <v>3685165.79</v>
      </c>
      <c r="E61" s="42"/>
      <c r="F61" s="42"/>
      <c r="G61" s="42"/>
      <c r="H61" s="42"/>
    </row>
    <row r="62" spans="1:8" x14ac:dyDescent="0.2">
      <c r="A62" s="84"/>
      <c r="B62" s="84"/>
      <c r="C62" s="85"/>
      <c r="D62" s="81">
        <f>D59</f>
        <v>3685165.79</v>
      </c>
      <c r="E62" s="42"/>
      <c r="F62" s="42"/>
      <c r="G62" s="42"/>
      <c r="H62" s="42"/>
    </row>
    <row r="63" spans="1:8" x14ac:dyDescent="0.2">
      <c r="C63" s="83"/>
      <c r="D63" s="42">
        <f>D61-D62</f>
        <v>0</v>
      </c>
      <c r="E63" s="42"/>
      <c r="F63" s="42"/>
      <c r="G63" s="42"/>
      <c r="H63" s="42"/>
    </row>
  </sheetData>
  <mergeCells count="4">
    <mergeCell ref="A5:D5"/>
    <mergeCell ref="A6:D6"/>
    <mergeCell ref="A7:D7"/>
    <mergeCell ref="A59:C59"/>
  </mergeCells>
  <phoneticPr fontId="0" type="noConversion"/>
  <printOptions horizontalCentered="1" verticalCentered="1"/>
  <pageMargins left="0.5" right="0.5" top="0.5" bottom="0.5" header="0.25" footer="0.25"/>
  <pageSetup orientation="portrait" r:id="rId1"/>
  <headerFooter alignWithMargins="0">
    <oddHeader>&amp;R&amp;8Current as of: &amp;D</oddHeader>
    <oddFooter>&amp;L&amp;8USOE, School Finance</oddFooter>
  </headerFooter>
  <picture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A1:H64"/>
  <sheetViews>
    <sheetView showGridLines="0" workbookViewId="0">
      <selection activeCell="C12" sqref="C12"/>
    </sheetView>
  </sheetViews>
  <sheetFormatPr defaultColWidth="9.140625" defaultRowHeight="12.75" x14ac:dyDescent="0.2"/>
  <cols>
    <col min="1" max="1" width="31.85546875" style="82" customWidth="1"/>
    <col min="2" max="2" width="16.28515625" style="82" customWidth="1"/>
    <col min="3" max="4" width="14.85546875" style="82" customWidth="1"/>
    <col min="5" max="5" width="7" style="82" customWidth="1"/>
    <col min="6" max="6" width="19.7109375" style="82" customWidth="1"/>
    <col min="7" max="7" width="5.7109375" style="82" customWidth="1"/>
    <col min="8" max="8" width="18" style="82" customWidth="1"/>
    <col min="9" max="16384" width="9.140625" style="82"/>
  </cols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"/>
      <c r="B3" s="1"/>
      <c r="C3" s="1"/>
      <c r="D3" s="1"/>
      <c r="E3" s="1"/>
      <c r="F3" s="1"/>
      <c r="G3" s="1"/>
      <c r="H3" s="1"/>
    </row>
    <row r="4" spans="1:8" x14ac:dyDescent="0.2">
      <c r="A4" s="1"/>
      <c r="B4" s="1"/>
      <c r="C4" s="1"/>
      <c r="D4" s="1"/>
      <c r="E4" s="1"/>
      <c r="F4" s="1"/>
      <c r="G4" s="1"/>
      <c r="H4" s="1"/>
    </row>
    <row r="5" spans="1:8" x14ac:dyDescent="0.2">
      <c r="A5" s="1"/>
      <c r="B5" s="1"/>
      <c r="C5" s="1"/>
      <c r="D5" s="1"/>
      <c r="E5" s="1"/>
      <c r="F5" s="1"/>
      <c r="G5" s="1"/>
      <c r="H5" s="1"/>
    </row>
    <row r="6" spans="1:8" x14ac:dyDescent="0.2">
      <c r="A6" s="11" t="s">
        <v>1</v>
      </c>
      <c r="B6" s="12"/>
      <c r="C6" s="12"/>
      <c r="D6" s="13"/>
      <c r="E6" s="8"/>
      <c r="F6" s="8"/>
      <c r="G6" s="8"/>
      <c r="H6" s="8"/>
    </row>
    <row r="7" spans="1:8" x14ac:dyDescent="0.2">
      <c r="A7" s="14" t="s">
        <v>15</v>
      </c>
      <c r="B7" s="15"/>
      <c r="C7" s="15"/>
      <c r="D7" s="16"/>
      <c r="E7" s="8"/>
      <c r="F7" s="8"/>
      <c r="G7" s="8"/>
      <c r="H7" s="8"/>
    </row>
    <row r="8" spans="1:8" x14ac:dyDescent="0.2">
      <c r="A8" s="17" t="s">
        <v>62</v>
      </c>
      <c r="B8" s="18"/>
      <c r="C8" s="18"/>
      <c r="D8" s="19"/>
      <c r="E8" s="8"/>
      <c r="F8" s="8"/>
      <c r="G8" s="8"/>
      <c r="H8" s="8"/>
    </row>
    <row r="9" spans="1:8" x14ac:dyDescent="0.2">
      <c r="A9" s="20"/>
      <c r="B9" s="21"/>
      <c r="C9" s="22"/>
      <c r="D9" s="23"/>
      <c r="E9" s="8"/>
      <c r="F9" s="8" t="s">
        <v>34</v>
      </c>
      <c r="G9" s="8"/>
      <c r="H9" s="8"/>
    </row>
    <row r="10" spans="1:8" ht="15.75" x14ac:dyDescent="0.25">
      <c r="A10" s="24" t="s">
        <v>2</v>
      </c>
      <c r="B10" s="25" t="str">
        <f>[1]Charters!B13</f>
        <v>Pinnacle Canyon Academy</v>
      </c>
      <c r="C10" s="26"/>
      <c r="D10" s="27"/>
      <c r="E10" s="8"/>
      <c r="F10" s="8"/>
      <c r="G10" s="8"/>
      <c r="H10" s="8"/>
    </row>
    <row r="11" spans="1:8" x14ac:dyDescent="0.2">
      <c r="A11" s="24"/>
      <c r="B11" s="28"/>
      <c r="C11" s="26"/>
      <c r="D11" s="27"/>
      <c r="E11" s="8"/>
      <c r="F11" s="8"/>
      <c r="G11" s="8"/>
      <c r="H11" s="8"/>
    </row>
    <row r="12" spans="1:8" x14ac:dyDescent="0.2">
      <c r="A12" s="29" t="s">
        <v>0</v>
      </c>
      <c r="B12" s="30">
        <f>[1]Charters!$E$6</f>
        <v>3184</v>
      </c>
      <c r="C12" s="26"/>
      <c r="D12" s="31"/>
      <c r="E12" s="8"/>
      <c r="F12" s="8"/>
      <c r="G12" s="8"/>
      <c r="H12" s="8"/>
    </row>
    <row r="13" spans="1:8" x14ac:dyDescent="0.2">
      <c r="A13" s="32"/>
      <c r="B13" s="6"/>
      <c r="C13" s="33"/>
      <c r="D13" s="34" t="s">
        <v>3</v>
      </c>
      <c r="E13" s="8"/>
      <c r="F13" s="8"/>
      <c r="G13" s="8"/>
      <c r="H13" s="8"/>
    </row>
    <row r="14" spans="1:8" x14ac:dyDescent="0.2">
      <c r="A14" s="29" t="s">
        <v>19</v>
      </c>
      <c r="B14" s="35">
        <f>[1]Charters!A13</f>
        <v>86</v>
      </c>
      <c r="C14" s="36" t="s">
        <v>4</v>
      </c>
      <c r="D14" s="37" t="s">
        <v>5</v>
      </c>
      <c r="E14" s="8"/>
      <c r="F14" s="8"/>
      <c r="G14" s="8"/>
      <c r="H14" s="8"/>
    </row>
    <row r="15" spans="1:8" x14ac:dyDescent="0.2">
      <c r="A15" s="38" t="s">
        <v>6</v>
      </c>
      <c r="B15" s="39"/>
      <c r="C15" s="40"/>
      <c r="D15" s="41"/>
      <c r="E15" s="8"/>
      <c r="F15" s="8"/>
      <c r="G15" s="8"/>
      <c r="H15" s="8"/>
    </row>
    <row r="16" spans="1:8" x14ac:dyDescent="0.2">
      <c r="A16" s="38" t="s">
        <v>7</v>
      </c>
      <c r="B16" s="39"/>
      <c r="C16" s="40"/>
      <c r="D16" s="41"/>
      <c r="E16" s="8"/>
      <c r="F16" s="42" t="s">
        <v>23</v>
      </c>
      <c r="G16" s="8"/>
      <c r="H16" s="42" t="s">
        <v>26</v>
      </c>
    </row>
    <row r="17" spans="1:8" x14ac:dyDescent="0.2">
      <c r="A17" s="20" t="s">
        <v>8</v>
      </c>
      <c r="B17" s="43"/>
      <c r="C17" s="44">
        <f>[1]Charters!C473</f>
        <v>421.45600000000002</v>
      </c>
      <c r="D17" s="45">
        <f>[1]Charters!E473</f>
        <v>1341915.79</v>
      </c>
      <c r="E17" s="8"/>
      <c r="F17" s="42">
        <f>[1]Charters!E628</f>
        <v>1438954.98</v>
      </c>
      <c r="G17" s="8"/>
      <c r="H17" s="42">
        <f>[2]Charters!E167</f>
        <v>2175950.67</v>
      </c>
    </row>
    <row r="18" spans="1:8" x14ac:dyDescent="0.2">
      <c r="A18" s="20" t="s">
        <v>14</v>
      </c>
      <c r="B18" s="43"/>
      <c r="C18" s="44">
        <f>[1]Charters!F473</f>
        <v>26.477</v>
      </c>
      <c r="D18" s="45">
        <f>[1]Charters!H473</f>
        <v>84303.19</v>
      </c>
      <c r="E18" s="8"/>
      <c r="F18" s="42">
        <f>SUM(D17:D19)</f>
        <v>1438954.98</v>
      </c>
      <c r="G18" s="8"/>
      <c r="H18" s="42">
        <f>D30</f>
        <v>2175950.67</v>
      </c>
    </row>
    <row r="19" spans="1:8" x14ac:dyDescent="0.2">
      <c r="A19" s="20" t="s">
        <v>32</v>
      </c>
      <c r="B19" s="43"/>
      <c r="C19" s="44">
        <f>[1]Charters!C166</f>
        <v>4</v>
      </c>
      <c r="D19" s="45">
        <f>[1]Charters!E166</f>
        <v>12736</v>
      </c>
      <c r="E19" s="8"/>
      <c r="F19" s="42">
        <f>+F17-F18</f>
        <v>0</v>
      </c>
      <c r="G19" s="8"/>
      <c r="H19" s="42">
        <f>+H17-H18</f>
        <v>0</v>
      </c>
    </row>
    <row r="20" spans="1:8" x14ac:dyDescent="0.2">
      <c r="A20" s="38" t="s">
        <v>9</v>
      </c>
      <c r="B20" s="39"/>
      <c r="C20" s="46"/>
      <c r="D20" s="47"/>
      <c r="E20" s="8"/>
      <c r="F20" s="8"/>
      <c r="G20" s="8"/>
      <c r="H20" s="8"/>
    </row>
    <row r="21" spans="1:8" x14ac:dyDescent="0.2">
      <c r="A21" s="20" t="s">
        <v>10</v>
      </c>
      <c r="B21" s="43"/>
      <c r="C21" s="40">
        <f>[3]Charters!C12</f>
        <v>173.73599999999999</v>
      </c>
      <c r="D21" s="41">
        <f>[3]Charters!E12</f>
        <v>553175.42000000004</v>
      </c>
      <c r="E21" s="8"/>
      <c r="F21" s="42" t="s">
        <v>24</v>
      </c>
      <c r="G21" s="8"/>
      <c r="H21" s="8"/>
    </row>
    <row r="22" spans="1:8" x14ac:dyDescent="0.2">
      <c r="A22" s="48" t="s">
        <v>11</v>
      </c>
      <c r="B22" s="43"/>
      <c r="C22" s="40">
        <f>[3]Charters!F12</f>
        <v>26.01</v>
      </c>
      <c r="D22" s="49">
        <f>[3]Charters!H12</f>
        <v>82815.839999999997</v>
      </c>
      <c r="E22" s="8"/>
      <c r="F22" s="42">
        <f>[3]Charters!N323</f>
        <v>649148.86</v>
      </c>
      <c r="G22" s="8"/>
      <c r="H22" s="8"/>
    </row>
    <row r="23" spans="1:8" x14ac:dyDescent="0.2">
      <c r="A23" s="48" t="s">
        <v>12</v>
      </c>
      <c r="B23" s="43"/>
      <c r="C23" s="40">
        <f>[3]Charters!C167</f>
        <v>0</v>
      </c>
      <c r="D23" s="41">
        <f>[3]Charters!E167</f>
        <v>0</v>
      </c>
      <c r="E23" s="8"/>
      <c r="F23" s="42">
        <f>SUM(D21:D27)</f>
        <v>649148.86</v>
      </c>
      <c r="G23" s="8"/>
      <c r="H23" s="8"/>
    </row>
    <row r="24" spans="1:8" x14ac:dyDescent="0.2">
      <c r="A24" s="20" t="s">
        <v>13</v>
      </c>
      <c r="B24" s="43"/>
      <c r="C24" s="40">
        <f>[3]Charters!F167</f>
        <v>1.2350000000000001</v>
      </c>
      <c r="D24" s="41">
        <f>[3]Charters!H167</f>
        <v>3932.21</v>
      </c>
      <c r="E24" s="8"/>
      <c r="F24" s="42">
        <f>+F22-F23</f>
        <v>0</v>
      </c>
      <c r="G24" s="8"/>
      <c r="H24" s="8"/>
    </row>
    <row r="25" spans="1:8" x14ac:dyDescent="0.2">
      <c r="A25" s="48" t="s">
        <v>54</v>
      </c>
      <c r="B25" s="43"/>
      <c r="C25" s="40">
        <f>[3]Charters!C323</f>
        <v>2.8969999999999998</v>
      </c>
      <c r="D25" s="41">
        <f>[3]Charters!E323</f>
        <v>9225.39</v>
      </c>
      <c r="E25" s="8"/>
      <c r="F25" s="8"/>
      <c r="G25" s="8"/>
      <c r="H25" s="8"/>
    </row>
    <row r="26" spans="1:8" x14ac:dyDescent="0.2">
      <c r="A26" s="48" t="s">
        <v>55</v>
      </c>
      <c r="B26" s="43"/>
      <c r="C26" s="40">
        <f>[3]Charters!F323</f>
        <v>0</v>
      </c>
      <c r="D26" s="41">
        <f>[3]Charters!H323</f>
        <v>0</v>
      </c>
      <c r="E26" s="8"/>
      <c r="F26" s="42" t="s">
        <v>25</v>
      </c>
      <c r="G26" s="8"/>
      <c r="H26" s="8"/>
    </row>
    <row r="27" spans="1:8" x14ac:dyDescent="0.2">
      <c r="A27" s="48" t="s">
        <v>56</v>
      </c>
      <c r="B27" s="43"/>
      <c r="C27" s="40">
        <f>[3]Charters!I323</f>
        <v>0</v>
      </c>
      <c r="D27" s="41">
        <f>[3]Charters!K323</f>
        <v>0</v>
      </c>
      <c r="E27" s="8"/>
      <c r="F27" s="42">
        <f>[2]Charters!H13</f>
        <v>736995.69</v>
      </c>
      <c r="G27" s="8"/>
      <c r="H27" s="8"/>
    </row>
    <row r="28" spans="1:8" x14ac:dyDescent="0.2">
      <c r="A28" s="20" t="s">
        <v>49</v>
      </c>
      <c r="B28" s="43"/>
      <c r="C28" s="40">
        <f>[3]Charters!C480</f>
        <v>1.3740000000000001</v>
      </c>
      <c r="D28" s="41">
        <f>[3]Charters!E480</f>
        <v>4373.37</v>
      </c>
      <c r="E28" s="8"/>
      <c r="F28" s="42">
        <f>SUM(D21:D29)</f>
        <v>736995.69</v>
      </c>
      <c r="G28" s="8"/>
      <c r="H28" s="8"/>
    </row>
    <row r="29" spans="1:8" x14ac:dyDescent="0.2">
      <c r="A29" s="20" t="s">
        <v>50</v>
      </c>
      <c r="B29" s="43"/>
      <c r="C29" s="40">
        <f>[2]Charters!C13</f>
        <v>26.216999999999999</v>
      </c>
      <c r="D29" s="41">
        <f>[2]Charters!E13</f>
        <v>83473.460000000006</v>
      </c>
      <c r="E29" s="8"/>
      <c r="F29" s="42">
        <f>+F27-F28</f>
        <v>0</v>
      </c>
      <c r="G29" s="8"/>
      <c r="H29" s="8"/>
    </row>
    <row r="30" spans="1:8" x14ac:dyDescent="0.2">
      <c r="A30" s="50"/>
      <c r="B30" s="51" t="s">
        <v>16</v>
      </c>
      <c r="C30" s="52">
        <f>SUM(C17:C29)</f>
        <v>683.40200000000004</v>
      </c>
      <c r="D30" s="53">
        <f>SUM(D17:D29)</f>
        <v>2175950.67</v>
      </c>
      <c r="E30" s="8"/>
      <c r="F30" s="8"/>
      <c r="G30" s="8"/>
      <c r="H30" s="8"/>
    </row>
    <row r="31" spans="1:8" x14ac:dyDescent="0.2">
      <c r="A31" s="54" t="s">
        <v>17</v>
      </c>
      <c r="B31" s="39"/>
      <c r="C31" s="55"/>
      <c r="D31" s="47"/>
      <c r="E31" s="8"/>
      <c r="F31" s="8"/>
      <c r="G31" s="8"/>
      <c r="H31" s="42" t="s">
        <v>29</v>
      </c>
    </row>
    <row r="32" spans="1:8" x14ac:dyDescent="0.2">
      <c r="A32" s="20" t="s">
        <v>33</v>
      </c>
      <c r="B32" s="43"/>
      <c r="C32" s="56"/>
      <c r="D32" s="57">
        <f>[4]Charters!C12</f>
        <v>6270.01</v>
      </c>
      <c r="E32" s="8"/>
      <c r="F32" s="8"/>
      <c r="G32" s="8"/>
      <c r="H32" s="42">
        <f>[4]Charters!F953</f>
        <v>3444732.11</v>
      </c>
    </row>
    <row r="33" spans="1:8" x14ac:dyDescent="0.2">
      <c r="A33" s="58" t="s">
        <v>35</v>
      </c>
      <c r="B33" s="43"/>
      <c r="C33" s="56"/>
      <c r="D33" s="41">
        <f>+[4]Charters!F333</f>
        <v>2028.46</v>
      </c>
      <c r="E33" s="8"/>
      <c r="F33" s="8"/>
      <c r="G33" s="8"/>
      <c r="H33" s="42">
        <f>SUM(D30:D49)</f>
        <v>3444732.11</v>
      </c>
    </row>
    <row r="34" spans="1:8" x14ac:dyDescent="0.2">
      <c r="A34" s="59" t="s">
        <v>36</v>
      </c>
      <c r="B34" s="43"/>
      <c r="C34" s="56"/>
      <c r="D34" s="41">
        <f>[4]Charters!E172</f>
        <v>29736</v>
      </c>
      <c r="E34" s="8"/>
      <c r="F34" s="8"/>
      <c r="G34" s="8"/>
      <c r="H34" s="42">
        <f>+H32-H33</f>
        <v>0</v>
      </c>
    </row>
    <row r="35" spans="1:8" x14ac:dyDescent="0.2">
      <c r="A35" s="59" t="s">
        <v>52</v>
      </c>
      <c r="B35" s="43"/>
      <c r="C35" s="56"/>
      <c r="D35" s="41">
        <f>[4]Charters!G333</f>
        <v>5371.19</v>
      </c>
      <c r="E35" s="8"/>
      <c r="F35" s="42" t="s">
        <v>27</v>
      </c>
      <c r="G35" s="8"/>
      <c r="H35" s="42"/>
    </row>
    <row r="36" spans="1:8" x14ac:dyDescent="0.2">
      <c r="A36" s="20" t="s">
        <v>37</v>
      </c>
      <c r="B36" s="43"/>
      <c r="C36" s="56"/>
      <c r="D36" s="41">
        <f>[4]Charters!E489</f>
        <v>32602</v>
      </c>
      <c r="E36" s="8"/>
      <c r="F36" s="42">
        <f>[4]Charters!E172</f>
        <v>29736</v>
      </c>
      <c r="G36" s="8"/>
      <c r="H36" s="8"/>
    </row>
    <row r="37" spans="1:8" x14ac:dyDescent="0.2">
      <c r="A37" s="20" t="s">
        <v>38</v>
      </c>
      <c r="B37" s="43"/>
      <c r="C37" s="56"/>
      <c r="D37" s="41">
        <f>[4]Charters!F489</f>
        <v>0</v>
      </c>
      <c r="E37" s="8"/>
      <c r="F37" s="42">
        <f>SUM(D34:D34)</f>
        <v>29736</v>
      </c>
      <c r="G37" s="8"/>
      <c r="H37" s="8"/>
    </row>
    <row r="38" spans="1:8" x14ac:dyDescent="0.2">
      <c r="A38" s="59" t="s">
        <v>40</v>
      </c>
      <c r="B38" s="43"/>
      <c r="C38" s="56"/>
      <c r="D38" s="41">
        <f>[4]Charters!G489</f>
        <v>0</v>
      </c>
      <c r="E38" s="8"/>
      <c r="F38" s="42">
        <f>+F36-F37</f>
        <v>0</v>
      </c>
      <c r="G38" s="8"/>
      <c r="H38" s="8"/>
    </row>
    <row r="39" spans="1:8" x14ac:dyDescent="0.2">
      <c r="A39" s="20" t="s">
        <v>41</v>
      </c>
      <c r="B39" s="43"/>
      <c r="C39" s="56"/>
      <c r="D39" s="41">
        <f>[4]Charters!C644</f>
        <v>918459</v>
      </c>
      <c r="E39" s="8"/>
      <c r="F39" s="42" t="s">
        <v>28</v>
      </c>
      <c r="G39" s="8"/>
      <c r="H39" s="8"/>
    </row>
    <row r="40" spans="1:8" x14ac:dyDescent="0.2">
      <c r="A40" s="20" t="s">
        <v>42</v>
      </c>
      <c r="B40" s="43"/>
      <c r="C40" s="56"/>
      <c r="D40" s="41">
        <f>[4]Charters!D644</f>
        <v>158856.51</v>
      </c>
      <c r="E40" s="8"/>
      <c r="F40" s="42">
        <f>[4]Charters!D489</f>
        <v>57135.65</v>
      </c>
      <c r="G40" s="8"/>
      <c r="H40" s="8"/>
    </row>
    <row r="41" spans="1:8" x14ac:dyDescent="0.2">
      <c r="A41" s="20" t="s">
        <v>44</v>
      </c>
      <c r="B41" s="43"/>
      <c r="C41" s="56"/>
      <c r="D41" s="41">
        <f>[4]Charters!E644</f>
        <v>45900</v>
      </c>
      <c r="E41" s="8"/>
      <c r="F41" s="42">
        <f>SUM(D33:D35)</f>
        <v>37135.65</v>
      </c>
      <c r="G41" s="8"/>
      <c r="H41" s="8"/>
    </row>
    <row r="42" spans="1:8" x14ac:dyDescent="0.2">
      <c r="A42" s="59" t="s">
        <v>43</v>
      </c>
      <c r="B42" s="43"/>
      <c r="C42" s="56"/>
      <c r="D42" s="41">
        <f>[4]Charters!F644</f>
        <v>23238.19</v>
      </c>
      <c r="E42" s="8"/>
      <c r="F42" s="42">
        <f>+F40-F41</f>
        <v>20000</v>
      </c>
      <c r="G42" s="8"/>
      <c r="H42" s="8"/>
    </row>
    <row r="43" spans="1:8" x14ac:dyDescent="0.2">
      <c r="A43" s="59" t="s">
        <v>45</v>
      </c>
      <c r="B43" s="43"/>
      <c r="C43" s="56"/>
      <c r="D43" s="41">
        <f>[4]Charters!C489</f>
        <v>20000</v>
      </c>
      <c r="E43" s="8"/>
      <c r="F43" s="8"/>
      <c r="G43" s="8"/>
      <c r="H43" s="8"/>
    </row>
    <row r="44" spans="1:8" x14ac:dyDescent="0.2">
      <c r="A44" s="59" t="s">
        <v>46</v>
      </c>
      <c r="B44" s="43"/>
      <c r="C44" s="56"/>
      <c r="D44" s="41">
        <f>[4]Charters!C800</f>
        <v>0</v>
      </c>
      <c r="E44" s="8"/>
      <c r="F44" s="8"/>
      <c r="G44" s="8"/>
      <c r="H44" s="42" t="s">
        <v>31</v>
      </c>
    </row>
    <row r="45" spans="1:8" x14ac:dyDescent="0.2">
      <c r="A45" s="59" t="s">
        <v>51</v>
      </c>
      <c r="B45" s="43"/>
      <c r="C45" s="56"/>
      <c r="D45" s="60">
        <f>[4]Charters!D800</f>
        <v>668.86</v>
      </c>
      <c r="E45" s="8"/>
      <c r="F45" s="8"/>
      <c r="G45" s="8"/>
      <c r="H45" s="42">
        <f>[4]Charters!D1259</f>
        <v>3455227.52</v>
      </c>
    </row>
    <row r="46" spans="1:8" x14ac:dyDescent="0.2">
      <c r="A46" s="20" t="s">
        <v>47</v>
      </c>
      <c r="B46" s="43"/>
      <c r="C46" s="56"/>
      <c r="D46" s="60">
        <f>[4]Charters!E800</f>
        <v>0</v>
      </c>
      <c r="E46" s="8"/>
      <c r="F46" s="8"/>
      <c r="G46" s="8"/>
      <c r="H46" s="42">
        <f>D55</f>
        <v>3455227.51</v>
      </c>
    </row>
    <row r="47" spans="1:8" x14ac:dyDescent="0.2">
      <c r="A47" s="20" t="s">
        <v>57</v>
      </c>
      <c r="B47" s="43"/>
      <c r="C47" s="56"/>
      <c r="D47" s="60">
        <f>[4]Charters!C953</f>
        <v>4139.1499999999996</v>
      </c>
      <c r="E47" s="8"/>
      <c r="F47" s="8"/>
      <c r="G47" s="8"/>
      <c r="H47" s="42">
        <f>+H45-H46</f>
        <v>0.01</v>
      </c>
    </row>
    <row r="48" spans="1:8" x14ac:dyDescent="0.2">
      <c r="A48" s="59" t="s">
        <v>53</v>
      </c>
      <c r="B48" s="43"/>
      <c r="C48" s="56"/>
      <c r="D48" s="60">
        <f>[4]Charters!D953</f>
        <v>0</v>
      </c>
      <c r="E48" s="8"/>
      <c r="F48" s="42" t="s">
        <v>30</v>
      </c>
      <c r="G48" s="8"/>
      <c r="H48" s="8"/>
    </row>
    <row r="49" spans="1:8" x14ac:dyDescent="0.2">
      <c r="A49" s="59" t="s">
        <v>59</v>
      </c>
      <c r="B49" s="43"/>
      <c r="C49" s="56"/>
      <c r="D49" s="60">
        <f>[4]Charters!E953</f>
        <v>21512.07</v>
      </c>
      <c r="E49" s="8"/>
      <c r="F49" s="8"/>
      <c r="G49" s="8"/>
      <c r="H49" s="8"/>
    </row>
    <row r="50" spans="1:8" x14ac:dyDescent="0.2">
      <c r="A50" s="38" t="s">
        <v>18</v>
      </c>
      <c r="B50" s="61"/>
      <c r="C50" s="62"/>
      <c r="D50" s="63"/>
      <c r="E50" s="8"/>
      <c r="F50" s="42">
        <f>[4]Charters!C1259</f>
        <v>10495.4</v>
      </c>
      <c r="G50" s="8"/>
      <c r="H50" s="8"/>
    </row>
    <row r="51" spans="1:8" x14ac:dyDescent="0.2">
      <c r="A51" s="59" t="s">
        <v>39</v>
      </c>
      <c r="B51" s="43"/>
      <c r="C51" s="56"/>
      <c r="D51" s="41">
        <f>[4]Charters!C1106</f>
        <v>5509.79</v>
      </c>
      <c r="E51" s="8"/>
      <c r="F51" s="42">
        <f>SUM(D51:D54)</f>
        <v>10495.4</v>
      </c>
      <c r="G51" s="8"/>
      <c r="H51" s="8"/>
    </row>
    <row r="52" spans="1:8" x14ac:dyDescent="0.2">
      <c r="A52" s="59" t="s">
        <v>48</v>
      </c>
      <c r="B52" s="43"/>
      <c r="C52" s="56"/>
      <c r="D52" s="41">
        <f>[4]Charters!D1106</f>
        <v>0</v>
      </c>
      <c r="E52" s="8"/>
      <c r="F52" s="42">
        <f>+F50-F51</f>
        <v>0</v>
      </c>
      <c r="G52" s="8"/>
      <c r="H52" s="8"/>
    </row>
    <row r="53" spans="1:8" x14ac:dyDescent="0.2">
      <c r="A53" s="59" t="s">
        <v>60</v>
      </c>
      <c r="B53" s="43"/>
      <c r="C53" s="56"/>
      <c r="D53" s="41">
        <f>[4]Charters!E1106</f>
        <v>0</v>
      </c>
      <c r="E53" s="8"/>
      <c r="F53" s="8"/>
      <c r="G53" s="8"/>
      <c r="H53" s="8"/>
    </row>
    <row r="54" spans="1:8" x14ac:dyDescent="0.2">
      <c r="A54" s="59" t="s">
        <v>61</v>
      </c>
      <c r="B54" s="43"/>
      <c r="C54" s="56"/>
      <c r="D54" s="41">
        <f>[4]Charters!F1106</f>
        <v>4985.6099999999997</v>
      </c>
      <c r="E54" s="8"/>
      <c r="F54" s="8"/>
      <c r="G54" s="8"/>
      <c r="H54" s="8"/>
    </row>
    <row r="55" spans="1:8" ht="13.5" thickBot="1" x14ac:dyDescent="0.25">
      <c r="A55" s="64"/>
      <c r="B55" s="65"/>
      <c r="C55" s="66"/>
      <c r="D55" s="67">
        <f>SUM(D30:D54)</f>
        <v>3455227.51</v>
      </c>
      <c r="E55" s="8"/>
      <c r="F55" s="8"/>
      <c r="G55" s="8"/>
      <c r="H55" s="8"/>
    </row>
    <row r="56" spans="1:8" ht="13.5" thickTop="1" x14ac:dyDescent="0.2">
      <c r="A56" s="68"/>
      <c r="B56" s="43"/>
      <c r="C56" s="56"/>
      <c r="D56" s="69"/>
      <c r="E56" s="8"/>
      <c r="F56" s="8"/>
      <c r="G56" s="8"/>
      <c r="H56" s="8"/>
    </row>
    <row r="57" spans="1:8" x14ac:dyDescent="0.2">
      <c r="A57" s="38" t="s">
        <v>20</v>
      </c>
      <c r="B57" s="39"/>
      <c r="C57" s="70"/>
      <c r="D57" s="71" t="s">
        <v>21</v>
      </c>
      <c r="E57" s="8"/>
      <c r="F57" s="8"/>
      <c r="G57" s="8"/>
      <c r="H57" s="8"/>
    </row>
    <row r="58" spans="1:8" x14ac:dyDescent="0.2">
      <c r="A58" s="72" t="s">
        <v>22</v>
      </c>
      <c r="B58" s="73"/>
      <c r="C58" s="74"/>
      <c r="D58" s="41">
        <f>[5]Charters!C12</f>
        <v>1067.1400000000001</v>
      </c>
      <c r="E58" s="8"/>
      <c r="F58" s="8"/>
      <c r="G58" s="8"/>
      <c r="H58" s="8"/>
    </row>
    <row r="59" spans="1:8" x14ac:dyDescent="0.2">
      <c r="A59" s="75"/>
      <c r="B59" s="61"/>
      <c r="C59" s="76"/>
      <c r="D59" s="77">
        <f>SUM(D58:D58)</f>
        <v>1067.1400000000001</v>
      </c>
      <c r="E59" s="8"/>
      <c r="F59" s="8"/>
      <c r="G59" s="8"/>
      <c r="H59" s="8"/>
    </row>
    <row r="60" spans="1:8" x14ac:dyDescent="0.2">
      <c r="A60" s="78" t="s">
        <v>58</v>
      </c>
      <c r="B60" s="79"/>
      <c r="C60" s="80"/>
      <c r="D60" s="77">
        <f>D59+D55</f>
        <v>3456294.65</v>
      </c>
      <c r="E60" s="42"/>
      <c r="F60" s="42"/>
      <c r="G60" s="42"/>
      <c r="H60" s="42"/>
    </row>
    <row r="61" spans="1:8" x14ac:dyDescent="0.2">
      <c r="A61" s="84"/>
      <c r="B61" s="84"/>
      <c r="C61" s="85"/>
      <c r="D61" s="81"/>
      <c r="E61" s="42"/>
      <c r="F61" s="42"/>
      <c r="G61" s="42"/>
      <c r="H61" s="42"/>
    </row>
    <row r="62" spans="1:8" x14ac:dyDescent="0.2">
      <c r="A62" s="84"/>
      <c r="B62" s="84"/>
      <c r="C62" s="85"/>
      <c r="D62" s="81">
        <f>[5]Charters!E168</f>
        <v>3456294.66</v>
      </c>
      <c r="E62" s="42"/>
      <c r="F62" s="42"/>
      <c r="G62" s="42"/>
      <c r="H62" s="42"/>
    </row>
    <row r="63" spans="1:8" x14ac:dyDescent="0.2">
      <c r="A63" s="84"/>
      <c r="B63" s="84"/>
      <c r="C63" s="85"/>
      <c r="D63" s="81">
        <f>D60</f>
        <v>3456294.65</v>
      </c>
      <c r="E63" s="42"/>
      <c r="F63" s="42"/>
      <c r="G63" s="42"/>
      <c r="H63" s="42"/>
    </row>
    <row r="64" spans="1:8" x14ac:dyDescent="0.2">
      <c r="C64" s="83"/>
      <c r="D64" s="42">
        <f>D62-D63</f>
        <v>0.01</v>
      </c>
      <c r="E64" s="42"/>
      <c r="F64" s="42"/>
      <c r="G64" s="42"/>
      <c r="H64" s="42"/>
    </row>
  </sheetData>
  <mergeCells count="4">
    <mergeCell ref="A7:D7"/>
    <mergeCell ref="A8:D8"/>
    <mergeCell ref="A6:D6"/>
    <mergeCell ref="A60:C60"/>
  </mergeCells>
  <phoneticPr fontId="0" type="noConversion"/>
  <printOptions horizontalCentered="1" verticalCentered="1"/>
  <pageMargins left="0.5" right="0.5" top="0.5" bottom="0.5" header="0.25" footer="0.25"/>
  <pageSetup orientation="portrait" r:id="rId1"/>
  <headerFooter alignWithMargins="0">
    <oddHeader>&amp;R&amp;8Current as of: &amp;D</oddHeader>
    <oddFooter>&amp;L&amp;8USOE, School Finance</oddFooter>
  </headerFooter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pageSetUpPr fitToPage="1"/>
  </sheetPr>
  <dimension ref="A1:H65"/>
  <sheetViews>
    <sheetView showGridLines="0" workbookViewId="0">
      <selection activeCell="C12" sqref="C12"/>
    </sheetView>
  </sheetViews>
  <sheetFormatPr defaultColWidth="9.140625" defaultRowHeight="12.75" x14ac:dyDescent="0.2"/>
  <cols>
    <col min="1" max="1" width="31.85546875" style="82" customWidth="1"/>
    <col min="2" max="2" width="16.28515625" style="82" customWidth="1"/>
    <col min="3" max="4" width="14.85546875" style="82" customWidth="1"/>
    <col min="5" max="5" width="7" style="82" customWidth="1"/>
    <col min="6" max="6" width="19.7109375" style="82" customWidth="1"/>
    <col min="7" max="7" width="5.7109375" style="82" customWidth="1"/>
    <col min="8" max="8" width="18" style="82" customWidth="1"/>
    <col min="9" max="16384" width="9.140625" style="82"/>
  </cols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"/>
      <c r="B3" s="1"/>
      <c r="C3" s="1"/>
      <c r="D3" s="1"/>
      <c r="E3" s="1"/>
      <c r="F3" s="1"/>
      <c r="G3" s="1"/>
      <c r="H3" s="1"/>
    </row>
    <row r="4" spans="1:8" x14ac:dyDescent="0.2">
      <c r="A4" s="1"/>
      <c r="B4" s="1"/>
      <c r="C4" s="1"/>
      <c r="D4" s="1"/>
      <c r="E4" s="1"/>
      <c r="F4" s="1"/>
      <c r="G4" s="1"/>
      <c r="H4" s="1"/>
    </row>
    <row r="5" spans="1:8" x14ac:dyDescent="0.2">
      <c r="A5" s="1"/>
      <c r="B5" s="1"/>
      <c r="C5" s="1"/>
      <c r="D5" s="1"/>
      <c r="E5" s="1"/>
      <c r="F5" s="1"/>
      <c r="G5" s="1"/>
      <c r="H5" s="1"/>
    </row>
    <row r="6" spans="1:8" x14ac:dyDescent="0.2">
      <c r="A6" s="1"/>
      <c r="B6" s="1"/>
      <c r="C6" s="1"/>
      <c r="D6" s="1"/>
      <c r="E6" s="1"/>
      <c r="F6" s="1"/>
      <c r="G6" s="1"/>
      <c r="H6" s="1"/>
    </row>
    <row r="7" spans="1:8" x14ac:dyDescent="0.2">
      <c r="A7" s="11" t="s">
        <v>1</v>
      </c>
      <c r="B7" s="12"/>
      <c r="C7" s="12"/>
      <c r="D7" s="13"/>
      <c r="E7" s="8"/>
      <c r="F7" s="8"/>
      <c r="G7" s="8"/>
      <c r="H7" s="8"/>
    </row>
    <row r="8" spans="1:8" x14ac:dyDescent="0.2">
      <c r="A8" s="14" t="s">
        <v>15</v>
      </c>
      <c r="B8" s="15"/>
      <c r="C8" s="15"/>
      <c r="D8" s="16"/>
      <c r="E8" s="8"/>
      <c r="F8" s="8"/>
      <c r="G8" s="8"/>
      <c r="H8" s="8"/>
    </row>
    <row r="9" spans="1:8" x14ac:dyDescent="0.2">
      <c r="A9" s="17" t="s">
        <v>62</v>
      </c>
      <c r="B9" s="18"/>
      <c r="C9" s="18"/>
      <c r="D9" s="19"/>
      <c r="E9" s="8"/>
      <c r="F9" s="8"/>
      <c r="G9" s="8"/>
      <c r="H9" s="8"/>
    </row>
    <row r="10" spans="1:8" x14ac:dyDescent="0.2">
      <c r="A10" s="20"/>
      <c r="B10" s="21"/>
      <c r="C10" s="22"/>
      <c r="D10" s="23"/>
      <c r="E10" s="8"/>
      <c r="F10" s="8" t="s">
        <v>34</v>
      </c>
      <c r="G10" s="8"/>
      <c r="H10" s="8"/>
    </row>
    <row r="11" spans="1:8" ht="15.75" x14ac:dyDescent="0.25">
      <c r="A11" s="24" t="s">
        <v>2</v>
      </c>
      <c r="B11" s="25" t="str">
        <f>[1]Charters!B14</f>
        <v>City Academy</v>
      </c>
      <c r="C11" s="26"/>
      <c r="D11" s="27"/>
      <c r="E11" s="8"/>
      <c r="F11" s="8"/>
      <c r="G11" s="8"/>
      <c r="H11" s="8"/>
    </row>
    <row r="12" spans="1:8" x14ac:dyDescent="0.2">
      <c r="A12" s="24"/>
      <c r="B12" s="28"/>
      <c r="C12" s="26"/>
      <c r="D12" s="27"/>
      <c r="E12" s="8"/>
      <c r="F12" s="8"/>
      <c r="G12" s="8"/>
      <c r="H12" s="8"/>
    </row>
    <row r="13" spans="1:8" x14ac:dyDescent="0.2">
      <c r="A13" s="29" t="s">
        <v>0</v>
      </c>
      <c r="B13" s="30">
        <f>[1]Charters!$E$6</f>
        <v>3184</v>
      </c>
      <c r="C13" s="26"/>
      <c r="D13" s="31"/>
      <c r="E13" s="8"/>
      <c r="F13" s="8"/>
      <c r="G13" s="8"/>
      <c r="H13" s="8"/>
    </row>
    <row r="14" spans="1:8" x14ac:dyDescent="0.2">
      <c r="A14" s="32"/>
      <c r="B14" s="6"/>
      <c r="C14" s="33"/>
      <c r="D14" s="34" t="s">
        <v>3</v>
      </c>
      <c r="E14" s="8"/>
      <c r="F14" s="8"/>
      <c r="G14" s="8"/>
      <c r="H14" s="8"/>
    </row>
    <row r="15" spans="1:8" x14ac:dyDescent="0.2">
      <c r="A15" s="29" t="s">
        <v>19</v>
      </c>
      <c r="B15" s="35">
        <f>[1]Charters!A14</f>
        <v>87</v>
      </c>
      <c r="C15" s="36" t="s">
        <v>4</v>
      </c>
      <c r="D15" s="37" t="s">
        <v>5</v>
      </c>
      <c r="E15" s="8"/>
      <c r="F15" s="8"/>
      <c r="G15" s="8"/>
      <c r="H15" s="8"/>
    </row>
    <row r="16" spans="1:8" x14ac:dyDescent="0.2">
      <c r="A16" s="38" t="s">
        <v>6</v>
      </c>
      <c r="B16" s="39"/>
      <c r="C16" s="40"/>
      <c r="D16" s="41"/>
      <c r="E16" s="8"/>
      <c r="F16" s="8"/>
      <c r="G16" s="8"/>
      <c r="H16" s="8"/>
    </row>
    <row r="17" spans="1:8" x14ac:dyDescent="0.2">
      <c r="A17" s="38" t="s">
        <v>7</v>
      </c>
      <c r="B17" s="39"/>
      <c r="C17" s="40"/>
      <c r="D17" s="41"/>
      <c r="E17" s="8"/>
      <c r="F17" s="42" t="s">
        <v>23</v>
      </c>
      <c r="G17" s="8"/>
      <c r="H17" s="42" t="s">
        <v>26</v>
      </c>
    </row>
    <row r="18" spans="1:8" x14ac:dyDescent="0.2">
      <c r="A18" s="20" t="s">
        <v>8</v>
      </c>
      <c r="B18" s="43"/>
      <c r="C18" s="44">
        <f>[1]Charters!C474</f>
        <v>176.61099999999999</v>
      </c>
      <c r="D18" s="45">
        <f>[1]Charters!E474</f>
        <v>562330.54</v>
      </c>
      <c r="E18" s="8"/>
      <c r="F18" s="42">
        <f>[1]Charters!E629</f>
        <v>606896.03</v>
      </c>
      <c r="G18" s="8"/>
      <c r="H18" s="42">
        <f>[2]Charters!E168</f>
        <v>838116.29</v>
      </c>
    </row>
    <row r="19" spans="1:8" x14ac:dyDescent="0.2">
      <c r="A19" s="20" t="s">
        <v>14</v>
      </c>
      <c r="B19" s="43"/>
      <c r="C19" s="44">
        <f>[1]Charters!F474</f>
        <v>12.997</v>
      </c>
      <c r="D19" s="45">
        <f>[1]Charters!H474</f>
        <v>41381.49</v>
      </c>
      <c r="E19" s="8"/>
      <c r="F19" s="42">
        <f>SUM(D18:D20)</f>
        <v>606896.03</v>
      </c>
      <c r="G19" s="8"/>
      <c r="H19" s="42">
        <f>D31</f>
        <v>838116.29</v>
      </c>
    </row>
    <row r="20" spans="1:8" x14ac:dyDescent="0.2">
      <c r="A20" s="20" t="s">
        <v>32</v>
      </c>
      <c r="B20" s="43"/>
      <c r="C20" s="44">
        <f>[1]Charters!C167</f>
        <v>1</v>
      </c>
      <c r="D20" s="45">
        <f>[1]Charters!E167</f>
        <v>3184</v>
      </c>
      <c r="E20" s="8"/>
      <c r="F20" s="42">
        <f>+F18-F19</f>
        <v>0</v>
      </c>
      <c r="G20" s="8"/>
      <c r="H20" s="42">
        <f>+H18-H19</f>
        <v>0</v>
      </c>
    </row>
    <row r="21" spans="1:8" x14ac:dyDescent="0.2">
      <c r="A21" s="38" t="s">
        <v>9</v>
      </c>
      <c r="B21" s="39"/>
      <c r="C21" s="46"/>
      <c r="D21" s="47"/>
      <c r="E21" s="8"/>
      <c r="F21" s="8"/>
      <c r="G21" s="8"/>
      <c r="H21" s="8"/>
    </row>
    <row r="22" spans="1:8" x14ac:dyDescent="0.2">
      <c r="A22" s="20" t="s">
        <v>10</v>
      </c>
      <c r="B22" s="43"/>
      <c r="C22" s="40">
        <f>[3]Charters!C13</f>
        <v>53.917000000000002</v>
      </c>
      <c r="D22" s="41">
        <f>[3]Charters!E13</f>
        <v>171670.38</v>
      </c>
      <c r="E22" s="8"/>
      <c r="F22" s="42" t="s">
        <v>24</v>
      </c>
      <c r="G22" s="8"/>
      <c r="H22" s="8"/>
    </row>
    <row r="23" spans="1:8" x14ac:dyDescent="0.2">
      <c r="A23" s="48" t="s">
        <v>11</v>
      </c>
      <c r="B23" s="43"/>
      <c r="C23" s="40">
        <f>[3]Charters!F13</f>
        <v>4.8499999999999996</v>
      </c>
      <c r="D23" s="49">
        <f>[3]Charters!H13</f>
        <v>15442.4</v>
      </c>
      <c r="E23" s="8"/>
      <c r="F23" s="42">
        <f>[3]Charters!N324</f>
        <v>191941.37</v>
      </c>
      <c r="G23" s="8"/>
      <c r="H23" s="8"/>
    </row>
    <row r="24" spans="1:8" x14ac:dyDescent="0.2">
      <c r="A24" s="48" t="s">
        <v>12</v>
      </c>
      <c r="B24" s="43"/>
      <c r="C24" s="40">
        <f>[3]Charters!C168</f>
        <v>0</v>
      </c>
      <c r="D24" s="41">
        <f>[3]Charters!E168</f>
        <v>0</v>
      </c>
      <c r="E24" s="8"/>
      <c r="F24" s="42">
        <f>SUM(D22:D28)</f>
        <v>191941.37</v>
      </c>
      <c r="G24" s="8"/>
      <c r="H24" s="8"/>
    </row>
    <row r="25" spans="1:8" x14ac:dyDescent="0.2">
      <c r="A25" s="20" t="s">
        <v>13</v>
      </c>
      <c r="B25" s="43"/>
      <c r="C25" s="40">
        <f>[3]Charters!F168</f>
        <v>0.83299999999999996</v>
      </c>
      <c r="D25" s="41">
        <f>[3]Charters!H168</f>
        <v>2653.5</v>
      </c>
      <c r="E25" s="8"/>
      <c r="F25" s="42">
        <f>+F23-F24</f>
        <v>0</v>
      </c>
      <c r="G25" s="8"/>
      <c r="H25" s="8"/>
    </row>
    <row r="26" spans="1:8" x14ac:dyDescent="0.2">
      <c r="A26" s="48" t="s">
        <v>54</v>
      </c>
      <c r="B26" s="43"/>
      <c r="C26" s="40">
        <f>[3]Charters!C324</f>
        <v>0.68300000000000005</v>
      </c>
      <c r="D26" s="41">
        <f>[3]Charters!E324</f>
        <v>2175.09</v>
      </c>
      <c r="E26" s="8"/>
      <c r="F26" s="8"/>
      <c r="G26" s="8"/>
      <c r="H26" s="8"/>
    </row>
    <row r="27" spans="1:8" x14ac:dyDescent="0.2">
      <c r="A27" s="48" t="s">
        <v>55</v>
      </c>
      <c r="B27" s="43"/>
      <c r="C27" s="40">
        <f>[3]Charters!F324</f>
        <v>0</v>
      </c>
      <c r="D27" s="41">
        <f>[3]Charters!H324</f>
        <v>0</v>
      </c>
      <c r="E27" s="8"/>
      <c r="F27" s="42" t="s">
        <v>25</v>
      </c>
      <c r="G27" s="8"/>
      <c r="H27" s="8"/>
    </row>
    <row r="28" spans="1:8" x14ac:dyDescent="0.2">
      <c r="A28" s="48" t="s">
        <v>56</v>
      </c>
      <c r="B28" s="43"/>
      <c r="C28" s="40">
        <f>[3]Charters!I324</f>
        <v>0</v>
      </c>
      <c r="D28" s="41">
        <f>[3]Charters!K324</f>
        <v>0</v>
      </c>
      <c r="E28" s="8"/>
      <c r="F28" s="42">
        <f>[2]Charters!H14</f>
        <v>231220.26</v>
      </c>
      <c r="G28" s="8"/>
      <c r="H28" s="8"/>
    </row>
    <row r="29" spans="1:8" x14ac:dyDescent="0.2">
      <c r="A29" s="20" t="s">
        <v>49</v>
      </c>
      <c r="B29" s="43"/>
      <c r="C29" s="40">
        <f>[3]Charters!C481</f>
        <v>7.6210000000000004</v>
      </c>
      <c r="D29" s="41">
        <f>[3]Charters!E481</f>
        <v>24265.31</v>
      </c>
      <c r="E29" s="8"/>
      <c r="F29" s="42">
        <f>SUM(D22:D30)</f>
        <v>231220.26</v>
      </c>
      <c r="G29" s="8"/>
      <c r="H29" s="8"/>
    </row>
    <row r="30" spans="1:8" x14ac:dyDescent="0.2">
      <c r="A30" s="20" t="s">
        <v>50</v>
      </c>
      <c r="B30" s="43"/>
      <c r="C30" s="40">
        <f>[2]Charters!C14</f>
        <v>4.7149999999999999</v>
      </c>
      <c r="D30" s="41">
        <f>[2]Charters!E14</f>
        <v>15013.58</v>
      </c>
      <c r="E30" s="8"/>
      <c r="F30" s="42">
        <f>+F28-F29</f>
        <v>0</v>
      </c>
      <c r="G30" s="8"/>
      <c r="H30" s="8"/>
    </row>
    <row r="31" spans="1:8" x14ac:dyDescent="0.2">
      <c r="A31" s="50"/>
      <c r="B31" s="51" t="s">
        <v>16</v>
      </c>
      <c r="C31" s="52">
        <f>SUM(C18:C30)</f>
        <v>263.22699999999998</v>
      </c>
      <c r="D31" s="53">
        <f>SUM(D18:D30)</f>
        <v>838116.29</v>
      </c>
      <c r="E31" s="8"/>
      <c r="F31" s="8"/>
      <c r="G31" s="8"/>
      <c r="H31" s="8"/>
    </row>
    <row r="32" spans="1:8" x14ac:dyDescent="0.2">
      <c r="A32" s="54" t="s">
        <v>17</v>
      </c>
      <c r="B32" s="39"/>
      <c r="C32" s="55"/>
      <c r="D32" s="47"/>
      <c r="E32" s="8"/>
      <c r="F32" s="8"/>
      <c r="G32" s="8"/>
      <c r="H32" s="42" t="s">
        <v>29</v>
      </c>
    </row>
    <row r="33" spans="1:8" x14ac:dyDescent="0.2">
      <c r="A33" s="20" t="s">
        <v>33</v>
      </c>
      <c r="B33" s="43"/>
      <c r="C33" s="56"/>
      <c r="D33" s="57">
        <f>[4]Charters!C13</f>
        <v>2420.02</v>
      </c>
      <c r="E33" s="8"/>
      <c r="F33" s="8"/>
      <c r="G33" s="8"/>
      <c r="H33" s="42">
        <f>[4]Charters!F954</f>
        <v>1334536.32</v>
      </c>
    </row>
    <row r="34" spans="1:8" x14ac:dyDescent="0.2">
      <c r="A34" s="58" t="s">
        <v>35</v>
      </c>
      <c r="B34" s="43"/>
      <c r="C34" s="56"/>
      <c r="D34" s="41">
        <f>+[4]Charters!F334</f>
        <v>850.03</v>
      </c>
      <c r="E34" s="8"/>
      <c r="F34" s="8"/>
      <c r="G34" s="8"/>
      <c r="H34" s="42">
        <f>SUM(D31:D50)</f>
        <v>1334536.32</v>
      </c>
    </row>
    <row r="35" spans="1:8" x14ac:dyDescent="0.2">
      <c r="A35" s="59" t="s">
        <v>36</v>
      </c>
      <c r="B35" s="43"/>
      <c r="C35" s="56"/>
      <c r="D35" s="41">
        <f>[4]Charters!E173</f>
        <v>15837</v>
      </c>
      <c r="E35" s="8"/>
      <c r="F35" s="8"/>
      <c r="G35" s="8"/>
      <c r="H35" s="42">
        <f>+H33-H34</f>
        <v>0</v>
      </c>
    </row>
    <row r="36" spans="1:8" x14ac:dyDescent="0.2">
      <c r="A36" s="59" t="s">
        <v>52</v>
      </c>
      <c r="B36" s="43"/>
      <c r="C36" s="56"/>
      <c r="D36" s="41">
        <f>[4]Charters!G334</f>
        <v>0</v>
      </c>
      <c r="E36" s="8"/>
      <c r="F36" s="42" t="s">
        <v>27</v>
      </c>
      <c r="G36" s="8"/>
      <c r="H36" s="42"/>
    </row>
    <row r="37" spans="1:8" x14ac:dyDescent="0.2">
      <c r="A37" s="20" t="s">
        <v>37</v>
      </c>
      <c r="B37" s="43"/>
      <c r="C37" s="56"/>
      <c r="D37" s="41">
        <f>[4]Charters!E490</f>
        <v>20996</v>
      </c>
      <c r="E37" s="8"/>
      <c r="F37" s="42">
        <f>[4]Charters!E173</f>
        <v>15837</v>
      </c>
      <c r="G37" s="8"/>
      <c r="H37" s="8"/>
    </row>
    <row r="38" spans="1:8" x14ac:dyDescent="0.2">
      <c r="A38" s="20" t="s">
        <v>38</v>
      </c>
      <c r="B38" s="43"/>
      <c r="C38" s="56"/>
      <c r="D38" s="41">
        <f>[4]Charters!F490</f>
        <v>0</v>
      </c>
      <c r="E38" s="8"/>
      <c r="F38" s="42">
        <f>SUM(D35:D35)</f>
        <v>15837</v>
      </c>
      <c r="G38" s="8"/>
      <c r="H38" s="8"/>
    </row>
    <row r="39" spans="1:8" x14ac:dyDescent="0.2">
      <c r="A39" s="59" t="s">
        <v>40</v>
      </c>
      <c r="B39" s="43"/>
      <c r="C39" s="56"/>
      <c r="D39" s="41">
        <f>[4]Charters!G490</f>
        <v>0</v>
      </c>
      <c r="E39" s="8"/>
      <c r="F39" s="42">
        <f>+F37-F38</f>
        <v>0</v>
      </c>
      <c r="G39" s="8"/>
      <c r="H39" s="8"/>
    </row>
    <row r="40" spans="1:8" x14ac:dyDescent="0.2">
      <c r="A40" s="20" t="s">
        <v>41</v>
      </c>
      <c r="B40" s="43"/>
      <c r="C40" s="56"/>
      <c r="D40" s="41">
        <f>[4]Charters!C645</f>
        <v>274137</v>
      </c>
      <c r="E40" s="8"/>
      <c r="F40" s="42" t="s">
        <v>28</v>
      </c>
      <c r="G40" s="8"/>
      <c r="H40" s="8"/>
    </row>
    <row r="41" spans="1:8" x14ac:dyDescent="0.2">
      <c r="A41" s="20" t="s">
        <v>42</v>
      </c>
      <c r="B41" s="43"/>
      <c r="C41" s="56"/>
      <c r="D41" s="41">
        <f>[4]Charters!D645</f>
        <v>79171.740000000005</v>
      </c>
      <c r="E41" s="8"/>
      <c r="F41" s="42">
        <f>[4]Charters!D490</f>
        <v>16687.03</v>
      </c>
      <c r="G41" s="8"/>
      <c r="H41" s="8"/>
    </row>
    <row r="42" spans="1:8" x14ac:dyDescent="0.2">
      <c r="A42" s="20" t="s">
        <v>44</v>
      </c>
      <c r="B42" s="43"/>
      <c r="C42" s="56"/>
      <c r="D42" s="41">
        <f>[4]Charters!E645</f>
        <v>13700</v>
      </c>
      <c r="E42" s="8"/>
      <c r="F42" s="42">
        <f>SUM(D34:D36)</f>
        <v>16687.03</v>
      </c>
      <c r="G42" s="8"/>
      <c r="H42" s="8"/>
    </row>
    <row r="43" spans="1:8" x14ac:dyDescent="0.2">
      <c r="A43" s="59" t="s">
        <v>43</v>
      </c>
      <c r="B43" s="43"/>
      <c r="C43" s="56"/>
      <c r="D43" s="41">
        <f>[4]Charters!F645</f>
        <v>0</v>
      </c>
      <c r="E43" s="8"/>
      <c r="F43" s="42">
        <f>+F41-F42</f>
        <v>0</v>
      </c>
      <c r="G43" s="8"/>
      <c r="H43" s="8"/>
    </row>
    <row r="44" spans="1:8" x14ac:dyDescent="0.2">
      <c r="A44" s="59" t="s">
        <v>45</v>
      </c>
      <c r="B44" s="43"/>
      <c r="C44" s="56"/>
      <c r="D44" s="41">
        <f>[4]Charters!C490</f>
        <v>0</v>
      </c>
      <c r="E44" s="8"/>
      <c r="F44" s="8"/>
      <c r="G44" s="8"/>
      <c r="H44" s="8"/>
    </row>
    <row r="45" spans="1:8" x14ac:dyDescent="0.2">
      <c r="A45" s="59" t="s">
        <v>46</v>
      </c>
      <c r="B45" s="43"/>
      <c r="C45" s="56"/>
      <c r="D45" s="41">
        <f>[4]Charters!C801</f>
        <v>0</v>
      </c>
      <c r="E45" s="8"/>
      <c r="F45" s="8"/>
      <c r="G45" s="8"/>
      <c r="H45" s="42" t="s">
        <v>31</v>
      </c>
    </row>
    <row r="46" spans="1:8" x14ac:dyDescent="0.2">
      <c r="A46" s="59" t="s">
        <v>51</v>
      </c>
      <c r="B46" s="43"/>
      <c r="C46" s="56"/>
      <c r="D46" s="60">
        <f>[4]Charters!D801</f>
        <v>374.71</v>
      </c>
      <c r="E46" s="8"/>
      <c r="F46" s="8"/>
      <c r="G46" s="8"/>
      <c r="H46" s="42">
        <f>[4]Charters!D1260</f>
        <v>1342486.96</v>
      </c>
    </row>
    <row r="47" spans="1:8" x14ac:dyDescent="0.2">
      <c r="A47" s="20" t="s">
        <v>47</v>
      </c>
      <c r="B47" s="43"/>
      <c r="C47" s="56"/>
      <c r="D47" s="60">
        <f>[4]Charters!E801</f>
        <v>0</v>
      </c>
      <c r="E47" s="8"/>
      <c r="F47" s="8"/>
      <c r="G47" s="8"/>
      <c r="H47" s="42">
        <f>D56</f>
        <v>1342486.96</v>
      </c>
    </row>
    <row r="48" spans="1:8" x14ac:dyDescent="0.2">
      <c r="A48" s="20" t="s">
        <v>57</v>
      </c>
      <c r="B48" s="43"/>
      <c r="C48" s="56"/>
      <c r="D48" s="60">
        <f>[4]Charters!C954</f>
        <v>17878.53</v>
      </c>
      <c r="E48" s="8"/>
      <c r="F48" s="8"/>
      <c r="G48" s="8"/>
      <c r="H48" s="42">
        <f>+H46-H47</f>
        <v>0</v>
      </c>
    </row>
    <row r="49" spans="1:8" x14ac:dyDescent="0.2">
      <c r="A49" s="59" t="s">
        <v>53</v>
      </c>
      <c r="B49" s="43"/>
      <c r="C49" s="56"/>
      <c r="D49" s="60">
        <f>[4]Charters!D954</f>
        <v>71055</v>
      </c>
      <c r="E49" s="8"/>
      <c r="F49" s="42" t="s">
        <v>30</v>
      </c>
      <c r="G49" s="8"/>
      <c r="H49" s="8"/>
    </row>
    <row r="50" spans="1:8" x14ac:dyDescent="0.2">
      <c r="A50" s="59" t="s">
        <v>59</v>
      </c>
      <c r="B50" s="43"/>
      <c r="C50" s="56"/>
      <c r="D50" s="60">
        <f>[4]Charters!E954</f>
        <v>0</v>
      </c>
      <c r="E50" s="8"/>
      <c r="F50" s="8"/>
      <c r="G50" s="8"/>
      <c r="H50" s="8"/>
    </row>
    <row r="51" spans="1:8" x14ac:dyDescent="0.2">
      <c r="A51" s="38" t="s">
        <v>18</v>
      </c>
      <c r="B51" s="61"/>
      <c r="C51" s="62"/>
      <c r="D51" s="63"/>
      <c r="E51" s="8"/>
      <c r="F51" s="42">
        <f>[4]Charters!C1260</f>
        <v>7950.64</v>
      </c>
      <c r="G51" s="8"/>
      <c r="H51" s="8"/>
    </row>
    <row r="52" spans="1:8" x14ac:dyDescent="0.2">
      <c r="A52" s="59" t="s">
        <v>39</v>
      </c>
      <c r="B52" s="43"/>
      <c r="C52" s="56"/>
      <c r="D52" s="41">
        <f>[4]Charters!C1107</f>
        <v>2950.64</v>
      </c>
      <c r="E52" s="8"/>
      <c r="F52" s="42">
        <f>SUM(D52:D55)</f>
        <v>7950.64</v>
      </c>
      <c r="G52" s="8"/>
      <c r="H52" s="8"/>
    </row>
    <row r="53" spans="1:8" x14ac:dyDescent="0.2">
      <c r="A53" s="59" t="s">
        <v>48</v>
      </c>
      <c r="B53" s="43"/>
      <c r="C53" s="56"/>
      <c r="D53" s="41">
        <f>[4]Charters!D1107</f>
        <v>0</v>
      </c>
      <c r="E53" s="8"/>
      <c r="F53" s="42">
        <f>+F51-F52</f>
        <v>0</v>
      </c>
      <c r="G53" s="8"/>
      <c r="H53" s="8"/>
    </row>
    <row r="54" spans="1:8" x14ac:dyDescent="0.2">
      <c r="A54" s="59" t="s">
        <v>60</v>
      </c>
      <c r="B54" s="43"/>
      <c r="C54" s="56"/>
      <c r="D54" s="41">
        <f>[4]Charters!E1107</f>
        <v>0</v>
      </c>
      <c r="E54" s="8"/>
      <c r="F54" s="8"/>
      <c r="G54" s="8"/>
      <c r="H54" s="8"/>
    </row>
    <row r="55" spans="1:8" x14ac:dyDescent="0.2">
      <c r="A55" s="59" t="s">
        <v>61</v>
      </c>
      <c r="B55" s="43"/>
      <c r="C55" s="56"/>
      <c r="D55" s="41">
        <f>[4]Charters!F1107</f>
        <v>5000</v>
      </c>
      <c r="E55" s="8"/>
      <c r="F55" s="8"/>
      <c r="G55" s="8"/>
      <c r="H55" s="8"/>
    </row>
    <row r="56" spans="1:8" ht="13.5" thickBot="1" x14ac:dyDescent="0.25">
      <c r="A56" s="64"/>
      <c r="B56" s="65"/>
      <c r="C56" s="66"/>
      <c r="D56" s="67">
        <f>SUM(D31:D55)</f>
        <v>1342486.96</v>
      </c>
      <c r="E56" s="8"/>
      <c r="F56" s="8"/>
      <c r="G56" s="8"/>
      <c r="H56" s="8"/>
    </row>
    <row r="57" spans="1:8" ht="13.5" thickTop="1" x14ac:dyDescent="0.2">
      <c r="A57" s="68"/>
      <c r="B57" s="43"/>
      <c r="C57" s="56"/>
      <c r="D57" s="69"/>
      <c r="E57" s="8"/>
      <c r="F57" s="8"/>
      <c r="G57" s="8"/>
      <c r="H57" s="8"/>
    </row>
    <row r="58" spans="1:8" x14ac:dyDescent="0.2">
      <c r="A58" s="38" t="s">
        <v>20</v>
      </c>
      <c r="B58" s="39"/>
      <c r="C58" s="70"/>
      <c r="D58" s="71" t="s">
        <v>21</v>
      </c>
      <c r="E58" s="8"/>
      <c r="F58" s="8"/>
      <c r="G58" s="8"/>
      <c r="H58" s="8"/>
    </row>
    <row r="59" spans="1:8" x14ac:dyDescent="0.2">
      <c r="A59" s="72" t="s">
        <v>22</v>
      </c>
      <c r="B59" s="73"/>
      <c r="C59" s="74"/>
      <c r="D59" s="41">
        <f>[5]Charters!C13</f>
        <v>466.43</v>
      </c>
      <c r="E59" s="8"/>
      <c r="F59" s="8"/>
      <c r="G59" s="8"/>
      <c r="H59" s="8"/>
    </row>
    <row r="60" spans="1:8" x14ac:dyDescent="0.2">
      <c r="A60" s="75"/>
      <c r="B60" s="61"/>
      <c r="C60" s="76"/>
      <c r="D60" s="77">
        <f>SUM(D59:D59)</f>
        <v>466.43</v>
      </c>
      <c r="E60" s="42"/>
      <c r="F60" s="42"/>
      <c r="G60" s="42"/>
      <c r="H60" s="42"/>
    </row>
    <row r="61" spans="1:8" x14ac:dyDescent="0.2">
      <c r="A61" s="78" t="s">
        <v>58</v>
      </c>
      <c r="B61" s="79"/>
      <c r="C61" s="80"/>
      <c r="D61" s="77">
        <f>D60+D56</f>
        <v>1342953.39</v>
      </c>
      <c r="E61" s="42"/>
      <c r="F61" s="42"/>
      <c r="G61" s="42"/>
      <c r="H61" s="42"/>
    </row>
    <row r="62" spans="1:8" x14ac:dyDescent="0.2">
      <c r="A62" s="84"/>
      <c r="B62" s="84"/>
      <c r="C62" s="85"/>
      <c r="D62" s="81"/>
      <c r="E62" s="42"/>
      <c r="F62" s="42"/>
      <c r="G62" s="42"/>
      <c r="H62" s="42"/>
    </row>
    <row r="63" spans="1:8" x14ac:dyDescent="0.2">
      <c r="A63" s="84"/>
      <c r="B63" s="84"/>
      <c r="C63" s="85"/>
      <c r="D63" s="81">
        <f>[5]Charters!E169</f>
        <v>1342953.39</v>
      </c>
      <c r="E63" s="42"/>
      <c r="F63" s="42"/>
      <c r="G63" s="42"/>
      <c r="H63" s="42"/>
    </row>
    <row r="64" spans="1:8" x14ac:dyDescent="0.2">
      <c r="A64" s="84"/>
      <c r="B64" s="84"/>
      <c r="C64" s="85"/>
      <c r="D64" s="81">
        <f>D61</f>
        <v>1342953.39</v>
      </c>
      <c r="E64" s="42"/>
      <c r="F64" s="42"/>
      <c r="G64" s="42"/>
      <c r="H64" s="42"/>
    </row>
    <row r="65" spans="3:8" x14ac:dyDescent="0.2">
      <c r="C65" s="83"/>
      <c r="D65" s="42">
        <f>D63-D64</f>
        <v>0</v>
      </c>
      <c r="E65" s="42"/>
      <c r="F65" s="42"/>
      <c r="G65" s="42"/>
      <c r="H65" s="42"/>
    </row>
  </sheetData>
  <mergeCells count="4">
    <mergeCell ref="A8:D8"/>
    <mergeCell ref="A9:D9"/>
    <mergeCell ref="A7:D7"/>
    <mergeCell ref="A61:C61"/>
  </mergeCells>
  <phoneticPr fontId="0" type="noConversion"/>
  <printOptions horizontalCentered="1" verticalCentered="1"/>
  <pageMargins left="0.5" right="0.5" top="0.5" bottom="0.5" header="0.25" footer="0.25"/>
  <pageSetup orientation="portrait" r:id="rId1"/>
  <headerFooter alignWithMargins="0">
    <oddHeader>&amp;R&amp;8Current as of: &amp;D</oddHeader>
    <oddFooter>&amp;L&amp;8USOE, School Finance</oddFooter>
  </headerFooter>
  <picture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pageSetUpPr fitToPage="1"/>
  </sheetPr>
  <dimension ref="A1:H66"/>
  <sheetViews>
    <sheetView showGridLines="0" workbookViewId="0">
      <selection activeCell="C12" sqref="C12"/>
    </sheetView>
  </sheetViews>
  <sheetFormatPr defaultColWidth="9.140625" defaultRowHeight="12.75" x14ac:dyDescent="0.2"/>
  <cols>
    <col min="1" max="1" width="31.85546875" style="82" customWidth="1"/>
    <col min="2" max="2" width="16.140625" style="82" customWidth="1"/>
    <col min="3" max="4" width="14.85546875" style="82" customWidth="1"/>
    <col min="5" max="5" width="7" style="82" customWidth="1"/>
    <col min="6" max="6" width="19.7109375" style="82" customWidth="1"/>
    <col min="7" max="7" width="5.7109375" style="82" customWidth="1"/>
    <col min="8" max="8" width="18" style="82" customWidth="1"/>
    <col min="9" max="16384" width="9.140625" style="82"/>
  </cols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"/>
      <c r="B3" s="1"/>
      <c r="C3" s="1"/>
      <c r="D3" s="1"/>
      <c r="E3" s="1"/>
      <c r="F3" s="1"/>
      <c r="G3" s="1"/>
      <c r="H3" s="1"/>
    </row>
    <row r="4" spans="1:8" x14ac:dyDescent="0.2">
      <c r="A4" s="1"/>
      <c r="B4" s="1"/>
      <c r="C4" s="1"/>
      <c r="D4" s="1"/>
      <c r="E4" s="1"/>
      <c r="F4" s="1"/>
      <c r="G4" s="1"/>
      <c r="H4" s="1"/>
    </row>
    <row r="5" spans="1:8" x14ac:dyDescent="0.2">
      <c r="A5" s="1"/>
      <c r="B5" s="1"/>
      <c r="C5" s="1"/>
      <c r="D5" s="1"/>
      <c r="E5" s="1"/>
      <c r="F5" s="1"/>
      <c r="G5" s="1"/>
      <c r="H5" s="1"/>
    </row>
    <row r="6" spans="1:8" x14ac:dyDescent="0.2">
      <c r="A6" s="1"/>
      <c r="B6" s="1"/>
      <c r="C6" s="1"/>
      <c r="D6" s="1"/>
      <c r="E6" s="1"/>
      <c r="F6" s="1"/>
      <c r="G6" s="1"/>
      <c r="H6" s="1"/>
    </row>
    <row r="7" spans="1:8" x14ac:dyDescent="0.2">
      <c r="A7" s="1"/>
      <c r="B7" s="1"/>
      <c r="C7" s="1"/>
      <c r="D7" s="1"/>
      <c r="E7" s="1"/>
      <c r="F7" s="1"/>
      <c r="G7" s="1"/>
      <c r="H7" s="1"/>
    </row>
    <row r="8" spans="1:8" x14ac:dyDescent="0.2">
      <c r="A8" s="11" t="s">
        <v>1</v>
      </c>
      <c r="B8" s="12"/>
      <c r="C8" s="12"/>
      <c r="D8" s="13"/>
      <c r="E8" s="8"/>
      <c r="F8" s="8"/>
      <c r="G8" s="8"/>
      <c r="H8" s="8"/>
    </row>
    <row r="9" spans="1:8" x14ac:dyDescent="0.2">
      <c r="A9" s="14" t="s">
        <v>15</v>
      </c>
      <c r="B9" s="15"/>
      <c r="C9" s="15"/>
      <c r="D9" s="16"/>
      <c r="E9" s="8"/>
      <c r="F9" s="8"/>
      <c r="G9" s="8"/>
      <c r="H9" s="8"/>
    </row>
    <row r="10" spans="1:8" x14ac:dyDescent="0.2">
      <c r="A10" s="17" t="s">
        <v>62</v>
      </c>
      <c r="B10" s="18"/>
      <c r="C10" s="18"/>
      <c r="D10" s="19"/>
      <c r="E10" s="8"/>
      <c r="F10" s="8"/>
      <c r="G10" s="8"/>
      <c r="H10" s="8"/>
    </row>
    <row r="11" spans="1:8" x14ac:dyDescent="0.2">
      <c r="A11" s="20"/>
      <c r="B11" s="21"/>
      <c r="C11" s="22"/>
      <c r="D11" s="23"/>
      <c r="E11" s="8"/>
      <c r="F11" s="8" t="s">
        <v>34</v>
      </c>
      <c r="G11" s="8"/>
      <c r="H11" s="8"/>
    </row>
    <row r="12" spans="1:8" ht="15.75" x14ac:dyDescent="0.25">
      <c r="A12" s="24" t="s">
        <v>2</v>
      </c>
      <c r="B12" s="25" t="str">
        <f>[1]Charters!B15</f>
        <v>Soldier Hollow Charter School</v>
      </c>
      <c r="C12" s="26"/>
      <c r="D12" s="27"/>
      <c r="E12" s="8"/>
      <c r="F12" s="8"/>
      <c r="G12" s="8"/>
      <c r="H12" s="8"/>
    </row>
    <row r="13" spans="1:8" x14ac:dyDescent="0.2">
      <c r="A13" s="24"/>
      <c r="B13" s="28"/>
      <c r="C13" s="26"/>
      <c r="D13" s="27"/>
      <c r="E13" s="8"/>
      <c r="F13" s="8"/>
      <c r="G13" s="8"/>
      <c r="H13" s="8"/>
    </row>
    <row r="14" spans="1:8" x14ac:dyDescent="0.2">
      <c r="A14" s="29" t="s">
        <v>0</v>
      </c>
      <c r="B14" s="30">
        <f>[1]Charters!$E$6</f>
        <v>3184</v>
      </c>
      <c r="C14" s="26"/>
      <c r="D14" s="31"/>
      <c r="E14" s="8"/>
      <c r="F14" s="8"/>
      <c r="G14" s="8"/>
      <c r="H14" s="8"/>
    </row>
    <row r="15" spans="1:8" x14ac:dyDescent="0.2">
      <c r="A15" s="32"/>
      <c r="B15" s="6"/>
      <c r="C15" s="33"/>
      <c r="D15" s="34" t="s">
        <v>3</v>
      </c>
      <c r="E15" s="8"/>
      <c r="F15" s="8"/>
      <c r="G15" s="8"/>
      <c r="H15" s="8"/>
    </row>
    <row r="16" spans="1:8" x14ac:dyDescent="0.2">
      <c r="A16" s="29" t="s">
        <v>19</v>
      </c>
      <c r="B16" s="35">
        <f>[1]Charters!A15</f>
        <v>89</v>
      </c>
      <c r="C16" s="36" t="s">
        <v>4</v>
      </c>
      <c r="D16" s="37" t="s">
        <v>5</v>
      </c>
      <c r="E16" s="8"/>
      <c r="F16" s="8"/>
      <c r="G16" s="8"/>
      <c r="H16" s="8"/>
    </row>
    <row r="17" spans="1:8" x14ac:dyDescent="0.2">
      <c r="A17" s="38" t="s">
        <v>6</v>
      </c>
      <c r="B17" s="39"/>
      <c r="C17" s="40"/>
      <c r="D17" s="41"/>
      <c r="E17" s="8"/>
      <c r="F17" s="8"/>
      <c r="G17" s="8"/>
      <c r="H17" s="8"/>
    </row>
    <row r="18" spans="1:8" x14ac:dyDescent="0.2">
      <c r="A18" s="38" t="s">
        <v>7</v>
      </c>
      <c r="B18" s="39"/>
      <c r="C18" s="40"/>
      <c r="D18" s="41"/>
      <c r="E18" s="8"/>
      <c r="F18" s="42" t="s">
        <v>23</v>
      </c>
      <c r="G18" s="8"/>
      <c r="H18" s="42" t="s">
        <v>26</v>
      </c>
    </row>
    <row r="19" spans="1:8" x14ac:dyDescent="0.2">
      <c r="A19" s="20" t="s">
        <v>8</v>
      </c>
      <c r="B19" s="43"/>
      <c r="C19" s="44">
        <f>[1]Charters!C475</f>
        <v>227.24799999999999</v>
      </c>
      <c r="D19" s="45">
        <f>[1]Charters!E475</f>
        <v>723556.04</v>
      </c>
      <c r="E19" s="8"/>
      <c r="F19" s="42">
        <f>[1]Charters!E630</f>
        <v>776019.64</v>
      </c>
      <c r="G19" s="8"/>
      <c r="H19" s="42">
        <f>[2]Charters!E169</f>
        <v>1000995.4</v>
      </c>
    </row>
    <row r="20" spans="1:8" x14ac:dyDescent="0.2">
      <c r="A20" s="20" t="s">
        <v>14</v>
      </c>
      <c r="B20" s="43"/>
      <c r="C20" s="44">
        <f>[1]Charters!F475</f>
        <v>16.477</v>
      </c>
      <c r="D20" s="45">
        <f>[1]Charters!H475</f>
        <v>52463.6</v>
      </c>
      <c r="E20" s="8"/>
      <c r="F20" s="42">
        <f>SUM(D19:D21)</f>
        <v>776019.64</v>
      </c>
      <c r="G20" s="8"/>
      <c r="H20" s="42">
        <f>D32</f>
        <v>1000995.4</v>
      </c>
    </row>
    <row r="21" spans="1:8" x14ac:dyDescent="0.2">
      <c r="A21" s="20" t="s">
        <v>32</v>
      </c>
      <c r="B21" s="43"/>
      <c r="C21" s="44">
        <f>[1]Charters!C168</f>
        <v>0</v>
      </c>
      <c r="D21" s="45">
        <f>[1]Charters!E168</f>
        <v>0</v>
      </c>
      <c r="E21" s="8"/>
      <c r="F21" s="42">
        <f>+F19-F20</f>
        <v>0</v>
      </c>
      <c r="G21" s="8"/>
      <c r="H21" s="42">
        <f>+H19-H20</f>
        <v>0</v>
      </c>
    </row>
    <row r="22" spans="1:8" x14ac:dyDescent="0.2">
      <c r="A22" s="38" t="s">
        <v>9</v>
      </c>
      <c r="B22" s="39"/>
      <c r="C22" s="46"/>
      <c r="D22" s="47"/>
      <c r="E22" s="8"/>
      <c r="F22" s="8"/>
      <c r="G22" s="8"/>
      <c r="H22" s="8"/>
    </row>
    <row r="23" spans="1:8" x14ac:dyDescent="0.2">
      <c r="A23" s="20" t="s">
        <v>10</v>
      </c>
      <c r="B23" s="43"/>
      <c r="C23" s="40">
        <f>[3]Charters!C14</f>
        <v>43.524999999999999</v>
      </c>
      <c r="D23" s="41">
        <f>[3]Charters!E14</f>
        <v>138583.4</v>
      </c>
      <c r="E23" s="8"/>
      <c r="F23" s="42" t="s">
        <v>24</v>
      </c>
      <c r="G23" s="8"/>
      <c r="H23" s="8"/>
    </row>
    <row r="24" spans="1:8" x14ac:dyDescent="0.2">
      <c r="A24" s="48" t="s">
        <v>11</v>
      </c>
      <c r="B24" s="43"/>
      <c r="C24" s="40">
        <f>[3]Charters!F14</f>
        <v>1.46</v>
      </c>
      <c r="D24" s="49">
        <f>[3]Charters!H14</f>
        <v>4648.6400000000003</v>
      </c>
      <c r="E24" s="8"/>
      <c r="F24" s="42">
        <f>[3]Charters!N325</f>
        <v>149241.20000000001</v>
      </c>
      <c r="G24" s="8"/>
      <c r="H24" s="8"/>
    </row>
    <row r="25" spans="1:8" x14ac:dyDescent="0.2">
      <c r="A25" s="48" t="s">
        <v>12</v>
      </c>
      <c r="B25" s="43"/>
      <c r="C25" s="40">
        <f>[3]Charters!C169</f>
        <v>0</v>
      </c>
      <c r="D25" s="41">
        <f>[3]Charters!E169</f>
        <v>0</v>
      </c>
      <c r="E25" s="8"/>
      <c r="F25" s="42">
        <f>SUM(D23:D29)</f>
        <v>149241.20000000001</v>
      </c>
      <c r="G25" s="8"/>
      <c r="H25" s="8"/>
    </row>
    <row r="26" spans="1:8" x14ac:dyDescent="0.2">
      <c r="A26" s="20" t="s">
        <v>13</v>
      </c>
      <c r="B26" s="43"/>
      <c r="C26" s="40">
        <f>[3]Charters!F169</f>
        <v>0.70899999999999996</v>
      </c>
      <c r="D26" s="41">
        <f>[3]Charters!H169</f>
        <v>2259</v>
      </c>
      <c r="E26" s="8"/>
      <c r="F26" s="42">
        <f>+F24-F25</f>
        <v>0</v>
      </c>
      <c r="G26" s="8"/>
      <c r="H26" s="8"/>
    </row>
    <row r="27" spans="1:8" x14ac:dyDescent="0.2">
      <c r="A27" s="48" t="s">
        <v>54</v>
      </c>
      <c r="B27" s="43"/>
      <c r="C27" s="40">
        <f>[3]Charters!C325</f>
        <v>1.1779999999999999</v>
      </c>
      <c r="D27" s="41">
        <f>[3]Charters!E325</f>
        <v>3750.16</v>
      </c>
      <c r="E27" s="8"/>
      <c r="F27" s="8"/>
      <c r="G27" s="8"/>
      <c r="H27" s="8"/>
    </row>
    <row r="28" spans="1:8" x14ac:dyDescent="0.2">
      <c r="A28" s="48" t="s">
        <v>55</v>
      </c>
      <c r="B28" s="43"/>
      <c r="C28" s="40">
        <f>[3]Charters!F325</f>
        <v>0</v>
      </c>
      <c r="D28" s="41">
        <f>[3]Charters!H325</f>
        <v>0</v>
      </c>
      <c r="E28" s="8"/>
      <c r="F28" s="42" t="s">
        <v>25</v>
      </c>
      <c r="G28" s="8"/>
      <c r="H28" s="8"/>
    </row>
    <row r="29" spans="1:8" x14ac:dyDescent="0.2">
      <c r="A29" s="48" t="s">
        <v>56</v>
      </c>
      <c r="B29" s="43"/>
      <c r="C29" s="40">
        <f>[3]Charters!I325</f>
        <v>0</v>
      </c>
      <c r="D29" s="41">
        <f>[3]Charters!K325</f>
        <v>0</v>
      </c>
      <c r="E29" s="8"/>
      <c r="F29" s="42">
        <f>[2]Charters!H15</f>
        <v>224975.76</v>
      </c>
      <c r="G29" s="8"/>
      <c r="H29" s="8"/>
    </row>
    <row r="30" spans="1:8" x14ac:dyDescent="0.2">
      <c r="A30" s="20" t="s">
        <v>49</v>
      </c>
      <c r="B30" s="43"/>
      <c r="C30" s="40">
        <f>[3]Charters!C482</f>
        <v>0</v>
      </c>
      <c r="D30" s="41">
        <f>[3]Charters!E482</f>
        <v>0</v>
      </c>
      <c r="E30" s="8"/>
      <c r="F30" s="42">
        <f>SUM(D23:D31)</f>
        <v>224975.76</v>
      </c>
      <c r="G30" s="8"/>
      <c r="H30" s="8"/>
    </row>
    <row r="31" spans="1:8" x14ac:dyDescent="0.2">
      <c r="A31" s="20" t="s">
        <v>50</v>
      </c>
      <c r="B31" s="43"/>
      <c r="C31" s="40">
        <f>[2]Charters!C15</f>
        <v>23.786000000000001</v>
      </c>
      <c r="D31" s="41">
        <f>[2]Charters!E15</f>
        <v>75734.559999999998</v>
      </c>
      <c r="E31" s="8"/>
      <c r="F31" s="42">
        <f>+F29-F30</f>
        <v>0</v>
      </c>
      <c r="G31" s="8"/>
      <c r="H31" s="8"/>
    </row>
    <row r="32" spans="1:8" x14ac:dyDescent="0.2">
      <c r="A32" s="50"/>
      <c r="B32" s="51" t="s">
        <v>16</v>
      </c>
      <c r="C32" s="52">
        <f>SUM(C19:C31)</f>
        <v>314.38299999999998</v>
      </c>
      <c r="D32" s="53">
        <f>SUM(D19:D31)</f>
        <v>1000995.4</v>
      </c>
      <c r="E32" s="8"/>
      <c r="F32" s="8"/>
      <c r="G32" s="8"/>
      <c r="H32" s="8"/>
    </row>
    <row r="33" spans="1:8" x14ac:dyDescent="0.2">
      <c r="A33" s="54" t="s">
        <v>17</v>
      </c>
      <c r="B33" s="39"/>
      <c r="C33" s="55"/>
      <c r="D33" s="47"/>
      <c r="E33" s="8"/>
      <c r="F33" s="8"/>
      <c r="G33" s="8"/>
      <c r="H33" s="42" t="s">
        <v>29</v>
      </c>
    </row>
    <row r="34" spans="1:8" x14ac:dyDescent="0.2">
      <c r="A34" s="20" t="s">
        <v>33</v>
      </c>
      <c r="B34" s="43"/>
      <c r="C34" s="56"/>
      <c r="D34" s="57">
        <f>[4]Charters!C14</f>
        <v>2901.35</v>
      </c>
      <c r="E34" s="8"/>
      <c r="F34" s="8"/>
      <c r="G34" s="8"/>
      <c r="H34" s="42">
        <f>[4]Charters!F955</f>
        <v>1707919.59</v>
      </c>
    </row>
    <row r="35" spans="1:8" x14ac:dyDescent="0.2">
      <c r="A35" s="58" t="s">
        <v>35</v>
      </c>
      <c r="B35" s="43"/>
      <c r="C35" s="56"/>
      <c r="D35" s="41">
        <f>+[4]Charters!F335</f>
        <v>1093.74</v>
      </c>
      <c r="E35" s="8"/>
      <c r="F35" s="8"/>
      <c r="G35" s="8"/>
      <c r="H35" s="42">
        <f>SUM(D32:D51)</f>
        <v>1707919.59</v>
      </c>
    </row>
    <row r="36" spans="1:8" x14ac:dyDescent="0.2">
      <c r="A36" s="59" t="s">
        <v>36</v>
      </c>
      <c r="B36" s="43"/>
      <c r="C36" s="56"/>
      <c r="D36" s="41">
        <f>[4]Charters!E174</f>
        <v>12084</v>
      </c>
      <c r="E36" s="8"/>
      <c r="F36" s="8"/>
      <c r="G36" s="8"/>
      <c r="H36" s="42">
        <f>+H34-H35</f>
        <v>0</v>
      </c>
    </row>
    <row r="37" spans="1:8" x14ac:dyDescent="0.2">
      <c r="A37" s="59" t="s">
        <v>52</v>
      </c>
      <c r="B37" s="43"/>
      <c r="C37" s="56"/>
      <c r="D37" s="41">
        <f>[4]Charters!G335</f>
        <v>0</v>
      </c>
      <c r="E37" s="8"/>
      <c r="F37" s="42" t="s">
        <v>27</v>
      </c>
      <c r="G37" s="8"/>
      <c r="H37" s="42"/>
    </row>
    <row r="38" spans="1:8" x14ac:dyDescent="0.2">
      <c r="A38" s="20" t="s">
        <v>37</v>
      </c>
      <c r="B38" s="43"/>
      <c r="C38" s="56"/>
      <c r="D38" s="41">
        <f>[4]Charters!E491</f>
        <v>20996</v>
      </c>
      <c r="E38" s="8"/>
      <c r="F38" s="42">
        <f>[4]Charters!E174</f>
        <v>12084</v>
      </c>
      <c r="G38" s="8"/>
      <c r="H38" s="8"/>
    </row>
    <row r="39" spans="1:8" x14ac:dyDescent="0.2">
      <c r="A39" s="20" t="s">
        <v>38</v>
      </c>
      <c r="B39" s="43"/>
      <c r="C39" s="56"/>
      <c r="D39" s="41">
        <f>[4]Charters!F491</f>
        <v>0</v>
      </c>
      <c r="E39" s="8"/>
      <c r="F39" s="42">
        <f>SUM(D36:D36)</f>
        <v>12084</v>
      </c>
      <c r="G39" s="8"/>
      <c r="H39" s="8"/>
    </row>
    <row r="40" spans="1:8" x14ac:dyDescent="0.2">
      <c r="A40" s="59" t="s">
        <v>40</v>
      </c>
      <c r="B40" s="43"/>
      <c r="C40" s="56"/>
      <c r="D40" s="41">
        <f>[4]Charters!G491</f>
        <v>0</v>
      </c>
      <c r="E40" s="8"/>
      <c r="F40" s="42">
        <f>+F38-F39</f>
        <v>0</v>
      </c>
      <c r="G40" s="8"/>
      <c r="H40" s="8"/>
    </row>
    <row r="41" spans="1:8" x14ac:dyDescent="0.2">
      <c r="A41" s="20" t="s">
        <v>41</v>
      </c>
      <c r="B41" s="43"/>
      <c r="C41" s="56"/>
      <c r="D41" s="41">
        <f>[4]Charters!C646</f>
        <v>532266</v>
      </c>
      <c r="E41" s="8"/>
      <c r="F41" s="42" t="s">
        <v>28</v>
      </c>
      <c r="G41" s="8"/>
      <c r="H41" s="8"/>
    </row>
    <row r="42" spans="1:8" x14ac:dyDescent="0.2">
      <c r="A42" s="20" t="s">
        <v>42</v>
      </c>
      <c r="B42" s="43"/>
      <c r="C42" s="56"/>
      <c r="D42" s="41">
        <f>[4]Charters!D646</f>
        <v>87931.85</v>
      </c>
      <c r="E42" s="8"/>
      <c r="F42" s="42">
        <f>[4]Charters!D491</f>
        <v>13177.74</v>
      </c>
      <c r="G42" s="8"/>
      <c r="H42" s="8"/>
    </row>
    <row r="43" spans="1:8" x14ac:dyDescent="0.2">
      <c r="A43" s="20" t="s">
        <v>44</v>
      </c>
      <c r="B43" s="43"/>
      <c r="C43" s="56"/>
      <c r="D43" s="41">
        <f>[4]Charters!E646</f>
        <v>26600</v>
      </c>
      <c r="E43" s="8"/>
      <c r="F43" s="42">
        <f>SUM(D35:D37)</f>
        <v>13177.74</v>
      </c>
      <c r="G43" s="8"/>
      <c r="H43" s="8"/>
    </row>
    <row r="44" spans="1:8" x14ac:dyDescent="0.2">
      <c r="A44" s="59" t="s">
        <v>43</v>
      </c>
      <c r="B44" s="43"/>
      <c r="C44" s="56"/>
      <c r="D44" s="41">
        <f>[4]Charters!F646</f>
        <v>7249.04</v>
      </c>
      <c r="E44" s="8"/>
      <c r="F44" s="42">
        <f>+F42-F43</f>
        <v>0</v>
      </c>
      <c r="G44" s="8"/>
      <c r="H44" s="8"/>
    </row>
    <row r="45" spans="1:8" x14ac:dyDescent="0.2">
      <c r="A45" s="59" t="s">
        <v>45</v>
      </c>
      <c r="B45" s="43"/>
      <c r="C45" s="56"/>
      <c r="D45" s="41">
        <f>[4]Charters!C491</f>
        <v>0</v>
      </c>
      <c r="E45" s="8"/>
      <c r="F45" s="8"/>
      <c r="G45" s="8"/>
      <c r="H45" s="8"/>
    </row>
    <row r="46" spans="1:8" x14ac:dyDescent="0.2">
      <c r="A46" s="59" t="s">
        <v>46</v>
      </c>
      <c r="B46" s="43"/>
      <c r="C46" s="56"/>
      <c r="D46" s="41">
        <f>[4]Charters!C802</f>
        <v>0</v>
      </c>
      <c r="E46" s="8"/>
      <c r="F46" s="8"/>
      <c r="G46" s="8"/>
      <c r="H46" s="42" t="s">
        <v>31</v>
      </c>
    </row>
    <row r="47" spans="1:8" x14ac:dyDescent="0.2">
      <c r="A47" s="59" t="s">
        <v>51</v>
      </c>
      <c r="B47" s="43"/>
      <c r="C47" s="56"/>
      <c r="D47" s="60">
        <f>[4]Charters!D802</f>
        <v>486.21</v>
      </c>
      <c r="E47" s="8"/>
      <c r="F47" s="8"/>
      <c r="G47" s="8"/>
      <c r="H47" s="42">
        <f>[4]Charters!D1261</f>
        <v>1711038.53</v>
      </c>
    </row>
    <row r="48" spans="1:8" x14ac:dyDescent="0.2">
      <c r="A48" s="20" t="s">
        <v>47</v>
      </c>
      <c r="B48" s="43"/>
      <c r="C48" s="56"/>
      <c r="D48" s="60">
        <f>[4]Charters!E802</f>
        <v>15316</v>
      </c>
      <c r="E48" s="8"/>
      <c r="F48" s="8"/>
      <c r="G48" s="8"/>
      <c r="H48" s="42">
        <f>D57</f>
        <v>1711038.53</v>
      </c>
    </row>
    <row r="49" spans="1:8" x14ac:dyDescent="0.2">
      <c r="A49" s="20" t="s">
        <v>57</v>
      </c>
      <c r="B49" s="43"/>
      <c r="C49" s="56"/>
      <c r="D49" s="60">
        <f>[4]Charters!C955</f>
        <v>0</v>
      </c>
      <c r="E49" s="8"/>
      <c r="F49" s="8"/>
      <c r="G49" s="8"/>
      <c r="H49" s="42">
        <f>+H47-H48</f>
        <v>0</v>
      </c>
    </row>
    <row r="50" spans="1:8" x14ac:dyDescent="0.2">
      <c r="A50" s="59" t="s">
        <v>53</v>
      </c>
      <c r="B50" s="43"/>
      <c r="C50" s="56"/>
      <c r="D50" s="60">
        <f>[4]Charters!D955</f>
        <v>0</v>
      </c>
      <c r="E50" s="8"/>
      <c r="F50" s="42" t="s">
        <v>30</v>
      </c>
      <c r="G50" s="8"/>
      <c r="H50" s="8"/>
    </row>
    <row r="51" spans="1:8" x14ac:dyDescent="0.2">
      <c r="A51" s="59" t="s">
        <v>59</v>
      </c>
      <c r="B51" s="43"/>
      <c r="C51" s="56"/>
      <c r="D51" s="60">
        <f>[4]Charters!E955</f>
        <v>0</v>
      </c>
      <c r="E51" s="8"/>
      <c r="F51" s="8"/>
      <c r="G51" s="8"/>
      <c r="H51" s="8"/>
    </row>
    <row r="52" spans="1:8" x14ac:dyDescent="0.2">
      <c r="A52" s="38" t="s">
        <v>18</v>
      </c>
      <c r="B52" s="61"/>
      <c r="C52" s="62"/>
      <c r="D52" s="63"/>
      <c r="E52" s="8"/>
      <c r="F52" s="42">
        <f>[4]Charters!C1261</f>
        <v>3118.94</v>
      </c>
      <c r="G52" s="8"/>
      <c r="H52" s="8"/>
    </row>
    <row r="53" spans="1:8" x14ac:dyDescent="0.2">
      <c r="A53" s="59" t="s">
        <v>39</v>
      </c>
      <c r="B53" s="43"/>
      <c r="C53" s="56"/>
      <c r="D53" s="41">
        <f>[4]Charters!C1108</f>
        <v>3118.94</v>
      </c>
      <c r="E53" s="8"/>
      <c r="F53" s="42">
        <f>SUM(D53:D56)</f>
        <v>3118.94</v>
      </c>
      <c r="G53" s="8"/>
      <c r="H53" s="8"/>
    </row>
    <row r="54" spans="1:8" x14ac:dyDescent="0.2">
      <c r="A54" s="59" t="s">
        <v>48</v>
      </c>
      <c r="B54" s="43"/>
      <c r="C54" s="56"/>
      <c r="D54" s="41">
        <f>[4]Charters!D1108</f>
        <v>0</v>
      </c>
      <c r="E54" s="8"/>
      <c r="F54" s="42">
        <f>+F52-F53</f>
        <v>0</v>
      </c>
      <c r="G54" s="8"/>
      <c r="H54" s="8"/>
    </row>
    <row r="55" spans="1:8" x14ac:dyDescent="0.2">
      <c r="A55" s="59" t="s">
        <v>60</v>
      </c>
      <c r="B55" s="43"/>
      <c r="C55" s="56"/>
      <c r="D55" s="41">
        <f>[4]Charters!E1108</f>
        <v>0</v>
      </c>
      <c r="E55" s="8"/>
      <c r="F55" s="8"/>
      <c r="G55" s="8"/>
      <c r="H55" s="8"/>
    </row>
    <row r="56" spans="1:8" x14ac:dyDescent="0.2">
      <c r="A56" s="59" t="s">
        <v>61</v>
      </c>
      <c r="B56" s="43"/>
      <c r="C56" s="56"/>
      <c r="D56" s="41">
        <f>[4]Charters!F1108</f>
        <v>0</v>
      </c>
      <c r="E56" s="8"/>
      <c r="F56" s="8"/>
      <c r="G56" s="8"/>
      <c r="H56" s="8"/>
    </row>
    <row r="57" spans="1:8" ht="13.5" thickBot="1" x14ac:dyDescent="0.25">
      <c r="A57" s="64"/>
      <c r="B57" s="65"/>
      <c r="C57" s="66"/>
      <c r="D57" s="67">
        <f>SUM(D32:D56)</f>
        <v>1711038.53</v>
      </c>
      <c r="E57" s="8"/>
      <c r="F57" s="8"/>
      <c r="G57" s="8"/>
      <c r="H57" s="8"/>
    </row>
    <row r="58" spans="1:8" ht="13.5" thickTop="1" x14ac:dyDescent="0.2">
      <c r="A58" s="68"/>
      <c r="B58" s="43"/>
      <c r="C58" s="56"/>
      <c r="D58" s="69"/>
      <c r="E58" s="8"/>
      <c r="F58" s="8"/>
      <c r="G58" s="8"/>
      <c r="H58" s="8"/>
    </row>
    <row r="59" spans="1:8" x14ac:dyDescent="0.2">
      <c r="A59" s="38" t="s">
        <v>20</v>
      </c>
      <c r="B59" s="39"/>
      <c r="C59" s="70"/>
      <c r="D59" s="71" t="s">
        <v>21</v>
      </c>
      <c r="E59" s="8"/>
      <c r="F59" s="8"/>
      <c r="G59" s="8"/>
      <c r="H59" s="8"/>
    </row>
    <row r="60" spans="1:8" x14ac:dyDescent="0.2">
      <c r="A60" s="72" t="s">
        <v>22</v>
      </c>
      <c r="B60" s="73"/>
      <c r="C60" s="74"/>
      <c r="D60" s="41">
        <f>[5]Charters!C14</f>
        <v>672.33</v>
      </c>
      <c r="E60" s="42"/>
      <c r="F60" s="42"/>
      <c r="G60" s="42"/>
      <c r="H60" s="42"/>
    </row>
    <row r="61" spans="1:8" x14ac:dyDescent="0.2">
      <c r="A61" s="75"/>
      <c r="B61" s="61"/>
      <c r="C61" s="76"/>
      <c r="D61" s="77">
        <f>SUM(D60:D60)</f>
        <v>672.33</v>
      </c>
      <c r="E61" s="42"/>
      <c r="F61" s="42"/>
      <c r="G61" s="42"/>
      <c r="H61" s="42"/>
    </row>
    <row r="62" spans="1:8" x14ac:dyDescent="0.2">
      <c r="A62" s="78" t="s">
        <v>58</v>
      </c>
      <c r="B62" s="79"/>
      <c r="C62" s="80"/>
      <c r="D62" s="77">
        <f>D61+D57</f>
        <v>1711710.86</v>
      </c>
      <c r="E62" s="42"/>
      <c r="F62" s="42"/>
      <c r="G62" s="42"/>
      <c r="H62" s="42"/>
    </row>
    <row r="63" spans="1:8" x14ac:dyDescent="0.2">
      <c r="A63" s="84"/>
      <c r="B63" s="84"/>
      <c r="C63" s="85"/>
      <c r="D63" s="81"/>
      <c r="E63" s="42"/>
      <c r="F63" s="42"/>
      <c r="G63" s="42"/>
      <c r="H63" s="42"/>
    </row>
    <row r="64" spans="1:8" x14ac:dyDescent="0.2">
      <c r="A64" s="84"/>
      <c r="B64" s="84"/>
      <c r="C64" s="85"/>
      <c r="D64" s="81">
        <f>[5]Charters!E170</f>
        <v>1711710.86</v>
      </c>
      <c r="E64" s="42"/>
      <c r="F64" s="42"/>
      <c r="G64" s="42"/>
      <c r="H64" s="42"/>
    </row>
    <row r="65" spans="1:8" x14ac:dyDescent="0.2">
      <c r="A65" s="84"/>
      <c r="B65" s="84"/>
      <c r="C65" s="85"/>
      <c r="D65" s="81">
        <f>D62</f>
        <v>1711710.86</v>
      </c>
      <c r="E65" s="42"/>
      <c r="F65" s="42"/>
      <c r="G65" s="42"/>
      <c r="H65" s="42"/>
    </row>
    <row r="66" spans="1:8" x14ac:dyDescent="0.2">
      <c r="C66" s="83"/>
      <c r="D66" s="42">
        <f>D64-D65</f>
        <v>0</v>
      </c>
      <c r="E66" s="42"/>
      <c r="F66" s="42"/>
      <c r="G66" s="42"/>
      <c r="H66" s="42"/>
    </row>
  </sheetData>
  <mergeCells count="4">
    <mergeCell ref="A10:D10"/>
    <mergeCell ref="A8:D8"/>
    <mergeCell ref="A9:D9"/>
    <mergeCell ref="A62:C62"/>
  </mergeCells>
  <phoneticPr fontId="0" type="noConversion"/>
  <printOptions horizontalCentered="1" verticalCentered="1"/>
  <pageMargins left="0.5" right="0.5" top="0.5" bottom="0.5" header="0.25" footer="0.25"/>
  <pageSetup orientation="portrait" r:id="rId1"/>
  <headerFooter alignWithMargins="0">
    <oddHeader>&amp;R&amp;8Current as of: &amp;D</oddHeader>
    <oddFooter>&amp;L&amp;8USOE, School Finance</oddFooter>
  </headerFooter>
  <picture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pageSetUpPr fitToPage="1"/>
  </sheetPr>
  <dimension ref="A1:H67"/>
  <sheetViews>
    <sheetView showGridLines="0" workbookViewId="0">
      <selection activeCell="C12" sqref="C12"/>
    </sheetView>
  </sheetViews>
  <sheetFormatPr defaultColWidth="9.140625" defaultRowHeight="12.75" x14ac:dyDescent="0.2"/>
  <cols>
    <col min="1" max="1" width="31.85546875" style="82" customWidth="1"/>
    <col min="2" max="2" width="16.28515625" style="82" customWidth="1"/>
    <col min="3" max="4" width="14.85546875" style="82" customWidth="1"/>
    <col min="5" max="5" width="7" style="82" customWidth="1"/>
    <col min="6" max="6" width="19.7109375" style="82" customWidth="1"/>
    <col min="7" max="7" width="5.7109375" style="82" customWidth="1"/>
    <col min="8" max="8" width="18" style="82" customWidth="1"/>
    <col min="9" max="16384" width="9.140625" style="82"/>
  </cols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"/>
      <c r="B3" s="1"/>
      <c r="C3" s="1"/>
      <c r="D3" s="1"/>
      <c r="E3" s="1"/>
      <c r="F3" s="1"/>
      <c r="G3" s="1"/>
      <c r="H3" s="1"/>
    </row>
    <row r="4" spans="1:8" x14ac:dyDescent="0.2">
      <c r="A4" s="1"/>
      <c r="B4" s="1"/>
      <c r="C4" s="1"/>
      <c r="D4" s="1"/>
      <c r="E4" s="1"/>
      <c r="F4" s="1"/>
      <c r="G4" s="1"/>
      <c r="H4" s="1"/>
    </row>
    <row r="5" spans="1:8" x14ac:dyDescent="0.2">
      <c r="A5" s="1"/>
      <c r="B5" s="1"/>
      <c r="C5" s="1"/>
      <c r="D5" s="1"/>
      <c r="E5" s="1"/>
      <c r="F5" s="1"/>
      <c r="G5" s="1"/>
      <c r="H5" s="1"/>
    </row>
    <row r="6" spans="1:8" x14ac:dyDescent="0.2">
      <c r="A6" s="1"/>
      <c r="B6" s="1"/>
      <c r="C6" s="1"/>
      <c r="D6" s="1"/>
      <c r="E6" s="1"/>
      <c r="F6" s="1"/>
      <c r="G6" s="1"/>
      <c r="H6" s="1"/>
    </row>
    <row r="7" spans="1:8" x14ac:dyDescent="0.2">
      <c r="A7" s="1"/>
      <c r="B7" s="1"/>
      <c r="C7" s="1"/>
      <c r="D7" s="1"/>
      <c r="E7" s="1"/>
      <c r="F7" s="1"/>
      <c r="G7" s="1"/>
      <c r="H7" s="1"/>
    </row>
    <row r="8" spans="1:8" x14ac:dyDescent="0.2">
      <c r="A8" s="1"/>
      <c r="B8" s="1"/>
      <c r="C8" s="1"/>
      <c r="D8" s="1"/>
      <c r="E8" s="1"/>
      <c r="F8" s="1"/>
      <c r="G8" s="1"/>
      <c r="H8" s="1"/>
    </row>
    <row r="9" spans="1:8" x14ac:dyDescent="0.2">
      <c r="A9" s="11" t="s">
        <v>1</v>
      </c>
      <c r="B9" s="12"/>
      <c r="C9" s="12"/>
      <c r="D9" s="13"/>
      <c r="E9" s="8"/>
      <c r="F9" s="8"/>
      <c r="G9" s="8"/>
      <c r="H9" s="8"/>
    </row>
    <row r="10" spans="1:8" x14ac:dyDescent="0.2">
      <c r="A10" s="14" t="s">
        <v>15</v>
      </c>
      <c r="B10" s="15"/>
      <c r="C10" s="15"/>
      <c r="D10" s="16"/>
      <c r="E10" s="8"/>
      <c r="F10" s="8"/>
      <c r="G10" s="8"/>
      <c r="H10" s="8"/>
    </row>
    <row r="11" spans="1:8" x14ac:dyDescent="0.2">
      <c r="A11" s="17" t="s">
        <v>62</v>
      </c>
      <c r="B11" s="18"/>
      <c r="C11" s="18"/>
      <c r="D11" s="19"/>
      <c r="E11" s="8"/>
      <c r="F11" s="8"/>
      <c r="G11" s="8"/>
      <c r="H11" s="8"/>
    </row>
    <row r="12" spans="1:8" x14ac:dyDescent="0.2">
      <c r="A12" s="20"/>
      <c r="B12" s="21"/>
      <c r="C12" s="22"/>
      <c r="D12" s="23"/>
      <c r="E12" s="8"/>
      <c r="F12" s="8" t="s">
        <v>34</v>
      </c>
      <c r="G12" s="8"/>
      <c r="H12" s="8"/>
    </row>
    <row r="13" spans="1:8" ht="15.75" x14ac:dyDescent="0.25">
      <c r="A13" s="24" t="s">
        <v>2</v>
      </c>
      <c r="B13" s="25" t="str">
        <f>[1]Charters!B16</f>
        <v>Tuacahn HS for Performing Arts</v>
      </c>
      <c r="C13" s="26"/>
      <c r="D13" s="27"/>
      <c r="E13" s="8"/>
      <c r="F13" s="8"/>
      <c r="G13" s="8"/>
      <c r="H13" s="8"/>
    </row>
    <row r="14" spans="1:8" x14ac:dyDescent="0.2">
      <c r="A14" s="24"/>
      <c r="B14" s="28"/>
      <c r="C14" s="26"/>
      <c r="D14" s="27"/>
      <c r="E14" s="8"/>
      <c r="F14" s="8"/>
      <c r="G14" s="8"/>
      <c r="H14" s="8"/>
    </row>
    <row r="15" spans="1:8" x14ac:dyDescent="0.2">
      <c r="A15" s="29" t="s">
        <v>0</v>
      </c>
      <c r="B15" s="30">
        <f>[1]Charters!$E$6</f>
        <v>3184</v>
      </c>
      <c r="C15" s="26"/>
      <c r="D15" s="31"/>
      <c r="E15" s="8"/>
      <c r="F15" s="8"/>
      <c r="G15" s="8"/>
      <c r="H15" s="8"/>
    </row>
    <row r="16" spans="1:8" x14ac:dyDescent="0.2">
      <c r="A16" s="32"/>
      <c r="B16" s="6"/>
      <c r="C16" s="33"/>
      <c r="D16" s="34" t="s">
        <v>3</v>
      </c>
      <c r="E16" s="8"/>
      <c r="F16" s="8"/>
      <c r="G16" s="8"/>
      <c r="H16" s="8"/>
    </row>
    <row r="17" spans="1:8" x14ac:dyDescent="0.2">
      <c r="A17" s="29" t="s">
        <v>19</v>
      </c>
      <c r="B17" s="35">
        <f>[1]Charters!A16</f>
        <v>90</v>
      </c>
      <c r="C17" s="36" t="s">
        <v>4</v>
      </c>
      <c r="D17" s="37" t="s">
        <v>5</v>
      </c>
      <c r="E17" s="8"/>
      <c r="F17" s="8"/>
      <c r="G17" s="8"/>
      <c r="H17" s="8"/>
    </row>
    <row r="18" spans="1:8" x14ac:dyDescent="0.2">
      <c r="A18" s="38" t="s">
        <v>6</v>
      </c>
      <c r="B18" s="39"/>
      <c r="C18" s="40"/>
      <c r="D18" s="41"/>
      <c r="E18" s="8"/>
      <c r="F18" s="8"/>
      <c r="G18" s="8"/>
      <c r="H18" s="8"/>
    </row>
    <row r="19" spans="1:8" x14ac:dyDescent="0.2">
      <c r="A19" s="38" t="s">
        <v>7</v>
      </c>
      <c r="B19" s="39"/>
      <c r="C19" s="40"/>
      <c r="D19" s="41"/>
      <c r="E19" s="8"/>
      <c r="F19" s="42" t="s">
        <v>23</v>
      </c>
      <c r="G19" s="8"/>
      <c r="H19" s="42" t="s">
        <v>26</v>
      </c>
    </row>
    <row r="20" spans="1:8" x14ac:dyDescent="0.2">
      <c r="A20" s="20" t="s">
        <v>8</v>
      </c>
      <c r="B20" s="43"/>
      <c r="C20" s="44">
        <f>[1]Charters!C476</f>
        <v>451.94</v>
      </c>
      <c r="D20" s="45">
        <f>[1]Charters!E476</f>
        <v>1438975.7</v>
      </c>
      <c r="E20" s="8"/>
      <c r="F20" s="42">
        <f>[1]Charters!E631</f>
        <v>1568087.34</v>
      </c>
      <c r="G20" s="8"/>
      <c r="H20" s="42">
        <f>[2]Charters!E170</f>
        <v>1708916.14</v>
      </c>
    </row>
    <row r="21" spans="1:8" x14ac:dyDescent="0.2">
      <c r="A21" s="20" t="s">
        <v>14</v>
      </c>
      <c r="B21" s="43"/>
      <c r="C21" s="44">
        <f>[1]Charters!F476</f>
        <v>39.549999999999997</v>
      </c>
      <c r="D21" s="45">
        <f>[1]Charters!H476</f>
        <v>125927.64</v>
      </c>
      <c r="E21" s="8"/>
      <c r="F21" s="42">
        <f>SUM(D20:D22)</f>
        <v>1568087.34</v>
      </c>
      <c r="G21" s="8"/>
      <c r="H21" s="42">
        <f>D33</f>
        <v>1708916.14</v>
      </c>
    </row>
    <row r="22" spans="1:8" x14ac:dyDescent="0.2">
      <c r="A22" s="20" t="s">
        <v>32</v>
      </c>
      <c r="B22" s="43"/>
      <c r="C22" s="44">
        <f>[1]Charters!C169</f>
        <v>1</v>
      </c>
      <c r="D22" s="45">
        <f>[1]Charters!E169</f>
        <v>3184</v>
      </c>
      <c r="E22" s="8"/>
      <c r="F22" s="42">
        <f>+F20-F21</f>
        <v>0</v>
      </c>
      <c r="G22" s="8"/>
      <c r="H22" s="42">
        <f>+H20-H21</f>
        <v>0</v>
      </c>
    </row>
    <row r="23" spans="1:8" x14ac:dyDescent="0.2">
      <c r="A23" s="38" t="s">
        <v>9</v>
      </c>
      <c r="B23" s="39"/>
      <c r="C23" s="46"/>
      <c r="D23" s="47"/>
      <c r="E23" s="8"/>
      <c r="F23" s="8"/>
      <c r="G23" s="8"/>
      <c r="H23" s="8"/>
    </row>
    <row r="24" spans="1:8" x14ac:dyDescent="0.2">
      <c r="A24" s="20" t="s">
        <v>10</v>
      </c>
      <c r="B24" s="43"/>
      <c r="C24" s="40">
        <f>[3]Charters!C15</f>
        <v>35.633000000000003</v>
      </c>
      <c r="D24" s="41">
        <f>[3]Charters!E15</f>
        <v>113456.66</v>
      </c>
      <c r="E24" s="8"/>
      <c r="F24" s="42" t="s">
        <v>24</v>
      </c>
      <c r="G24" s="8"/>
      <c r="H24" s="8"/>
    </row>
    <row r="25" spans="1:8" x14ac:dyDescent="0.2">
      <c r="A25" s="48" t="s">
        <v>11</v>
      </c>
      <c r="B25" s="43"/>
      <c r="C25" s="40">
        <f>[3]Charters!F15</f>
        <v>0.81</v>
      </c>
      <c r="D25" s="49">
        <f>[3]Charters!H15</f>
        <v>2579.04</v>
      </c>
      <c r="E25" s="8"/>
      <c r="F25" s="42">
        <f>[3]Charters!N326</f>
        <v>120769.8</v>
      </c>
      <c r="G25" s="8"/>
      <c r="H25" s="8"/>
    </row>
    <row r="26" spans="1:8" x14ac:dyDescent="0.2">
      <c r="A26" s="48" t="s">
        <v>12</v>
      </c>
      <c r="B26" s="43"/>
      <c r="C26" s="40">
        <f>[3]Charters!C170</f>
        <v>0</v>
      </c>
      <c r="D26" s="41">
        <f>[3]Charters!E170</f>
        <v>0</v>
      </c>
      <c r="E26" s="8"/>
      <c r="F26" s="42">
        <f>SUM(D24:D30)</f>
        <v>120769.8</v>
      </c>
      <c r="G26" s="8"/>
      <c r="H26" s="8"/>
    </row>
    <row r="27" spans="1:8" x14ac:dyDescent="0.2">
      <c r="A27" s="20" t="s">
        <v>13</v>
      </c>
      <c r="B27" s="43"/>
      <c r="C27" s="40">
        <f>[3]Charters!F170</f>
        <v>0.70899999999999996</v>
      </c>
      <c r="D27" s="41">
        <f>[3]Charters!H170</f>
        <v>2259</v>
      </c>
      <c r="E27" s="8"/>
      <c r="F27" s="42">
        <f>+F25-F26</f>
        <v>0</v>
      </c>
      <c r="G27" s="8"/>
      <c r="H27" s="8"/>
    </row>
    <row r="28" spans="1:8" x14ac:dyDescent="0.2">
      <c r="A28" s="48" t="s">
        <v>54</v>
      </c>
      <c r="B28" s="43"/>
      <c r="C28" s="40">
        <f>[3]Charters!C326</f>
        <v>0.77700000000000002</v>
      </c>
      <c r="D28" s="41">
        <f>[3]Charters!E326</f>
        <v>2475.1</v>
      </c>
      <c r="E28" s="8"/>
      <c r="F28" s="8"/>
      <c r="G28" s="8"/>
      <c r="H28" s="8"/>
    </row>
    <row r="29" spans="1:8" x14ac:dyDescent="0.2">
      <c r="A29" s="48" t="s">
        <v>55</v>
      </c>
      <c r="B29" s="43"/>
      <c r="C29" s="40">
        <f>[3]Charters!F326</f>
        <v>0</v>
      </c>
      <c r="D29" s="41">
        <f>[3]Charters!H326</f>
        <v>0</v>
      </c>
      <c r="E29" s="8"/>
      <c r="F29" s="42" t="s">
        <v>25</v>
      </c>
      <c r="G29" s="8"/>
      <c r="H29" s="8"/>
    </row>
    <row r="30" spans="1:8" x14ac:dyDescent="0.2">
      <c r="A30" s="48" t="s">
        <v>56</v>
      </c>
      <c r="B30" s="43"/>
      <c r="C30" s="40">
        <f>[3]Charters!I326</f>
        <v>0</v>
      </c>
      <c r="D30" s="41">
        <f>[3]Charters!K326</f>
        <v>0</v>
      </c>
      <c r="E30" s="8"/>
      <c r="F30" s="42">
        <f>[2]Charters!H16</f>
        <v>140828.79999999999</v>
      </c>
      <c r="G30" s="8"/>
      <c r="H30" s="8"/>
    </row>
    <row r="31" spans="1:8" x14ac:dyDescent="0.2">
      <c r="A31" s="20" t="s">
        <v>49</v>
      </c>
      <c r="B31" s="43"/>
      <c r="C31" s="40">
        <f>[3]Charters!C483</f>
        <v>6.3</v>
      </c>
      <c r="D31" s="41">
        <f>[3]Charters!E483</f>
        <v>20059</v>
      </c>
      <c r="E31" s="8"/>
      <c r="F31" s="42">
        <f>SUM(D24:D32)</f>
        <v>140828.79999999999</v>
      </c>
      <c r="G31" s="8"/>
      <c r="H31" s="8"/>
    </row>
    <row r="32" spans="1:8" x14ac:dyDescent="0.2">
      <c r="A32" s="20" t="s">
        <v>50</v>
      </c>
      <c r="B32" s="43"/>
      <c r="C32" s="40">
        <f>[2]Charters!C16</f>
        <v>0</v>
      </c>
      <c r="D32" s="41">
        <f>[2]Charters!E16</f>
        <v>0</v>
      </c>
      <c r="E32" s="8"/>
      <c r="F32" s="42">
        <f>+F30-F31</f>
        <v>0</v>
      </c>
      <c r="G32" s="8"/>
      <c r="H32" s="8"/>
    </row>
    <row r="33" spans="1:8" x14ac:dyDescent="0.2">
      <c r="A33" s="50"/>
      <c r="B33" s="51" t="s">
        <v>16</v>
      </c>
      <c r="C33" s="52">
        <f>SUM(C20:C32)</f>
        <v>536.71900000000005</v>
      </c>
      <c r="D33" s="53">
        <f>SUM(D20:D32)</f>
        <v>1708916.14</v>
      </c>
      <c r="E33" s="8"/>
      <c r="F33" s="8"/>
      <c r="G33" s="8"/>
      <c r="H33" s="8"/>
    </row>
    <row r="34" spans="1:8" x14ac:dyDescent="0.2">
      <c r="A34" s="54" t="s">
        <v>17</v>
      </c>
      <c r="B34" s="39"/>
      <c r="C34" s="55"/>
      <c r="D34" s="47"/>
      <c r="E34" s="8"/>
      <c r="F34" s="8"/>
      <c r="G34" s="8"/>
      <c r="H34" s="42" t="s">
        <v>29</v>
      </c>
    </row>
    <row r="35" spans="1:8" x14ac:dyDescent="0.2">
      <c r="A35" s="20" t="s">
        <v>33</v>
      </c>
      <c r="B35" s="43"/>
      <c r="C35" s="56"/>
      <c r="D35" s="57">
        <f>[4]Charters!C15</f>
        <v>4944.01</v>
      </c>
      <c r="E35" s="8"/>
      <c r="F35" s="8"/>
      <c r="G35" s="8"/>
      <c r="H35" s="42">
        <f>[4]Charters!F956</f>
        <v>2737693.48</v>
      </c>
    </row>
    <row r="36" spans="1:8" x14ac:dyDescent="0.2">
      <c r="A36" s="58" t="s">
        <v>35</v>
      </c>
      <c r="B36" s="43"/>
      <c r="C36" s="56"/>
      <c r="D36" s="41">
        <f>+[4]Charters!F336</f>
        <v>2175.1799999999998</v>
      </c>
      <c r="E36" s="8"/>
      <c r="F36" s="8"/>
      <c r="G36" s="8"/>
      <c r="H36" s="42">
        <f>SUM(D33:D52)</f>
        <v>2737693.48</v>
      </c>
    </row>
    <row r="37" spans="1:8" x14ac:dyDescent="0.2">
      <c r="A37" s="59" t="s">
        <v>36</v>
      </c>
      <c r="B37" s="43"/>
      <c r="C37" s="56"/>
      <c r="D37" s="41">
        <f>[4]Charters!E175</f>
        <v>17917</v>
      </c>
      <c r="E37" s="8"/>
      <c r="F37" s="8"/>
      <c r="G37" s="8"/>
      <c r="H37" s="42">
        <f>+H35-H36</f>
        <v>0</v>
      </c>
    </row>
    <row r="38" spans="1:8" x14ac:dyDescent="0.2">
      <c r="A38" s="59" t="s">
        <v>52</v>
      </c>
      <c r="B38" s="43"/>
      <c r="C38" s="56"/>
      <c r="D38" s="41">
        <f>[4]Charters!G336</f>
        <v>8259.2999999999993</v>
      </c>
      <c r="E38" s="8"/>
      <c r="F38" s="42" t="s">
        <v>27</v>
      </c>
      <c r="G38" s="8"/>
      <c r="H38" s="42"/>
    </row>
    <row r="39" spans="1:8" x14ac:dyDescent="0.2">
      <c r="A39" s="20" t="s">
        <v>37</v>
      </c>
      <c r="B39" s="43"/>
      <c r="C39" s="56"/>
      <c r="D39" s="41">
        <f>[4]Charters!E492</f>
        <v>26453</v>
      </c>
      <c r="E39" s="8"/>
      <c r="F39" s="42">
        <f>[4]Charters!E175</f>
        <v>17917</v>
      </c>
      <c r="G39" s="8"/>
      <c r="H39" s="8"/>
    </row>
    <row r="40" spans="1:8" x14ac:dyDescent="0.2">
      <c r="A40" s="20" t="s">
        <v>38</v>
      </c>
      <c r="B40" s="43"/>
      <c r="C40" s="56"/>
      <c r="D40" s="41">
        <f>[4]Charters!F492</f>
        <v>0</v>
      </c>
      <c r="E40" s="8"/>
      <c r="F40" s="42">
        <f>SUM(D37:D37)</f>
        <v>17917</v>
      </c>
      <c r="G40" s="8"/>
      <c r="H40" s="8"/>
    </row>
    <row r="41" spans="1:8" x14ac:dyDescent="0.2">
      <c r="A41" s="59" t="s">
        <v>40</v>
      </c>
      <c r="B41" s="43"/>
      <c r="C41" s="56"/>
      <c r="D41" s="41">
        <f>[4]Charters!G492</f>
        <v>0</v>
      </c>
      <c r="E41" s="8"/>
      <c r="F41" s="42">
        <f>+F39-F40</f>
        <v>0</v>
      </c>
      <c r="G41" s="8"/>
      <c r="H41" s="8"/>
    </row>
    <row r="42" spans="1:8" x14ac:dyDescent="0.2">
      <c r="A42" s="20" t="s">
        <v>41</v>
      </c>
      <c r="B42" s="43"/>
      <c r="C42" s="56"/>
      <c r="D42" s="41">
        <f>[4]Charters!C647</f>
        <v>776388</v>
      </c>
      <c r="E42" s="8"/>
      <c r="F42" s="42" t="s">
        <v>28</v>
      </c>
      <c r="G42" s="8"/>
      <c r="H42" s="8"/>
    </row>
    <row r="43" spans="1:8" x14ac:dyDescent="0.2">
      <c r="A43" s="20" t="s">
        <v>42</v>
      </c>
      <c r="B43" s="43"/>
      <c r="C43" s="56"/>
      <c r="D43" s="41">
        <f>[4]Charters!D647</f>
        <v>116550.23</v>
      </c>
      <c r="E43" s="8"/>
      <c r="F43" s="42">
        <f>[4]Charters!D492</f>
        <v>28351.48</v>
      </c>
      <c r="G43" s="8"/>
      <c r="H43" s="8"/>
    </row>
    <row r="44" spans="1:8" x14ac:dyDescent="0.2">
      <c r="A44" s="20" t="s">
        <v>44</v>
      </c>
      <c r="B44" s="43"/>
      <c r="C44" s="56"/>
      <c r="D44" s="41">
        <f>[4]Charters!E647</f>
        <v>38800</v>
      </c>
      <c r="E44" s="8"/>
      <c r="F44" s="42">
        <f>SUM(D36:D38)</f>
        <v>28351.48</v>
      </c>
      <c r="G44" s="8"/>
      <c r="H44" s="8"/>
    </row>
    <row r="45" spans="1:8" x14ac:dyDescent="0.2">
      <c r="A45" s="59" t="s">
        <v>43</v>
      </c>
      <c r="B45" s="43"/>
      <c r="C45" s="56"/>
      <c r="D45" s="41">
        <f>[4]Charters!F647</f>
        <v>0</v>
      </c>
      <c r="E45" s="8"/>
      <c r="F45" s="42">
        <f>+F43-F44</f>
        <v>0</v>
      </c>
      <c r="G45" s="8"/>
      <c r="H45" s="8"/>
    </row>
    <row r="46" spans="1:8" x14ac:dyDescent="0.2">
      <c r="A46" s="59" t="s">
        <v>45</v>
      </c>
      <c r="B46" s="43"/>
      <c r="C46" s="56"/>
      <c r="D46" s="41">
        <f>[4]Charters!C492</f>
        <v>0</v>
      </c>
      <c r="E46" s="8"/>
      <c r="F46" s="8"/>
      <c r="G46" s="8"/>
      <c r="H46" s="8"/>
    </row>
    <row r="47" spans="1:8" x14ac:dyDescent="0.2">
      <c r="A47" s="59" t="s">
        <v>46</v>
      </c>
      <c r="B47" s="43"/>
      <c r="C47" s="56"/>
      <c r="D47" s="41">
        <f>[4]Charters!C803</f>
        <v>0</v>
      </c>
      <c r="E47" s="8"/>
      <c r="F47" s="8"/>
      <c r="G47" s="8"/>
      <c r="H47" s="42" t="s">
        <v>31</v>
      </c>
    </row>
    <row r="48" spans="1:8" x14ac:dyDescent="0.2">
      <c r="A48" s="59" t="s">
        <v>51</v>
      </c>
      <c r="B48" s="43"/>
      <c r="C48" s="56"/>
      <c r="D48" s="60">
        <f>[4]Charters!D803</f>
        <v>578.71</v>
      </c>
      <c r="E48" s="8"/>
      <c r="F48" s="8"/>
      <c r="G48" s="8"/>
      <c r="H48" s="42">
        <f>[4]Charters!D1262</f>
        <v>2741881.92</v>
      </c>
    </row>
    <row r="49" spans="1:8" x14ac:dyDescent="0.2">
      <c r="A49" s="20" t="s">
        <v>47</v>
      </c>
      <c r="B49" s="43"/>
      <c r="C49" s="56"/>
      <c r="D49" s="60">
        <f>[4]Charters!E803</f>
        <v>0</v>
      </c>
      <c r="E49" s="8"/>
      <c r="F49" s="8"/>
      <c r="G49" s="8"/>
      <c r="H49" s="42">
        <f>D58</f>
        <v>2741881.92</v>
      </c>
    </row>
    <row r="50" spans="1:8" x14ac:dyDescent="0.2">
      <c r="A50" s="20" t="s">
        <v>57</v>
      </c>
      <c r="B50" s="43"/>
      <c r="C50" s="56"/>
      <c r="D50" s="60">
        <f>[4]Charters!C956</f>
        <v>9751.91</v>
      </c>
      <c r="E50" s="8"/>
      <c r="F50" s="8"/>
      <c r="G50" s="8"/>
      <c r="H50" s="42">
        <f>+H48-H49</f>
        <v>0</v>
      </c>
    </row>
    <row r="51" spans="1:8" x14ac:dyDescent="0.2">
      <c r="A51" s="59" t="s">
        <v>53</v>
      </c>
      <c r="B51" s="43"/>
      <c r="C51" s="56"/>
      <c r="D51" s="60">
        <f>[4]Charters!D956</f>
        <v>26960</v>
      </c>
      <c r="E51" s="8"/>
      <c r="F51" s="42" t="s">
        <v>30</v>
      </c>
      <c r="G51" s="8"/>
      <c r="H51" s="8"/>
    </row>
    <row r="52" spans="1:8" x14ac:dyDescent="0.2">
      <c r="A52" s="59" t="s">
        <v>59</v>
      </c>
      <c r="B52" s="43"/>
      <c r="C52" s="56"/>
      <c r="D52" s="60">
        <f>[4]Charters!E956</f>
        <v>0</v>
      </c>
      <c r="E52" s="8"/>
      <c r="F52" s="8"/>
      <c r="G52" s="8"/>
      <c r="H52" s="8"/>
    </row>
    <row r="53" spans="1:8" x14ac:dyDescent="0.2">
      <c r="A53" s="38" t="s">
        <v>18</v>
      </c>
      <c r="B53" s="61"/>
      <c r="C53" s="62"/>
      <c r="D53" s="63"/>
      <c r="E53" s="8"/>
      <c r="F53" s="42">
        <f>[4]Charters!C1262</f>
        <v>4188.4399999999996</v>
      </c>
      <c r="G53" s="8"/>
      <c r="H53" s="8"/>
    </row>
    <row r="54" spans="1:8" x14ac:dyDescent="0.2">
      <c r="A54" s="59" t="s">
        <v>39</v>
      </c>
      <c r="B54" s="43"/>
      <c r="C54" s="56"/>
      <c r="D54" s="41">
        <f>[4]Charters!C1109</f>
        <v>4188.4399999999996</v>
      </c>
      <c r="E54" s="8"/>
      <c r="F54" s="42">
        <f>SUM(D54:D57)</f>
        <v>4188.4399999999996</v>
      </c>
      <c r="G54" s="8"/>
      <c r="H54" s="8"/>
    </row>
    <row r="55" spans="1:8" x14ac:dyDescent="0.2">
      <c r="A55" s="59" t="s">
        <v>48</v>
      </c>
      <c r="B55" s="43"/>
      <c r="C55" s="56"/>
      <c r="D55" s="41">
        <f>[4]Charters!D1109</f>
        <v>0</v>
      </c>
      <c r="E55" s="8"/>
      <c r="F55" s="42">
        <f>+F53-F54</f>
        <v>0</v>
      </c>
      <c r="G55" s="8"/>
      <c r="H55" s="8"/>
    </row>
    <row r="56" spans="1:8" x14ac:dyDescent="0.2">
      <c r="A56" s="59" t="s">
        <v>60</v>
      </c>
      <c r="B56" s="43"/>
      <c r="C56" s="56"/>
      <c r="D56" s="41">
        <f>[4]Charters!E1109</f>
        <v>0</v>
      </c>
      <c r="E56" s="8"/>
      <c r="F56" s="8"/>
      <c r="G56" s="8"/>
      <c r="H56" s="8"/>
    </row>
    <row r="57" spans="1:8" x14ac:dyDescent="0.2">
      <c r="A57" s="59" t="s">
        <v>61</v>
      </c>
      <c r="B57" s="43"/>
      <c r="C57" s="56"/>
      <c r="D57" s="41">
        <f>[4]Charters!F1109</f>
        <v>0</v>
      </c>
      <c r="E57" s="8"/>
      <c r="F57" s="8"/>
      <c r="G57" s="8"/>
      <c r="H57" s="8"/>
    </row>
    <row r="58" spans="1:8" ht="13.5" thickBot="1" x14ac:dyDescent="0.25">
      <c r="A58" s="64"/>
      <c r="B58" s="65"/>
      <c r="C58" s="66"/>
      <c r="D58" s="67">
        <f>SUM(D33:D57)</f>
        <v>2741881.92</v>
      </c>
      <c r="E58" s="8"/>
      <c r="F58" s="8"/>
      <c r="G58" s="8"/>
      <c r="H58" s="8"/>
    </row>
    <row r="59" spans="1:8" ht="13.5" thickTop="1" x14ac:dyDescent="0.2">
      <c r="A59" s="68"/>
      <c r="B59" s="43"/>
      <c r="C59" s="56"/>
      <c r="D59" s="69"/>
      <c r="E59" s="8"/>
      <c r="F59" s="8"/>
      <c r="G59" s="8"/>
      <c r="H59" s="8"/>
    </row>
    <row r="60" spans="1:8" x14ac:dyDescent="0.2">
      <c r="A60" s="38" t="s">
        <v>20</v>
      </c>
      <c r="B60" s="39"/>
      <c r="C60" s="70"/>
      <c r="D60" s="71" t="s">
        <v>21</v>
      </c>
      <c r="E60" s="42"/>
      <c r="F60" s="42"/>
      <c r="G60" s="42"/>
      <c r="H60" s="42"/>
    </row>
    <row r="61" spans="1:8" x14ac:dyDescent="0.2">
      <c r="A61" s="72" t="s">
        <v>22</v>
      </c>
      <c r="B61" s="73"/>
      <c r="C61" s="74"/>
      <c r="D61" s="41">
        <f>[5]Charters!C15</f>
        <v>884.59</v>
      </c>
      <c r="E61" s="42"/>
      <c r="F61" s="42"/>
      <c r="G61" s="42"/>
      <c r="H61" s="42"/>
    </row>
    <row r="62" spans="1:8" x14ac:dyDescent="0.2">
      <c r="A62" s="75"/>
      <c r="B62" s="61"/>
      <c r="C62" s="76"/>
      <c r="D62" s="77">
        <f>SUM(D61:D61)</f>
        <v>884.59</v>
      </c>
      <c r="E62" s="42"/>
      <c r="F62" s="42"/>
      <c r="G62" s="42"/>
      <c r="H62" s="42"/>
    </row>
    <row r="63" spans="1:8" x14ac:dyDescent="0.2">
      <c r="A63" s="78" t="s">
        <v>58</v>
      </c>
      <c r="B63" s="79"/>
      <c r="C63" s="80"/>
      <c r="D63" s="77">
        <f>D62+D58</f>
        <v>2742766.51</v>
      </c>
      <c r="E63" s="42"/>
      <c r="F63" s="42"/>
      <c r="G63" s="42"/>
      <c r="H63" s="42"/>
    </row>
    <row r="64" spans="1:8" x14ac:dyDescent="0.2">
      <c r="A64" s="84"/>
      <c r="B64" s="84"/>
      <c r="C64" s="85"/>
      <c r="D64" s="81"/>
      <c r="E64" s="42"/>
      <c r="F64" s="42"/>
      <c r="G64" s="42"/>
      <c r="H64" s="42"/>
    </row>
    <row r="65" spans="1:8" x14ac:dyDescent="0.2">
      <c r="A65" s="84"/>
      <c r="B65" s="84"/>
      <c r="C65" s="85"/>
      <c r="D65" s="81">
        <f>[5]Charters!E171</f>
        <v>2742766.51</v>
      </c>
      <c r="E65" s="42"/>
      <c r="F65" s="42"/>
      <c r="G65" s="42"/>
      <c r="H65" s="42"/>
    </row>
    <row r="66" spans="1:8" x14ac:dyDescent="0.2">
      <c r="A66" s="84"/>
      <c r="B66" s="84"/>
      <c r="C66" s="85"/>
      <c r="D66" s="81">
        <f>D63</f>
        <v>2742766.51</v>
      </c>
      <c r="E66" s="42"/>
      <c r="F66" s="42"/>
      <c r="G66" s="42"/>
      <c r="H66" s="42"/>
    </row>
    <row r="67" spans="1:8" x14ac:dyDescent="0.2">
      <c r="C67" s="83"/>
      <c r="D67" s="42">
        <f>D65-D66</f>
        <v>0</v>
      </c>
      <c r="E67" s="42"/>
      <c r="F67" s="42"/>
      <c r="G67" s="42"/>
      <c r="H67" s="42"/>
    </row>
  </sheetData>
  <mergeCells count="4">
    <mergeCell ref="A11:D11"/>
    <mergeCell ref="A9:D9"/>
    <mergeCell ref="A10:D10"/>
    <mergeCell ref="A63:C63"/>
  </mergeCells>
  <phoneticPr fontId="0" type="noConversion"/>
  <printOptions horizontalCentered="1" verticalCentered="1"/>
  <pageMargins left="0.5" right="0.5" top="0.5" bottom="0.5" header="0.25" footer="0.25"/>
  <pageSetup orientation="portrait" r:id="rId1"/>
  <headerFooter alignWithMargins="0">
    <oddHeader>&amp;R&amp;8Current as of: &amp;D</oddHeader>
    <oddFooter>&amp;L&amp;8USOE, School Finance</oddFooter>
  </headerFooter>
  <picture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pageSetUpPr fitToPage="1"/>
  </sheetPr>
  <dimension ref="A1:H68"/>
  <sheetViews>
    <sheetView showGridLines="0" topLeftCell="A4" workbookViewId="0">
      <selection activeCell="C12" sqref="C12"/>
    </sheetView>
  </sheetViews>
  <sheetFormatPr defaultColWidth="9.140625" defaultRowHeight="12.75" x14ac:dyDescent="0.2"/>
  <cols>
    <col min="1" max="1" width="31.85546875" style="82" customWidth="1"/>
    <col min="2" max="2" width="16.28515625" style="82" customWidth="1"/>
    <col min="3" max="4" width="14.85546875" style="82" customWidth="1"/>
    <col min="5" max="5" width="7" style="82" customWidth="1"/>
    <col min="6" max="6" width="19.7109375" style="82" customWidth="1"/>
    <col min="7" max="7" width="5.7109375" style="82" customWidth="1"/>
    <col min="8" max="8" width="18" style="82" customWidth="1"/>
    <col min="9" max="16384" width="9.140625" style="82"/>
  </cols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"/>
      <c r="B3" s="1"/>
      <c r="C3" s="1"/>
      <c r="D3" s="1"/>
      <c r="E3" s="1"/>
      <c r="F3" s="1"/>
      <c r="G3" s="1"/>
      <c r="H3" s="1"/>
    </row>
    <row r="4" spans="1:8" x14ac:dyDescent="0.2">
      <c r="A4" s="1"/>
      <c r="B4" s="1"/>
      <c r="C4" s="1"/>
      <c r="D4" s="1"/>
      <c r="E4" s="1"/>
      <c r="F4" s="1"/>
      <c r="G4" s="1"/>
      <c r="H4" s="1"/>
    </row>
    <row r="5" spans="1:8" x14ac:dyDescent="0.2">
      <c r="A5" s="1"/>
      <c r="B5" s="1"/>
      <c r="C5" s="1"/>
      <c r="D5" s="1"/>
      <c r="E5" s="1"/>
      <c r="F5" s="1"/>
      <c r="G5" s="1"/>
      <c r="H5" s="1"/>
    </row>
    <row r="6" spans="1:8" x14ac:dyDescent="0.2">
      <c r="A6" s="1"/>
      <c r="B6" s="1"/>
      <c r="C6" s="1"/>
      <c r="D6" s="1"/>
      <c r="E6" s="1"/>
      <c r="F6" s="1"/>
      <c r="G6" s="1"/>
      <c r="H6" s="1"/>
    </row>
    <row r="7" spans="1:8" x14ac:dyDescent="0.2">
      <c r="A7" s="1"/>
      <c r="B7" s="1"/>
      <c r="C7" s="1"/>
      <c r="D7" s="1"/>
      <c r="E7" s="1"/>
      <c r="F7" s="1"/>
      <c r="G7" s="1"/>
      <c r="H7" s="1"/>
    </row>
    <row r="8" spans="1:8" x14ac:dyDescent="0.2">
      <c r="A8" s="1"/>
      <c r="B8" s="1"/>
      <c r="C8" s="1"/>
      <c r="D8" s="1"/>
      <c r="E8" s="1"/>
      <c r="F8" s="1"/>
      <c r="G8" s="1"/>
      <c r="H8" s="1"/>
    </row>
    <row r="9" spans="1:8" x14ac:dyDescent="0.2">
      <c r="A9" s="1"/>
      <c r="B9" s="1"/>
      <c r="C9" s="1"/>
      <c r="D9" s="1"/>
      <c r="E9" s="1"/>
      <c r="F9" s="1"/>
      <c r="G9" s="1"/>
      <c r="H9" s="1"/>
    </row>
    <row r="10" spans="1:8" x14ac:dyDescent="0.2">
      <c r="A10" s="11" t="s">
        <v>1</v>
      </c>
      <c r="B10" s="12"/>
      <c r="C10" s="12"/>
      <c r="D10" s="13"/>
      <c r="E10" s="8"/>
      <c r="F10" s="8"/>
      <c r="G10" s="8"/>
      <c r="H10" s="8"/>
    </row>
    <row r="11" spans="1:8" x14ac:dyDescent="0.2">
      <c r="A11" s="14" t="s">
        <v>15</v>
      </c>
      <c r="B11" s="15"/>
      <c r="C11" s="15"/>
      <c r="D11" s="16"/>
      <c r="E11" s="8"/>
      <c r="F11" s="8"/>
      <c r="G11" s="8"/>
      <c r="H11" s="8"/>
    </row>
    <row r="12" spans="1:8" x14ac:dyDescent="0.2">
      <c r="A12" s="17" t="s">
        <v>62</v>
      </c>
      <c r="B12" s="18"/>
      <c r="C12" s="18"/>
      <c r="D12" s="19"/>
      <c r="E12" s="8"/>
      <c r="F12" s="8"/>
      <c r="G12" s="8"/>
      <c r="H12" s="8"/>
    </row>
    <row r="13" spans="1:8" x14ac:dyDescent="0.2">
      <c r="A13" s="20"/>
      <c r="B13" s="21"/>
      <c r="C13" s="22"/>
      <c r="D13" s="23"/>
      <c r="E13" s="8"/>
      <c r="F13" s="8" t="s">
        <v>34</v>
      </c>
      <c r="G13" s="8"/>
      <c r="H13" s="8"/>
    </row>
    <row r="14" spans="1:8" ht="15.75" x14ac:dyDescent="0.25">
      <c r="A14" s="24" t="s">
        <v>2</v>
      </c>
      <c r="B14" s="25" t="str">
        <f>[1]Charters!B17</f>
        <v>Uintah River High School</v>
      </c>
      <c r="C14" s="26"/>
      <c r="D14" s="27"/>
      <c r="E14" s="8"/>
      <c r="F14" s="8"/>
      <c r="G14" s="8"/>
      <c r="H14" s="8"/>
    </row>
    <row r="15" spans="1:8" x14ac:dyDescent="0.2">
      <c r="A15" s="24"/>
      <c r="B15" s="28"/>
      <c r="C15" s="26"/>
      <c r="D15" s="27"/>
      <c r="E15" s="8"/>
      <c r="F15" s="8"/>
      <c r="G15" s="8"/>
      <c r="H15" s="8"/>
    </row>
    <row r="16" spans="1:8" x14ac:dyDescent="0.2">
      <c r="A16" s="29" t="s">
        <v>0</v>
      </c>
      <c r="B16" s="30">
        <f>[1]Charters!$E$6</f>
        <v>3184</v>
      </c>
      <c r="C16" s="26"/>
      <c r="D16" s="31"/>
      <c r="E16" s="8"/>
      <c r="F16" s="8"/>
      <c r="G16" s="8"/>
      <c r="H16" s="8"/>
    </row>
    <row r="17" spans="1:8" x14ac:dyDescent="0.2">
      <c r="A17" s="32"/>
      <c r="B17" s="6"/>
      <c r="C17" s="33"/>
      <c r="D17" s="34" t="s">
        <v>3</v>
      </c>
      <c r="E17" s="8"/>
      <c r="F17" s="8"/>
      <c r="G17" s="8"/>
      <c r="H17" s="8"/>
    </row>
    <row r="18" spans="1:8" x14ac:dyDescent="0.2">
      <c r="A18" s="29" t="s">
        <v>19</v>
      </c>
      <c r="B18" s="35">
        <f>[1]Charters!A17</f>
        <v>92</v>
      </c>
      <c r="C18" s="36" t="s">
        <v>4</v>
      </c>
      <c r="D18" s="37" t="s">
        <v>5</v>
      </c>
      <c r="E18" s="8"/>
      <c r="F18" s="8"/>
      <c r="G18" s="8"/>
      <c r="H18" s="8"/>
    </row>
    <row r="19" spans="1:8" x14ac:dyDescent="0.2">
      <c r="A19" s="38" t="s">
        <v>6</v>
      </c>
      <c r="B19" s="39"/>
      <c r="C19" s="40"/>
      <c r="D19" s="41"/>
      <c r="E19" s="8"/>
      <c r="F19" s="8"/>
      <c r="G19" s="8"/>
      <c r="H19" s="8"/>
    </row>
    <row r="20" spans="1:8" x14ac:dyDescent="0.2">
      <c r="A20" s="38" t="s">
        <v>7</v>
      </c>
      <c r="B20" s="39"/>
      <c r="C20" s="40"/>
      <c r="D20" s="41"/>
      <c r="E20" s="8"/>
      <c r="F20" s="42" t="s">
        <v>23</v>
      </c>
      <c r="G20" s="8"/>
      <c r="H20" s="42" t="s">
        <v>26</v>
      </c>
    </row>
    <row r="21" spans="1:8" x14ac:dyDescent="0.2">
      <c r="A21" s="20" t="s">
        <v>8</v>
      </c>
      <c r="B21" s="43"/>
      <c r="C21" s="44">
        <f>[1]Charters!C477</f>
        <v>86.18</v>
      </c>
      <c r="D21" s="45">
        <f>[1]Charters!E477</f>
        <v>274395.73</v>
      </c>
      <c r="E21" s="8"/>
      <c r="F21" s="42">
        <f>[1]Charters!E632</f>
        <v>296343.52</v>
      </c>
      <c r="G21" s="8"/>
      <c r="H21" s="42">
        <f>[2]Charters!E171</f>
        <v>340629.16</v>
      </c>
    </row>
    <row r="22" spans="1:8" x14ac:dyDescent="0.2">
      <c r="A22" s="20" t="s">
        <v>14</v>
      </c>
      <c r="B22" s="43"/>
      <c r="C22" s="44">
        <f>[1]Charters!F477</f>
        <v>6.8929999999999998</v>
      </c>
      <c r="D22" s="45">
        <f>[1]Charters!H477</f>
        <v>21947.79</v>
      </c>
      <c r="E22" s="8"/>
      <c r="F22" s="42">
        <f>SUM(D21:D23)</f>
        <v>296343.52</v>
      </c>
      <c r="G22" s="8"/>
      <c r="H22" s="42">
        <f>D34</f>
        <v>340629.16</v>
      </c>
    </row>
    <row r="23" spans="1:8" x14ac:dyDescent="0.2">
      <c r="A23" s="20" t="s">
        <v>32</v>
      </c>
      <c r="B23" s="43"/>
      <c r="C23" s="44">
        <f>[1]Charters!C170</f>
        <v>0</v>
      </c>
      <c r="D23" s="45">
        <f>[1]Charters!E170</f>
        <v>0</v>
      </c>
      <c r="E23" s="8"/>
      <c r="F23" s="42">
        <f>+F21-F22</f>
        <v>0</v>
      </c>
      <c r="G23" s="8"/>
      <c r="H23" s="42">
        <f>+H21-H22</f>
        <v>0</v>
      </c>
    </row>
    <row r="24" spans="1:8" x14ac:dyDescent="0.2">
      <c r="A24" s="38" t="s">
        <v>9</v>
      </c>
      <c r="B24" s="39"/>
      <c r="C24" s="46"/>
      <c r="D24" s="47"/>
      <c r="E24" s="8"/>
      <c r="F24" s="8"/>
      <c r="G24" s="8"/>
      <c r="H24" s="8"/>
    </row>
    <row r="25" spans="1:8" x14ac:dyDescent="0.2">
      <c r="A25" s="20" t="s">
        <v>10</v>
      </c>
      <c r="B25" s="43"/>
      <c r="C25" s="40">
        <f>[3]Charters!C16</f>
        <v>13.010999999999999</v>
      </c>
      <c r="D25" s="41">
        <f>[3]Charters!E16</f>
        <v>41426.61</v>
      </c>
      <c r="E25" s="8"/>
      <c r="F25" s="42" t="s">
        <v>24</v>
      </c>
      <c r="G25" s="8"/>
      <c r="H25" s="8"/>
    </row>
    <row r="26" spans="1:8" x14ac:dyDescent="0.2">
      <c r="A26" s="48" t="s">
        <v>11</v>
      </c>
      <c r="B26" s="43"/>
      <c r="C26" s="40">
        <f>[3]Charters!F16</f>
        <v>0</v>
      </c>
      <c r="D26" s="49">
        <f>[3]Charters!H16</f>
        <v>0</v>
      </c>
      <c r="E26" s="8"/>
      <c r="F26" s="42">
        <f>[3]Charters!N327</f>
        <v>44285.64</v>
      </c>
      <c r="G26" s="8"/>
      <c r="H26" s="8"/>
    </row>
    <row r="27" spans="1:8" x14ac:dyDescent="0.2">
      <c r="A27" s="48" t="s">
        <v>12</v>
      </c>
      <c r="B27" s="43"/>
      <c r="C27" s="40">
        <f>[3]Charters!C171</f>
        <v>0</v>
      </c>
      <c r="D27" s="41">
        <f>[3]Charters!E171</f>
        <v>0</v>
      </c>
      <c r="E27" s="8"/>
      <c r="F27" s="42">
        <f>SUM(D25:D31)</f>
        <v>44285.64</v>
      </c>
      <c r="G27" s="8"/>
      <c r="H27" s="8"/>
    </row>
    <row r="28" spans="1:8" x14ac:dyDescent="0.2">
      <c r="A28" s="20" t="s">
        <v>13</v>
      </c>
      <c r="B28" s="43"/>
      <c r="C28" s="40">
        <f>[3]Charters!F171</f>
        <v>0.70899999999999996</v>
      </c>
      <c r="D28" s="41">
        <f>[3]Charters!H171</f>
        <v>2259</v>
      </c>
      <c r="E28" s="8"/>
      <c r="F28" s="42">
        <f>+F26-F27</f>
        <v>0</v>
      </c>
      <c r="G28" s="8"/>
      <c r="H28" s="8"/>
    </row>
    <row r="29" spans="1:8" x14ac:dyDescent="0.2">
      <c r="A29" s="48" t="s">
        <v>54</v>
      </c>
      <c r="B29" s="43"/>
      <c r="C29" s="40">
        <f>[3]Charters!C327</f>
        <v>0.188</v>
      </c>
      <c r="D29" s="41">
        <f>[3]Charters!E327</f>
        <v>600.03</v>
      </c>
      <c r="E29" s="8"/>
      <c r="F29" s="8"/>
      <c r="G29" s="8"/>
      <c r="H29" s="8"/>
    </row>
    <row r="30" spans="1:8" x14ac:dyDescent="0.2">
      <c r="A30" s="48" t="s">
        <v>55</v>
      </c>
      <c r="B30" s="43"/>
      <c r="C30" s="40">
        <f>[3]Charters!F327</f>
        <v>0</v>
      </c>
      <c r="D30" s="41">
        <f>[3]Charters!H327</f>
        <v>0</v>
      </c>
      <c r="E30" s="8"/>
      <c r="F30" s="42" t="s">
        <v>25</v>
      </c>
      <c r="G30" s="8"/>
      <c r="H30" s="8"/>
    </row>
    <row r="31" spans="1:8" x14ac:dyDescent="0.2">
      <c r="A31" s="48" t="s">
        <v>56</v>
      </c>
      <c r="B31" s="43"/>
      <c r="C31" s="40">
        <f>[3]Charters!I327</f>
        <v>0</v>
      </c>
      <c r="D31" s="41">
        <f>[3]Charters!K327</f>
        <v>0</v>
      </c>
      <c r="E31" s="8"/>
      <c r="F31" s="42">
        <f>[2]Charters!H17</f>
        <v>44285.64</v>
      </c>
      <c r="G31" s="8"/>
      <c r="H31" s="8"/>
    </row>
    <row r="32" spans="1:8" x14ac:dyDescent="0.2">
      <c r="A32" s="20" t="s">
        <v>49</v>
      </c>
      <c r="B32" s="43"/>
      <c r="C32" s="40">
        <f>[3]Charters!C484</f>
        <v>0</v>
      </c>
      <c r="D32" s="41">
        <f>[3]Charters!E484</f>
        <v>0</v>
      </c>
      <c r="E32" s="8"/>
      <c r="F32" s="42">
        <f>SUM(D25:D33)</f>
        <v>44285.64</v>
      </c>
      <c r="G32" s="8"/>
      <c r="H32" s="8"/>
    </row>
    <row r="33" spans="1:8" x14ac:dyDescent="0.2">
      <c r="A33" s="20" t="s">
        <v>50</v>
      </c>
      <c r="B33" s="43"/>
      <c r="C33" s="40">
        <f>[2]Charters!C17</f>
        <v>0</v>
      </c>
      <c r="D33" s="41">
        <f>[2]Charters!E17</f>
        <v>0</v>
      </c>
      <c r="E33" s="8"/>
      <c r="F33" s="42">
        <f>+F31-F32</f>
        <v>0</v>
      </c>
      <c r="G33" s="8"/>
      <c r="H33" s="8"/>
    </row>
    <row r="34" spans="1:8" x14ac:dyDescent="0.2">
      <c r="A34" s="50"/>
      <c r="B34" s="51" t="s">
        <v>16</v>
      </c>
      <c r="C34" s="52">
        <f>SUM(C21:C33)</f>
        <v>106.98099999999999</v>
      </c>
      <c r="D34" s="53">
        <f>SUM(D21:D33)</f>
        <v>340629.16</v>
      </c>
      <c r="E34" s="8"/>
      <c r="F34" s="8"/>
      <c r="G34" s="8"/>
      <c r="H34" s="8"/>
    </row>
    <row r="35" spans="1:8" x14ac:dyDescent="0.2">
      <c r="A35" s="54" t="s">
        <v>17</v>
      </c>
      <c r="B35" s="39"/>
      <c r="C35" s="55"/>
      <c r="D35" s="47"/>
      <c r="E35" s="8"/>
      <c r="F35" s="8"/>
      <c r="G35" s="8"/>
      <c r="H35" s="42" t="s">
        <v>29</v>
      </c>
    </row>
    <row r="36" spans="1:8" x14ac:dyDescent="0.2">
      <c r="A36" s="20" t="s">
        <v>33</v>
      </c>
      <c r="B36" s="43"/>
      <c r="C36" s="56"/>
      <c r="D36" s="57">
        <f>[4]Charters!C16</f>
        <v>987.3</v>
      </c>
      <c r="E36" s="8"/>
      <c r="F36" s="8"/>
      <c r="G36" s="8"/>
      <c r="H36" s="42">
        <f>[4]Charters!F957</f>
        <v>561704.32999999996</v>
      </c>
    </row>
    <row r="37" spans="1:8" x14ac:dyDescent="0.2">
      <c r="A37" s="58" t="s">
        <v>35</v>
      </c>
      <c r="B37" s="43"/>
      <c r="C37" s="56"/>
      <c r="D37" s="41">
        <f>+[4]Charters!F337</f>
        <v>414.78</v>
      </c>
      <c r="E37" s="8"/>
      <c r="F37" s="8"/>
      <c r="G37" s="8"/>
      <c r="H37" s="42">
        <f>SUM(D34:D53)</f>
        <v>561704.32999999996</v>
      </c>
    </row>
    <row r="38" spans="1:8" x14ac:dyDescent="0.2">
      <c r="A38" s="59" t="s">
        <v>36</v>
      </c>
      <c r="B38" s="43"/>
      <c r="C38" s="56"/>
      <c r="D38" s="41">
        <f>[4]Charters!E176</f>
        <v>10004</v>
      </c>
      <c r="E38" s="8"/>
      <c r="F38" s="8"/>
      <c r="G38" s="8"/>
      <c r="H38" s="42">
        <f>+H36-H37</f>
        <v>0</v>
      </c>
    </row>
    <row r="39" spans="1:8" x14ac:dyDescent="0.2">
      <c r="A39" s="59" t="s">
        <v>52</v>
      </c>
      <c r="B39" s="43"/>
      <c r="C39" s="56"/>
      <c r="D39" s="41">
        <f>[4]Charters!G337</f>
        <v>327.51</v>
      </c>
      <c r="E39" s="8"/>
      <c r="F39" s="42" t="s">
        <v>27</v>
      </c>
      <c r="G39" s="8"/>
      <c r="H39" s="42"/>
    </row>
    <row r="40" spans="1:8" x14ac:dyDescent="0.2">
      <c r="A40" s="20" t="s">
        <v>37</v>
      </c>
      <c r="B40" s="43"/>
      <c r="C40" s="56"/>
      <c r="D40" s="41">
        <f>[4]Charters!E493</f>
        <v>20994</v>
      </c>
      <c r="E40" s="8"/>
      <c r="F40" s="42">
        <f>[4]Charters!E176</f>
        <v>10004</v>
      </c>
      <c r="G40" s="8"/>
      <c r="H40" s="8"/>
    </row>
    <row r="41" spans="1:8" x14ac:dyDescent="0.2">
      <c r="A41" s="20" t="s">
        <v>38</v>
      </c>
      <c r="B41" s="43"/>
      <c r="C41" s="56"/>
      <c r="D41" s="41">
        <f>[4]Charters!F493</f>
        <v>0</v>
      </c>
      <c r="E41" s="8"/>
      <c r="F41" s="42">
        <f>SUM(D38:D38)</f>
        <v>10004</v>
      </c>
      <c r="G41" s="8"/>
      <c r="H41" s="8"/>
    </row>
    <row r="42" spans="1:8" x14ac:dyDescent="0.2">
      <c r="A42" s="59" t="s">
        <v>40</v>
      </c>
      <c r="B42" s="43"/>
      <c r="C42" s="56"/>
      <c r="D42" s="41">
        <f>[4]Charters!G493</f>
        <v>0</v>
      </c>
      <c r="E42" s="8"/>
      <c r="F42" s="42">
        <f>+F40-F41</f>
        <v>0</v>
      </c>
      <c r="G42" s="8"/>
      <c r="H42" s="8"/>
    </row>
    <row r="43" spans="1:8" x14ac:dyDescent="0.2">
      <c r="A43" s="20" t="s">
        <v>41</v>
      </c>
      <c r="B43" s="43"/>
      <c r="C43" s="56"/>
      <c r="D43" s="41">
        <f>[4]Charters!C648</f>
        <v>152076</v>
      </c>
      <c r="E43" s="8"/>
      <c r="F43" s="42" t="s">
        <v>28</v>
      </c>
      <c r="G43" s="8"/>
      <c r="H43" s="8"/>
    </row>
    <row r="44" spans="1:8" x14ac:dyDescent="0.2">
      <c r="A44" s="20" t="s">
        <v>42</v>
      </c>
      <c r="B44" s="43"/>
      <c r="C44" s="56"/>
      <c r="D44" s="41">
        <f>[4]Charters!D648</f>
        <v>28395.39</v>
      </c>
      <c r="E44" s="8"/>
      <c r="F44" s="42">
        <f>[4]Charters!D493</f>
        <v>10746.29</v>
      </c>
      <c r="G44" s="8"/>
      <c r="H44" s="8"/>
    </row>
    <row r="45" spans="1:8" x14ac:dyDescent="0.2">
      <c r="A45" s="20" t="s">
        <v>44</v>
      </c>
      <c r="B45" s="43"/>
      <c r="C45" s="56"/>
      <c r="D45" s="41">
        <f>[4]Charters!E648</f>
        <v>7600</v>
      </c>
      <c r="E45" s="8"/>
      <c r="F45" s="42">
        <f>SUM(D37:D39)</f>
        <v>10746.29</v>
      </c>
      <c r="G45" s="8"/>
      <c r="H45" s="8"/>
    </row>
    <row r="46" spans="1:8" x14ac:dyDescent="0.2">
      <c r="A46" s="59" t="s">
        <v>43</v>
      </c>
      <c r="B46" s="43"/>
      <c r="C46" s="56"/>
      <c r="D46" s="41">
        <f>[4]Charters!F648</f>
        <v>0</v>
      </c>
      <c r="E46" s="8"/>
      <c r="F46" s="42">
        <f>+F44-F45</f>
        <v>0</v>
      </c>
      <c r="G46" s="8"/>
      <c r="H46" s="8"/>
    </row>
    <row r="47" spans="1:8" x14ac:dyDescent="0.2">
      <c r="A47" s="59" t="s">
        <v>45</v>
      </c>
      <c r="B47" s="43"/>
      <c r="C47" s="56"/>
      <c r="D47" s="41">
        <f>[4]Charters!C493</f>
        <v>0</v>
      </c>
      <c r="E47" s="8"/>
      <c r="F47" s="8"/>
      <c r="G47" s="8"/>
      <c r="H47" s="8"/>
    </row>
    <row r="48" spans="1:8" x14ac:dyDescent="0.2">
      <c r="A48" s="59" t="s">
        <v>46</v>
      </c>
      <c r="B48" s="43"/>
      <c r="C48" s="56"/>
      <c r="D48" s="41">
        <f>[4]Charters!C804</f>
        <v>0</v>
      </c>
      <c r="E48" s="8"/>
      <c r="F48" s="8"/>
      <c r="G48" s="8"/>
      <c r="H48" s="42" t="s">
        <v>31</v>
      </c>
    </row>
    <row r="49" spans="1:8" x14ac:dyDescent="0.2">
      <c r="A49" s="59" t="s">
        <v>51</v>
      </c>
      <c r="B49" s="43"/>
      <c r="C49" s="56"/>
      <c r="D49" s="60">
        <f>[4]Charters!D804</f>
        <v>276.19</v>
      </c>
      <c r="E49" s="8"/>
      <c r="F49" s="8"/>
      <c r="G49" s="8"/>
      <c r="H49" s="42">
        <f>[4]Charters!D1263</f>
        <v>562694.96</v>
      </c>
    </row>
    <row r="50" spans="1:8" x14ac:dyDescent="0.2">
      <c r="A50" s="20" t="s">
        <v>47</v>
      </c>
      <c r="B50" s="43"/>
      <c r="C50" s="56"/>
      <c r="D50" s="60">
        <f>[4]Charters!E804</f>
        <v>0</v>
      </c>
      <c r="E50" s="8"/>
      <c r="F50" s="8"/>
      <c r="G50" s="8"/>
      <c r="H50" s="42">
        <f>D59</f>
        <v>562694.96</v>
      </c>
    </row>
    <row r="51" spans="1:8" x14ac:dyDescent="0.2">
      <c r="A51" s="20" t="s">
        <v>57</v>
      </c>
      <c r="B51" s="43"/>
      <c r="C51" s="56"/>
      <c r="D51" s="60">
        <f>[4]Charters!C957</f>
        <v>0</v>
      </c>
      <c r="E51" s="8"/>
      <c r="F51" s="8"/>
      <c r="G51" s="8"/>
      <c r="H51" s="42">
        <f>+H49-H50</f>
        <v>0</v>
      </c>
    </row>
    <row r="52" spans="1:8" x14ac:dyDescent="0.2">
      <c r="A52" s="59" t="s">
        <v>53</v>
      </c>
      <c r="B52" s="43"/>
      <c r="C52" s="56"/>
      <c r="D52" s="60">
        <f>[4]Charters!D957</f>
        <v>0</v>
      </c>
      <c r="E52" s="8"/>
      <c r="F52" s="42" t="s">
        <v>30</v>
      </c>
      <c r="G52" s="8"/>
      <c r="H52" s="8"/>
    </row>
    <row r="53" spans="1:8" x14ac:dyDescent="0.2">
      <c r="A53" s="59" t="s">
        <v>59</v>
      </c>
      <c r="B53" s="43"/>
      <c r="C53" s="56"/>
      <c r="D53" s="60">
        <f>[4]Charters!E957</f>
        <v>0</v>
      </c>
      <c r="E53" s="8"/>
      <c r="F53" s="8"/>
      <c r="G53" s="8"/>
      <c r="H53" s="8"/>
    </row>
    <row r="54" spans="1:8" x14ac:dyDescent="0.2">
      <c r="A54" s="38" t="s">
        <v>18</v>
      </c>
      <c r="B54" s="61"/>
      <c r="C54" s="62"/>
      <c r="D54" s="63"/>
      <c r="E54" s="8"/>
      <c r="F54" s="42">
        <f>[4]Charters!C1263</f>
        <v>990.63</v>
      </c>
      <c r="G54" s="8"/>
      <c r="H54" s="8"/>
    </row>
    <row r="55" spans="1:8" x14ac:dyDescent="0.2">
      <c r="A55" s="59" t="s">
        <v>39</v>
      </c>
      <c r="B55" s="43"/>
      <c r="C55" s="56"/>
      <c r="D55" s="41">
        <f>[4]Charters!C1110</f>
        <v>990.63</v>
      </c>
      <c r="E55" s="8"/>
      <c r="F55" s="42">
        <f>SUM(D55:D58)</f>
        <v>990.63</v>
      </c>
      <c r="G55" s="8"/>
      <c r="H55" s="8"/>
    </row>
    <row r="56" spans="1:8" x14ac:dyDescent="0.2">
      <c r="A56" s="59" t="s">
        <v>48</v>
      </c>
      <c r="B56" s="43"/>
      <c r="C56" s="56"/>
      <c r="D56" s="41">
        <f>[4]Charters!D1110</f>
        <v>0</v>
      </c>
      <c r="E56" s="8"/>
      <c r="F56" s="42">
        <f>+F54-F55</f>
        <v>0</v>
      </c>
      <c r="G56" s="8"/>
      <c r="H56" s="8"/>
    </row>
    <row r="57" spans="1:8" x14ac:dyDescent="0.2">
      <c r="A57" s="59" t="s">
        <v>60</v>
      </c>
      <c r="B57" s="43"/>
      <c r="C57" s="56"/>
      <c r="D57" s="41">
        <f>[4]Charters!E1110</f>
        <v>0</v>
      </c>
      <c r="E57" s="8"/>
      <c r="F57" s="8"/>
      <c r="G57" s="8"/>
      <c r="H57" s="8"/>
    </row>
    <row r="58" spans="1:8" x14ac:dyDescent="0.2">
      <c r="A58" s="59" t="s">
        <v>61</v>
      </c>
      <c r="B58" s="43"/>
      <c r="C58" s="56"/>
      <c r="D58" s="41">
        <f>[4]Charters!F1110</f>
        <v>0</v>
      </c>
      <c r="E58" s="8"/>
      <c r="F58" s="8"/>
      <c r="G58" s="8"/>
      <c r="H58" s="8"/>
    </row>
    <row r="59" spans="1:8" ht="13.5" thickBot="1" x14ac:dyDescent="0.25">
      <c r="A59" s="64"/>
      <c r="B59" s="65"/>
      <c r="C59" s="66"/>
      <c r="D59" s="67">
        <f>SUM(D34:D58)</f>
        <v>562694.96</v>
      </c>
      <c r="E59" s="8"/>
      <c r="F59" s="8"/>
      <c r="G59" s="8"/>
      <c r="H59" s="8"/>
    </row>
    <row r="60" spans="1:8" ht="13.5" thickTop="1" x14ac:dyDescent="0.2">
      <c r="A60" s="68"/>
      <c r="B60" s="43"/>
      <c r="C60" s="56"/>
      <c r="D60" s="86"/>
      <c r="E60" s="42"/>
      <c r="F60" s="42"/>
      <c r="G60" s="42"/>
      <c r="H60" s="42"/>
    </row>
    <row r="61" spans="1:8" x14ac:dyDescent="0.2">
      <c r="A61" s="38" t="s">
        <v>20</v>
      </c>
      <c r="B61" s="39"/>
      <c r="C61" s="70"/>
      <c r="D61" s="71" t="s">
        <v>21</v>
      </c>
      <c r="E61" s="42"/>
      <c r="F61" s="42"/>
      <c r="G61" s="42"/>
      <c r="H61" s="42"/>
    </row>
    <row r="62" spans="1:8" x14ac:dyDescent="0.2">
      <c r="A62" s="72" t="s">
        <v>22</v>
      </c>
      <c r="B62" s="73"/>
      <c r="C62" s="74"/>
      <c r="D62" s="41">
        <f>[5]Charters!C16</f>
        <v>228.69</v>
      </c>
      <c r="E62" s="42"/>
      <c r="F62" s="42"/>
      <c r="G62" s="42"/>
      <c r="H62" s="42"/>
    </row>
    <row r="63" spans="1:8" x14ac:dyDescent="0.2">
      <c r="A63" s="75"/>
      <c r="B63" s="61"/>
      <c r="C63" s="76"/>
      <c r="D63" s="77">
        <f>SUM(D62:D62)</f>
        <v>228.69</v>
      </c>
      <c r="E63" s="42"/>
      <c r="F63" s="42"/>
      <c r="G63" s="42"/>
      <c r="H63" s="42"/>
    </row>
    <row r="64" spans="1:8" x14ac:dyDescent="0.2">
      <c r="A64" s="78" t="s">
        <v>58</v>
      </c>
      <c r="B64" s="79"/>
      <c r="C64" s="80"/>
      <c r="D64" s="77">
        <f>D63+D59</f>
        <v>562923.65</v>
      </c>
      <c r="E64" s="42"/>
      <c r="F64" s="42"/>
      <c r="G64" s="42"/>
      <c r="H64" s="42"/>
    </row>
    <row r="65" spans="1:8" x14ac:dyDescent="0.2">
      <c r="A65" s="84"/>
      <c r="B65" s="84"/>
      <c r="C65" s="85"/>
      <c r="D65" s="81"/>
      <c r="E65" s="42"/>
      <c r="F65" s="42"/>
      <c r="G65" s="42"/>
      <c r="H65" s="42"/>
    </row>
    <row r="66" spans="1:8" x14ac:dyDescent="0.2">
      <c r="A66" s="84"/>
      <c r="B66" s="84"/>
      <c r="C66" s="85"/>
      <c r="D66" s="81">
        <f>[5]Charters!E172</f>
        <v>562923.65</v>
      </c>
      <c r="E66" s="42"/>
      <c r="F66" s="42"/>
      <c r="G66" s="42"/>
      <c r="H66" s="42"/>
    </row>
    <row r="67" spans="1:8" x14ac:dyDescent="0.2">
      <c r="A67" s="84"/>
      <c r="B67" s="84"/>
      <c r="C67" s="85"/>
      <c r="D67" s="81">
        <f>D64</f>
        <v>562923.65</v>
      </c>
      <c r="E67" s="42"/>
      <c r="F67" s="42"/>
      <c r="G67" s="42"/>
      <c r="H67" s="42"/>
    </row>
    <row r="68" spans="1:8" x14ac:dyDescent="0.2">
      <c r="C68" s="83"/>
      <c r="D68" s="42">
        <f>D66-D67</f>
        <v>0</v>
      </c>
      <c r="E68" s="42"/>
      <c r="F68" s="42"/>
      <c r="G68" s="42"/>
      <c r="H68" s="42"/>
    </row>
  </sheetData>
  <mergeCells count="4">
    <mergeCell ref="A12:D12"/>
    <mergeCell ref="A10:D10"/>
    <mergeCell ref="A11:D11"/>
    <mergeCell ref="A64:C64"/>
  </mergeCells>
  <phoneticPr fontId="0" type="noConversion"/>
  <printOptions horizontalCentered="1" verticalCentered="1"/>
  <pageMargins left="0.5" right="0.5" top="0.5" bottom="0.5" header="0.25" footer="0.25"/>
  <pageSetup orientation="portrait" r:id="rId1"/>
  <headerFooter alignWithMargins="0">
    <oddHeader>&amp;R&amp;8Current as of: &amp;D</oddHeader>
    <oddFooter>&amp;L&amp;8USOE, School Finance</oddFooter>
  </headerFooter>
  <picture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pageSetUpPr fitToPage="1"/>
  </sheetPr>
  <dimension ref="A1:H69"/>
  <sheetViews>
    <sheetView showGridLines="0" topLeftCell="A7" workbookViewId="0">
      <selection activeCell="C12" sqref="C12"/>
    </sheetView>
  </sheetViews>
  <sheetFormatPr defaultColWidth="9.140625" defaultRowHeight="12.75" x14ac:dyDescent="0.2"/>
  <cols>
    <col min="1" max="1" width="31.85546875" style="82" customWidth="1"/>
    <col min="2" max="2" width="16.140625" style="82" customWidth="1"/>
    <col min="3" max="4" width="14.85546875" style="82" customWidth="1"/>
    <col min="5" max="5" width="7" style="82" customWidth="1"/>
    <col min="6" max="6" width="19.7109375" style="82" customWidth="1"/>
    <col min="7" max="7" width="5.7109375" style="82" customWidth="1"/>
    <col min="8" max="8" width="18" style="82" customWidth="1"/>
    <col min="9" max="16384" width="9.140625" style="82"/>
  </cols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"/>
      <c r="B3" s="1"/>
      <c r="C3" s="1"/>
      <c r="D3" s="1"/>
      <c r="E3" s="1"/>
      <c r="F3" s="1"/>
      <c r="G3" s="1"/>
      <c r="H3" s="1"/>
    </row>
    <row r="4" spans="1:8" x14ac:dyDescent="0.2">
      <c r="A4" s="1"/>
      <c r="B4" s="1"/>
      <c r="C4" s="1"/>
      <c r="D4" s="1"/>
      <c r="E4" s="1"/>
      <c r="F4" s="1"/>
      <c r="G4" s="1"/>
      <c r="H4" s="1"/>
    </row>
    <row r="5" spans="1:8" x14ac:dyDescent="0.2">
      <c r="A5" s="1"/>
      <c r="B5" s="1"/>
      <c r="C5" s="1"/>
      <c r="D5" s="1"/>
      <c r="E5" s="1"/>
      <c r="F5" s="1"/>
      <c r="G5" s="1"/>
      <c r="H5" s="1"/>
    </row>
    <row r="6" spans="1:8" x14ac:dyDescent="0.2">
      <c r="A6" s="1"/>
      <c r="B6" s="1"/>
      <c r="C6" s="1"/>
      <c r="D6" s="1"/>
      <c r="E6" s="1"/>
      <c r="F6" s="1"/>
      <c r="G6" s="1"/>
      <c r="H6" s="1"/>
    </row>
    <row r="7" spans="1:8" x14ac:dyDescent="0.2">
      <c r="A7" s="1"/>
      <c r="B7" s="1"/>
      <c r="C7" s="1"/>
      <c r="D7" s="1"/>
      <c r="E7" s="1"/>
      <c r="F7" s="1"/>
      <c r="G7" s="1"/>
      <c r="H7" s="1"/>
    </row>
    <row r="8" spans="1:8" x14ac:dyDescent="0.2">
      <c r="A8" s="1"/>
      <c r="B8" s="1"/>
      <c r="C8" s="1"/>
      <c r="D8" s="1"/>
      <c r="E8" s="1"/>
      <c r="F8" s="1"/>
      <c r="G8" s="1"/>
      <c r="H8" s="1"/>
    </row>
    <row r="9" spans="1:8" x14ac:dyDescent="0.2">
      <c r="A9" s="1"/>
      <c r="B9" s="1"/>
      <c r="C9" s="1"/>
      <c r="D9" s="1"/>
      <c r="E9" s="1"/>
      <c r="F9" s="1"/>
      <c r="G9" s="1"/>
      <c r="H9" s="1"/>
    </row>
    <row r="10" spans="1:8" x14ac:dyDescent="0.2">
      <c r="A10" s="1"/>
      <c r="B10" s="1"/>
      <c r="C10" s="1"/>
      <c r="D10" s="1"/>
      <c r="E10" s="1"/>
      <c r="F10" s="1"/>
      <c r="G10" s="1"/>
      <c r="H10" s="1"/>
    </row>
    <row r="11" spans="1:8" x14ac:dyDescent="0.2">
      <c r="A11" s="11" t="s">
        <v>1</v>
      </c>
      <c r="B11" s="12"/>
      <c r="C11" s="12"/>
      <c r="D11" s="13"/>
      <c r="E11" s="8"/>
      <c r="F11" s="8"/>
      <c r="G11" s="8"/>
      <c r="H11" s="8"/>
    </row>
    <row r="12" spans="1:8" x14ac:dyDescent="0.2">
      <c r="A12" s="14" t="s">
        <v>15</v>
      </c>
      <c r="B12" s="15"/>
      <c r="C12" s="15"/>
      <c r="D12" s="16"/>
      <c r="E12" s="8"/>
      <c r="F12" s="8"/>
      <c r="G12" s="8"/>
      <c r="H12" s="8"/>
    </row>
    <row r="13" spans="1:8" x14ac:dyDescent="0.2">
      <c r="A13" s="17" t="s">
        <v>62</v>
      </c>
      <c r="B13" s="18"/>
      <c r="C13" s="18"/>
      <c r="D13" s="19"/>
      <c r="E13" s="8"/>
      <c r="F13" s="8"/>
      <c r="G13" s="8"/>
      <c r="H13" s="8"/>
    </row>
    <row r="14" spans="1:8" x14ac:dyDescent="0.2">
      <c r="A14" s="20"/>
      <c r="B14" s="21"/>
      <c r="C14" s="22"/>
      <c r="D14" s="23"/>
      <c r="E14" s="8"/>
      <c r="F14" s="8" t="s">
        <v>34</v>
      </c>
      <c r="G14" s="8"/>
      <c r="H14" s="8"/>
    </row>
    <row r="15" spans="1:8" ht="15.75" x14ac:dyDescent="0.25">
      <c r="A15" s="24" t="s">
        <v>2</v>
      </c>
      <c r="B15" s="25" t="str">
        <f>[1]Charters!B18</f>
        <v>John Hancock Charter School</v>
      </c>
      <c r="C15" s="26"/>
      <c r="D15" s="27"/>
      <c r="E15" s="8"/>
      <c r="F15" s="8"/>
      <c r="G15" s="8"/>
      <c r="H15" s="8"/>
    </row>
    <row r="16" spans="1:8" x14ac:dyDescent="0.2">
      <c r="A16" s="24"/>
      <c r="B16" s="28"/>
      <c r="C16" s="26"/>
      <c r="D16" s="27"/>
      <c r="E16" s="8"/>
      <c r="F16" s="8"/>
      <c r="G16" s="8"/>
      <c r="H16" s="8"/>
    </row>
    <row r="17" spans="1:8" x14ac:dyDescent="0.2">
      <c r="A17" s="29" t="s">
        <v>0</v>
      </c>
      <c r="B17" s="30">
        <f>[1]Charters!$E$6</f>
        <v>3184</v>
      </c>
      <c r="C17" s="26"/>
      <c r="D17" s="31"/>
      <c r="E17" s="8"/>
      <c r="F17" s="8"/>
      <c r="G17" s="8"/>
      <c r="H17" s="8"/>
    </row>
    <row r="18" spans="1:8" x14ac:dyDescent="0.2">
      <c r="A18" s="32"/>
      <c r="B18" s="6"/>
      <c r="C18" s="33"/>
      <c r="D18" s="34" t="s">
        <v>3</v>
      </c>
      <c r="E18" s="8"/>
      <c r="F18" s="8"/>
      <c r="G18" s="8"/>
      <c r="H18" s="8"/>
    </row>
    <row r="19" spans="1:8" x14ac:dyDescent="0.2">
      <c r="A19" s="29" t="s">
        <v>19</v>
      </c>
      <c r="B19" s="35">
        <f>[1]Charters!A18</f>
        <v>93</v>
      </c>
      <c r="C19" s="36" t="s">
        <v>4</v>
      </c>
      <c r="D19" s="37" t="s">
        <v>5</v>
      </c>
      <c r="E19" s="8"/>
      <c r="F19" s="8"/>
      <c r="G19" s="8"/>
      <c r="H19" s="8"/>
    </row>
    <row r="20" spans="1:8" x14ac:dyDescent="0.2">
      <c r="A20" s="38" t="s">
        <v>6</v>
      </c>
      <c r="B20" s="39"/>
      <c r="C20" s="40"/>
      <c r="D20" s="41"/>
      <c r="E20" s="8"/>
      <c r="F20" s="8"/>
      <c r="G20" s="8"/>
      <c r="H20" s="8"/>
    </row>
    <row r="21" spans="1:8" x14ac:dyDescent="0.2">
      <c r="A21" s="38" t="s">
        <v>7</v>
      </c>
      <c r="B21" s="39"/>
      <c r="C21" s="40"/>
      <c r="D21" s="41"/>
      <c r="E21" s="8"/>
      <c r="F21" s="42" t="s">
        <v>23</v>
      </c>
      <c r="G21" s="8"/>
      <c r="H21" s="42" t="s">
        <v>26</v>
      </c>
    </row>
    <row r="22" spans="1:8" x14ac:dyDescent="0.2">
      <c r="A22" s="20" t="s">
        <v>8</v>
      </c>
      <c r="B22" s="43"/>
      <c r="C22" s="44">
        <f>[1]Charters!C478</f>
        <v>173.125</v>
      </c>
      <c r="D22" s="45">
        <f>[1]Charters!E478</f>
        <v>551229.99</v>
      </c>
      <c r="E22" s="8"/>
      <c r="F22" s="42">
        <f>[1]Charters!E633</f>
        <v>596570.31000000006</v>
      </c>
      <c r="G22" s="8"/>
      <c r="H22" s="42">
        <f>[2]Charters!E172</f>
        <v>730442.43</v>
      </c>
    </row>
    <row r="23" spans="1:8" x14ac:dyDescent="0.2">
      <c r="A23" s="20" t="s">
        <v>14</v>
      </c>
      <c r="B23" s="43"/>
      <c r="C23" s="44">
        <f>[1]Charters!F478</f>
        <v>14.24</v>
      </c>
      <c r="D23" s="45">
        <f>[1]Charters!H478</f>
        <v>45340.32</v>
      </c>
      <c r="E23" s="8"/>
      <c r="F23" s="42">
        <f>SUM(D22:D24)</f>
        <v>596570.31000000006</v>
      </c>
      <c r="G23" s="8"/>
      <c r="H23" s="42">
        <f>D35</f>
        <v>730442.43</v>
      </c>
    </row>
    <row r="24" spans="1:8" x14ac:dyDescent="0.2">
      <c r="A24" s="20" t="s">
        <v>32</v>
      </c>
      <c r="B24" s="43"/>
      <c r="C24" s="44">
        <f>[1]Charters!C171</f>
        <v>0</v>
      </c>
      <c r="D24" s="45">
        <f>[1]Charters!E171</f>
        <v>0</v>
      </c>
      <c r="E24" s="8"/>
      <c r="F24" s="42">
        <f>+F22-F23</f>
        <v>0</v>
      </c>
      <c r="G24" s="8"/>
      <c r="H24" s="42">
        <f>+H22-H23</f>
        <v>0</v>
      </c>
    </row>
    <row r="25" spans="1:8" x14ac:dyDescent="0.2">
      <c r="A25" s="38" t="s">
        <v>9</v>
      </c>
      <c r="B25" s="39"/>
      <c r="C25" s="46"/>
      <c r="D25" s="47"/>
      <c r="E25" s="8"/>
      <c r="F25" s="8"/>
      <c r="G25" s="8"/>
      <c r="H25" s="8"/>
    </row>
    <row r="26" spans="1:8" x14ac:dyDescent="0.2">
      <c r="A26" s="20" t="s">
        <v>10</v>
      </c>
      <c r="B26" s="43"/>
      <c r="C26" s="40">
        <f>[3]Charters!C17</f>
        <v>21.167999999999999</v>
      </c>
      <c r="D26" s="41">
        <f>[3]Charters!E17</f>
        <v>67400.039999999994</v>
      </c>
      <c r="E26" s="8"/>
      <c r="F26" s="42" t="s">
        <v>24</v>
      </c>
      <c r="G26" s="8"/>
      <c r="H26" s="8"/>
    </row>
    <row r="27" spans="1:8" x14ac:dyDescent="0.2">
      <c r="A27" s="48" t="s">
        <v>11</v>
      </c>
      <c r="B27" s="43"/>
      <c r="C27" s="40">
        <f>[3]Charters!F17</f>
        <v>1</v>
      </c>
      <c r="D27" s="49">
        <f>[3]Charters!H17</f>
        <v>3184</v>
      </c>
      <c r="E27" s="8"/>
      <c r="F27" s="42">
        <f>[3]Charters!N328</f>
        <v>73968.09</v>
      </c>
      <c r="G27" s="8"/>
      <c r="H27" s="8"/>
    </row>
    <row r="28" spans="1:8" x14ac:dyDescent="0.2">
      <c r="A28" s="48" t="s">
        <v>12</v>
      </c>
      <c r="B28" s="43"/>
      <c r="C28" s="40">
        <f>[3]Charters!C172</f>
        <v>0</v>
      </c>
      <c r="D28" s="41">
        <f>[3]Charters!E172</f>
        <v>0</v>
      </c>
      <c r="E28" s="8"/>
      <c r="F28" s="42">
        <f>SUM(D26:D32)</f>
        <v>73968.09</v>
      </c>
      <c r="G28" s="8"/>
      <c r="H28" s="8"/>
    </row>
    <row r="29" spans="1:8" x14ac:dyDescent="0.2">
      <c r="A29" s="20" t="s">
        <v>13</v>
      </c>
      <c r="B29" s="43"/>
      <c r="C29" s="40">
        <f>[3]Charters!F172</f>
        <v>0.70899999999999996</v>
      </c>
      <c r="D29" s="41">
        <f>[3]Charters!H172</f>
        <v>2259</v>
      </c>
      <c r="E29" s="8"/>
      <c r="F29" s="42">
        <f>+F27-F28</f>
        <v>0</v>
      </c>
      <c r="G29" s="8"/>
      <c r="H29" s="8"/>
    </row>
    <row r="30" spans="1:8" x14ac:dyDescent="0.2">
      <c r="A30" s="48" t="s">
        <v>54</v>
      </c>
      <c r="B30" s="43"/>
      <c r="C30" s="40">
        <f>[3]Charters!C328</f>
        <v>0.35299999999999998</v>
      </c>
      <c r="D30" s="41">
        <f>[3]Charters!E328</f>
        <v>1125.05</v>
      </c>
      <c r="E30" s="8"/>
      <c r="F30" s="8"/>
      <c r="G30" s="8"/>
      <c r="H30" s="8"/>
    </row>
    <row r="31" spans="1:8" x14ac:dyDescent="0.2">
      <c r="A31" s="48" t="s">
        <v>55</v>
      </c>
      <c r="B31" s="43"/>
      <c r="C31" s="40">
        <f>[3]Charters!F328</f>
        <v>0</v>
      </c>
      <c r="D31" s="41">
        <f>[3]Charters!H328</f>
        <v>0</v>
      </c>
      <c r="E31" s="8"/>
      <c r="F31" s="42" t="s">
        <v>25</v>
      </c>
      <c r="G31" s="8"/>
      <c r="H31" s="8"/>
    </row>
    <row r="32" spans="1:8" x14ac:dyDescent="0.2">
      <c r="A32" s="48" t="s">
        <v>56</v>
      </c>
      <c r="B32" s="43"/>
      <c r="C32" s="40">
        <f>[3]Charters!I328</f>
        <v>0</v>
      </c>
      <c r="D32" s="41">
        <f>[3]Charters!K328</f>
        <v>0</v>
      </c>
      <c r="E32" s="8"/>
      <c r="F32" s="42">
        <f>[2]Charters!H18</f>
        <v>133872.12</v>
      </c>
      <c r="G32" s="8"/>
      <c r="H32" s="8"/>
    </row>
    <row r="33" spans="1:8" x14ac:dyDescent="0.2">
      <c r="A33" s="20" t="s">
        <v>49</v>
      </c>
      <c r="B33" s="43"/>
      <c r="C33" s="40">
        <f>[3]Charters!C485</f>
        <v>1.3180000000000001</v>
      </c>
      <c r="D33" s="41">
        <f>[3]Charters!E485</f>
        <v>4196.2700000000004</v>
      </c>
      <c r="E33" s="8"/>
      <c r="F33" s="42">
        <f>SUM(D26:D34)</f>
        <v>133872.12</v>
      </c>
      <c r="G33" s="8"/>
      <c r="H33" s="8"/>
    </row>
    <row r="34" spans="1:8" x14ac:dyDescent="0.2">
      <c r="A34" s="20" t="s">
        <v>50</v>
      </c>
      <c r="B34" s="43"/>
      <c r="C34" s="40">
        <f>[2]Charters!C18</f>
        <v>17.495999999999999</v>
      </c>
      <c r="D34" s="41">
        <f>[2]Charters!E18</f>
        <v>55707.76</v>
      </c>
      <c r="E34" s="8"/>
      <c r="F34" s="42">
        <f>+F32-F33</f>
        <v>0</v>
      </c>
      <c r="G34" s="8"/>
      <c r="H34" s="8"/>
    </row>
    <row r="35" spans="1:8" x14ac:dyDescent="0.2">
      <c r="A35" s="50"/>
      <c r="B35" s="51" t="s">
        <v>16</v>
      </c>
      <c r="C35" s="52">
        <f>SUM(C22:C34)</f>
        <v>229.40899999999999</v>
      </c>
      <c r="D35" s="53">
        <f>SUM(D22:D34)</f>
        <v>730442.43</v>
      </c>
      <c r="E35" s="8"/>
      <c r="F35" s="8"/>
      <c r="G35" s="8"/>
      <c r="H35" s="8"/>
    </row>
    <row r="36" spans="1:8" x14ac:dyDescent="0.2">
      <c r="A36" s="54" t="s">
        <v>17</v>
      </c>
      <c r="B36" s="39"/>
      <c r="C36" s="55"/>
      <c r="D36" s="47"/>
      <c r="E36" s="8"/>
      <c r="F36" s="8"/>
      <c r="G36" s="8"/>
      <c r="H36" s="42" t="s">
        <v>29</v>
      </c>
    </row>
    <row r="37" spans="1:8" x14ac:dyDescent="0.2">
      <c r="A37" s="20" t="s">
        <v>33</v>
      </c>
      <c r="B37" s="43"/>
      <c r="C37" s="56"/>
      <c r="D37" s="57">
        <f>[4]Charters!C17</f>
        <v>2117.16</v>
      </c>
      <c r="E37" s="8"/>
      <c r="F37" s="8"/>
      <c r="G37" s="8"/>
      <c r="H37" s="42">
        <f>[4]Charters!F958</f>
        <v>1272555.9099999999</v>
      </c>
    </row>
    <row r="38" spans="1:8" x14ac:dyDescent="0.2">
      <c r="A38" s="58" t="s">
        <v>35</v>
      </c>
      <c r="B38" s="43"/>
      <c r="C38" s="56"/>
      <c r="D38" s="41">
        <f>+[4]Charters!F338</f>
        <v>833.25</v>
      </c>
      <c r="E38" s="8"/>
      <c r="F38" s="8"/>
      <c r="G38" s="8"/>
      <c r="H38" s="42">
        <f>SUM(D35:D54)</f>
        <v>1272555.9099999999</v>
      </c>
    </row>
    <row r="39" spans="1:8" x14ac:dyDescent="0.2">
      <c r="A39" s="59" t="s">
        <v>36</v>
      </c>
      <c r="B39" s="43"/>
      <c r="C39" s="56"/>
      <c r="D39" s="41">
        <f>[4]Charters!E177</f>
        <v>10815</v>
      </c>
      <c r="E39" s="8"/>
      <c r="F39" s="8"/>
      <c r="G39" s="8"/>
      <c r="H39" s="42">
        <f>+H37-H38</f>
        <v>0</v>
      </c>
    </row>
    <row r="40" spans="1:8" x14ac:dyDescent="0.2">
      <c r="A40" s="59" t="s">
        <v>52</v>
      </c>
      <c r="B40" s="43"/>
      <c r="C40" s="56"/>
      <c r="D40" s="41">
        <f>[4]Charters!G338</f>
        <v>0</v>
      </c>
      <c r="E40" s="8"/>
      <c r="F40" s="42" t="s">
        <v>27</v>
      </c>
      <c r="G40" s="8"/>
      <c r="H40" s="42"/>
    </row>
    <row r="41" spans="1:8" x14ac:dyDescent="0.2">
      <c r="A41" s="20" t="s">
        <v>37</v>
      </c>
      <c r="B41" s="43"/>
      <c r="C41" s="56"/>
      <c r="D41" s="41">
        <f>[4]Charters!E494</f>
        <v>20996</v>
      </c>
      <c r="E41" s="8"/>
      <c r="F41" s="42">
        <f>[4]Charters!E177</f>
        <v>10815</v>
      </c>
      <c r="G41" s="8"/>
      <c r="H41" s="8"/>
    </row>
    <row r="42" spans="1:8" x14ac:dyDescent="0.2">
      <c r="A42" s="20" t="s">
        <v>38</v>
      </c>
      <c r="B42" s="43"/>
      <c r="C42" s="56"/>
      <c r="D42" s="41">
        <f>[4]Charters!F494</f>
        <v>449</v>
      </c>
      <c r="E42" s="8"/>
      <c r="F42" s="42">
        <f>SUM(D39:D39)</f>
        <v>10815</v>
      </c>
      <c r="G42" s="8"/>
      <c r="H42" s="8"/>
    </row>
    <row r="43" spans="1:8" x14ac:dyDescent="0.2">
      <c r="A43" s="59" t="s">
        <v>40</v>
      </c>
      <c r="B43" s="43"/>
      <c r="C43" s="56"/>
      <c r="D43" s="41">
        <f>[4]Charters!G494</f>
        <v>0</v>
      </c>
      <c r="E43" s="8"/>
      <c r="F43" s="42">
        <f>+F41-F42</f>
        <v>0</v>
      </c>
      <c r="G43" s="8"/>
      <c r="H43" s="8"/>
    </row>
    <row r="44" spans="1:8" x14ac:dyDescent="0.2">
      <c r="A44" s="20" t="s">
        <v>41</v>
      </c>
      <c r="B44" s="43"/>
      <c r="C44" s="56"/>
      <c r="D44" s="41">
        <f>[4]Charters!C649</f>
        <v>398199</v>
      </c>
      <c r="E44" s="8"/>
      <c r="F44" s="42" t="s">
        <v>28</v>
      </c>
      <c r="G44" s="8"/>
      <c r="H44" s="8"/>
    </row>
    <row r="45" spans="1:8" x14ac:dyDescent="0.2">
      <c r="A45" s="20" t="s">
        <v>42</v>
      </c>
      <c r="B45" s="43"/>
      <c r="C45" s="56"/>
      <c r="D45" s="41">
        <f>[4]Charters!D649</f>
        <v>66979.11</v>
      </c>
      <c r="E45" s="8"/>
      <c r="F45" s="42">
        <f>[4]Charters!D494</f>
        <v>11648.25</v>
      </c>
      <c r="G45" s="8"/>
      <c r="H45" s="8"/>
    </row>
    <row r="46" spans="1:8" x14ac:dyDescent="0.2">
      <c r="A46" s="20" t="s">
        <v>44</v>
      </c>
      <c r="B46" s="43"/>
      <c r="C46" s="56"/>
      <c r="D46" s="41">
        <f>[4]Charters!E649</f>
        <v>19900</v>
      </c>
      <c r="E46" s="8"/>
      <c r="F46" s="42">
        <f>SUM(D38:D40)</f>
        <v>11648.25</v>
      </c>
      <c r="G46" s="8"/>
      <c r="H46" s="8"/>
    </row>
    <row r="47" spans="1:8" x14ac:dyDescent="0.2">
      <c r="A47" s="59" t="s">
        <v>43</v>
      </c>
      <c r="B47" s="43"/>
      <c r="C47" s="56"/>
      <c r="D47" s="41">
        <f>[4]Charters!F649</f>
        <v>6011.23</v>
      </c>
      <c r="E47" s="8"/>
      <c r="F47" s="42">
        <f>+F45-F46</f>
        <v>0</v>
      </c>
      <c r="G47" s="8"/>
      <c r="H47" s="8"/>
    </row>
    <row r="48" spans="1:8" x14ac:dyDescent="0.2">
      <c r="A48" s="59" t="s">
        <v>45</v>
      </c>
      <c r="B48" s="43"/>
      <c r="C48" s="56"/>
      <c r="D48" s="41">
        <f>[4]Charters!C494</f>
        <v>0</v>
      </c>
      <c r="E48" s="8"/>
      <c r="F48" s="8"/>
      <c r="G48" s="8"/>
      <c r="H48" s="8"/>
    </row>
    <row r="49" spans="1:8" x14ac:dyDescent="0.2">
      <c r="A49" s="59" t="s">
        <v>46</v>
      </c>
      <c r="B49" s="43"/>
      <c r="C49" s="56"/>
      <c r="D49" s="41">
        <f>[4]Charters!C805</f>
        <v>0</v>
      </c>
      <c r="E49" s="8"/>
      <c r="F49" s="8"/>
      <c r="G49" s="8"/>
      <c r="H49" s="42" t="s">
        <v>31</v>
      </c>
    </row>
    <row r="50" spans="1:8" x14ac:dyDescent="0.2">
      <c r="A50" s="59" t="s">
        <v>51</v>
      </c>
      <c r="B50" s="43"/>
      <c r="C50" s="56"/>
      <c r="D50" s="60">
        <f>[4]Charters!D805</f>
        <v>406.54</v>
      </c>
      <c r="E50" s="8"/>
      <c r="F50" s="8"/>
      <c r="G50" s="8"/>
      <c r="H50" s="42">
        <f>[4]Charters!D1264</f>
        <v>1277076.47</v>
      </c>
    </row>
    <row r="51" spans="1:8" x14ac:dyDescent="0.2">
      <c r="A51" s="20" t="s">
        <v>47</v>
      </c>
      <c r="B51" s="43"/>
      <c r="C51" s="56"/>
      <c r="D51" s="60">
        <f>[4]Charters!E805</f>
        <v>6491</v>
      </c>
      <c r="E51" s="8"/>
      <c r="F51" s="8"/>
      <c r="G51" s="8"/>
      <c r="H51" s="42">
        <f>D60</f>
        <v>1277076.48</v>
      </c>
    </row>
    <row r="52" spans="1:8" x14ac:dyDescent="0.2">
      <c r="A52" s="20" t="s">
        <v>57</v>
      </c>
      <c r="B52" s="43"/>
      <c r="C52" s="56"/>
      <c r="D52" s="60">
        <f>[4]Charters!C958</f>
        <v>0</v>
      </c>
      <c r="E52" s="8"/>
      <c r="F52" s="8"/>
      <c r="G52" s="8"/>
      <c r="H52" s="42">
        <f>+H50-H51</f>
        <v>-0.01</v>
      </c>
    </row>
    <row r="53" spans="1:8" x14ac:dyDescent="0.2">
      <c r="A53" s="59" t="s">
        <v>53</v>
      </c>
      <c r="B53" s="43"/>
      <c r="C53" s="56"/>
      <c r="D53" s="60">
        <f>[4]Charters!D958</f>
        <v>0</v>
      </c>
      <c r="E53" s="8"/>
      <c r="F53" s="42" t="s">
        <v>30</v>
      </c>
      <c r="G53" s="8"/>
      <c r="H53" s="8"/>
    </row>
    <row r="54" spans="1:8" x14ac:dyDescent="0.2">
      <c r="A54" s="59" t="s">
        <v>59</v>
      </c>
      <c r="B54" s="43"/>
      <c r="C54" s="56"/>
      <c r="D54" s="60">
        <f>[4]Charters!E958</f>
        <v>8916.19</v>
      </c>
      <c r="E54" s="8"/>
      <c r="F54" s="8"/>
      <c r="G54" s="8"/>
      <c r="H54" s="8"/>
    </row>
    <row r="55" spans="1:8" x14ac:dyDescent="0.2">
      <c r="A55" s="38" t="s">
        <v>18</v>
      </c>
      <c r="B55" s="61"/>
      <c r="C55" s="62"/>
      <c r="D55" s="63"/>
      <c r="E55" s="8"/>
      <c r="F55" s="42">
        <f>[4]Charters!C1264</f>
        <v>4520.57</v>
      </c>
      <c r="G55" s="8"/>
      <c r="H55" s="8"/>
    </row>
    <row r="56" spans="1:8" x14ac:dyDescent="0.2">
      <c r="A56" s="59" t="s">
        <v>39</v>
      </c>
      <c r="B56" s="43"/>
      <c r="C56" s="56"/>
      <c r="D56" s="41">
        <f>[4]Charters!C1111</f>
        <v>2454.16</v>
      </c>
      <c r="E56" s="8"/>
      <c r="F56" s="42">
        <f>SUM(D56:D59)</f>
        <v>4520.57</v>
      </c>
      <c r="G56" s="8"/>
      <c r="H56" s="8"/>
    </row>
    <row r="57" spans="1:8" x14ac:dyDescent="0.2">
      <c r="A57" s="59" t="s">
        <v>48</v>
      </c>
      <c r="B57" s="43"/>
      <c r="C57" s="56"/>
      <c r="D57" s="41">
        <f>[4]Charters!D1111</f>
        <v>0</v>
      </c>
      <c r="E57" s="8"/>
      <c r="F57" s="42">
        <f>+F55-F56</f>
        <v>0</v>
      </c>
      <c r="G57" s="8"/>
      <c r="H57" s="8"/>
    </row>
    <row r="58" spans="1:8" x14ac:dyDescent="0.2">
      <c r="A58" s="59" t="s">
        <v>60</v>
      </c>
      <c r="B58" s="43"/>
      <c r="C58" s="56"/>
      <c r="D58" s="41">
        <f>[4]Charters!E1111</f>
        <v>0</v>
      </c>
      <c r="E58" s="8"/>
      <c r="F58" s="8"/>
      <c r="G58" s="8"/>
      <c r="H58" s="8"/>
    </row>
    <row r="59" spans="1:8" x14ac:dyDescent="0.2">
      <c r="A59" s="59" t="s">
        <v>61</v>
      </c>
      <c r="B59" s="43"/>
      <c r="C59" s="56"/>
      <c r="D59" s="41">
        <f>[4]Charters!F1111</f>
        <v>2066.41</v>
      </c>
      <c r="E59" s="8"/>
      <c r="F59" s="8"/>
      <c r="G59" s="8"/>
      <c r="H59" s="8"/>
    </row>
    <row r="60" spans="1:8" ht="13.5" thickBot="1" x14ac:dyDescent="0.25">
      <c r="A60" s="64"/>
      <c r="B60" s="65"/>
      <c r="C60" s="66"/>
      <c r="D60" s="67">
        <f>SUM(D35:D59)</f>
        <v>1277076.48</v>
      </c>
      <c r="E60" s="42"/>
      <c r="F60" s="42"/>
      <c r="G60" s="42"/>
      <c r="H60" s="42"/>
    </row>
    <row r="61" spans="1:8" ht="13.5" thickTop="1" x14ac:dyDescent="0.2">
      <c r="A61" s="68"/>
      <c r="B61" s="43"/>
      <c r="C61" s="56"/>
      <c r="D61" s="86"/>
      <c r="E61" s="42"/>
      <c r="F61" s="42"/>
      <c r="G61" s="42"/>
      <c r="H61" s="42"/>
    </row>
    <row r="62" spans="1:8" x14ac:dyDescent="0.2">
      <c r="A62" s="38" t="s">
        <v>20</v>
      </c>
      <c r="B62" s="39"/>
      <c r="C62" s="70"/>
      <c r="D62" s="71" t="s">
        <v>21</v>
      </c>
      <c r="E62" s="42"/>
      <c r="F62" s="42"/>
      <c r="G62" s="42"/>
      <c r="H62" s="42"/>
    </row>
    <row r="63" spans="1:8" x14ac:dyDescent="0.2">
      <c r="A63" s="72" t="s">
        <v>22</v>
      </c>
      <c r="B63" s="73"/>
      <c r="C63" s="74"/>
      <c r="D63" s="41">
        <f>[5]Charters!C17</f>
        <v>500.39</v>
      </c>
      <c r="E63" s="42"/>
      <c r="F63" s="42"/>
      <c r="G63" s="42"/>
      <c r="H63" s="42"/>
    </row>
    <row r="64" spans="1:8" x14ac:dyDescent="0.2">
      <c r="A64" s="75"/>
      <c r="B64" s="61"/>
      <c r="C64" s="76"/>
      <c r="D64" s="77">
        <f>SUM(D63:D63)</f>
        <v>500.39</v>
      </c>
      <c r="E64" s="42"/>
      <c r="F64" s="42"/>
      <c r="G64" s="42"/>
      <c r="H64" s="42"/>
    </row>
    <row r="65" spans="1:8" x14ac:dyDescent="0.2">
      <c r="A65" s="78" t="s">
        <v>58</v>
      </c>
      <c r="B65" s="79"/>
      <c r="C65" s="80"/>
      <c r="D65" s="77">
        <f>D64+D60</f>
        <v>1277576.8700000001</v>
      </c>
      <c r="E65" s="42"/>
      <c r="F65" s="42"/>
      <c r="G65" s="42"/>
      <c r="H65" s="42"/>
    </row>
    <row r="66" spans="1:8" x14ac:dyDescent="0.2">
      <c r="A66" s="84"/>
      <c r="B66" s="84"/>
      <c r="C66" s="85"/>
      <c r="D66" s="81"/>
      <c r="E66" s="42"/>
      <c r="F66" s="42"/>
      <c r="G66" s="42"/>
      <c r="H66" s="42"/>
    </row>
    <row r="67" spans="1:8" x14ac:dyDescent="0.2">
      <c r="A67" s="84"/>
      <c r="B67" s="84"/>
      <c r="C67" s="85"/>
      <c r="D67" s="81">
        <f>[5]Charters!E173</f>
        <v>1277576.8600000001</v>
      </c>
      <c r="E67" s="42"/>
      <c r="F67" s="42"/>
      <c r="G67" s="42"/>
      <c r="H67" s="42"/>
    </row>
    <row r="68" spans="1:8" x14ac:dyDescent="0.2">
      <c r="A68" s="84"/>
      <c r="B68" s="84"/>
      <c r="C68" s="85"/>
      <c r="D68" s="81">
        <f>D65</f>
        <v>1277576.8700000001</v>
      </c>
      <c r="E68" s="42"/>
      <c r="F68" s="42"/>
      <c r="G68" s="42"/>
      <c r="H68" s="42"/>
    </row>
    <row r="69" spans="1:8" x14ac:dyDescent="0.2">
      <c r="C69" s="83"/>
      <c r="D69" s="42">
        <f>D67-D68</f>
        <v>-0.01</v>
      </c>
      <c r="E69" s="42"/>
      <c r="F69" s="42"/>
      <c r="G69" s="42"/>
      <c r="H69" s="42"/>
    </row>
  </sheetData>
  <mergeCells count="4">
    <mergeCell ref="A13:D13"/>
    <mergeCell ref="A11:D11"/>
    <mergeCell ref="A12:D12"/>
    <mergeCell ref="A65:C65"/>
  </mergeCells>
  <phoneticPr fontId="0" type="noConversion"/>
  <printOptions horizontalCentered="1" verticalCentered="1"/>
  <pageMargins left="0.5" right="0.5" top="0.5" bottom="0.5" header="0.25" footer="0.25"/>
  <pageSetup orientation="portrait" r:id="rId1"/>
  <headerFooter alignWithMargins="0">
    <oddHeader>&amp;R&amp;8Current as of: &amp;D</oddHeader>
    <oddFooter>&amp;L&amp;8USOE, School Finance</oddFooter>
  </headerFooter>
  <picture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pageSetUpPr fitToPage="1"/>
  </sheetPr>
  <dimension ref="A1:H70"/>
  <sheetViews>
    <sheetView showGridLines="0" topLeftCell="A4" workbookViewId="0">
      <selection activeCell="C12" sqref="C12"/>
    </sheetView>
  </sheetViews>
  <sheetFormatPr defaultColWidth="9.140625" defaultRowHeight="12.75" x14ac:dyDescent="0.2"/>
  <cols>
    <col min="1" max="1" width="31.85546875" style="82" customWidth="1"/>
    <col min="2" max="2" width="16.28515625" style="82" customWidth="1"/>
    <col min="3" max="4" width="14.85546875" style="82" customWidth="1"/>
    <col min="5" max="5" width="7" style="82" customWidth="1"/>
    <col min="6" max="6" width="19.7109375" style="82" customWidth="1"/>
    <col min="7" max="7" width="5.7109375" style="82" customWidth="1"/>
    <col min="8" max="8" width="18" style="82" customWidth="1"/>
    <col min="9" max="16384" width="9.140625" style="82"/>
  </cols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"/>
      <c r="B3" s="1"/>
      <c r="C3" s="1"/>
      <c r="D3" s="1"/>
      <c r="E3" s="1"/>
      <c r="F3" s="1"/>
      <c r="G3" s="1"/>
      <c r="H3" s="1"/>
    </row>
    <row r="4" spans="1:8" x14ac:dyDescent="0.2">
      <c r="A4" s="1"/>
      <c r="B4" s="1"/>
      <c r="C4" s="1"/>
      <c r="D4" s="1"/>
      <c r="E4" s="1"/>
      <c r="F4" s="1"/>
      <c r="G4" s="1"/>
      <c r="H4" s="1"/>
    </row>
    <row r="5" spans="1:8" x14ac:dyDescent="0.2">
      <c r="A5" s="1"/>
      <c r="B5" s="1"/>
      <c r="C5" s="1"/>
      <c r="D5" s="1"/>
      <c r="E5" s="1"/>
      <c r="F5" s="1"/>
      <c r="G5" s="1"/>
      <c r="H5" s="1"/>
    </row>
    <row r="6" spans="1:8" x14ac:dyDescent="0.2">
      <c r="A6" s="1"/>
      <c r="B6" s="1"/>
      <c r="C6" s="1"/>
      <c r="D6" s="1"/>
      <c r="E6" s="1"/>
      <c r="F6" s="1"/>
      <c r="G6" s="1"/>
      <c r="H6" s="1"/>
    </row>
    <row r="7" spans="1:8" x14ac:dyDescent="0.2">
      <c r="A7" s="1"/>
      <c r="B7" s="1"/>
      <c r="C7" s="1"/>
      <c r="D7" s="1"/>
      <c r="E7" s="1"/>
      <c r="F7" s="1"/>
      <c r="G7" s="1"/>
      <c r="H7" s="1"/>
    </row>
    <row r="8" spans="1:8" x14ac:dyDescent="0.2">
      <c r="A8" s="1"/>
      <c r="B8" s="1"/>
      <c r="C8" s="1"/>
      <c r="D8" s="1"/>
      <c r="E8" s="1"/>
      <c r="F8" s="1"/>
      <c r="G8" s="1"/>
      <c r="H8" s="1"/>
    </row>
    <row r="9" spans="1:8" x14ac:dyDescent="0.2">
      <c r="A9" s="1"/>
      <c r="B9" s="1"/>
      <c r="C9" s="1"/>
      <c r="D9" s="1"/>
      <c r="E9" s="1"/>
      <c r="F9" s="1"/>
      <c r="G9" s="1"/>
      <c r="H9" s="1"/>
    </row>
    <row r="10" spans="1:8" x14ac:dyDescent="0.2">
      <c r="A10" s="1"/>
      <c r="B10" s="1"/>
      <c r="C10" s="1"/>
      <c r="D10" s="1"/>
      <c r="E10" s="1"/>
      <c r="F10" s="1"/>
      <c r="G10" s="1"/>
      <c r="H10" s="1"/>
    </row>
    <row r="11" spans="1:8" x14ac:dyDescent="0.2">
      <c r="A11" s="1"/>
      <c r="B11" s="1"/>
      <c r="C11" s="1"/>
      <c r="D11" s="1"/>
      <c r="E11" s="1"/>
      <c r="F11" s="1"/>
      <c r="G11" s="1"/>
      <c r="H11" s="1"/>
    </row>
    <row r="12" spans="1:8" x14ac:dyDescent="0.2">
      <c r="A12" s="11" t="s">
        <v>1</v>
      </c>
      <c r="B12" s="12"/>
      <c r="C12" s="12"/>
      <c r="D12" s="13"/>
      <c r="E12" s="8"/>
      <c r="F12" s="8"/>
      <c r="G12" s="8"/>
      <c r="H12" s="8"/>
    </row>
    <row r="13" spans="1:8" x14ac:dyDescent="0.2">
      <c r="A13" s="14" t="s">
        <v>15</v>
      </c>
      <c r="B13" s="15"/>
      <c r="C13" s="15"/>
      <c r="D13" s="16"/>
      <c r="E13" s="8"/>
      <c r="F13" s="8"/>
      <c r="G13" s="8"/>
      <c r="H13" s="8"/>
    </row>
    <row r="14" spans="1:8" x14ac:dyDescent="0.2">
      <c r="A14" s="17" t="s">
        <v>62</v>
      </c>
      <c r="B14" s="18"/>
      <c r="C14" s="18"/>
      <c r="D14" s="19"/>
      <c r="E14" s="8"/>
      <c r="F14" s="8"/>
      <c r="G14" s="8"/>
      <c r="H14" s="8"/>
    </row>
    <row r="15" spans="1:8" x14ac:dyDescent="0.2">
      <c r="A15" s="20"/>
      <c r="B15" s="21"/>
      <c r="C15" s="22"/>
      <c r="D15" s="23"/>
      <c r="E15" s="8"/>
      <c r="F15" s="8" t="s">
        <v>34</v>
      </c>
      <c r="G15" s="8"/>
      <c r="H15" s="8"/>
    </row>
    <row r="16" spans="1:8" ht="15.75" x14ac:dyDescent="0.25">
      <c r="A16" s="24" t="s">
        <v>2</v>
      </c>
      <c r="B16" s="25" t="str">
        <f>[1]Charters!B19</f>
        <v>Thomas Edison Charter School</v>
      </c>
      <c r="C16" s="26"/>
      <c r="D16" s="27"/>
      <c r="E16" s="8"/>
      <c r="F16" s="8"/>
      <c r="G16" s="8"/>
      <c r="H16" s="8"/>
    </row>
    <row r="17" spans="1:8" x14ac:dyDescent="0.2">
      <c r="A17" s="24"/>
      <c r="B17" s="28"/>
      <c r="C17" s="26"/>
      <c r="D17" s="27"/>
      <c r="E17" s="8"/>
      <c r="F17" s="8"/>
      <c r="G17" s="8"/>
      <c r="H17" s="8"/>
    </row>
    <row r="18" spans="1:8" x14ac:dyDescent="0.2">
      <c r="A18" s="29" t="s">
        <v>0</v>
      </c>
      <c r="B18" s="30">
        <f>[1]Charters!$E$6</f>
        <v>3184</v>
      </c>
      <c r="C18" s="26"/>
      <c r="D18" s="31"/>
      <c r="E18" s="8"/>
      <c r="F18" s="8"/>
      <c r="G18" s="8"/>
      <c r="H18" s="8"/>
    </row>
    <row r="19" spans="1:8" x14ac:dyDescent="0.2">
      <c r="A19" s="32"/>
      <c r="B19" s="6"/>
      <c r="C19" s="33"/>
      <c r="D19" s="34" t="s">
        <v>3</v>
      </c>
      <c r="E19" s="8"/>
      <c r="F19" s="8"/>
      <c r="G19" s="8"/>
      <c r="H19" s="8"/>
    </row>
    <row r="20" spans="1:8" x14ac:dyDescent="0.2">
      <c r="A20" s="29" t="s">
        <v>19</v>
      </c>
      <c r="B20" s="35">
        <f>[1]Charters!A19</f>
        <v>94</v>
      </c>
      <c r="C20" s="36" t="s">
        <v>4</v>
      </c>
      <c r="D20" s="37" t="s">
        <v>5</v>
      </c>
      <c r="E20" s="8"/>
      <c r="F20" s="8"/>
      <c r="G20" s="8"/>
      <c r="H20" s="8"/>
    </row>
    <row r="21" spans="1:8" x14ac:dyDescent="0.2">
      <c r="A21" s="38" t="s">
        <v>6</v>
      </c>
      <c r="B21" s="39"/>
      <c r="C21" s="40"/>
      <c r="D21" s="41"/>
      <c r="E21" s="8"/>
      <c r="F21" s="8"/>
      <c r="G21" s="8"/>
      <c r="H21" s="8"/>
    </row>
    <row r="22" spans="1:8" x14ac:dyDescent="0.2">
      <c r="A22" s="38" t="s">
        <v>7</v>
      </c>
      <c r="B22" s="39"/>
      <c r="C22" s="40"/>
      <c r="D22" s="41"/>
      <c r="E22" s="8"/>
      <c r="F22" s="42" t="s">
        <v>23</v>
      </c>
      <c r="G22" s="8"/>
      <c r="H22" s="42" t="s">
        <v>26</v>
      </c>
    </row>
    <row r="23" spans="1:8" x14ac:dyDescent="0.2">
      <c r="A23" s="20" t="s">
        <v>8</v>
      </c>
      <c r="B23" s="43"/>
      <c r="C23" s="44">
        <f>[1]Charters!C479</f>
        <v>1148.3520000000001</v>
      </c>
      <c r="D23" s="45">
        <f>[1]Charters!E479</f>
        <v>3656351.23</v>
      </c>
      <c r="E23" s="8"/>
      <c r="F23" s="42">
        <f>[1]Charters!E634</f>
        <v>3862693.76</v>
      </c>
      <c r="G23" s="8"/>
      <c r="H23" s="42">
        <f>[2]Charters!E173</f>
        <v>5075196.38</v>
      </c>
    </row>
    <row r="24" spans="1:8" x14ac:dyDescent="0.2">
      <c r="A24" s="20" t="s">
        <v>14</v>
      </c>
      <c r="B24" s="43"/>
      <c r="C24" s="44">
        <f>[1]Charters!F479</f>
        <v>64.805999999999997</v>
      </c>
      <c r="D24" s="45">
        <f>[1]Charters!H479</f>
        <v>206342.53</v>
      </c>
      <c r="E24" s="8"/>
      <c r="F24" s="42">
        <f>SUM(D23:D25)</f>
        <v>3862693.76</v>
      </c>
      <c r="G24" s="8"/>
      <c r="H24" s="42">
        <f>D36</f>
        <v>5075196.38</v>
      </c>
    </row>
    <row r="25" spans="1:8" x14ac:dyDescent="0.2">
      <c r="A25" s="20" t="s">
        <v>32</v>
      </c>
      <c r="B25" s="43"/>
      <c r="C25" s="44">
        <f>[1]Charters!C172</f>
        <v>0</v>
      </c>
      <c r="D25" s="45">
        <f>[1]Charters!E172</f>
        <v>0</v>
      </c>
      <c r="E25" s="8"/>
      <c r="F25" s="42">
        <f>+F23-F24</f>
        <v>0</v>
      </c>
      <c r="G25" s="8"/>
      <c r="H25" s="42">
        <f>+H23-H24</f>
        <v>0</v>
      </c>
    </row>
    <row r="26" spans="1:8" x14ac:dyDescent="0.2">
      <c r="A26" s="38" t="s">
        <v>9</v>
      </c>
      <c r="B26" s="39"/>
      <c r="C26" s="46"/>
      <c r="D26" s="47"/>
      <c r="E26" s="8"/>
      <c r="F26" s="8"/>
      <c r="G26" s="8"/>
      <c r="H26" s="8"/>
    </row>
    <row r="27" spans="1:8" x14ac:dyDescent="0.2">
      <c r="A27" s="20" t="s">
        <v>10</v>
      </c>
      <c r="B27" s="43"/>
      <c r="C27" s="40">
        <f>[3]Charters!C18</f>
        <v>201.815</v>
      </c>
      <c r="D27" s="41">
        <f>[3]Charters!E18</f>
        <v>642579.56999999995</v>
      </c>
      <c r="E27" s="8"/>
      <c r="F27" s="42" t="s">
        <v>24</v>
      </c>
      <c r="G27" s="8"/>
      <c r="H27" s="8"/>
    </row>
    <row r="28" spans="1:8" x14ac:dyDescent="0.2">
      <c r="A28" s="48" t="s">
        <v>11</v>
      </c>
      <c r="B28" s="43"/>
      <c r="C28" s="40">
        <f>[3]Charters!F18</f>
        <v>44.63</v>
      </c>
      <c r="D28" s="49">
        <f>[3]Charters!H18</f>
        <v>142101.92000000001</v>
      </c>
      <c r="E28" s="8"/>
      <c r="F28" s="42">
        <f>[3]Charters!N329</f>
        <v>800816.07</v>
      </c>
      <c r="G28" s="8"/>
      <c r="H28" s="8"/>
    </row>
    <row r="29" spans="1:8" x14ac:dyDescent="0.2">
      <c r="A29" s="48" t="s">
        <v>12</v>
      </c>
      <c r="B29" s="43"/>
      <c r="C29" s="40">
        <f>[3]Charters!C173</f>
        <v>0</v>
      </c>
      <c r="D29" s="41">
        <f>[3]Charters!E173</f>
        <v>0</v>
      </c>
      <c r="E29" s="8"/>
      <c r="F29" s="42">
        <f>SUM(D27:D33)</f>
        <v>800816.07</v>
      </c>
      <c r="G29" s="8"/>
      <c r="H29" s="8"/>
    </row>
    <row r="30" spans="1:8" x14ac:dyDescent="0.2">
      <c r="A30" s="20" t="s">
        <v>13</v>
      </c>
      <c r="B30" s="43"/>
      <c r="C30" s="40">
        <f>[3]Charters!F173</f>
        <v>0.70899999999999996</v>
      </c>
      <c r="D30" s="41">
        <f>[3]Charters!H173</f>
        <v>2259</v>
      </c>
      <c r="E30" s="8"/>
      <c r="F30" s="42">
        <f>+F28-F29</f>
        <v>0</v>
      </c>
      <c r="G30" s="8"/>
      <c r="H30" s="8"/>
    </row>
    <row r="31" spans="1:8" x14ac:dyDescent="0.2">
      <c r="A31" s="48" t="s">
        <v>54</v>
      </c>
      <c r="B31" s="43"/>
      <c r="C31" s="40">
        <f>[3]Charters!C329</f>
        <v>4.3579999999999997</v>
      </c>
      <c r="D31" s="41">
        <f>[3]Charters!E329</f>
        <v>13875.58</v>
      </c>
      <c r="E31" s="8"/>
      <c r="F31" s="8"/>
      <c r="G31" s="8"/>
      <c r="H31" s="8"/>
    </row>
    <row r="32" spans="1:8" x14ac:dyDescent="0.2">
      <c r="A32" s="48" t="s">
        <v>55</v>
      </c>
      <c r="B32" s="43"/>
      <c r="C32" s="40">
        <f>[3]Charters!F329</f>
        <v>0</v>
      </c>
      <c r="D32" s="41">
        <f>[3]Charters!H329</f>
        <v>0</v>
      </c>
      <c r="E32" s="8"/>
      <c r="F32" s="42" t="s">
        <v>25</v>
      </c>
      <c r="G32" s="8"/>
      <c r="H32" s="8"/>
    </row>
    <row r="33" spans="1:8" x14ac:dyDescent="0.2">
      <c r="A33" s="48" t="s">
        <v>56</v>
      </c>
      <c r="B33" s="43"/>
      <c r="C33" s="40">
        <f>[3]Charters!I329</f>
        <v>0</v>
      </c>
      <c r="D33" s="41">
        <f>[3]Charters!K329</f>
        <v>0</v>
      </c>
      <c r="E33" s="8"/>
      <c r="F33" s="42">
        <f>[2]Charters!H19</f>
        <v>1212502.6200000001</v>
      </c>
      <c r="G33" s="8"/>
      <c r="H33" s="8"/>
    </row>
    <row r="34" spans="1:8" x14ac:dyDescent="0.2">
      <c r="A34" s="20" t="s">
        <v>49</v>
      </c>
      <c r="B34" s="43"/>
      <c r="C34" s="40">
        <f>[3]Charters!C486</f>
        <v>15.547000000000001</v>
      </c>
      <c r="D34" s="41">
        <f>[3]Charters!E486</f>
        <v>49502.85</v>
      </c>
      <c r="E34" s="8"/>
      <c r="F34" s="42">
        <f>SUM(D27:D35)</f>
        <v>1212502.6200000001</v>
      </c>
      <c r="G34" s="8"/>
      <c r="H34" s="8"/>
    </row>
    <row r="35" spans="1:8" x14ac:dyDescent="0.2">
      <c r="A35" s="20" t="s">
        <v>50</v>
      </c>
      <c r="B35" s="43"/>
      <c r="C35" s="40">
        <f>[2]Charters!C19</f>
        <v>113.751</v>
      </c>
      <c r="D35" s="41">
        <f>[2]Charters!E19</f>
        <v>362183.7</v>
      </c>
      <c r="E35" s="8"/>
      <c r="F35" s="42">
        <f>+F33-F34</f>
        <v>0</v>
      </c>
      <c r="G35" s="8"/>
      <c r="H35" s="8"/>
    </row>
    <row r="36" spans="1:8" x14ac:dyDescent="0.2">
      <c r="A36" s="50"/>
      <c r="B36" s="51" t="s">
        <v>16</v>
      </c>
      <c r="C36" s="52">
        <f>SUM(C23:C35)</f>
        <v>1593.9680000000001</v>
      </c>
      <c r="D36" s="53">
        <f>SUM(D23:D35)</f>
        <v>5075196.38</v>
      </c>
      <c r="E36" s="8"/>
      <c r="F36" s="8"/>
      <c r="G36" s="8"/>
      <c r="H36" s="8"/>
    </row>
    <row r="37" spans="1:8" x14ac:dyDescent="0.2">
      <c r="A37" s="54" t="s">
        <v>17</v>
      </c>
      <c r="B37" s="39"/>
      <c r="C37" s="55"/>
      <c r="D37" s="47"/>
      <c r="E37" s="8"/>
      <c r="F37" s="8"/>
      <c r="G37" s="8"/>
      <c r="H37" s="42" t="s">
        <v>29</v>
      </c>
    </row>
    <row r="38" spans="1:8" x14ac:dyDescent="0.2">
      <c r="A38" s="20" t="s">
        <v>33</v>
      </c>
      <c r="B38" s="43"/>
      <c r="C38" s="56"/>
      <c r="D38" s="57">
        <f>[4]Charters!C18</f>
        <v>14710.29</v>
      </c>
      <c r="E38" s="8"/>
      <c r="F38" s="8"/>
      <c r="G38" s="8"/>
      <c r="H38" s="42">
        <f>[4]Charters!F959</f>
        <v>8508306.0899999999</v>
      </c>
    </row>
    <row r="39" spans="1:8" x14ac:dyDescent="0.2">
      <c r="A39" s="58" t="s">
        <v>35</v>
      </c>
      <c r="B39" s="43"/>
      <c r="C39" s="56"/>
      <c r="D39" s="41">
        <f>+[4]Charters!F339</f>
        <v>5527</v>
      </c>
      <c r="E39" s="8"/>
      <c r="F39" s="8"/>
      <c r="G39" s="8"/>
      <c r="H39" s="42">
        <f>SUM(D36:D55)</f>
        <v>8508306.0899999999</v>
      </c>
    </row>
    <row r="40" spans="1:8" x14ac:dyDescent="0.2">
      <c r="A40" s="59" t="s">
        <v>36</v>
      </c>
      <c r="B40" s="43"/>
      <c r="C40" s="56"/>
      <c r="D40" s="41">
        <f>[4]Charters!E178</f>
        <v>37345</v>
      </c>
      <c r="E40" s="8"/>
      <c r="F40" s="8"/>
      <c r="G40" s="8"/>
      <c r="H40" s="42">
        <f>+H38-H39</f>
        <v>0</v>
      </c>
    </row>
    <row r="41" spans="1:8" x14ac:dyDescent="0.2">
      <c r="A41" s="59" t="s">
        <v>52</v>
      </c>
      <c r="B41" s="43"/>
      <c r="C41" s="56"/>
      <c r="D41" s="41">
        <f>[4]Charters!G339</f>
        <v>0</v>
      </c>
      <c r="E41" s="8"/>
      <c r="F41" s="42" t="s">
        <v>27</v>
      </c>
      <c r="G41" s="8"/>
      <c r="H41" s="42"/>
    </row>
    <row r="42" spans="1:8" x14ac:dyDescent="0.2">
      <c r="A42" s="20" t="s">
        <v>37</v>
      </c>
      <c r="B42" s="43"/>
      <c r="C42" s="56"/>
      <c r="D42" s="41">
        <f>[4]Charters!E495</f>
        <v>95589</v>
      </c>
      <c r="E42" s="8"/>
      <c r="F42" s="42">
        <f>[4]Charters!E178</f>
        <v>37345</v>
      </c>
      <c r="G42" s="8"/>
      <c r="H42" s="8"/>
    </row>
    <row r="43" spans="1:8" x14ac:dyDescent="0.2">
      <c r="A43" s="20" t="s">
        <v>38</v>
      </c>
      <c r="B43" s="43"/>
      <c r="C43" s="56"/>
      <c r="D43" s="41">
        <f>[4]Charters!F495</f>
        <v>1784</v>
      </c>
      <c r="E43" s="8"/>
      <c r="F43" s="42">
        <f>SUM(D40:D40)</f>
        <v>37345</v>
      </c>
      <c r="G43" s="8"/>
      <c r="H43" s="8"/>
    </row>
    <row r="44" spans="1:8" x14ac:dyDescent="0.2">
      <c r="A44" s="59" t="s">
        <v>40</v>
      </c>
      <c r="B44" s="43"/>
      <c r="C44" s="56"/>
      <c r="D44" s="41">
        <f>[4]Charters!G495</f>
        <v>0</v>
      </c>
      <c r="E44" s="8"/>
      <c r="F44" s="42">
        <f>+F42-F43</f>
        <v>0</v>
      </c>
      <c r="G44" s="8"/>
      <c r="H44" s="8"/>
    </row>
    <row r="45" spans="1:8" x14ac:dyDescent="0.2">
      <c r="A45" s="20" t="s">
        <v>41</v>
      </c>
      <c r="B45" s="43"/>
      <c r="C45" s="56"/>
      <c r="D45" s="41">
        <f>[4]Charters!C650</f>
        <v>2721360</v>
      </c>
      <c r="E45" s="8"/>
      <c r="F45" s="42" t="s">
        <v>28</v>
      </c>
      <c r="G45" s="8"/>
      <c r="H45" s="8"/>
    </row>
    <row r="46" spans="1:8" x14ac:dyDescent="0.2">
      <c r="A46" s="20" t="s">
        <v>42</v>
      </c>
      <c r="B46" s="43"/>
      <c r="C46" s="56"/>
      <c r="D46" s="41">
        <f>[4]Charters!D650</f>
        <v>367903.46</v>
      </c>
      <c r="E46" s="8"/>
      <c r="F46" s="42">
        <f>[4]Charters!D495</f>
        <v>42872</v>
      </c>
      <c r="G46" s="8"/>
      <c r="H46" s="8"/>
    </row>
    <row r="47" spans="1:8" x14ac:dyDescent="0.2">
      <c r="A47" s="20" t="s">
        <v>44</v>
      </c>
      <c r="B47" s="43"/>
      <c r="C47" s="56"/>
      <c r="D47" s="41">
        <f>[4]Charters!E650</f>
        <v>136000</v>
      </c>
      <c r="E47" s="8"/>
      <c r="F47" s="42">
        <f>SUM(D39:D41)</f>
        <v>42872</v>
      </c>
      <c r="G47" s="8"/>
      <c r="H47" s="8"/>
    </row>
    <row r="48" spans="1:8" x14ac:dyDescent="0.2">
      <c r="A48" s="59" t="s">
        <v>43</v>
      </c>
      <c r="B48" s="43"/>
      <c r="C48" s="56"/>
      <c r="D48" s="41">
        <f>[4]Charters!F650</f>
        <v>40283.53</v>
      </c>
      <c r="E48" s="8"/>
      <c r="F48" s="42">
        <f>+F46-F47</f>
        <v>0</v>
      </c>
      <c r="G48" s="8"/>
      <c r="H48" s="8"/>
    </row>
    <row r="49" spans="1:8" x14ac:dyDescent="0.2">
      <c r="A49" s="59" t="s">
        <v>45</v>
      </c>
      <c r="B49" s="43"/>
      <c r="C49" s="56"/>
      <c r="D49" s="41">
        <f>[4]Charters!C495</f>
        <v>0</v>
      </c>
      <c r="E49" s="8"/>
      <c r="F49" s="8"/>
      <c r="G49" s="8"/>
      <c r="H49" s="8"/>
    </row>
    <row r="50" spans="1:8" x14ac:dyDescent="0.2">
      <c r="A50" s="59" t="s">
        <v>46</v>
      </c>
      <c r="B50" s="43"/>
      <c r="C50" s="56"/>
      <c r="D50" s="41">
        <f>[4]Charters!C806</f>
        <v>0</v>
      </c>
      <c r="E50" s="8"/>
      <c r="F50" s="8"/>
      <c r="G50" s="8"/>
      <c r="H50" s="42" t="s">
        <v>31</v>
      </c>
    </row>
    <row r="51" spans="1:8" x14ac:dyDescent="0.2">
      <c r="A51" s="59" t="s">
        <v>51</v>
      </c>
      <c r="B51" s="43"/>
      <c r="C51" s="56"/>
      <c r="D51" s="60">
        <f>[4]Charters!D806</f>
        <v>1771.95</v>
      </c>
      <c r="E51" s="8"/>
      <c r="F51" s="8"/>
      <c r="G51" s="8"/>
      <c r="H51" s="42">
        <f>[4]Charters!D1265</f>
        <v>8520802.2899999991</v>
      </c>
    </row>
    <row r="52" spans="1:8" x14ac:dyDescent="0.2">
      <c r="A52" s="20" t="s">
        <v>47</v>
      </c>
      <c r="B52" s="43"/>
      <c r="C52" s="56"/>
      <c r="D52" s="60">
        <f>[4]Charters!E806</f>
        <v>0</v>
      </c>
      <c r="E52" s="8"/>
      <c r="F52" s="8"/>
      <c r="G52" s="8"/>
      <c r="H52" s="42">
        <f>D61</f>
        <v>8520802.2899999991</v>
      </c>
    </row>
    <row r="53" spans="1:8" x14ac:dyDescent="0.2">
      <c r="A53" s="20" t="s">
        <v>57</v>
      </c>
      <c r="B53" s="43"/>
      <c r="C53" s="56"/>
      <c r="D53" s="60">
        <f>[4]Charters!C959</f>
        <v>10835.48</v>
      </c>
      <c r="E53" s="8"/>
      <c r="F53" s="8"/>
      <c r="G53" s="8"/>
      <c r="H53" s="42">
        <f>+H51-H52</f>
        <v>0</v>
      </c>
    </row>
    <row r="54" spans="1:8" x14ac:dyDescent="0.2">
      <c r="A54" s="59" t="s">
        <v>53</v>
      </c>
      <c r="B54" s="43"/>
      <c r="C54" s="56"/>
      <c r="D54" s="60">
        <f>[4]Charters!D959</f>
        <v>0</v>
      </c>
      <c r="E54" s="8"/>
      <c r="F54" s="42" t="s">
        <v>30</v>
      </c>
      <c r="G54" s="8"/>
      <c r="H54" s="8"/>
    </row>
    <row r="55" spans="1:8" x14ac:dyDescent="0.2">
      <c r="A55" s="59" t="s">
        <v>59</v>
      </c>
      <c r="B55" s="43"/>
      <c r="C55" s="56"/>
      <c r="D55" s="60">
        <f>[4]Charters!E959</f>
        <v>0</v>
      </c>
      <c r="E55" s="8"/>
      <c r="F55" s="8"/>
      <c r="G55" s="8"/>
      <c r="H55" s="8"/>
    </row>
    <row r="56" spans="1:8" x14ac:dyDescent="0.2">
      <c r="A56" s="38" t="s">
        <v>18</v>
      </c>
      <c r="B56" s="61"/>
      <c r="C56" s="62"/>
      <c r="D56" s="63"/>
      <c r="E56" s="8"/>
      <c r="F56" s="42">
        <f>[4]Charters!C1265</f>
        <v>12496.2</v>
      </c>
      <c r="G56" s="8"/>
      <c r="H56" s="8"/>
    </row>
    <row r="57" spans="1:8" x14ac:dyDescent="0.2">
      <c r="A57" s="59" t="s">
        <v>39</v>
      </c>
      <c r="B57" s="43"/>
      <c r="C57" s="56"/>
      <c r="D57" s="41">
        <f>[4]Charters!C1112</f>
        <v>12496.2</v>
      </c>
      <c r="E57" s="8"/>
      <c r="F57" s="42">
        <f>SUM(D57:D60)</f>
        <v>12496.2</v>
      </c>
      <c r="G57" s="8"/>
      <c r="H57" s="8"/>
    </row>
    <row r="58" spans="1:8" x14ac:dyDescent="0.2">
      <c r="A58" s="59" t="s">
        <v>48</v>
      </c>
      <c r="B58" s="43"/>
      <c r="C58" s="56"/>
      <c r="D58" s="41">
        <f>[4]Charters!D1112</f>
        <v>0</v>
      </c>
      <c r="E58" s="8"/>
      <c r="F58" s="42">
        <f>+F56-F57</f>
        <v>0</v>
      </c>
      <c r="G58" s="8"/>
      <c r="H58" s="8"/>
    </row>
    <row r="59" spans="1:8" x14ac:dyDescent="0.2">
      <c r="A59" s="59" t="s">
        <v>60</v>
      </c>
      <c r="B59" s="43"/>
      <c r="C59" s="56"/>
      <c r="D59" s="41">
        <f>[4]Charters!E1112</f>
        <v>0</v>
      </c>
      <c r="E59" s="8"/>
      <c r="F59" s="8"/>
      <c r="G59" s="8"/>
      <c r="H59" s="8"/>
    </row>
    <row r="60" spans="1:8" x14ac:dyDescent="0.2">
      <c r="A60" s="59" t="s">
        <v>61</v>
      </c>
      <c r="B60" s="43"/>
      <c r="C60" s="56"/>
      <c r="D60" s="41">
        <f>[4]Charters!F1112</f>
        <v>0</v>
      </c>
      <c r="E60" s="42"/>
      <c r="F60" s="42"/>
      <c r="G60" s="42"/>
      <c r="H60" s="42"/>
    </row>
    <row r="61" spans="1:8" ht="13.5" thickBot="1" x14ac:dyDescent="0.25">
      <c r="A61" s="64"/>
      <c r="B61" s="65"/>
      <c r="C61" s="66"/>
      <c r="D61" s="67">
        <f>SUM(D36:D60)</f>
        <v>8520802.2899999991</v>
      </c>
      <c r="E61" s="42"/>
      <c r="F61" s="42"/>
      <c r="G61" s="42"/>
      <c r="H61" s="42"/>
    </row>
    <row r="62" spans="1:8" ht="13.5" thickTop="1" x14ac:dyDescent="0.2">
      <c r="A62" s="68"/>
      <c r="B62" s="43"/>
      <c r="C62" s="56"/>
      <c r="D62" s="86"/>
      <c r="E62" s="42"/>
      <c r="F62" s="42"/>
      <c r="G62" s="42"/>
      <c r="H62" s="42"/>
    </row>
    <row r="63" spans="1:8" x14ac:dyDescent="0.2">
      <c r="A63" s="38" t="s">
        <v>20</v>
      </c>
      <c r="B63" s="39"/>
      <c r="C63" s="70"/>
      <c r="D63" s="71" t="s">
        <v>21</v>
      </c>
      <c r="E63" s="42"/>
      <c r="F63" s="42"/>
      <c r="G63" s="42"/>
      <c r="H63" s="42"/>
    </row>
    <row r="64" spans="1:8" x14ac:dyDescent="0.2">
      <c r="A64" s="72" t="s">
        <v>22</v>
      </c>
      <c r="B64" s="73"/>
      <c r="C64" s="74"/>
      <c r="D64" s="41">
        <f>[5]Charters!C18</f>
        <v>2937.2</v>
      </c>
      <c r="E64" s="42"/>
      <c r="F64" s="42"/>
      <c r="G64" s="42"/>
      <c r="H64" s="42"/>
    </row>
    <row r="65" spans="1:8" x14ac:dyDescent="0.2">
      <c r="A65" s="75"/>
      <c r="B65" s="61"/>
      <c r="C65" s="76"/>
      <c r="D65" s="77">
        <f>SUM(D64:D64)</f>
        <v>2937.2</v>
      </c>
      <c r="E65" s="42"/>
      <c r="F65" s="42"/>
      <c r="G65" s="42"/>
      <c r="H65" s="42"/>
    </row>
    <row r="66" spans="1:8" x14ac:dyDescent="0.2">
      <c r="A66" s="78" t="s">
        <v>58</v>
      </c>
      <c r="B66" s="79"/>
      <c r="C66" s="80"/>
      <c r="D66" s="77">
        <f>D65+D61</f>
        <v>8523739.4900000002</v>
      </c>
      <c r="E66" s="42"/>
      <c r="F66" s="42"/>
      <c r="G66" s="42"/>
      <c r="H66" s="42"/>
    </row>
    <row r="67" spans="1:8" x14ac:dyDescent="0.2">
      <c r="A67" s="84"/>
      <c r="B67" s="84"/>
      <c r="C67" s="85"/>
      <c r="D67" s="81"/>
      <c r="E67" s="42"/>
      <c r="F67" s="42"/>
      <c r="G67" s="42"/>
      <c r="H67" s="42"/>
    </row>
    <row r="68" spans="1:8" x14ac:dyDescent="0.2">
      <c r="A68" s="84"/>
      <c r="B68" s="84"/>
      <c r="C68" s="85"/>
      <c r="D68" s="81">
        <f>[5]Charters!E174</f>
        <v>8523739.4900000002</v>
      </c>
      <c r="E68" s="42"/>
      <c r="F68" s="42"/>
      <c r="G68" s="42"/>
      <c r="H68" s="42"/>
    </row>
    <row r="69" spans="1:8" x14ac:dyDescent="0.2">
      <c r="A69" s="84"/>
      <c r="B69" s="84"/>
      <c r="C69" s="85"/>
      <c r="D69" s="81">
        <f>D66</f>
        <v>8523739.4900000002</v>
      </c>
      <c r="E69" s="42"/>
      <c r="F69" s="42"/>
      <c r="G69" s="42"/>
      <c r="H69" s="42"/>
    </row>
    <row r="70" spans="1:8" x14ac:dyDescent="0.2">
      <c r="C70" s="83"/>
      <c r="D70" s="42">
        <f>D68-D69</f>
        <v>0</v>
      </c>
      <c r="E70" s="42"/>
      <c r="F70" s="42"/>
      <c r="G70" s="42"/>
      <c r="H70" s="42"/>
    </row>
  </sheetData>
  <mergeCells count="4">
    <mergeCell ref="A14:D14"/>
    <mergeCell ref="A12:D12"/>
    <mergeCell ref="A13:D13"/>
    <mergeCell ref="A66:C66"/>
  </mergeCells>
  <phoneticPr fontId="0" type="noConversion"/>
  <printOptions horizontalCentered="1" verticalCentered="1"/>
  <pageMargins left="0.5" right="0.5" top="0.5" bottom="0.5" header="0.25" footer="0.25"/>
  <pageSetup orientation="portrait" r:id="rId1"/>
  <headerFooter alignWithMargins="0">
    <oddHeader>&amp;R&amp;8Current as of: &amp;D</oddHeader>
    <oddFooter>&amp;L&amp;8USOE, School Finance</oddFooter>
  </headerFooter>
  <picture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pageSetUpPr fitToPage="1"/>
  </sheetPr>
  <dimension ref="A1:H71"/>
  <sheetViews>
    <sheetView showGridLines="0" topLeftCell="A7" workbookViewId="0">
      <selection activeCell="C12" sqref="C12"/>
    </sheetView>
  </sheetViews>
  <sheetFormatPr defaultColWidth="9.140625" defaultRowHeight="12.75" x14ac:dyDescent="0.2"/>
  <cols>
    <col min="1" max="1" width="31.85546875" style="82" customWidth="1"/>
    <col min="2" max="2" width="16.28515625" style="82" customWidth="1"/>
    <col min="3" max="4" width="14.85546875" style="82" customWidth="1"/>
    <col min="5" max="5" width="7" style="82" customWidth="1"/>
    <col min="6" max="6" width="19.7109375" style="82" customWidth="1"/>
    <col min="7" max="7" width="5.7109375" style="82" customWidth="1"/>
    <col min="8" max="8" width="18" style="82" customWidth="1"/>
    <col min="9" max="16384" width="9.140625" style="82"/>
  </cols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"/>
      <c r="B3" s="1"/>
      <c r="C3" s="1"/>
      <c r="D3" s="1"/>
      <c r="E3" s="1"/>
      <c r="F3" s="1"/>
      <c r="G3" s="1"/>
      <c r="H3" s="1"/>
    </row>
    <row r="4" spans="1:8" x14ac:dyDescent="0.2">
      <c r="A4" s="1"/>
      <c r="B4" s="1"/>
      <c r="C4" s="1"/>
      <c r="D4" s="1"/>
      <c r="E4" s="1"/>
      <c r="F4" s="1"/>
      <c r="G4" s="1"/>
      <c r="H4" s="1"/>
    </row>
    <row r="5" spans="1:8" x14ac:dyDescent="0.2">
      <c r="A5" s="1"/>
      <c r="B5" s="1"/>
      <c r="C5" s="1"/>
      <c r="D5" s="1"/>
      <c r="E5" s="1"/>
      <c r="F5" s="1"/>
      <c r="G5" s="1"/>
      <c r="H5" s="1"/>
    </row>
    <row r="6" spans="1:8" x14ac:dyDescent="0.2">
      <c r="A6" s="1"/>
      <c r="B6" s="1"/>
      <c r="C6" s="1"/>
      <c r="D6" s="1"/>
      <c r="E6" s="1"/>
      <c r="F6" s="1"/>
      <c r="G6" s="1"/>
      <c r="H6" s="1"/>
    </row>
    <row r="7" spans="1:8" x14ac:dyDescent="0.2">
      <c r="A7" s="1"/>
      <c r="B7" s="1"/>
      <c r="C7" s="1"/>
      <c r="D7" s="1"/>
      <c r="E7" s="1"/>
      <c r="F7" s="1"/>
      <c r="G7" s="1"/>
      <c r="H7" s="1"/>
    </row>
    <row r="8" spans="1:8" x14ac:dyDescent="0.2">
      <c r="A8" s="1"/>
      <c r="B8" s="1"/>
      <c r="C8" s="1"/>
      <c r="D8" s="1"/>
      <c r="E8" s="1"/>
      <c r="F8" s="1"/>
      <c r="G8" s="1"/>
      <c r="H8" s="1"/>
    </row>
    <row r="9" spans="1:8" x14ac:dyDescent="0.2">
      <c r="A9" s="1"/>
      <c r="B9" s="1"/>
      <c r="C9" s="1"/>
      <c r="D9" s="1"/>
      <c r="E9" s="1"/>
      <c r="F9" s="1"/>
      <c r="G9" s="1"/>
      <c r="H9" s="1"/>
    </row>
    <row r="10" spans="1:8" x14ac:dyDescent="0.2">
      <c r="A10" s="1"/>
      <c r="B10" s="1"/>
      <c r="C10" s="1"/>
      <c r="D10" s="1"/>
      <c r="E10" s="1"/>
      <c r="F10" s="1"/>
      <c r="G10" s="1"/>
      <c r="H10" s="1"/>
    </row>
    <row r="11" spans="1:8" x14ac:dyDescent="0.2">
      <c r="A11" s="1"/>
      <c r="B11" s="1"/>
      <c r="C11" s="1"/>
      <c r="D11" s="1"/>
      <c r="E11" s="1"/>
      <c r="F11" s="1"/>
      <c r="G11" s="1"/>
      <c r="H11" s="1"/>
    </row>
    <row r="12" spans="1:8" x14ac:dyDescent="0.2">
      <c r="A12" s="1"/>
      <c r="B12" s="1"/>
      <c r="C12" s="1"/>
      <c r="D12" s="1"/>
      <c r="E12" s="1"/>
      <c r="F12" s="1"/>
      <c r="G12" s="1"/>
      <c r="H12" s="1"/>
    </row>
    <row r="13" spans="1:8" x14ac:dyDescent="0.2">
      <c r="A13" s="11" t="s">
        <v>1</v>
      </c>
      <c r="B13" s="12"/>
      <c r="C13" s="12"/>
      <c r="D13" s="13"/>
      <c r="E13" s="8"/>
      <c r="F13" s="8"/>
      <c r="G13" s="8"/>
      <c r="H13" s="8"/>
    </row>
    <row r="14" spans="1:8" x14ac:dyDescent="0.2">
      <c r="A14" s="14" t="s">
        <v>15</v>
      </c>
      <c r="B14" s="15"/>
      <c r="C14" s="15"/>
      <c r="D14" s="16"/>
      <c r="E14" s="8"/>
      <c r="F14" s="8"/>
      <c r="G14" s="8"/>
      <c r="H14" s="8"/>
    </row>
    <row r="15" spans="1:8" x14ac:dyDescent="0.2">
      <c r="A15" s="17" t="s">
        <v>62</v>
      </c>
      <c r="B15" s="18"/>
      <c r="C15" s="18"/>
      <c r="D15" s="19"/>
      <c r="E15" s="8"/>
      <c r="F15" s="8"/>
      <c r="G15" s="8"/>
      <c r="H15" s="8"/>
    </row>
    <row r="16" spans="1:8" x14ac:dyDescent="0.2">
      <c r="A16" s="20"/>
      <c r="B16" s="21"/>
      <c r="C16" s="22"/>
      <c r="D16" s="23"/>
      <c r="E16" s="8"/>
      <c r="F16" s="8" t="s">
        <v>34</v>
      </c>
      <c r="G16" s="8"/>
      <c r="H16" s="8"/>
    </row>
    <row r="17" spans="1:8" ht="15.75" x14ac:dyDescent="0.25">
      <c r="A17" s="24" t="s">
        <v>2</v>
      </c>
      <c r="B17" s="25" t="str">
        <f>[1]Charters!B20</f>
        <v>Timpanogos Academy</v>
      </c>
      <c r="C17" s="26"/>
      <c r="D17" s="27"/>
      <c r="E17" s="8"/>
      <c r="F17" s="8"/>
      <c r="G17" s="8"/>
      <c r="H17" s="8"/>
    </row>
    <row r="18" spans="1:8" x14ac:dyDescent="0.2">
      <c r="A18" s="24"/>
      <c r="B18" s="28"/>
      <c r="C18" s="26"/>
      <c r="D18" s="27"/>
      <c r="E18" s="8"/>
      <c r="F18" s="8"/>
      <c r="G18" s="8"/>
      <c r="H18" s="8"/>
    </row>
    <row r="19" spans="1:8" x14ac:dyDescent="0.2">
      <c r="A19" s="29" t="s">
        <v>0</v>
      </c>
      <c r="B19" s="30">
        <f>[1]Charters!$E$6</f>
        <v>3184</v>
      </c>
      <c r="C19" s="26"/>
      <c r="D19" s="31"/>
      <c r="E19" s="8"/>
      <c r="F19" s="8"/>
      <c r="G19" s="8"/>
      <c r="H19" s="8"/>
    </row>
    <row r="20" spans="1:8" x14ac:dyDescent="0.2">
      <c r="A20" s="32"/>
      <c r="B20" s="6"/>
      <c r="C20" s="33"/>
      <c r="D20" s="34" t="s">
        <v>3</v>
      </c>
      <c r="E20" s="8"/>
      <c r="F20" s="8"/>
      <c r="G20" s="8"/>
      <c r="H20" s="8"/>
    </row>
    <row r="21" spans="1:8" x14ac:dyDescent="0.2">
      <c r="A21" s="29" t="s">
        <v>19</v>
      </c>
      <c r="B21" s="35">
        <f>[1]Charters!A20</f>
        <v>95</v>
      </c>
      <c r="C21" s="36" t="s">
        <v>4</v>
      </c>
      <c r="D21" s="37" t="s">
        <v>5</v>
      </c>
      <c r="E21" s="8"/>
      <c r="F21" s="8"/>
      <c r="G21" s="8"/>
      <c r="H21" s="8"/>
    </row>
    <row r="22" spans="1:8" x14ac:dyDescent="0.2">
      <c r="A22" s="38" t="s">
        <v>6</v>
      </c>
      <c r="B22" s="39"/>
      <c r="C22" s="40"/>
      <c r="D22" s="41"/>
      <c r="E22" s="8"/>
      <c r="F22" s="8"/>
      <c r="G22" s="8"/>
      <c r="H22" s="8"/>
    </row>
    <row r="23" spans="1:8" x14ac:dyDescent="0.2">
      <c r="A23" s="38" t="s">
        <v>7</v>
      </c>
      <c r="B23" s="39"/>
      <c r="C23" s="40"/>
      <c r="D23" s="41"/>
      <c r="E23" s="8"/>
      <c r="F23" s="42" t="s">
        <v>23</v>
      </c>
      <c r="G23" s="8"/>
      <c r="H23" s="42" t="s">
        <v>26</v>
      </c>
    </row>
    <row r="24" spans="1:8" x14ac:dyDescent="0.2">
      <c r="A24" s="20" t="s">
        <v>8</v>
      </c>
      <c r="B24" s="43"/>
      <c r="C24" s="44">
        <f>[1]Charters!C480</f>
        <v>422.91500000000002</v>
      </c>
      <c r="D24" s="45">
        <f>[1]Charters!E480</f>
        <v>1346561.36</v>
      </c>
      <c r="E24" s="8"/>
      <c r="F24" s="42">
        <f>[1]Charters!E635</f>
        <v>1442979.19</v>
      </c>
      <c r="G24" s="8"/>
      <c r="H24" s="42">
        <f>[2]Charters!E174</f>
        <v>1726222.61</v>
      </c>
    </row>
    <row r="25" spans="1:8" x14ac:dyDescent="0.2">
      <c r="A25" s="20" t="s">
        <v>14</v>
      </c>
      <c r="B25" s="43"/>
      <c r="C25" s="44">
        <f>[1]Charters!F480</f>
        <v>30.282</v>
      </c>
      <c r="D25" s="45">
        <f>[1]Charters!H480</f>
        <v>96417.83</v>
      </c>
      <c r="E25" s="8"/>
      <c r="F25" s="42">
        <f>SUM(D24:D26)</f>
        <v>1442979.19</v>
      </c>
      <c r="G25" s="8"/>
      <c r="H25" s="42">
        <f>D37</f>
        <v>1726222.61</v>
      </c>
    </row>
    <row r="26" spans="1:8" x14ac:dyDescent="0.2">
      <c r="A26" s="20" t="s">
        <v>32</v>
      </c>
      <c r="B26" s="43"/>
      <c r="C26" s="44">
        <f>[1]Charters!C173</f>
        <v>0</v>
      </c>
      <c r="D26" s="45">
        <f>[1]Charters!E173</f>
        <v>0</v>
      </c>
      <c r="E26" s="8"/>
      <c r="F26" s="42">
        <f>+F24-F25</f>
        <v>0</v>
      </c>
      <c r="G26" s="8"/>
      <c r="H26" s="42">
        <f>+H24-H25</f>
        <v>0</v>
      </c>
    </row>
    <row r="27" spans="1:8" x14ac:dyDescent="0.2">
      <c r="A27" s="38" t="s">
        <v>9</v>
      </c>
      <c r="B27" s="39"/>
      <c r="C27" s="46"/>
      <c r="D27" s="47"/>
      <c r="E27" s="8"/>
      <c r="F27" s="8"/>
      <c r="G27" s="8"/>
      <c r="H27" s="8"/>
    </row>
    <row r="28" spans="1:8" x14ac:dyDescent="0.2">
      <c r="A28" s="20" t="s">
        <v>10</v>
      </c>
      <c r="B28" s="43"/>
      <c r="C28" s="40">
        <f>[3]Charters!C19</f>
        <v>39.792999999999999</v>
      </c>
      <c r="D28" s="41">
        <f>[3]Charters!E19</f>
        <v>126700.35</v>
      </c>
      <c r="E28" s="8"/>
      <c r="F28" s="42" t="s">
        <v>24</v>
      </c>
      <c r="G28" s="8"/>
      <c r="H28" s="8"/>
    </row>
    <row r="29" spans="1:8" x14ac:dyDescent="0.2">
      <c r="A29" s="48" t="s">
        <v>11</v>
      </c>
      <c r="B29" s="43"/>
      <c r="C29" s="40">
        <f>[3]Charters!F19</f>
        <v>2.83</v>
      </c>
      <c r="D29" s="49">
        <f>[3]Charters!H19</f>
        <v>9010.7199999999993</v>
      </c>
      <c r="E29" s="8"/>
      <c r="F29" s="42">
        <f>[3]Charters!N330</f>
        <v>142695.26999999999</v>
      </c>
      <c r="G29" s="8"/>
      <c r="H29" s="8"/>
    </row>
    <row r="30" spans="1:8" x14ac:dyDescent="0.2">
      <c r="A30" s="48" t="s">
        <v>12</v>
      </c>
      <c r="B30" s="43"/>
      <c r="C30" s="40">
        <f>[3]Charters!C174</f>
        <v>0</v>
      </c>
      <c r="D30" s="41">
        <f>[3]Charters!E174</f>
        <v>0</v>
      </c>
      <c r="E30" s="8"/>
      <c r="F30" s="42">
        <f>SUM(D28:D34)</f>
        <v>142695.26999999999</v>
      </c>
      <c r="G30" s="8"/>
      <c r="H30" s="8"/>
    </row>
    <row r="31" spans="1:8" x14ac:dyDescent="0.2">
      <c r="A31" s="20" t="s">
        <v>13</v>
      </c>
      <c r="B31" s="43"/>
      <c r="C31" s="40">
        <f>[3]Charters!F174</f>
        <v>0.70899999999999996</v>
      </c>
      <c r="D31" s="41">
        <f>[3]Charters!H174</f>
        <v>2259</v>
      </c>
      <c r="E31" s="8"/>
      <c r="F31" s="42">
        <f>+F29-F30</f>
        <v>0</v>
      </c>
      <c r="G31" s="8"/>
      <c r="H31" s="8"/>
    </row>
    <row r="32" spans="1:8" x14ac:dyDescent="0.2">
      <c r="A32" s="48" t="s">
        <v>54</v>
      </c>
      <c r="B32" s="43"/>
      <c r="C32" s="40">
        <f>[3]Charters!C330</f>
        <v>1.484</v>
      </c>
      <c r="D32" s="41">
        <f>[3]Charters!E330</f>
        <v>4725.2</v>
      </c>
      <c r="E32" s="8"/>
      <c r="F32" s="8"/>
      <c r="G32" s="8"/>
      <c r="H32" s="8"/>
    </row>
    <row r="33" spans="1:8" x14ac:dyDescent="0.2">
      <c r="A33" s="48" t="s">
        <v>55</v>
      </c>
      <c r="B33" s="43"/>
      <c r="C33" s="40">
        <f>[3]Charters!F330</f>
        <v>0</v>
      </c>
      <c r="D33" s="41">
        <f>[3]Charters!H330</f>
        <v>0</v>
      </c>
      <c r="E33" s="8"/>
      <c r="F33" s="42" t="s">
        <v>25</v>
      </c>
      <c r="G33" s="8"/>
      <c r="H33" s="8"/>
    </row>
    <row r="34" spans="1:8" x14ac:dyDescent="0.2">
      <c r="A34" s="48" t="s">
        <v>56</v>
      </c>
      <c r="B34" s="43"/>
      <c r="C34" s="40">
        <f>[3]Charters!I330</f>
        <v>0</v>
      </c>
      <c r="D34" s="41">
        <f>[3]Charters!K330</f>
        <v>0</v>
      </c>
      <c r="E34" s="8"/>
      <c r="F34" s="42">
        <f>[2]Charters!H20</f>
        <v>283243.42</v>
      </c>
      <c r="G34" s="8"/>
      <c r="H34" s="8"/>
    </row>
    <row r="35" spans="1:8" x14ac:dyDescent="0.2">
      <c r="A35" s="20" t="s">
        <v>49</v>
      </c>
      <c r="B35" s="43"/>
      <c r="C35" s="40">
        <f>[3]Charters!C487</f>
        <v>0</v>
      </c>
      <c r="D35" s="41">
        <f>[3]Charters!E487</f>
        <v>0</v>
      </c>
      <c r="E35" s="8"/>
      <c r="F35" s="42">
        <f>SUM(D28:D36)</f>
        <v>283243.42</v>
      </c>
      <c r="G35" s="8"/>
      <c r="H35" s="8"/>
    </row>
    <row r="36" spans="1:8" x14ac:dyDescent="0.2">
      <c r="A36" s="20" t="s">
        <v>50</v>
      </c>
      <c r="B36" s="43"/>
      <c r="C36" s="40">
        <f>[2]Charters!C20</f>
        <v>44.142000000000003</v>
      </c>
      <c r="D36" s="41">
        <f>[2]Charters!E20</f>
        <v>140548.15</v>
      </c>
      <c r="E36" s="8"/>
      <c r="F36" s="42">
        <f>+F34-F35</f>
        <v>0</v>
      </c>
      <c r="G36" s="8"/>
      <c r="H36" s="8"/>
    </row>
    <row r="37" spans="1:8" x14ac:dyDescent="0.2">
      <c r="A37" s="50"/>
      <c r="B37" s="51" t="s">
        <v>16</v>
      </c>
      <c r="C37" s="52">
        <f>SUM(C24:C36)</f>
        <v>542.15499999999997</v>
      </c>
      <c r="D37" s="53">
        <f>SUM(D24:D36)</f>
        <v>1726222.61</v>
      </c>
      <c r="E37" s="8"/>
      <c r="F37" s="8"/>
      <c r="G37" s="8"/>
      <c r="H37" s="8"/>
    </row>
    <row r="38" spans="1:8" x14ac:dyDescent="0.2">
      <c r="A38" s="54" t="s">
        <v>17</v>
      </c>
      <c r="B38" s="39"/>
      <c r="C38" s="55"/>
      <c r="D38" s="47"/>
      <c r="E38" s="8"/>
      <c r="F38" s="8"/>
      <c r="G38" s="8"/>
      <c r="H38" s="42" t="s">
        <v>29</v>
      </c>
    </row>
    <row r="39" spans="1:8" x14ac:dyDescent="0.2">
      <c r="A39" s="20" t="s">
        <v>33</v>
      </c>
      <c r="B39" s="43"/>
      <c r="C39" s="56"/>
      <c r="D39" s="57">
        <f>[4]Charters!C19</f>
        <v>5003.3999999999996</v>
      </c>
      <c r="E39" s="8"/>
      <c r="F39" s="8"/>
      <c r="G39" s="8"/>
      <c r="H39" s="42">
        <f>[4]Charters!F960</f>
        <v>2906001.49</v>
      </c>
    </row>
    <row r="40" spans="1:8" x14ac:dyDescent="0.2">
      <c r="A40" s="58" t="s">
        <v>35</v>
      </c>
      <c r="B40" s="43"/>
      <c r="C40" s="56"/>
      <c r="D40" s="41">
        <f>+[4]Charters!F340</f>
        <v>2035.48</v>
      </c>
      <c r="E40" s="8"/>
      <c r="F40" s="8"/>
      <c r="G40" s="8"/>
      <c r="H40" s="42">
        <f>SUM(D37:D56)</f>
        <v>2906001.49</v>
      </c>
    </row>
    <row r="41" spans="1:8" x14ac:dyDescent="0.2">
      <c r="A41" s="59" t="s">
        <v>36</v>
      </c>
      <c r="B41" s="43"/>
      <c r="C41" s="56"/>
      <c r="D41" s="41">
        <f>[4]Charters!E179</f>
        <v>13098</v>
      </c>
      <c r="E41" s="8"/>
      <c r="F41" s="8"/>
      <c r="G41" s="8"/>
      <c r="H41" s="42">
        <f>+H39-H40</f>
        <v>0</v>
      </c>
    </row>
    <row r="42" spans="1:8" x14ac:dyDescent="0.2">
      <c r="A42" s="59" t="s">
        <v>52</v>
      </c>
      <c r="B42" s="43"/>
      <c r="C42" s="56"/>
      <c r="D42" s="41">
        <f>[4]Charters!G340</f>
        <v>0</v>
      </c>
      <c r="E42" s="8"/>
      <c r="F42" s="42" t="s">
        <v>27</v>
      </c>
      <c r="G42" s="8"/>
      <c r="H42" s="42"/>
    </row>
    <row r="43" spans="1:8" x14ac:dyDescent="0.2">
      <c r="A43" s="20" t="s">
        <v>37</v>
      </c>
      <c r="B43" s="43"/>
      <c r="C43" s="56"/>
      <c r="D43" s="41">
        <f>[4]Charters!E496</f>
        <v>36319</v>
      </c>
      <c r="E43" s="8"/>
      <c r="F43" s="42">
        <f>[4]Charters!E179</f>
        <v>13098</v>
      </c>
      <c r="G43" s="8"/>
      <c r="H43" s="8"/>
    </row>
    <row r="44" spans="1:8" x14ac:dyDescent="0.2">
      <c r="A44" s="20" t="s">
        <v>38</v>
      </c>
      <c r="B44" s="43"/>
      <c r="C44" s="56"/>
      <c r="D44" s="41">
        <f>[4]Charters!F496</f>
        <v>0</v>
      </c>
      <c r="E44" s="8"/>
      <c r="F44" s="42">
        <f>SUM(D41:D41)</f>
        <v>13098</v>
      </c>
      <c r="G44" s="8"/>
      <c r="H44" s="8"/>
    </row>
    <row r="45" spans="1:8" x14ac:dyDescent="0.2">
      <c r="A45" s="59" t="s">
        <v>40</v>
      </c>
      <c r="B45" s="43"/>
      <c r="C45" s="56"/>
      <c r="D45" s="41">
        <f>[4]Charters!G496</f>
        <v>0</v>
      </c>
      <c r="E45" s="8"/>
      <c r="F45" s="42">
        <f>+F43-F44</f>
        <v>0</v>
      </c>
      <c r="G45" s="8"/>
      <c r="H45" s="8"/>
    </row>
    <row r="46" spans="1:8" x14ac:dyDescent="0.2">
      <c r="A46" s="20" t="s">
        <v>41</v>
      </c>
      <c r="B46" s="43"/>
      <c r="C46" s="56"/>
      <c r="D46" s="41">
        <f>[4]Charters!C651</f>
        <v>944472</v>
      </c>
      <c r="E46" s="8"/>
      <c r="F46" s="42" t="s">
        <v>28</v>
      </c>
      <c r="G46" s="8"/>
      <c r="H46" s="8"/>
    </row>
    <row r="47" spans="1:8" x14ac:dyDescent="0.2">
      <c r="A47" s="20" t="s">
        <v>42</v>
      </c>
      <c r="B47" s="43"/>
      <c r="C47" s="56"/>
      <c r="D47" s="41">
        <f>[4]Charters!D651</f>
        <v>119783.36</v>
      </c>
      <c r="E47" s="8"/>
      <c r="F47" s="42">
        <f>[4]Charters!D496</f>
        <v>15133.48</v>
      </c>
      <c r="G47" s="8"/>
      <c r="H47" s="8"/>
    </row>
    <row r="48" spans="1:8" x14ac:dyDescent="0.2">
      <c r="A48" s="20" t="s">
        <v>44</v>
      </c>
      <c r="B48" s="43"/>
      <c r="C48" s="56"/>
      <c r="D48" s="41">
        <f>[4]Charters!E651</f>
        <v>47200</v>
      </c>
      <c r="E48" s="8"/>
      <c r="F48" s="42">
        <f>SUM(D40:D42)</f>
        <v>15133.48</v>
      </c>
      <c r="G48" s="8"/>
      <c r="H48" s="8"/>
    </row>
    <row r="49" spans="1:8" x14ac:dyDescent="0.2">
      <c r="A49" s="59" t="s">
        <v>43</v>
      </c>
      <c r="B49" s="43"/>
      <c r="C49" s="56"/>
      <c r="D49" s="41">
        <f>[4]Charters!F651</f>
        <v>11147.96</v>
      </c>
      <c r="E49" s="8"/>
      <c r="F49" s="42">
        <f>+F47-F48</f>
        <v>0</v>
      </c>
      <c r="G49" s="8"/>
      <c r="H49" s="8"/>
    </row>
    <row r="50" spans="1:8" x14ac:dyDescent="0.2">
      <c r="A50" s="59" t="s">
        <v>45</v>
      </c>
      <c r="B50" s="43"/>
      <c r="C50" s="56"/>
      <c r="D50" s="41">
        <f>[4]Charters!C496</f>
        <v>0</v>
      </c>
      <c r="E50" s="8"/>
      <c r="F50" s="8"/>
      <c r="G50" s="8"/>
      <c r="H50" s="8"/>
    </row>
    <row r="51" spans="1:8" x14ac:dyDescent="0.2">
      <c r="A51" s="59" t="s">
        <v>46</v>
      </c>
      <c r="B51" s="43"/>
      <c r="C51" s="56"/>
      <c r="D51" s="41">
        <f>[4]Charters!C807</f>
        <v>0</v>
      </c>
      <c r="E51" s="8"/>
      <c r="F51" s="8"/>
      <c r="G51" s="8"/>
      <c r="H51" s="42" t="s">
        <v>31</v>
      </c>
    </row>
    <row r="52" spans="1:8" x14ac:dyDescent="0.2">
      <c r="A52" s="59" t="s">
        <v>51</v>
      </c>
      <c r="B52" s="43"/>
      <c r="C52" s="56"/>
      <c r="D52" s="60">
        <f>[4]Charters!D807</f>
        <v>719.68</v>
      </c>
      <c r="E52" s="8"/>
      <c r="F52" s="8"/>
      <c r="G52" s="8"/>
      <c r="H52" s="42">
        <f>[4]Charters!D1266</f>
        <v>2910484.45</v>
      </c>
    </row>
    <row r="53" spans="1:8" x14ac:dyDescent="0.2">
      <c r="A53" s="20" t="s">
        <v>47</v>
      </c>
      <c r="B53" s="43"/>
      <c r="C53" s="56"/>
      <c r="D53" s="60">
        <f>[4]Charters!E807</f>
        <v>0</v>
      </c>
      <c r="E53" s="8"/>
      <c r="F53" s="8"/>
      <c r="G53" s="8"/>
      <c r="H53" s="42">
        <f>D62</f>
        <v>2910484.45</v>
      </c>
    </row>
    <row r="54" spans="1:8" x14ac:dyDescent="0.2">
      <c r="A54" s="20" t="s">
        <v>57</v>
      </c>
      <c r="B54" s="43"/>
      <c r="C54" s="56"/>
      <c r="D54" s="60">
        <f>[4]Charters!C960</f>
        <v>0</v>
      </c>
      <c r="E54" s="8"/>
      <c r="F54" s="8"/>
      <c r="G54" s="8"/>
      <c r="H54" s="42">
        <f>+H52-H53</f>
        <v>0</v>
      </c>
    </row>
    <row r="55" spans="1:8" x14ac:dyDescent="0.2">
      <c r="A55" s="59" t="s">
        <v>53</v>
      </c>
      <c r="B55" s="43"/>
      <c r="C55" s="56"/>
      <c r="D55" s="60">
        <f>[4]Charters!D960</f>
        <v>0</v>
      </c>
      <c r="E55" s="8"/>
      <c r="F55" s="42" t="s">
        <v>30</v>
      </c>
      <c r="G55" s="8"/>
      <c r="H55" s="8"/>
    </row>
    <row r="56" spans="1:8" x14ac:dyDescent="0.2">
      <c r="A56" s="59" t="s">
        <v>59</v>
      </c>
      <c r="B56" s="43"/>
      <c r="C56" s="56"/>
      <c r="D56" s="60">
        <f>[4]Charters!E960</f>
        <v>0</v>
      </c>
      <c r="E56" s="8"/>
      <c r="F56" s="8"/>
      <c r="G56" s="8"/>
      <c r="H56" s="8"/>
    </row>
    <row r="57" spans="1:8" x14ac:dyDescent="0.2">
      <c r="A57" s="38" t="s">
        <v>18</v>
      </c>
      <c r="B57" s="61"/>
      <c r="C57" s="62"/>
      <c r="D57" s="63"/>
      <c r="E57" s="8"/>
      <c r="F57" s="42">
        <f>[4]Charters!C1266</f>
        <v>4482.96</v>
      </c>
      <c r="G57" s="8"/>
      <c r="H57" s="8"/>
    </row>
    <row r="58" spans="1:8" x14ac:dyDescent="0.2">
      <c r="A58" s="59" t="s">
        <v>39</v>
      </c>
      <c r="B58" s="43"/>
      <c r="C58" s="56"/>
      <c r="D58" s="41">
        <f>[4]Charters!C1113</f>
        <v>4482.96</v>
      </c>
      <c r="E58" s="8"/>
      <c r="F58" s="42">
        <f>SUM(D58:D61)</f>
        <v>4482.96</v>
      </c>
      <c r="G58" s="8"/>
      <c r="H58" s="8"/>
    </row>
    <row r="59" spans="1:8" x14ac:dyDescent="0.2">
      <c r="A59" s="59" t="s">
        <v>48</v>
      </c>
      <c r="B59" s="43"/>
      <c r="C59" s="56"/>
      <c r="D59" s="41">
        <f>[4]Charters!D1113</f>
        <v>0</v>
      </c>
      <c r="E59" s="8"/>
      <c r="F59" s="42">
        <f>+F57-F58</f>
        <v>0</v>
      </c>
      <c r="G59" s="8"/>
      <c r="H59" s="8"/>
    </row>
    <row r="60" spans="1:8" x14ac:dyDescent="0.2">
      <c r="A60" s="59" t="s">
        <v>60</v>
      </c>
      <c r="B60" s="43"/>
      <c r="C60" s="56"/>
      <c r="D60" s="41">
        <f>[4]Charters!E1113</f>
        <v>0</v>
      </c>
      <c r="E60" s="42"/>
      <c r="F60" s="42"/>
      <c r="G60" s="42"/>
      <c r="H60" s="42"/>
    </row>
    <row r="61" spans="1:8" x14ac:dyDescent="0.2">
      <c r="A61" s="59" t="s">
        <v>61</v>
      </c>
      <c r="B61" s="43"/>
      <c r="C61" s="56"/>
      <c r="D61" s="41">
        <f>[4]Charters!F1113</f>
        <v>0</v>
      </c>
      <c r="E61" s="42"/>
      <c r="F61" s="42"/>
      <c r="G61" s="42"/>
      <c r="H61" s="42"/>
    </row>
    <row r="62" spans="1:8" ht="13.5" thickBot="1" x14ac:dyDescent="0.25">
      <c r="A62" s="64"/>
      <c r="B62" s="65"/>
      <c r="C62" s="66"/>
      <c r="D62" s="67">
        <f>SUM(D37:D61)</f>
        <v>2910484.45</v>
      </c>
      <c r="E62" s="42"/>
      <c r="F62" s="42"/>
      <c r="G62" s="42"/>
      <c r="H62" s="42"/>
    </row>
    <row r="63" spans="1:8" ht="13.5" thickTop="1" x14ac:dyDescent="0.2">
      <c r="A63" s="68"/>
      <c r="B63" s="43"/>
      <c r="C63" s="56"/>
      <c r="D63" s="86"/>
      <c r="E63" s="42"/>
      <c r="F63" s="42"/>
      <c r="G63" s="42"/>
      <c r="H63" s="42"/>
    </row>
    <row r="64" spans="1:8" x14ac:dyDescent="0.2">
      <c r="A64" s="38" t="s">
        <v>20</v>
      </c>
      <c r="B64" s="39"/>
      <c r="C64" s="70"/>
      <c r="D64" s="71" t="s">
        <v>21</v>
      </c>
      <c r="E64" s="42"/>
      <c r="F64" s="42"/>
      <c r="G64" s="42"/>
      <c r="H64" s="42"/>
    </row>
    <row r="65" spans="1:8" x14ac:dyDescent="0.2">
      <c r="A65" s="72" t="s">
        <v>22</v>
      </c>
      <c r="B65" s="73"/>
      <c r="C65" s="74"/>
      <c r="D65" s="41">
        <f>[5]Charters!C19</f>
        <v>1177.52</v>
      </c>
      <c r="E65" s="42"/>
      <c r="F65" s="42"/>
      <c r="G65" s="42"/>
      <c r="H65" s="42"/>
    </row>
    <row r="66" spans="1:8" x14ac:dyDescent="0.2">
      <c r="A66" s="75"/>
      <c r="B66" s="61"/>
      <c r="C66" s="76"/>
      <c r="D66" s="77">
        <f>SUM(D65:D65)</f>
        <v>1177.52</v>
      </c>
      <c r="E66" s="42"/>
      <c r="F66" s="42"/>
      <c r="G66" s="42"/>
      <c r="H66" s="42"/>
    </row>
    <row r="67" spans="1:8" x14ac:dyDescent="0.2">
      <c r="A67" s="78" t="s">
        <v>58</v>
      </c>
      <c r="B67" s="79"/>
      <c r="C67" s="80"/>
      <c r="D67" s="77">
        <f>D66+D62</f>
        <v>2911661.97</v>
      </c>
      <c r="E67" s="42"/>
      <c r="F67" s="42"/>
      <c r="G67" s="42"/>
      <c r="H67" s="42"/>
    </row>
    <row r="68" spans="1:8" x14ac:dyDescent="0.2">
      <c r="A68" s="84"/>
      <c r="B68" s="84"/>
      <c r="C68" s="85"/>
      <c r="D68" s="81"/>
      <c r="E68" s="42"/>
      <c r="F68" s="42"/>
      <c r="G68" s="42"/>
      <c r="H68" s="42"/>
    </row>
    <row r="69" spans="1:8" x14ac:dyDescent="0.2">
      <c r="A69" s="84"/>
      <c r="B69" s="84"/>
      <c r="C69" s="85"/>
      <c r="D69" s="81">
        <f>[5]Charters!E175</f>
        <v>2911661.97</v>
      </c>
      <c r="E69" s="42"/>
      <c r="F69" s="42"/>
      <c r="G69" s="42"/>
      <c r="H69" s="42"/>
    </row>
    <row r="70" spans="1:8" x14ac:dyDescent="0.2">
      <c r="A70" s="84"/>
      <c r="B70" s="84"/>
      <c r="C70" s="85"/>
      <c r="D70" s="81">
        <f>D67</f>
        <v>2911661.97</v>
      </c>
      <c r="E70" s="42"/>
      <c r="F70" s="42"/>
      <c r="G70" s="42"/>
      <c r="H70" s="42"/>
    </row>
    <row r="71" spans="1:8" x14ac:dyDescent="0.2">
      <c r="C71" s="83"/>
      <c r="D71" s="42">
        <f>D69-D70</f>
        <v>0</v>
      </c>
      <c r="E71" s="42"/>
      <c r="F71" s="42"/>
      <c r="G71" s="42"/>
      <c r="H71" s="42"/>
    </row>
  </sheetData>
  <mergeCells count="4">
    <mergeCell ref="A15:D15"/>
    <mergeCell ref="A13:D13"/>
    <mergeCell ref="A14:D14"/>
    <mergeCell ref="A67:C67"/>
  </mergeCells>
  <phoneticPr fontId="0" type="noConversion"/>
  <printOptions horizontalCentered="1" verticalCentered="1"/>
  <pageMargins left="0.5" right="0.5" top="0.5" bottom="0.5" header="0.25" footer="0.25"/>
  <pageSetup orientation="portrait" r:id="rId1"/>
  <headerFooter alignWithMargins="0">
    <oddHeader>&amp;R&amp;8Current as of: &amp;D</oddHeader>
    <oddFooter>&amp;L&amp;8USOE, School Finance</oddFooter>
  </headerFooter>
  <picture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>
    <pageSetUpPr fitToPage="1"/>
  </sheetPr>
  <dimension ref="A1:H72"/>
  <sheetViews>
    <sheetView showGridLines="0" topLeftCell="A7" workbookViewId="0">
      <selection activeCell="C12" sqref="C12"/>
    </sheetView>
  </sheetViews>
  <sheetFormatPr defaultColWidth="9.140625" defaultRowHeight="12.75" x14ac:dyDescent="0.2"/>
  <cols>
    <col min="1" max="1" width="31.85546875" style="82" customWidth="1"/>
    <col min="2" max="2" width="16.28515625" style="82" customWidth="1"/>
    <col min="3" max="4" width="14.85546875" style="82" customWidth="1"/>
    <col min="5" max="5" width="7" style="82" customWidth="1"/>
    <col min="6" max="6" width="19.7109375" style="82" customWidth="1"/>
    <col min="7" max="7" width="5.7109375" style="82" customWidth="1"/>
    <col min="8" max="8" width="18" style="82" customWidth="1"/>
    <col min="9" max="16384" width="9.140625" style="82"/>
  </cols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"/>
      <c r="B3" s="1"/>
      <c r="C3" s="1"/>
      <c r="D3" s="1"/>
      <c r="E3" s="1"/>
      <c r="F3" s="1"/>
      <c r="G3" s="1"/>
      <c r="H3" s="1"/>
    </row>
    <row r="4" spans="1:8" x14ac:dyDescent="0.2">
      <c r="A4" s="1"/>
      <c r="B4" s="1"/>
      <c r="C4" s="1"/>
      <c r="D4" s="1"/>
      <c r="E4" s="1"/>
      <c r="F4" s="1"/>
      <c r="G4" s="1"/>
      <c r="H4" s="1"/>
    </row>
    <row r="5" spans="1:8" x14ac:dyDescent="0.2">
      <c r="A5" s="1"/>
      <c r="B5" s="1"/>
      <c r="C5" s="1"/>
      <c r="D5" s="1"/>
      <c r="E5" s="1"/>
      <c r="F5" s="1"/>
      <c r="G5" s="1"/>
      <c r="H5" s="1"/>
    </row>
    <row r="6" spans="1:8" x14ac:dyDescent="0.2">
      <c r="A6" s="1"/>
      <c r="B6" s="1"/>
      <c r="C6" s="1"/>
      <c r="D6" s="1"/>
      <c r="E6" s="1"/>
      <c r="F6" s="1"/>
      <c r="G6" s="1"/>
      <c r="H6" s="1"/>
    </row>
    <row r="7" spans="1:8" x14ac:dyDescent="0.2">
      <c r="A7" s="1"/>
      <c r="B7" s="1"/>
      <c r="C7" s="1"/>
      <c r="D7" s="1"/>
      <c r="E7" s="1"/>
      <c r="F7" s="1"/>
      <c r="G7" s="1"/>
      <c r="H7" s="1"/>
    </row>
    <row r="8" spans="1:8" x14ac:dyDescent="0.2">
      <c r="A8" s="1"/>
      <c r="B8" s="1"/>
      <c r="C8" s="1"/>
      <c r="D8" s="1"/>
      <c r="E8" s="1"/>
      <c r="F8" s="1"/>
      <c r="G8" s="1"/>
      <c r="H8" s="1"/>
    </row>
    <row r="9" spans="1:8" x14ac:dyDescent="0.2">
      <c r="A9" s="1"/>
      <c r="B9" s="1"/>
      <c r="C9" s="1"/>
      <c r="D9" s="1"/>
      <c r="E9" s="1"/>
      <c r="F9" s="1"/>
      <c r="G9" s="1"/>
      <c r="H9" s="1"/>
    </row>
    <row r="10" spans="1:8" x14ac:dyDescent="0.2">
      <c r="A10" s="1"/>
      <c r="B10" s="1"/>
      <c r="C10" s="1"/>
      <c r="D10" s="1"/>
      <c r="E10" s="1"/>
      <c r="F10" s="1"/>
      <c r="G10" s="1"/>
      <c r="H10" s="1"/>
    </row>
    <row r="11" spans="1:8" x14ac:dyDescent="0.2">
      <c r="A11" s="1"/>
      <c r="B11" s="1"/>
      <c r="C11" s="1"/>
      <c r="D11" s="1"/>
      <c r="E11" s="1"/>
      <c r="F11" s="1"/>
      <c r="G11" s="1"/>
      <c r="H11" s="1"/>
    </row>
    <row r="12" spans="1:8" x14ac:dyDescent="0.2">
      <c r="A12" s="1"/>
      <c r="B12" s="1"/>
      <c r="C12" s="1"/>
      <c r="D12" s="1"/>
      <c r="E12" s="1"/>
      <c r="F12" s="1"/>
      <c r="G12" s="1"/>
      <c r="H12" s="1"/>
    </row>
    <row r="13" spans="1:8" x14ac:dyDescent="0.2">
      <c r="A13" s="1"/>
      <c r="B13" s="1"/>
      <c r="C13" s="1"/>
      <c r="D13" s="1"/>
      <c r="E13" s="1"/>
      <c r="F13" s="1"/>
      <c r="G13" s="1"/>
      <c r="H13" s="1"/>
    </row>
    <row r="14" spans="1:8" x14ac:dyDescent="0.2">
      <c r="A14" s="11" t="s">
        <v>1</v>
      </c>
      <c r="B14" s="12"/>
      <c r="C14" s="12"/>
      <c r="D14" s="13"/>
      <c r="E14" s="8"/>
      <c r="F14" s="8"/>
      <c r="G14" s="8"/>
      <c r="H14" s="8"/>
    </row>
    <row r="15" spans="1:8" x14ac:dyDescent="0.2">
      <c r="A15" s="14" t="s">
        <v>15</v>
      </c>
      <c r="B15" s="15"/>
      <c r="C15" s="15"/>
      <c r="D15" s="16"/>
      <c r="E15" s="8"/>
      <c r="F15" s="8"/>
      <c r="G15" s="8"/>
      <c r="H15" s="8"/>
    </row>
    <row r="16" spans="1:8" x14ac:dyDescent="0.2">
      <c r="A16" s="17" t="s">
        <v>62</v>
      </c>
      <c r="B16" s="18"/>
      <c r="C16" s="18"/>
      <c r="D16" s="19"/>
      <c r="E16" s="8"/>
      <c r="F16" s="8"/>
      <c r="G16" s="8"/>
      <c r="H16" s="8"/>
    </row>
    <row r="17" spans="1:8" x14ac:dyDescent="0.2">
      <c r="A17" s="20"/>
      <c r="B17" s="21"/>
      <c r="C17" s="22"/>
      <c r="D17" s="23"/>
      <c r="E17" s="8"/>
      <c r="F17" s="8" t="s">
        <v>34</v>
      </c>
      <c r="G17" s="8"/>
      <c r="H17" s="8"/>
    </row>
    <row r="18" spans="1:8" ht="15.75" x14ac:dyDescent="0.25">
      <c r="A18" s="24" t="s">
        <v>2</v>
      </c>
      <c r="B18" s="25" t="str">
        <f>[1]Charters!B21</f>
        <v>Salt Lake Arts Academy</v>
      </c>
      <c r="C18" s="26"/>
      <c r="D18" s="27"/>
      <c r="E18" s="8"/>
      <c r="F18" s="8"/>
      <c r="G18" s="8"/>
      <c r="H18" s="8"/>
    </row>
    <row r="19" spans="1:8" x14ac:dyDescent="0.2">
      <c r="A19" s="24"/>
      <c r="B19" s="28"/>
      <c r="C19" s="26"/>
      <c r="D19" s="27"/>
      <c r="E19" s="8"/>
      <c r="F19" s="8"/>
      <c r="G19" s="8"/>
      <c r="H19" s="8"/>
    </row>
    <row r="20" spans="1:8" x14ac:dyDescent="0.2">
      <c r="A20" s="29" t="s">
        <v>0</v>
      </c>
      <c r="B20" s="30">
        <f>[1]Charters!$E$6</f>
        <v>3184</v>
      </c>
      <c r="C20" s="26"/>
      <c r="D20" s="31"/>
      <c r="E20" s="8"/>
      <c r="F20" s="8"/>
      <c r="G20" s="8"/>
      <c r="H20" s="8"/>
    </row>
    <row r="21" spans="1:8" x14ac:dyDescent="0.2">
      <c r="A21" s="32"/>
      <c r="B21" s="6"/>
      <c r="C21" s="33"/>
      <c r="D21" s="34" t="s">
        <v>3</v>
      </c>
      <c r="E21" s="8"/>
      <c r="F21" s="8"/>
      <c r="G21" s="8"/>
      <c r="H21" s="8"/>
    </row>
    <row r="22" spans="1:8" x14ac:dyDescent="0.2">
      <c r="A22" s="29" t="s">
        <v>19</v>
      </c>
      <c r="B22" s="35">
        <f>[1]Charters!A21</f>
        <v>97</v>
      </c>
      <c r="C22" s="36" t="s">
        <v>4</v>
      </c>
      <c r="D22" s="37" t="s">
        <v>5</v>
      </c>
      <c r="E22" s="8"/>
      <c r="F22" s="8"/>
      <c r="G22" s="8"/>
      <c r="H22" s="8"/>
    </row>
    <row r="23" spans="1:8" x14ac:dyDescent="0.2">
      <c r="A23" s="38" t="s">
        <v>6</v>
      </c>
      <c r="B23" s="39"/>
      <c r="C23" s="40"/>
      <c r="D23" s="41"/>
      <c r="E23" s="8"/>
      <c r="F23" s="8"/>
      <c r="G23" s="8"/>
      <c r="H23" s="8"/>
    </row>
    <row r="24" spans="1:8" x14ac:dyDescent="0.2">
      <c r="A24" s="38" t="s">
        <v>7</v>
      </c>
      <c r="B24" s="39"/>
      <c r="C24" s="40"/>
      <c r="D24" s="41"/>
      <c r="E24" s="8"/>
      <c r="F24" s="42" t="s">
        <v>23</v>
      </c>
      <c r="G24" s="8"/>
      <c r="H24" s="42" t="s">
        <v>26</v>
      </c>
    </row>
    <row r="25" spans="1:8" x14ac:dyDescent="0.2">
      <c r="A25" s="20" t="s">
        <v>8</v>
      </c>
      <c r="B25" s="43"/>
      <c r="C25" s="44">
        <f>[1]Charters!C481</f>
        <v>366.35</v>
      </c>
      <c r="D25" s="45">
        <f>[1]Charters!E481</f>
        <v>1166459.23</v>
      </c>
      <c r="E25" s="8"/>
      <c r="F25" s="42">
        <f>[1]Charters!E636</f>
        <v>1259469.19</v>
      </c>
      <c r="G25" s="8"/>
      <c r="H25" s="42">
        <f>[2]Charters!E175</f>
        <v>1475540.95</v>
      </c>
    </row>
    <row r="26" spans="1:8" x14ac:dyDescent="0.2">
      <c r="A26" s="20" t="s">
        <v>14</v>
      </c>
      <c r="B26" s="43"/>
      <c r="C26" s="44">
        <f>[1]Charters!F481</f>
        <v>29.212</v>
      </c>
      <c r="D26" s="45">
        <f>[1]Charters!H481</f>
        <v>93009.96</v>
      </c>
      <c r="E26" s="8"/>
      <c r="F26" s="42">
        <f>SUM(D25:D27)</f>
        <v>1259469.19</v>
      </c>
      <c r="G26" s="8"/>
      <c r="H26" s="42">
        <f>D38</f>
        <v>1475540.95</v>
      </c>
    </row>
    <row r="27" spans="1:8" x14ac:dyDescent="0.2">
      <c r="A27" s="20" t="s">
        <v>32</v>
      </c>
      <c r="B27" s="43"/>
      <c r="C27" s="44">
        <f>[1]Charters!C174</f>
        <v>0</v>
      </c>
      <c r="D27" s="45">
        <f>[1]Charters!E174</f>
        <v>0</v>
      </c>
      <c r="E27" s="8"/>
      <c r="F27" s="42">
        <f>+F25-F26</f>
        <v>0</v>
      </c>
      <c r="G27" s="8"/>
      <c r="H27" s="42">
        <f>+H25-H26</f>
        <v>0</v>
      </c>
    </row>
    <row r="28" spans="1:8" x14ac:dyDescent="0.2">
      <c r="A28" s="38" t="s">
        <v>9</v>
      </c>
      <c r="B28" s="39"/>
      <c r="C28" s="46"/>
      <c r="D28" s="47"/>
      <c r="E28" s="8"/>
      <c r="F28" s="8"/>
      <c r="G28" s="8"/>
      <c r="H28" s="8"/>
    </row>
    <row r="29" spans="1:8" x14ac:dyDescent="0.2">
      <c r="A29" s="20" t="s">
        <v>10</v>
      </c>
      <c r="B29" s="43"/>
      <c r="C29" s="40">
        <f>[3]Charters!C20</f>
        <v>32.168999999999997</v>
      </c>
      <c r="D29" s="41">
        <f>[3]Charters!E20</f>
        <v>102424.62</v>
      </c>
      <c r="E29" s="8"/>
      <c r="F29" s="42" t="s">
        <v>24</v>
      </c>
      <c r="G29" s="8"/>
      <c r="H29" s="8"/>
    </row>
    <row r="30" spans="1:8" x14ac:dyDescent="0.2">
      <c r="A30" s="48" t="s">
        <v>11</v>
      </c>
      <c r="B30" s="43"/>
      <c r="C30" s="40">
        <f>[3]Charters!F20</f>
        <v>0</v>
      </c>
      <c r="D30" s="49">
        <f>[3]Charters!H20</f>
        <v>0</v>
      </c>
      <c r="E30" s="8"/>
      <c r="F30" s="42">
        <f>[3]Charters!N331</f>
        <v>106333.69</v>
      </c>
      <c r="G30" s="8"/>
      <c r="H30" s="8"/>
    </row>
    <row r="31" spans="1:8" x14ac:dyDescent="0.2">
      <c r="A31" s="48" t="s">
        <v>12</v>
      </c>
      <c r="B31" s="43"/>
      <c r="C31" s="40">
        <f>[3]Charters!C175</f>
        <v>0</v>
      </c>
      <c r="D31" s="41">
        <f>[3]Charters!E175</f>
        <v>0</v>
      </c>
      <c r="E31" s="8"/>
      <c r="F31" s="42">
        <f>SUM(D29:D35)</f>
        <v>106333.69</v>
      </c>
      <c r="G31" s="8"/>
      <c r="H31" s="8"/>
    </row>
    <row r="32" spans="1:8" x14ac:dyDescent="0.2">
      <c r="A32" s="20" t="s">
        <v>13</v>
      </c>
      <c r="B32" s="43"/>
      <c r="C32" s="40">
        <f>[3]Charters!F175</f>
        <v>0.70899999999999996</v>
      </c>
      <c r="D32" s="41">
        <f>[3]Charters!H175</f>
        <v>2259</v>
      </c>
      <c r="E32" s="8"/>
      <c r="F32" s="42">
        <f>+F30-F31</f>
        <v>0</v>
      </c>
      <c r="G32" s="8"/>
      <c r="H32" s="8"/>
    </row>
    <row r="33" spans="1:8" x14ac:dyDescent="0.2">
      <c r="A33" s="48" t="s">
        <v>54</v>
      </c>
      <c r="B33" s="43"/>
      <c r="C33" s="40">
        <f>[3]Charters!C331</f>
        <v>0.51800000000000002</v>
      </c>
      <c r="D33" s="41">
        <f>[3]Charters!E331</f>
        <v>1650.07</v>
      </c>
      <c r="E33" s="8"/>
      <c r="F33" s="8"/>
      <c r="G33" s="8"/>
      <c r="H33" s="8"/>
    </row>
    <row r="34" spans="1:8" x14ac:dyDescent="0.2">
      <c r="A34" s="48" t="s">
        <v>55</v>
      </c>
      <c r="B34" s="43"/>
      <c r="C34" s="40">
        <f>[3]Charters!F331</f>
        <v>0</v>
      </c>
      <c r="D34" s="41">
        <f>[3]Charters!H331</f>
        <v>0</v>
      </c>
      <c r="E34" s="8"/>
      <c r="F34" s="42" t="s">
        <v>25</v>
      </c>
      <c r="G34" s="8"/>
      <c r="H34" s="8"/>
    </row>
    <row r="35" spans="1:8" x14ac:dyDescent="0.2">
      <c r="A35" s="48" t="s">
        <v>56</v>
      </c>
      <c r="B35" s="43"/>
      <c r="C35" s="40">
        <f>[3]Charters!I331</f>
        <v>0</v>
      </c>
      <c r="D35" s="41">
        <f>[3]Charters!K331</f>
        <v>0</v>
      </c>
      <c r="E35" s="8"/>
      <c r="F35" s="42">
        <f>[2]Charters!H21</f>
        <v>216071.76</v>
      </c>
      <c r="G35" s="8"/>
      <c r="H35" s="8"/>
    </row>
    <row r="36" spans="1:8" x14ac:dyDescent="0.2">
      <c r="A36" s="20" t="s">
        <v>49</v>
      </c>
      <c r="B36" s="43"/>
      <c r="C36" s="40">
        <f>[3]Charters!C488</f>
        <v>0</v>
      </c>
      <c r="D36" s="41">
        <f>[3]Charters!E488</f>
        <v>0</v>
      </c>
      <c r="E36" s="8"/>
      <c r="F36" s="42">
        <f>SUM(D29:D37)</f>
        <v>216071.76</v>
      </c>
      <c r="G36" s="8"/>
      <c r="H36" s="8"/>
    </row>
    <row r="37" spans="1:8" x14ac:dyDescent="0.2">
      <c r="A37" s="20" t="s">
        <v>50</v>
      </c>
      <c r="B37" s="43"/>
      <c r="C37" s="40">
        <f>[2]Charters!C21</f>
        <v>34.465000000000003</v>
      </c>
      <c r="D37" s="41">
        <f>[2]Charters!E21</f>
        <v>109738.07</v>
      </c>
      <c r="E37" s="8"/>
      <c r="F37" s="42">
        <f>+F35-F36</f>
        <v>0</v>
      </c>
      <c r="G37" s="8"/>
      <c r="H37" s="8"/>
    </row>
    <row r="38" spans="1:8" x14ac:dyDescent="0.2">
      <c r="A38" s="50"/>
      <c r="B38" s="51" t="s">
        <v>16</v>
      </c>
      <c r="C38" s="52">
        <f>SUM(C25:C37)</f>
        <v>463.423</v>
      </c>
      <c r="D38" s="53">
        <f>SUM(D25:D37)</f>
        <v>1475540.95</v>
      </c>
      <c r="E38" s="8"/>
      <c r="F38" s="8"/>
      <c r="G38" s="8"/>
      <c r="H38" s="8"/>
    </row>
    <row r="39" spans="1:8" x14ac:dyDescent="0.2">
      <c r="A39" s="54" t="s">
        <v>17</v>
      </c>
      <c r="B39" s="39"/>
      <c r="C39" s="55"/>
      <c r="D39" s="47"/>
      <c r="E39" s="8"/>
      <c r="F39" s="8"/>
      <c r="G39" s="8"/>
      <c r="H39" s="42" t="s">
        <v>29</v>
      </c>
    </row>
    <row r="40" spans="1:8" x14ac:dyDescent="0.2">
      <c r="A40" s="20" t="s">
        <v>33</v>
      </c>
      <c r="B40" s="43"/>
      <c r="C40" s="56"/>
      <c r="D40" s="57">
        <f>[4]Charters!C20</f>
        <v>4276.8100000000004</v>
      </c>
      <c r="E40" s="8"/>
      <c r="F40" s="8"/>
      <c r="G40" s="8"/>
      <c r="H40" s="42">
        <f>[4]Charters!F961</f>
        <v>2499324.7999999998</v>
      </c>
    </row>
    <row r="41" spans="1:8" x14ac:dyDescent="0.2">
      <c r="A41" s="58" t="s">
        <v>35</v>
      </c>
      <c r="B41" s="43"/>
      <c r="C41" s="56"/>
      <c r="D41" s="41">
        <f>+[4]Charters!F341</f>
        <v>1763.24</v>
      </c>
      <c r="E41" s="8"/>
      <c r="F41" s="8"/>
      <c r="G41" s="8"/>
      <c r="H41" s="42">
        <f>SUM(D38:D57)</f>
        <v>2499324.7999999998</v>
      </c>
    </row>
    <row r="42" spans="1:8" x14ac:dyDescent="0.2">
      <c r="A42" s="59" t="s">
        <v>36</v>
      </c>
      <c r="B42" s="43"/>
      <c r="C42" s="56"/>
      <c r="D42" s="41">
        <f>[4]Charters!E180</f>
        <v>16700</v>
      </c>
      <c r="E42" s="8"/>
      <c r="F42" s="8"/>
      <c r="G42" s="8"/>
      <c r="H42" s="42">
        <f>+H40-H41</f>
        <v>0</v>
      </c>
    </row>
    <row r="43" spans="1:8" x14ac:dyDescent="0.2">
      <c r="A43" s="59" t="s">
        <v>52</v>
      </c>
      <c r="B43" s="43"/>
      <c r="C43" s="56"/>
      <c r="D43" s="41">
        <f>[4]Charters!G341</f>
        <v>0</v>
      </c>
      <c r="E43" s="8"/>
      <c r="F43" s="42" t="s">
        <v>27</v>
      </c>
      <c r="G43" s="8"/>
      <c r="H43" s="42"/>
    </row>
    <row r="44" spans="1:8" x14ac:dyDescent="0.2">
      <c r="A44" s="20" t="s">
        <v>37</v>
      </c>
      <c r="B44" s="43"/>
      <c r="C44" s="56"/>
      <c r="D44" s="41">
        <f>[4]Charters!E497</f>
        <v>27954</v>
      </c>
      <c r="E44" s="8"/>
      <c r="F44" s="42">
        <f>[4]Charters!E180</f>
        <v>16700</v>
      </c>
      <c r="G44" s="8"/>
      <c r="H44" s="8"/>
    </row>
    <row r="45" spans="1:8" x14ac:dyDescent="0.2">
      <c r="A45" s="20" t="s">
        <v>38</v>
      </c>
      <c r="B45" s="43"/>
      <c r="C45" s="56"/>
      <c r="D45" s="41">
        <f>[4]Charters!F497</f>
        <v>0</v>
      </c>
      <c r="E45" s="8"/>
      <c r="F45" s="42">
        <f>SUM(D42:D42)</f>
        <v>16700</v>
      </c>
      <c r="G45" s="8"/>
      <c r="H45" s="8"/>
    </row>
    <row r="46" spans="1:8" x14ac:dyDescent="0.2">
      <c r="A46" s="59" t="s">
        <v>40</v>
      </c>
      <c r="B46" s="43"/>
      <c r="C46" s="56"/>
      <c r="D46" s="41">
        <f>[4]Charters!G497</f>
        <v>0</v>
      </c>
      <c r="E46" s="8"/>
      <c r="F46" s="42">
        <f>+F44-F45</f>
        <v>0</v>
      </c>
      <c r="G46" s="8"/>
      <c r="H46" s="8"/>
    </row>
    <row r="47" spans="1:8" x14ac:dyDescent="0.2">
      <c r="A47" s="20" t="s">
        <v>41</v>
      </c>
      <c r="B47" s="43"/>
      <c r="C47" s="56"/>
      <c r="D47" s="41">
        <f>[4]Charters!C652</f>
        <v>784392</v>
      </c>
      <c r="E47" s="8"/>
      <c r="F47" s="42" t="s">
        <v>28</v>
      </c>
      <c r="G47" s="8"/>
      <c r="H47" s="8"/>
    </row>
    <row r="48" spans="1:8" x14ac:dyDescent="0.2">
      <c r="A48" s="20" t="s">
        <v>42</v>
      </c>
      <c r="B48" s="43"/>
      <c r="C48" s="56"/>
      <c r="D48" s="41">
        <f>[4]Charters!D652</f>
        <v>97542.58</v>
      </c>
      <c r="E48" s="8"/>
      <c r="F48" s="42">
        <f>[4]Charters!D497</f>
        <v>18463.240000000002</v>
      </c>
      <c r="G48" s="8"/>
      <c r="H48" s="8"/>
    </row>
    <row r="49" spans="1:8" x14ac:dyDescent="0.2">
      <c r="A49" s="20" t="s">
        <v>44</v>
      </c>
      <c r="B49" s="43"/>
      <c r="C49" s="56"/>
      <c r="D49" s="41">
        <f>[4]Charters!E652</f>
        <v>39200</v>
      </c>
      <c r="E49" s="8"/>
      <c r="F49" s="42">
        <f>SUM(D41:D43)</f>
        <v>18463.240000000002</v>
      </c>
      <c r="G49" s="8"/>
      <c r="H49" s="8"/>
    </row>
    <row r="50" spans="1:8" x14ac:dyDescent="0.2">
      <c r="A50" s="59" t="s">
        <v>43</v>
      </c>
      <c r="B50" s="43"/>
      <c r="C50" s="56"/>
      <c r="D50" s="41">
        <f>[4]Charters!F652</f>
        <v>0</v>
      </c>
      <c r="E50" s="8"/>
      <c r="F50" s="42">
        <f>+F48-F49</f>
        <v>0</v>
      </c>
      <c r="G50" s="8"/>
      <c r="H50" s="8"/>
    </row>
    <row r="51" spans="1:8" x14ac:dyDescent="0.2">
      <c r="A51" s="59" t="s">
        <v>45</v>
      </c>
      <c r="B51" s="43"/>
      <c r="C51" s="56"/>
      <c r="D51" s="41">
        <f>[4]Charters!C497</f>
        <v>0</v>
      </c>
      <c r="E51" s="8"/>
      <c r="F51" s="8"/>
      <c r="G51" s="8"/>
      <c r="H51" s="8"/>
    </row>
    <row r="52" spans="1:8" x14ac:dyDescent="0.2">
      <c r="A52" s="59" t="s">
        <v>46</v>
      </c>
      <c r="B52" s="43"/>
      <c r="C52" s="56"/>
      <c r="D52" s="41">
        <f>[4]Charters!C808</f>
        <v>0</v>
      </c>
      <c r="E52" s="8"/>
      <c r="F52" s="8"/>
      <c r="G52" s="8"/>
      <c r="H52" s="42" t="s">
        <v>31</v>
      </c>
    </row>
    <row r="53" spans="1:8" x14ac:dyDescent="0.2">
      <c r="A53" s="59" t="s">
        <v>51</v>
      </c>
      <c r="B53" s="43"/>
      <c r="C53" s="56"/>
      <c r="D53" s="60">
        <f>[4]Charters!D808</f>
        <v>607.96</v>
      </c>
      <c r="E53" s="8"/>
      <c r="F53" s="8"/>
      <c r="G53" s="8"/>
      <c r="H53" s="42">
        <f>[4]Charters!D1267</f>
        <v>2507228.19</v>
      </c>
    </row>
    <row r="54" spans="1:8" x14ac:dyDescent="0.2">
      <c r="A54" s="20" t="s">
        <v>47</v>
      </c>
      <c r="B54" s="43"/>
      <c r="C54" s="56"/>
      <c r="D54" s="60">
        <f>[4]Charters!E808</f>
        <v>0</v>
      </c>
      <c r="E54" s="8"/>
      <c r="F54" s="8"/>
      <c r="G54" s="8"/>
      <c r="H54" s="42">
        <f>D63</f>
        <v>2507228.2000000002</v>
      </c>
    </row>
    <row r="55" spans="1:8" x14ac:dyDescent="0.2">
      <c r="A55" s="20" t="s">
        <v>57</v>
      </c>
      <c r="B55" s="43"/>
      <c r="C55" s="56"/>
      <c r="D55" s="60">
        <f>[4]Charters!C961</f>
        <v>8126.6</v>
      </c>
      <c r="E55" s="8"/>
      <c r="F55" s="8"/>
      <c r="G55" s="8"/>
      <c r="H55" s="42">
        <f>+H53-H54</f>
        <v>-0.01</v>
      </c>
    </row>
    <row r="56" spans="1:8" x14ac:dyDescent="0.2">
      <c r="A56" s="59" t="s">
        <v>53</v>
      </c>
      <c r="B56" s="43"/>
      <c r="C56" s="56"/>
      <c r="D56" s="60">
        <f>[4]Charters!D961</f>
        <v>24775</v>
      </c>
      <c r="E56" s="8"/>
      <c r="F56" s="42" t="s">
        <v>30</v>
      </c>
      <c r="G56" s="8"/>
      <c r="H56" s="8"/>
    </row>
    <row r="57" spans="1:8" x14ac:dyDescent="0.2">
      <c r="A57" s="59" t="s">
        <v>59</v>
      </c>
      <c r="B57" s="43"/>
      <c r="C57" s="56"/>
      <c r="D57" s="60">
        <f>[4]Charters!E961</f>
        <v>18445.66</v>
      </c>
      <c r="E57" s="8"/>
      <c r="F57" s="8"/>
      <c r="G57" s="8"/>
      <c r="H57" s="8"/>
    </row>
    <row r="58" spans="1:8" x14ac:dyDescent="0.2">
      <c r="A58" s="38" t="s">
        <v>18</v>
      </c>
      <c r="B58" s="61"/>
      <c r="C58" s="62"/>
      <c r="D58" s="63"/>
      <c r="E58" s="8"/>
      <c r="F58" s="42">
        <f>[4]Charters!C1267</f>
        <v>7903.4</v>
      </c>
      <c r="G58" s="8"/>
      <c r="H58" s="8"/>
    </row>
    <row r="59" spans="1:8" x14ac:dyDescent="0.2">
      <c r="A59" s="59" t="s">
        <v>39</v>
      </c>
      <c r="B59" s="43"/>
      <c r="C59" s="56"/>
      <c r="D59" s="41">
        <f>[4]Charters!C1114</f>
        <v>3628.45</v>
      </c>
      <c r="E59" s="8"/>
      <c r="F59" s="42">
        <f>SUM(D59:D62)</f>
        <v>7903.4</v>
      </c>
      <c r="G59" s="8"/>
      <c r="H59" s="8"/>
    </row>
    <row r="60" spans="1:8" x14ac:dyDescent="0.2">
      <c r="A60" s="59" t="s">
        <v>48</v>
      </c>
      <c r="B60" s="43"/>
      <c r="C60" s="56"/>
      <c r="D60" s="41">
        <f>[4]Charters!D1114</f>
        <v>0</v>
      </c>
      <c r="E60" s="42"/>
      <c r="F60" s="42">
        <f>+F58-F59</f>
        <v>0</v>
      </c>
      <c r="G60" s="42"/>
      <c r="H60" s="42"/>
    </row>
    <row r="61" spans="1:8" x14ac:dyDescent="0.2">
      <c r="A61" s="59" t="s">
        <v>60</v>
      </c>
      <c r="B61" s="43"/>
      <c r="C61" s="56"/>
      <c r="D61" s="41">
        <f>[4]Charters!E1114</f>
        <v>0</v>
      </c>
      <c r="E61" s="42"/>
      <c r="F61" s="42"/>
      <c r="G61" s="42"/>
      <c r="H61" s="42"/>
    </row>
    <row r="62" spans="1:8" x14ac:dyDescent="0.2">
      <c r="A62" s="59" t="s">
        <v>61</v>
      </c>
      <c r="B62" s="43"/>
      <c r="C62" s="56"/>
      <c r="D62" s="41">
        <f>[4]Charters!F1114</f>
        <v>4274.95</v>
      </c>
      <c r="E62" s="42"/>
      <c r="F62" s="42"/>
      <c r="G62" s="42"/>
      <c r="H62" s="42"/>
    </row>
    <row r="63" spans="1:8" ht="13.5" thickBot="1" x14ac:dyDescent="0.25">
      <c r="A63" s="64"/>
      <c r="B63" s="65"/>
      <c r="C63" s="66"/>
      <c r="D63" s="67">
        <f>SUM(D38:D62)</f>
        <v>2507228.2000000002</v>
      </c>
      <c r="E63" s="42"/>
      <c r="F63" s="42"/>
      <c r="G63" s="42"/>
      <c r="H63" s="42"/>
    </row>
    <row r="64" spans="1:8" ht="13.5" thickTop="1" x14ac:dyDescent="0.2">
      <c r="A64" s="68"/>
      <c r="B64" s="43"/>
      <c r="C64" s="56"/>
      <c r="D64" s="86"/>
      <c r="E64" s="42"/>
      <c r="F64" s="42"/>
      <c r="G64" s="42"/>
      <c r="H64" s="42"/>
    </row>
    <row r="65" spans="1:8" x14ac:dyDescent="0.2">
      <c r="A65" s="38" t="s">
        <v>20</v>
      </c>
      <c r="B65" s="39"/>
      <c r="C65" s="70"/>
      <c r="D65" s="71" t="s">
        <v>21</v>
      </c>
      <c r="E65" s="42"/>
      <c r="F65" s="42"/>
      <c r="G65" s="42"/>
      <c r="H65" s="42"/>
    </row>
    <row r="66" spans="1:8" x14ac:dyDescent="0.2">
      <c r="A66" s="72" t="s">
        <v>22</v>
      </c>
      <c r="B66" s="73"/>
      <c r="C66" s="74"/>
      <c r="D66" s="41">
        <f>[5]Charters!C20</f>
        <v>929.17</v>
      </c>
      <c r="E66" s="42"/>
      <c r="F66" s="42"/>
      <c r="G66" s="42"/>
      <c r="H66" s="42"/>
    </row>
    <row r="67" spans="1:8" x14ac:dyDescent="0.2">
      <c r="A67" s="75"/>
      <c r="B67" s="61"/>
      <c r="C67" s="76"/>
      <c r="D67" s="77">
        <f>SUM(D66:D66)</f>
        <v>929.17</v>
      </c>
      <c r="E67" s="42"/>
      <c r="F67" s="42"/>
      <c r="G67" s="42"/>
      <c r="H67" s="42"/>
    </row>
    <row r="68" spans="1:8" x14ac:dyDescent="0.2">
      <c r="A68" s="78" t="s">
        <v>58</v>
      </c>
      <c r="B68" s="79"/>
      <c r="C68" s="80"/>
      <c r="D68" s="77">
        <f>D67+D63</f>
        <v>2508157.37</v>
      </c>
      <c r="E68" s="42"/>
      <c r="F68" s="42"/>
      <c r="G68" s="42"/>
      <c r="H68" s="42"/>
    </row>
    <row r="69" spans="1:8" x14ac:dyDescent="0.2">
      <c r="A69" s="84"/>
      <c r="B69" s="84"/>
      <c r="C69" s="85"/>
      <c r="D69" s="81"/>
      <c r="E69" s="42"/>
      <c r="F69" s="42"/>
      <c r="G69" s="42"/>
      <c r="H69" s="42"/>
    </row>
    <row r="70" spans="1:8" x14ac:dyDescent="0.2">
      <c r="A70" s="84"/>
      <c r="B70" s="84"/>
      <c r="C70" s="85"/>
      <c r="D70" s="81">
        <f>[5]Charters!E176</f>
        <v>2508157.36</v>
      </c>
      <c r="E70" s="42"/>
      <c r="F70" s="42"/>
      <c r="G70" s="42"/>
      <c r="H70" s="42"/>
    </row>
    <row r="71" spans="1:8" x14ac:dyDescent="0.2">
      <c r="A71" s="84"/>
      <c r="B71" s="84"/>
      <c r="C71" s="85"/>
      <c r="D71" s="81">
        <f>D68</f>
        <v>2508157.37</v>
      </c>
      <c r="E71" s="42"/>
      <c r="F71" s="42"/>
      <c r="G71" s="42"/>
      <c r="H71" s="42"/>
    </row>
    <row r="72" spans="1:8" x14ac:dyDescent="0.2">
      <c r="C72" s="83"/>
      <c r="D72" s="42">
        <f>D70-D71</f>
        <v>-0.01</v>
      </c>
      <c r="E72" s="42"/>
      <c r="F72" s="42"/>
      <c r="G72" s="42"/>
      <c r="H72" s="42"/>
    </row>
  </sheetData>
  <mergeCells count="4">
    <mergeCell ref="A16:D16"/>
    <mergeCell ref="A14:D14"/>
    <mergeCell ref="A15:D15"/>
    <mergeCell ref="A68:C68"/>
  </mergeCells>
  <phoneticPr fontId="0" type="noConversion"/>
  <printOptions horizontalCentered="1" verticalCentered="1"/>
  <pageMargins left="0.5" right="0.5" top="0.5" bottom="0.5" header="0.25" footer="0.25"/>
  <pageSetup orientation="portrait" r:id="rId1"/>
  <headerFooter alignWithMargins="0">
    <oddHeader>&amp;R&amp;8Current as of: &amp;D</oddHeader>
    <oddFooter>&amp;L&amp;8USOE, School Finance</oddFooter>
  </headerFooter>
  <picture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pageSetUpPr fitToPage="1"/>
  </sheetPr>
  <dimension ref="A1:H73"/>
  <sheetViews>
    <sheetView showGridLines="0" topLeftCell="A19" workbookViewId="0">
      <selection activeCell="C12" sqref="C12"/>
    </sheetView>
  </sheetViews>
  <sheetFormatPr defaultColWidth="9.140625" defaultRowHeight="12.75" x14ac:dyDescent="0.2"/>
  <cols>
    <col min="1" max="1" width="31.85546875" style="82" customWidth="1"/>
    <col min="2" max="2" width="16.140625" style="82" customWidth="1"/>
    <col min="3" max="4" width="14.85546875" style="82" customWidth="1"/>
    <col min="5" max="5" width="7" style="82" customWidth="1"/>
    <col min="6" max="6" width="19.7109375" style="82" customWidth="1"/>
    <col min="7" max="7" width="5.7109375" style="82" customWidth="1"/>
    <col min="8" max="8" width="18" style="82" customWidth="1"/>
    <col min="9" max="16384" width="9.140625" style="82"/>
  </cols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"/>
      <c r="B3" s="1"/>
      <c r="C3" s="1"/>
      <c r="D3" s="1"/>
      <c r="E3" s="1"/>
      <c r="F3" s="1"/>
      <c r="G3" s="1"/>
      <c r="H3" s="1"/>
    </row>
    <row r="4" spans="1:8" x14ac:dyDescent="0.2">
      <c r="A4" s="1"/>
      <c r="B4" s="1"/>
      <c r="C4" s="1"/>
      <c r="D4" s="1"/>
      <c r="E4" s="1"/>
      <c r="F4" s="1"/>
      <c r="G4" s="1"/>
      <c r="H4" s="1"/>
    </row>
    <row r="5" spans="1:8" x14ac:dyDescent="0.2">
      <c r="A5" s="1"/>
      <c r="B5" s="1"/>
      <c r="C5" s="1"/>
      <c r="D5" s="1"/>
      <c r="E5" s="1"/>
      <c r="F5" s="1"/>
      <c r="G5" s="1"/>
      <c r="H5" s="1"/>
    </row>
    <row r="6" spans="1:8" x14ac:dyDescent="0.2">
      <c r="A6" s="1"/>
      <c r="B6" s="1"/>
      <c r="C6" s="1"/>
      <c r="D6" s="1"/>
      <c r="E6" s="1"/>
      <c r="F6" s="1"/>
      <c r="G6" s="1"/>
      <c r="H6" s="1"/>
    </row>
    <row r="7" spans="1:8" x14ac:dyDescent="0.2">
      <c r="A7" s="1"/>
      <c r="B7" s="1"/>
      <c r="C7" s="1"/>
      <c r="D7" s="1"/>
      <c r="E7" s="1"/>
      <c r="F7" s="1"/>
      <c r="G7" s="1"/>
      <c r="H7" s="1"/>
    </row>
    <row r="8" spans="1:8" x14ac:dyDescent="0.2">
      <c r="A8" s="1"/>
      <c r="B8" s="1"/>
      <c r="C8" s="1"/>
      <c r="D8" s="1"/>
      <c r="E8" s="1"/>
      <c r="F8" s="1"/>
      <c r="G8" s="1"/>
      <c r="H8" s="1"/>
    </row>
    <row r="9" spans="1:8" x14ac:dyDescent="0.2">
      <c r="A9" s="1"/>
      <c r="B9" s="1"/>
      <c r="C9" s="1"/>
      <c r="D9" s="1"/>
      <c r="E9" s="1"/>
      <c r="F9" s="1"/>
      <c r="G9" s="1"/>
      <c r="H9" s="1"/>
    </row>
    <row r="10" spans="1:8" x14ac:dyDescent="0.2">
      <c r="A10" s="1"/>
      <c r="B10" s="1"/>
      <c r="C10" s="1"/>
      <c r="D10" s="1"/>
      <c r="E10" s="1"/>
      <c r="F10" s="1"/>
      <c r="G10" s="1"/>
      <c r="H10" s="1"/>
    </row>
    <row r="11" spans="1:8" x14ac:dyDescent="0.2">
      <c r="A11" s="1"/>
      <c r="B11" s="1"/>
      <c r="C11" s="1"/>
      <c r="D11" s="1"/>
      <c r="E11" s="1"/>
      <c r="F11" s="1"/>
      <c r="G11" s="1"/>
      <c r="H11" s="1"/>
    </row>
    <row r="12" spans="1:8" x14ac:dyDescent="0.2">
      <c r="A12" s="1"/>
      <c r="B12" s="1"/>
      <c r="C12" s="1"/>
      <c r="D12" s="1"/>
      <c r="E12" s="1"/>
      <c r="F12" s="1"/>
      <c r="G12" s="1"/>
      <c r="H12" s="1"/>
    </row>
    <row r="13" spans="1:8" x14ac:dyDescent="0.2">
      <c r="A13" s="1"/>
      <c r="B13" s="1"/>
      <c r="C13" s="1"/>
      <c r="D13" s="1"/>
      <c r="E13" s="1"/>
      <c r="F13" s="1"/>
      <c r="G13" s="1"/>
      <c r="H13" s="1"/>
    </row>
    <row r="14" spans="1:8" x14ac:dyDescent="0.2">
      <c r="A14" s="1"/>
      <c r="B14" s="1"/>
      <c r="C14" s="1"/>
      <c r="D14" s="1"/>
      <c r="E14" s="1"/>
      <c r="F14" s="1"/>
      <c r="G14" s="1"/>
      <c r="H14" s="1"/>
    </row>
    <row r="15" spans="1:8" x14ac:dyDescent="0.2">
      <c r="A15" s="11" t="s">
        <v>1</v>
      </c>
      <c r="B15" s="12"/>
      <c r="C15" s="12"/>
      <c r="D15" s="13"/>
      <c r="E15" s="8"/>
      <c r="F15" s="8"/>
      <c r="G15" s="8"/>
      <c r="H15" s="8"/>
    </row>
    <row r="16" spans="1:8" x14ac:dyDescent="0.2">
      <c r="A16" s="14" t="s">
        <v>15</v>
      </c>
      <c r="B16" s="15"/>
      <c r="C16" s="15"/>
      <c r="D16" s="16"/>
      <c r="E16" s="8"/>
      <c r="F16" s="8"/>
      <c r="G16" s="8"/>
      <c r="H16" s="8"/>
    </row>
    <row r="17" spans="1:8" x14ac:dyDescent="0.2">
      <c r="A17" s="17" t="s">
        <v>62</v>
      </c>
      <c r="B17" s="18"/>
      <c r="C17" s="18"/>
      <c r="D17" s="19"/>
      <c r="E17" s="8"/>
      <c r="F17" s="8"/>
      <c r="G17" s="8"/>
      <c r="H17" s="8"/>
    </row>
    <row r="18" spans="1:8" x14ac:dyDescent="0.2">
      <c r="A18" s="20"/>
      <c r="B18" s="21"/>
      <c r="C18" s="22"/>
      <c r="D18" s="23"/>
      <c r="E18" s="8"/>
      <c r="F18" s="8" t="s">
        <v>34</v>
      </c>
      <c r="G18" s="8"/>
      <c r="H18" s="8"/>
    </row>
    <row r="19" spans="1:8" ht="15.75" x14ac:dyDescent="0.25">
      <c r="A19" s="24" t="s">
        <v>2</v>
      </c>
      <c r="B19" s="25" t="str">
        <f>[1]Charters!B22</f>
        <v>Fast Forward Charter HS</v>
      </c>
      <c r="C19" s="26"/>
      <c r="D19" s="27"/>
      <c r="E19" s="8"/>
      <c r="F19" s="8"/>
      <c r="G19" s="8"/>
      <c r="H19" s="8"/>
    </row>
    <row r="20" spans="1:8" x14ac:dyDescent="0.2">
      <c r="A20" s="24"/>
      <c r="B20" s="28"/>
      <c r="C20" s="26"/>
      <c r="D20" s="27"/>
      <c r="E20" s="8"/>
      <c r="F20" s="8"/>
      <c r="G20" s="8"/>
      <c r="H20" s="8"/>
    </row>
    <row r="21" spans="1:8" x14ac:dyDescent="0.2">
      <c r="A21" s="29" t="s">
        <v>0</v>
      </c>
      <c r="B21" s="30">
        <f>[1]Charters!$E$6</f>
        <v>3184</v>
      </c>
      <c r="C21" s="26"/>
      <c r="D21" s="31"/>
      <c r="E21" s="8"/>
      <c r="F21" s="8"/>
      <c r="G21" s="8"/>
      <c r="H21" s="8"/>
    </row>
    <row r="22" spans="1:8" x14ac:dyDescent="0.2">
      <c r="A22" s="32"/>
      <c r="B22" s="6"/>
      <c r="C22" s="33"/>
      <c r="D22" s="34" t="s">
        <v>3</v>
      </c>
      <c r="E22" s="8"/>
      <c r="F22" s="8"/>
      <c r="G22" s="8"/>
      <c r="H22" s="8"/>
    </row>
    <row r="23" spans="1:8" x14ac:dyDescent="0.2">
      <c r="A23" s="29" t="s">
        <v>19</v>
      </c>
      <c r="B23" s="35">
        <f>[1]Charters!A22</f>
        <v>98</v>
      </c>
      <c r="C23" s="36" t="s">
        <v>4</v>
      </c>
      <c r="D23" s="37" t="s">
        <v>5</v>
      </c>
      <c r="E23" s="8"/>
      <c r="F23" s="8"/>
      <c r="G23" s="8"/>
      <c r="H23" s="8"/>
    </row>
    <row r="24" spans="1:8" x14ac:dyDescent="0.2">
      <c r="A24" s="38" t="s">
        <v>6</v>
      </c>
      <c r="B24" s="39"/>
      <c r="C24" s="40"/>
      <c r="D24" s="41"/>
      <c r="E24" s="8"/>
      <c r="F24" s="8"/>
      <c r="G24" s="8"/>
      <c r="H24" s="8"/>
    </row>
    <row r="25" spans="1:8" x14ac:dyDescent="0.2">
      <c r="A25" s="38" t="s">
        <v>7</v>
      </c>
      <c r="B25" s="39"/>
      <c r="C25" s="40"/>
      <c r="D25" s="41"/>
      <c r="E25" s="8"/>
      <c r="F25" s="42" t="s">
        <v>23</v>
      </c>
      <c r="G25" s="8"/>
      <c r="H25" s="42" t="s">
        <v>26</v>
      </c>
    </row>
    <row r="26" spans="1:8" x14ac:dyDescent="0.2">
      <c r="A26" s="20" t="s">
        <v>8</v>
      </c>
      <c r="B26" s="43"/>
      <c r="C26" s="44">
        <f>[1]Charters!C482</f>
        <v>272.42</v>
      </c>
      <c r="D26" s="45">
        <f>[1]Charters!E482</f>
        <v>867385.21</v>
      </c>
      <c r="E26" s="8"/>
      <c r="F26" s="42">
        <f>[1]Charters!E637</f>
        <v>927025.91</v>
      </c>
      <c r="G26" s="8"/>
      <c r="H26" s="42">
        <f>[2]Charters!E176</f>
        <v>1094021.6499999999</v>
      </c>
    </row>
    <row r="27" spans="1:8" x14ac:dyDescent="0.2">
      <c r="A27" s="20" t="s">
        <v>14</v>
      </c>
      <c r="B27" s="43"/>
      <c r="C27" s="44">
        <f>[1]Charters!F482</f>
        <v>18.731000000000002</v>
      </c>
      <c r="D27" s="45">
        <f>[1]Charters!H482</f>
        <v>59640.7</v>
      </c>
      <c r="E27" s="8"/>
      <c r="F27" s="42">
        <f>SUM(D26:D28)</f>
        <v>927025.91</v>
      </c>
      <c r="G27" s="8"/>
      <c r="H27" s="42">
        <f>D39</f>
        <v>1094021.6499999999</v>
      </c>
    </row>
    <row r="28" spans="1:8" x14ac:dyDescent="0.2">
      <c r="A28" s="20" t="s">
        <v>32</v>
      </c>
      <c r="B28" s="43"/>
      <c r="C28" s="44">
        <f>[1]Charters!C175</f>
        <v>0</v>
      </c>
      <c r="D28" s="45">
        <f>[1]Charters!E175</f>
        <v>0</v>
      </c>
      <c r="E28" s="8"/>
      <c r="F28" s="42">
        <f>+F26-F27</f>
        <v>0</v>
      </c>
      <c r="G28" s="8"/>
      <c r="H28" s="42">
        <f>+H26-H27</f>
        <v>0</v>
      </c>
    </row>
    <row r="29" spans="1:8" x14ac:dyDescent="0.2">
      <c r="A29" s="38" t="s">
        <v>9</v>
      </c>
      <c r="B29" s="39"/>
      <c r="C29" s="46"/>
      <c r="D29" s="47"/>
      <c r="E29" s="8"/>
      <c r="F29" s="8"/>
      <c r="G29" s="8"/>
      <c r="H29" s="8"/>
    </row>
    <row r="30" spans="1:8" x14ac:dyDescent="0.2">
      <c r="A30" s="20" t="s">
        <v>10</v>
      </c>
      <c r="B30" s="43"/>
      <c r="C30" s="40">
        <f>[3]Charters!C21</f>
        <v>43.984999999999999</v>
      </c>
      <c r="D30" s="41">
        <f>[3]Charters!E21</f>
        <v>140047.39000000001</v>
      </c>
      <c r="E30" s="8"/>
      <c r="F30" s="42" t="s">
        <v>24</v>
      </c>
      <c r="G30" s="8"/>
      <c r="H30" s="8"/>
    </row>
    <row r="31" spans="1:8" x14ac:dyDescent="0.2">
      <c r="A31" s="48" t="s">
        <v>11</v>
      </c>
      <c r="B31" s="43"/>
      <c r="C31" s="40">
        <f>[3]Charters!F21</f>
        <v>0.3</v>
      </c>
      <c r="D31" s="49">
        <f>[3]Charters!H21</f>
        <v>955.2</v>
      </c>
      <c r="E31" s="8"/>
      <c r="F31" s="42">
        <f>[3]Charters!N332</f>
        <v>146936.74</v>
      </c>
      <c r="G31" s="8"/>
      <c r="H31" s="8"/>
    </row>
    <row r="32" spans="1:8" x14ac:dyDescent="0.2">
      <c r="A32" s="48" t="s">
        <v>12</v>
      </c>
      <c r="B32" s="43"/>
      <c r="C32" s="40">
        <f>[3]Charters!C176</f>
        <v>0</v>
      </c>
      <c r="D32" s="41">
        <f>[3]Charters!E176</f>
        <v>0</v>
      </c>
      <c r="E32" s="8"/>
      <c r="F32" s="42">
        <f>SUM(D30:D36)</f>
        <v>146936.74</v>
      </c>
      <c r="G32" s="8"/>
      <c r="H32" s="8"/>
    </row>
    <row r="33" spans="1:8" x14ac:dyDescent="0.2">
      <c r="A33" s="20" t="s">
        <v>13</v>
      </c>
      <c r="B33" s="43"/>
      <c r="C33" s="40">
        <f>[3]Charters!F176</f>
        <v>0.70899999999999996</v>
      </c>
      <c r="D33" s="41">
        <f>[3]Charters!H176</f>
        <v>2259</v>
      </c>
      <c r="E33" s="8"/>
      <c r="F33" s="42">
        <f>+F31-F32</f>
        <v>0</v>
      </c>
      <c r="G33" s="8"/>
      <c r="H33" s="8"/>
    </row>
    <row r="34" spans="1:8" x14ac:dyDescent="0.2">
      <c r="A34" s="48" t="s">
        <v>54</v>
      </c>
      <c r="B34" s="43"/>
      <c r="C34" s="40">
        <f>[3]Charters!C332</f>
        <v>1.1539999999999999</v>
      </c>
      <c r="D34" s="41">
        <f>[3]Charters!E332</f>
        <v>3675.15</v>
      </c>
      <c r="E34" s="8"/>
      <c r="F34" s="8"/>
      <c r="G34" s="8"/>
      <c r="H34" s="8"/>
    </row>
    <row r="35" spans="1:8" x14ac:dyDescent="0.2">
      <c r="A35" s="48" t="s">
        <v>55</v>
      </c>
      <c r="B35" s="43"/>
      <c r="C35" s="40">
        <f>[3]Charters!F332</f>
        <v>0</v>
      </c>
      <c r="D35" s="41">
        <f>[3]Charters!H332</f>
        <v>0</v>
      </c>
      <c r="E35" s="8"/>
      <c r="F35" s="42" t="s">
        <v>25</v>
      </c>
      <c r="G35" s="8"/>
      <c r="H35" s="8"/>
    </row>
    <row r="36" spans="1:8" x14ac:dyDescent="0.2">
      <c r="A36" s="48" t="s">
        <v>56</v>
      </c>
      <c r="B36" s="43"/>
      <c r="C36" s="40">
        <f>[3]Charters!I332</f>
        <v>0</v>
      </c>
      <c r="D36" s="41">
        <f>[3]Charters!K332</f>
        <v>0</v>
      </c>
      <c r="E36" s="8"/>
      <c r="F36" s="42">
        <f>[2]Charters!H22</f>
        <v>166995.74</v>
      </c>
      <c r="G36" s="8"/>
      <c r="H36" s="8"/>
    </row>
    <row r="37" spans="1:8" x14ac:dyDescent="0.2">
      <c r="A37" s="20" t="s">
        <v>49</v>
      </c>
      <c r="B37" s="43"/>
      <c r="C37" s="40">
        <f>[3]Charters!C489</f>
        <v>6.3</v>
      </c>
      <c r="D37" s="41">
        <f>[3]Charters!E489</f>
        <v>20059</v>
      </c>
      <c r="E37" s="8"/>
      <c r="F37" s="42">
        <f>SUM(D30:D38)</f>
        <v>166995.74</v>
      </c>
      <c r="G37" s="8"/>
      <c r="H37" s="8"/>
    </row>
    <row r="38" spans="1:8" x14ac:dyDescent="0.2">
      <c r="A38" s="20" t="s">
        <v>50</v>
      </c>
      <c r="B38" s="43"/>
      <c r="C38" s="40">
        <f>[2]Charters!C22</f>
        <v>0</v>
      </c>
      <c r="D38" s="41">
        <f>[2]Charters!E22</f>
        <v>0</v>
      </c>
      <c r="E38" s="8"/>
      <c r="F38" s="42">
        <f>+F36-F37</f>
        <v>0</v>
      </c>
      <c r="G38" s="8"/>
      <c r="H38" s="8"/>
    </row>
    <row r="39" spans="1:8" x14ac:dyDescent="0.2">
      <c r="A39" s="50"/>
      <c r="B39" s="51" t="s">
        <v>16</v>
      </c>
      <c r="C39" s="52">
        <f>SUM(C26:C38)</f>
        <v>343.59899999999999</v>
      </c>
      <c r="D39" s="53">
        <f>SUM(D26:D38)</f>
        <v>1094021.6499999999</v>
      </c>
      <c r="E39" s="8"/>
      <c r="F39" s="8"/>
      <c r="G39" s="8"/>
      <c r="H39" s="8"/>
    </row>
    <row r="40" spans="1:8" x14ac:dyDescent="0.2">
      <c r="A40" s="54" t="s">
        <v>17</v>
      </c>
      <c r="B40" s="39"/>
      <c r="C40" s="55"/>
      <c r="D40" s="47"/>
      <c r="E40" s="8"/>
      <c r="F40" s="8"/>
      <c r="G40" s="8"/>
      <c r="H40" s="42" t="s">
        <v>29</v>
      </c>
    </row>
    <row r="41" spans="1:8" x14ac:dyDescent="0.2">
      <c r="A41" s="20" t="s">
        <v>33</v>
      </c>
      <c r="B41" s="43"/>
      <c r="C41" s="56"/>
      <c r="D41" s="57">
        <f>[4]Charters!C21</f>
        <v>3170.99</v>
      </c>
      <c r="E41" s="8"/>
      <c r="F41" s="8"/>
      <c r="G41" s="8"/>
      <c r="H41" s="42">
        <f>[4]Charters!F962</f>
        <v>1708413.13</v>
      </c>
    </row>
    <row r="42" spans="1:8" x14ac:dyDescent="0.2">
      <c r="A42" s="58" t="s">
        <v>35</v>
      </c>
      <c r="B42" s="43"/>
      <c r="C42" s="56"/>
      <c r="D42" s="41">
        <f>+[4]Charters!F342</f>
        <v>1311.15</v>
      </c>
      <c r="E42" s="8"/>
      <c r="F42" s="8"/>
      <c r="G42" s="8"/>
      <c r="H42" s="42">
        <f>SUM(D39:D58)</f>
        <v>1708413.13</v>
      </c>
    </row>
    <row r="43" spans="1:8" x14ac:dyDescent="0.2">
      <c r="A43" s="59" t="s">
        <v>36</v>
      </c>
      <c r="B43" s="43"/>
      <c r="C43" s="56"/>
      <c r="D43" s="41">
        <f>[4]Charters!E181</f>
        <v>18221</v>
      </c>
      <c r="E43" s="8"/>
      <c r="F43" s="8"/>
      <c r="G43" s="8"/>
      <c r="H43" s="42">
        <f>+H41-H42</f>
        <v>0</v>
      </c>
    </row>
    <row r="44" spans="1:8" x14ac:dyDescent="0.2">
      <c r="A44" s="59" t="s">
        <v>52</v>
      </c>
      <c r="B44" s="43"/>
      <c r="C44" s="56"/>
      <c r="D44" s="41">
        <f>[4]Charters!G342</f>
        <v>7387.26</v>
      </c>
      <c r="E44" s="8"/>
      <c r="F44" s="42" t="s">
        <v>27</v>
      </c>
      <c r="G44" s="8"/>
      <c r="H44" s="42"/>
    </row>
    <row r="45" spans="1:8" x14ac:dyDescent="0.2">
      <c r="A45" s="20" t="s">
        <v>37</v>
      </c>
      <c r="B45" s="43"/>
      <c r="C45" s="56"/>
      <c r="D45" s="41">
        <f>[4]Charters!E498</f>
        <v>20996</v>
      </c>
      <c r="E45" s="8"/>
      <c r="F45" s="42">
        <f>[4]Charters!E181</f>
        <v>18221</v>
      </c>
      <c r="G45" s="8"/>
      <c r="H45" s="8"/>
    </row>
    <row r="46" spans="1:8" x14ac:dyDescent="0.2">
      <c r="A46" s="20" t="s">
        <v>38</v>
      </c>
      <c r="B46" s="43"/>
      <c r="C46" s="56"/>
      <c r="D46" s="41">
        <f>[4]Charters!F498</f>
        <v>0</v>
      </c>
      <c r="E46" s="8"/>
      <c r="F46" s="42">
        <f>SUM(D43:D43)</f>
        <v>18221</v>
      </c>
      <c r="G46" s="8"/>
      <c r="H46" s="8"/>
    </row>
    <row r="47" spans="1:8" x14ac:dyDescent="0.2">
      <c r="A47" s="59" t="s">
        <v>40</v>
      </c>
      <c r="B47" s="43"/>
      <c r="C47" s="56"/>
      <c r="D47" s="41">
        <f>[4]Charters!G498</f>
        <v>0</v>
      </c>
      <c r="E47" s="8"/>
      <c r="F47" s="42">
        <f>+F45-F46</f>
        <v>0</v>
      </c>
      <c r="G47" s="8"/>
      <c r="H47" s="8"/>
    </row>
    <row r="48" spans="1:8" x14ac:dyDescent="0.2">
      <c r="A48" s="20" t="s">
        <v>41</v>
      </c>
      <c r="B48" s="43"/>
      <c r="C48" s="56"/>
      <c r="D48" s="41">
        <f>[4]Charters!C653</f>
        <v>438219</v>
      </c>
      <c r="E48" s="8"/>
      <c r="F48" s="42" t="s">
        <v>28</v>
      </c>
      <c r="G48" s="8"/>
      <c r="H48" s="8"/>
    </row>
    <row r="49" spans="1:8" x14ac:dyDescent="0.2">
      <c r="A49" s="20" t="s">
        <v>42</v>
      </c>
      <c r="B49" s="43"/>
      <c r="C49" s="56"/>
      <c r="D49" s="41">
        <f>[4]Charters!D653</f>
        <v>82424.86</v>
      </c>
      <c r="E49" s="8"/>
      <c r="F49" s="42">
        <f>[4]Charters!D498</f>
        <v>26919.41</v>
      </c>
      <c r="G49" s="8"/>
      <c r="H49" s="8"/>
    </row>
    <row r="50" spans="1:8" x14ac:dyDescent="0.2">
      <c r="A50" s="20" t="s">
        <v>44</v>
      </c>
      <c r="B50" s="43"/>
      <c r="C50" s="56"/>
      <c r="D50" s="41">
        <f>[4]Charters!E653</f>
        <v>21900</v>
      </c>
      <c r="E50" s="8"/>
      <c r="F50" s="42">
        <f>SUM(D42:D44)</f>
        <v>26919.41</v>
      </c>
      <c r="G50" s="8"/>
      <c r="H50" s="8"/>
    </row>
    <row r="51" spans="1:8" x14ac:dyDescent="0.2">
      <c r="A51" s="59" t="s">
        <v>43</v>
      </c>
      <c r="B51" s="43"/>
      <c r="C51" s="56"/>
      <c r="D51" s="41">
        <f>[4]Charters!F653</f>
        <v>0</v>
      </c>
      <c r="E51" s="8"/>
      <c r="F51" s="42">
        <f>+F49-F50</f>
        <v>0</v>
      </c>
      <c r="G51" s="8"/>
      <c r="H51" s="8"/>
    </row>
    <row r="52" spans="1:8" x14ac:dyDescent="0.2">
      <c r="A52" s="59" t="s">
        <v>45</v>
      </c>
      <c r="B52" s="43"/>
      <c r="C52" s="56"/>
      <c r="D52" s="41">
        <f>[4]Charters!C498</f>
        <v>0</v>
      </c>
      <c r="E52" s="8"/>
      <c r="F52" s="8"/>
      <c r="G52" s="8"/>
      <c r="H52" s="8"/>
    </row>
    <row r="53" spans="1:8" x14ac:dyDescent="0.2">
      <c r="A53" s="59" t="s">
        <v>46</v>
      </c>
      <c r="B53" s="43"/>
      <c r="C53" s="56"/>
      <c r="D53" s="41">
        <f>[4]Charters!C809</f>
        <v>0</v>
      </c>
      <c r="E53" s="8"/>
      <c r="F53" s="8"/>
      <c r="G53" s="8"/>
      <c r="H53" s="42" t="s">
        <v>31</v>
      </c>
    </row>
    <row r="54" spans="1:8" x14ac:dyDescent="0.2">
      <c r="A54" s="59" t="s">
        <v>51</v>
      </c>
      <c r="B54" s="43"/>
      <c r="C54" s="56"/>
      <c r="D54" s="60">
        <f>[4]Charters!D809</f>
        <v>444.7</v>
      </c>
      <c r="E54" s="8"/>
      <c r="F54" s="8"/>
      <c r="G54" s="8"/>
      <c r="H54" s="42">
        <f>[4]Charters!D1268</f>
        <v>1711492.6</v>
      </c>
    </row>
    <row r="55" spans="1:8" x14ac:dyDescent="0.2">
      <c r="A55" s="20" t="s">
        <v>47</v>
      </c>
      <c r="B55" s="43"/>
      <c r="C55" s="56"/>
      <c r="D55" s="60">
        <f>[4]Charters!E809</f>
        <v>0</v>
      </c>
      <c r="E55" s="8"/>
      <c r="F55" s="8"/>
      <c r="G55" s="8"/>
      <c r="H55" s="42">
        <f>D64</f>
        <v>1711492.6</v>
      </c>
    </row>
    <row r="56" spans="1:8" x14ac:dyDescent="0.2">
      <c r="A56" s="20" t="s">
        <v>57</v>
      </c>
      <c r="B56" s="43"/>
      <c r="C56" s="56"/>
      <c r="D56" s="60">
        <f>[4]Charters!C962</f>
        <v>20316.52</v>
      </c>
      <c r="E56" s="8"/>
      <c r="F56" s="8"/>
      <c r="G56" s="8"/>
      <c r="H56" s="42">
        <f>+H54-H55</f>
        <v>0</v>
      </c>
    </row>
    <row r="57" spans="1:8" x14ac:dyDescent="0.2">
      <c r="A57" s="59" t="s">
        <v>53</v>
      </c>
      <c r="B57" s="43"/>
      <c r="C57" s="56"/>
      <c r="D57" s="60">
        <f>[4]Charters!D962</f>
        <v>0</v>
      </c>
      <c r="E57" s="8"/>
      <c r="F57" s="42" t="s">
        <v>30</v>
      </c>
      <c r="G57" s="8"/>
      <c r="H57" s="8"/>
    </row>
    <row r="58" spans="1:8" x14ac:dyDescent="0.2">
      <c r="A58" s="59" t="s">
        <v>59</v>
      </c>
      <c r="B58" s="43"/>
      <c r="C58" s="56"/>
      <c r="D58" s="60">
        <f>[4]Charters!E962</f>
        <v>0</v>
      </c>
      <c r="E58" s="8"/>
      <c r="F58" s="8"/>
      <c r="G58" s="8"/>
      <c r="H58" s="8"/>
    </row>
    <row r="59" spans="1:8" x14ac:dyDescent="0.2">
      <c r="A59" s="38" t="s">
        <v>18</v>
      </c>
      <c r="B59" s="61"/>
      <c r="C59" s="62"/>
      <c r="D59" s="63"/>
      <c r="E59" s="8"/>
      <c r="F59" s="42">
        <f>[4]Charters!C1268</f>
        <v>3079.47</v>
      </c>
      <c r="G59" s="8"/>
      <c r="H59" s="8"/>
    </row>
    <row r="60" spans="1:8" x14ac:dyDescent="0.2">
      <c r="A60" s="59" t="s">
        <v>39</v>
      </c>
      <c r="B60" s="43"/>
      <c r="C60" s="56"/>
      <c r="D60" s="41">
        <f>[4]Charters!C1115</f>
        <v>3079.47</v>
      </c>
      <c r="E60" s="42"/>
      <c r="F60" s="42">
        <f>SUM(D60:D63)</f>
        <v>3079.47</v>
      </c>
      <c r="G60" s="42"/>
      <c r="H60" s="42"/>
    </row>
    <row r="61" spans="1:8" x14ac:dyDescent="0.2">
      <c r="A61" s="59" t="s">
        <v>48</v>
      </c>
      <c r="B61" s="43"/>
      <c r="C61" s="56"/>
      <c r="D61" s="41">
        <f>[4]Charters!D1115</f>
        <v>0</v>
      </c>
      <c r="E61" s="42"/>
      <c r="F61" s="42">
        <f>+F59-F60</f>
        <v>0</v>
      </c>
      <c r="G61" s="42"/>
      <c r="H61" s="42"/>
    </row>
    <row r="62" spans="1:8" x14ac:dyDescent="0.2">
      <c r="A62" s="59" t="s">
        <v>60</v>
      </c>
      <c r="B62" s="43"/>
      <c r="C62" s="56"/>
      <c r="D62" s="41">
        <f>[4]Charters!E1115</f>
        <v>0</v>
      </c>
      <c r="E62" s="42"/>
      <c r="F62" s="42"/>
      <c r="G62" s="42"/>
      <c r="H62" s="42"/>
    </row>
    <row r="63" spans="1:8" x14ac:dyDescent="0.2">
      <c r="A63" s="59" t="s">
        <v>61</v>
      </c>
      <c r="B63" s="43"/>
      <c r="C63" s="56"/>
      <c r="D63" s="41">
        <f>[4]Charters!F1115</f>
        <v>0</v>
      </c>
      <c r="E63" s="42"/>
      <c r="F63" s="42"/>
      <c r="G63" s="42"/>
      <c r="H63" s="42"/>
    </row>
    <row r="64" spans="1:8" ht="13.5" thickBot="1" x14ac:dyDescent="0.25">
      <c r="A64" s="64"/>
      <c r="B64" s="65"/>
      <c r="C64" s="66"/>
      <c r="D64" s="67">
        <f>SUM(D39:D63)</f>
        <v>1711492.6</v>
      </c>
      <c r="E64" s="42"/>
      <c r="F64" s="42"/>
      <c r="G64" s="42"/>
      <c r="H64" s="42"/>
    </row>
    <row r="65" spans="1:8" ht="13.5" thickTop="1" x14ac:dyDescent="0.2">
      <c r="A65" s="68"/>
      <c r="B65" s="43"/>
      <c r="C65" s="56"/>
      <c r="D65" s="86"/>
      <c r="E65" s="42"/>
      <c r="F65" s="42"/>
      <c r="G65" s="42"/>
      <c r="H65" s="42"/>
    </row>
    <row r="66" spans="1:8" x14ac:dyDescent="0.2">
      <c r="A66" s="38" t="s">
        <v>20</v>
      </c>
      <c r="B66" s="39"/>
      <c r="C66" s="70"/>
      <c r="D66" s="71" t="s">
        <v>21</v>
      </c>
      <c r="E66" s="42"/>
      <c r="F66" s="42"/>
      <c r="G66" s="42"/>
      <c r="H66" s="42"/>
    </row>
    <row r="67" spans="1:8" x14ac:dyDescent="0.2">
      <c r="A67" s="72" t="s">
        <v>22</v>
      </c>
      <c r="B67" s="73"/>
      <c r="C67" s="74"/>
      <c r="D67" s="41">
        <f>[5]Charters!C21</f>
        <v>619.26</v>
      </c>
      <c r="E67" s="42"/>
      <c r="F67" s="42"/>
      <c r="G67" s="42"/>
      <c r="H67" s="42"/>
    </row>
    <row r="68" spans="1:8" x14ac:dyDescent="0.2">
      <c r="A68" s="75"/>
      <c r="B68" s="61"/>
      <c r="C68" s="76"/>
      <c r="D68" s="77">
        <f>SUM(D67:D67)</f>
        <v>619.26</v>
      </c>
      <c r="E68" s="42"/>
      <c r="F68" s="42"/>
      <c r="G68" s="42"/>
      <c r="H68" s="42"/>
    </row>
    <row r="69" spans="1:8" x14ac:dyDescent="0.2">
      <c r="A69" s="78" t="s">
        <v>58</v>
      </c>
      <c r="B69" s="79"/>
      <c r="C69" s="80"/>
      <c r="D69" s="77">
        <f>D68+D64</f>
        <v>1712111.86</v>
      </c>
      <c r="E69" s="42"/>
      <c r="F69" s="42"/>
      <c r="G69" s="42"/>
      <c r="H69" s="42"/>
    </row>
    <row r="70" spans="1:8" x14ac:dyDescent="0.2">
      <c r="A70" s="84"/>
      <c r="B70" s="84"/>
      <c r="C70" s="85"/>
      <c r="D70" s="81"/>
      <c r="E70" s="42"/>
      <c r="F70" s="42"/>
      <c r="G70" s="42"/>
      <c r="H70" s="42"/>
    </row>
    <row r="71" spans="1:8" x14ac:dyDescent="0.2">
      <c r="A71" s="84"/>
      <c r="B71" s="84"/>
      <c r="C71" s="85"/>
      <c r="D71" s="81">
        <f>[5]Charters!E177</f>
        <v>1712111.86</v>
      </c>
      <c r="E71" s="42"/>
      <c r="F71" s="42"/>
      <c r="G71" s="42"/>
      <c r="H71" s="42"/>
    </row>
    <row r="72" spans="1:8" x14ac:dyDescent="0.2">
      <c r="A72" s="84"/>
      <c r="B72" s="84"/>
      <c r="C72" s="85"/>
      <c r="D72" s="81">
        <f>D69</f>
        <v>1712111.86</v>
      </c>
      <c r="E72" s="42"/>
      <c r="F72" s="42"/>
      <c r="G72" s="42"/>
      <c r="H72" s="42"/>
    </row>
    <row r="73" spans="1:8" x14ac:dyDescent="0.2">
      <c r="C73" s="83"/>
      <c r="D73" s="42">
        <f>D71-D72</f>
        <v>0</v>
      </c>
      <c r="E73" s="42"/>
      <c r="F73" s="42"/>
      <c r="G73" s="42"/>
      <c r="H73" s="42"/>
    </row>
  </sheetData>
  <mergeCells count="4">
    <mergeCell ref="A17:D17"/>
    <mergeCell ref="A15:D15"/>
    <mergeCell ref="A16:D16"/>
    <mergeCell ref="A69:C69"/>
  </mergeCells>
  <phoneticPr fontId="0" type="noConversion"/>
  <printOptions horizontalCentered="1" verticalCentered="1"/>
  <pageMargins left="0.5" right="0.5" top="0.5" bottom="0.5" header="0.25" footer="0.25"/>
  <pageSetup orientation="portrait" r:id="rId1"/>
  <headerFooter alignWithMargins="0">
    <oddHeader>&amp;R&amp;8Current as of: &amp;D</oddHeader>
    <oddFooter>&amp;L&amp;8USOE, School Finance</oddFooter>
  </headerFooter>
  <picture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pageSetUpPr fitToPage="1"/>
  </sheetPr>
  <dimension ref="A1:H74"/>
  <sheetViews>
    <sheetView showGridLines="0" topLeftCell="A13" workbookViewId="0">
      <selection activeCell="C12" sqref="C12"/>
    </sheetView>
  </sheetViews>
  <sheetFormatPr defaultColWidth="9.140625" defaultRowHeight="12.75" x14ac:dyDescent="0.2"/>
  <cols>
    <col min="1" max="1" width="31.85546875" style="82" customWidth="1"/>
    <col min="2" max="2" width="16.28515625" style="82" customWidth="1"/>
    <col min="3" max="4" width="14.85546875" style="82" customWidth="1"/>
    <col min="5" max="5" width="7" style="82" customWidth="1"/>
    <col min="6" max="6" width="19.7109375" style="82" customWidth="1"/>
    <col min="7" max="7" width="5.7109375" style="82" customWidth="1"/>
    <col min="8" max="8" width="18" style="82" customWidth="1"/>
    <col min="9" max="16384" width="9.140625" style="82"/>
  </cols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"/>
      <c r="B3" s="1"/>
      <c r="C3" s="1"/>
      <c r="D3" s="1"/>
      <c r="E3" s="1"/>
      <c r="F3" s="1"/>
      <c r="G3" s="1"/>
      <c r="H3" s="1"/>
    </row>
    <row r="4" spans="1:8" x14ac:dyDescent="0.2">
      <c r="A4" s="1"/>
      <c r="B4" s="1"/>
      <c r="C4" s="1"/>
      <c r="D4" s="1"/>
      <c r="E4" s="1"/>
      <c r="F4" s="1"/>
      <c r="G4" s="1"/>
      <c r="H4" s="1"/>
    </row>
    <row r="5" spans="1:8" x14ac:dyDescent="0.2">
      <c r="A5" s="1"/>
      <c r="B5" s="1"/>
      <c r="C5" s="1"/>
      <c r="D5" s="1"/>
      <c r="E5" s="1"/>
      <c r="F5" s="1"/>
      <c r="G5" s="1"/>
      <c r="H5" s="1"/>
    </row>
    <row r="6" spans="1:8" x14ac:dyDescent="0.2">
      <c r="A6" s="1"/>
      <c r="B6" s="1"/>
      <c r="C6" s="1"/>
      <c r="D6" s="1"/>
      <c r="E6" s="1"/>
      <c r="F6" s="1"/>
      <c r="G6" s="1"/>
      <c r="H6" s="1"/>
    </row>
    <row r="7" spans="1:8" x14ac:dyDescent="0.2">
      <c r="A7" s="1"/>
      <c r="B7" s="1"/>
      <c r="C7" s="1"/>
      <c r="D7" s="1"/>
      <c r="E7" s="1"/>
      <c r="F7" s="1"/>
      <c r="G7" s="1"/>
      <c r="H7" s="1"/>
    </row>
    <row r="8" spans="1:8" x14ac:dyDescent="0.2">
      <c r="A8" s="1"/>
      <c r="B8" s="1"/>
      <c r="C8" s="1"/>
      <c r="D8" s="1"/>
      <c r="E8" s="1"/>
      <c r="F8" s="1"/>
      <c r="G8" s="1"/>
      <c r="H8" s="1"/>
    </row>
    <row r="9" spans="1:8" x14ac:dyDescent="0.2">
      <c r="A9" s="1"/>
      <c r="B9" s="1"/>
      <c r="C9" s="1"/>
      <c r="D9" s="1"/>
      <c r="E9" s="1"/>
      <c r="F9" s="1"/>
      <c r="G9" s="1"/>
      <c r="H9" s="1"/>
    </row>
    <row r="10" spans="1:8" x14ac:dyDescent="0.2">
      <c r="A10" s="1"/>
      <c r="B10" s="1"/>
      <c r="C10" s="1"/>
      <c r="D10" s="1"/>
      <c r="E10" s="1"/>
      <c r="F10" s="1"/>
      <c r="G10" s="1"/>
      <c r="H10" s="1"/>
    </row>
    <row r="11" spans="1:8" x14ac:dyDescent="0.2">
      <c r="A11" s="1"/>
      <c r="B11" s="1"/>
      <c r="C11" s="1"/>
      <c r="D11" s="1"/>
      <c r="E11" s="1"/>
      <c r="F11" s="1"/>
      <c r="G11" s="1"/>
      <c r="H11" s="1"/>
    </row>
    <row r="12" spans="1:8" x14ac:dyDescent="0.2">
      <c r="A12" s="1"/>
      <c r="B12" s="1"/>
      <c r="C12" s="1"/>
      <c r="D12" s="1"/>
      <c r="E12" s="1"/>
      <c r="F12" s="1"/>
      <c r="G12" s="1"/>
      <c r="H12" s="1"/>
    </row>
    <row r="13" spans="1:8" x14ac:dyDescent="0.2">
      <c r="A13" s="1"/>
      <c r="B13" s="1"/>
      <c r="C13" s="1"/>
      <c r="D13" s="1"/>
      <c r="E13" s="1"/>
      <c r="F13" s="1"/>
      <c r="G13" s="1"/>
      <c r="H13" s="1"/>
    </row>
    <row r="14" spans="1:8" x14ac:dyDescent="0.2">
      <c r="A14" s="1"/>
      <c r="B14" s="1"/>
      <c r="C14" s="1"/>
      <c r="D14" s="1"/>
      <c r="E14" s="1"/>
      <c r="F14" s="1"/>
      <c r="G14" s="1"/>
      <c r="H14" s="1"/>
    </row>
    <row r="15" spans="1:8" x14ac:dyDescent="0.2">
      <c r="A15" s="1"/>
      <c r="B15" s="1"/>
      <c r="C15" s="1"/>
      <c r="D15" s="1"/>
      <c r="E15" s="1"/>
      <c r="F15" s="1"/>
      <c r="G15" s="1"/>
      <c r="H15" s="1"/>
    </row>
    <row r="16" spans="1:8" x14ac:dyDescent="0.2">
      <c r="A16" s="11" t="s">
        <v>1</v>
      </c>
      <c r="B16" s="12"/>
      <c r="C16" s="12"/>
      <c r="D16" s="13"/>
      <c r="E16" s="8"/>
      <c r="F16" s="8"/>
      <c r="G16" s="8"/>
      <c r="H16" s="8"/>
    </row>
    <row r="17" spans="1:8" x14ac:dyDescent="0.2">
      <c r="A17" s="14" t="s">
        <v>15</v>
      </c>
      <c r="B17" s="15"/>
      <c r="C17" s="15"/>
      <c r="D17" s="16"/>
      <c r="E17" s="8"/>
      <c r="F17" s="8"/>
      <c r="G17" s="8"/>
      <c r="H17" s="8"/>
    </row>
    <row r="18" spans="1:8" x14ac:dyDescent="0.2">
      <c r="A18" s="17" t="s">
        <v>62</v>
      </c>
      <c r="B18" s="18"/>
      <c r="C18" s="18"/>
      <c r="D18" s="19"/>
      <c r="E18" s="8"/>
      <c r="F18" s="8"/>
      <c r="G18" s="8"/>
      <c r="H18" s="8"/>
    </row>
    <row r="19" spans="1:8" x14ac:dyDescent="0.2">
      <c r="A19" s="20"/>
      <c r="B19" s="21"/>
      <c r="C19" s="22"/>
      <c r="D19" s="23"/>
      <c r="E19" s="8"/>
      <c r="F19" s="8" t="s">
        <v>34</v>
      </c>
      <c r="G19" s="8"/>
      <c r="H19" s="8"/>
    </row>
    <row r="20" spans="1:8" ht="15.75" x14ac:dyDescent="0.25">
      <c r="A20" s="24" t="s">
        <v>2</v>
      </c>
      <c r="B20" s="25" t="str">
        <f>[1]Charters!B23</f>
        <v>NUAMES</v>
      </c>
      <c r="C20" s="26"/>
      <c r="D20" s="27"/>
      <c r="E20" s="8"/>
      <c r="F20" s="8"/>
      <c r="G20" s="8"/>
      <c r="H20" s="8"/>
    </row>
    <row r="21" spans="1:8" x14ac:dyDescent="0.2">
      <c r="A21" s="24"/>
      <c r="B21" s="28"/>
      <c r="C21" s="26"/>
      <c r="D21" s="27"/>
      <c r="E21" s="8"/>
      <c r="F21" s="8"/>
      <c r="G21" s="8"/>
      <c r="H21" s="8"/>
    </row>
    <row r="22" spans="1:8" x14ac:dyDescent="0.2">
      <c r="A22" s="29" t="s">
        <v>0</v>
      </c>
      <c r="B22" s="30">
        <f>[1]Charters!$E$6</f>
        <v>3184</v>
      </c>
      <c r="C22" s="26"/>
      <c r="D22" s="31"/>
      <c r="E22" s="8"/>
      <c r="F22" s="8"/>
      <c r="G22" s="8"/>
      <c r="H22" s="8"/>
    </row>
    <row r="23" spans="1:8" x14ac:dyDescent="0.2">
      <c r="A23" s="32"/>
      <c r="B23" s="6"/>
      <c r="C23" s="33"/>
      <c r="D23" s="34" t="s">
        <v>3</v>
      </c>
      <c r="E23" s="8"/>
      <c r="F23" s="8"/>
      <c r="G23" s="8"/>
      <c r="H23" s="8"/>
    </row>
    <row r="24" spans="1:8" x14ac:dyDescent="0.2">
      <c r="A24" s="29" t="s">
        <v>19</v>
      </c>
      <c r="B24" s="35" t="str">
        <f>[1]Charters!A23</f>
        <v>A1</v>
      </c>
      <c r="C24" s="36" t="s">
        <v>4</v>
      </c>
      <c r="D24" s="37" t="s">
        <v>5</v>
      </c>
      <c r="E24" s="8"/>
      <c r="F24" s="8"/>
      <c r="G24" s="8"/>
      <c r="H24" s="8"/>
    </row>
    <row r="25" spans="1:8" x14ac:dyDescent="0.2">
      <c r="A25" s="38" t="s">
        <v>6</v>
      </c>
      <c r="B25" s="39"/>
      <c r="C25" s="40"/>
      <c r="D25" s="41"/>
      <c r="E25" s="8"/>
      <c r="F25" s="8"/>
      <c r="G25" s="8"/>
      <c r="H25" s="8"/>
    </row>
    <row r="26" spans="1:8" x14ac:dyDescent="0.2">
      <c r="A26" s="38" t="s">
        <v>7</v>
      </c>
      <c r="B26" s="39"/>
      <c r="C26" s="40"/>
      <c r="D26" s="41"/>
      <c r="E26" s="8"/>
      <c r="F26" s="42" t="s">
        <v>23</v>
      </c>
      <c r="G26" s="8"/>
      <c r="H26" s="42" t="s">
        <v>26</v>
      </c>
    </row>
    <row r="27" spans="1:8" x14ac:dyDescent="0.2">
      <c r="A27" s="20" t="s">
        <v>8</v>
      </c>
      <c r="B27" s="43"/>
      <c r="C27" s="44">
        <f>[1]Charters!C483</f>
        <v>887.25900000000001</v>
      </c>
      <c r="D27" s="45">
        <f>[1]Charters!E483</f>
        <v>2825031.29</v>
      </c>
      <c r="E27" s="8"/>
      <c r="F27" s="42">
        <f>[1]Charters!E638</f>
        <v>3088786.77</v>
      </c>
      <c r="G27" s="8"/>
      <c r="H27" s="42">
        <f>[2]Charters!E177</f>
        <v>3492480.37</v>
      </c>
    </row>
    <row r="28" spans="1:8" x14ac:dyDescent="0.2">
      <c r="A28" s="20" t="s">
        <v>14</v>
      </c>
      <c r="B28" s="43"/>
      <c r="C28" s="44">
        <f>[1]Charters!F483</f>
        <v>82.837999999999994</v>
      </c>
      <c r="D28" s="45">
        <f>[1]Charters!H483</f>
        <v>263755.48</v>
      </c>
      <c r="E28" s="8"/>
      <c r="F28" s="42">
        <f>SUM(D27:D29)</f>
        <v>3088786.77</v>
      </c>
      <c r="G28" s="8"/>
      <c r="H28" s="42">
        <f>D40</f>
        <v>3492480.37</v>
      </c>
    </row>
    <row r="29" spans="1:8" x14ac:dyDescent="0.2">
      <c r="A29" s="20" t="s">
        <v>32</v>
      </c>
      <c r="B29" s="43"/>
      <c r="C29" s="44">
        <f>[1]Charters!C176</f>
        <v>0</v>
      </c>
      <c r="D29" s="45">
        <f>[1]Charters!E176</f>
        <v>0</v>
      </c>
      <c r="E29" s="8"/>
      <c r="F29" s="42">
        <f>+F27-F28</f>
        <v>0</v>
      </c>
      <c r="G29" s="8"/>
      <c r="H29" s="42">
        <f>+H27-H28</f>
        <v>0</v>
      </c>
    </row>
    <row r="30" spans="1:8" x14ac:dyDescent="0.2">
      <c r="A30" s="38" t="s">
        <v>9</v>
      </c>
      <c r="B30" s="39"/>
      <c r="C30" s="46"/>
      <c r="D30" s="47"/>
      <c r="E30" s="8"/>
      <c r="F30" s="8"/>
      <c r="G30" s="8"/>
      <c r="H30" s="8"/>
    </row>
    <row r="31" spans="1:8" x14ac:dyDescent="0.2">
      <c r="A31" s="20" t="s">
        <v>10</v>
      </c>
      <c r="B31" s="43"/>
      <c r="C31" s="40">
        <f>[3]Charters!C22</f>
        <v>8.3539999999999992</v>
      </c>
      <c r="D31" s="41">
        <f>[3]Charters!E22</f>
        <v>26599.39</v>
      </c>
      <c r="E31" s="8"/>
      <c r="F31" s="42" t="s">
        <v>24</v>
      </c>
      <c r="G31" s="8"/>
      <c r="H31" s="8"/>
    </row>
    <row r="32" spans="1:8" x14ac:dyDescent="0.2">
      <c r="A32" s="48" t="s">
        <v>11</v>
      </c>
      <c r="B32" s="43"/>
      <c r="C32" s="40">
        <f>[3]Charters!F22</f>
        <v>0</v>
      </c>
      <c r="D32" s="49">
        <f>[3]Charters!H22</f>
        <v>0</v>
      </c>
      <c r="E32" s="8"/>
      <c r="F32" s="42">
        <f>[3]Charters!N333</f>
        <v>30058.44</v>
      </c>
      <c r="G32" s="8"/>
      <c r="H32" s="8"/>
    </row>
    <row r="33" spans="1:8" x14ac:dyDescent="0.2">
      <c r="A33" s="48" t="s">
        <v>12</v>
      </c>
      <c r="B33" s="43"/>
      <c r="C33" s="40">
        <f>[3]Charters!C177</f>
        <v>0</v>
      </c>
      <c r="D33" s="41">
        <f>[3]Charters!E177</f>
        <v>0</v>
      </c>
      <c r="E33" s="8"/>
      <c r="F33" s="42">
        <f>SUM(D31:D37)</f>
        <v>30058.44</v>
      </c>
      <c r="G33" s="8"/>
      <c r="H33" s="8"/>
    </row>
    <row r="34" spans="1:8" x14ac:dyDescent="0.2">
      <c r="A34" s="20" t="s">
        <v>13</v>
      </c>
      <c r="B34" s="43"/>
      <c r="C34" s="40">
        <f>[3]Charters!F177</f>
        <v>0.70899999999999996</v>
      </c>
      <c r="D34" s="41">
        <f>[3]Charters!H177</f>
        <v>2259</v>
      </c>
      <c r="E34" s="8"/>
      <c r="F34" s="42">
        <f>+F32-F33</f>
        <v>0</v>
      </c>
      <c r="G34" s="8"/>
      <c r="H34" s="8"/>
    </row>
    <row r="35" spans="1:8" x14ac:dyDescent="0.2">
      <c r="A35" s="48" t="s">
        <v>54</v>
      </c>
      <c r="B35" s="43"/>
      <c r="C35" s="40">
        <f>[3]Charters!C333</f>
        <v>0.377</v>
      </c>
      <c r="D35" s="41">
        <f>[3]Charters!E333</f>
        <v>1200.05</v>
      </c>
      <c r="E35" s="8"/>
      <c r="F35" s="8"/>
      <c r="G35" s="8"/>
      <c r="H35" s="8"/>
    </row>
    <row r="36" spans="1:8" x14ac:dyDescent="0.2">
      <c r="A36" s="48" t="s">
        <v>55</v>
      </c>
      <c r="B36" s="43"/>
      <c r="C36" s="40">
        <f>[3]Charters!F333</f>
        <v>0</v>
      </c>
      <c r="D36" s="41">
        <f>[3]Charters!H333</f>
        <v>0</v>
      </c>
      <c r="E36" s="8"/>
      <c r="F36" s="42" t="s">
        <v>25</v>
      </c>
      <c r="G36" s="8"/>
      <c r="H36" s="8"/>
    </row>
    <row r="37" spans="1:8" x14ac:dyDescent="0.2">
      <c r="A37" s="48" t="s">
        <v>56</v>
      </c>
      <c r="B37" s="43"/>
      <c r="C37" s="40">
        <f>[3]Charters!I333</f>
        <v>0</v>
      </c>
      <c r="D37" s="41">
        <f>[3]Charters!K333</f>
        <v>0</v>
      </c>
      <c r="E37" s="8"/>
      <c r="F37" s="42">
        <f>[2]Charters!H23</f>
        <v>403693.6</v>
      </c>
      <c r="G37" s="8"/>
      <c r="H37" s="8"/>
    </row>
    <row r="38" spans="1:8" x14ac:dyDescent="0.2">
      <c r="A38" s="20" t="s">
        <v>49</v>
      </c>
      <c r="B38" s="43"/>
      <c r="C38" s="40">
        <f>[3]Charters!C490</f>
        <v>117.348</v>
      </c>
      <c r="D38" s="41">
        <f>[3]Charters!E490</f>
        <v>373635.16</v>
      </c>
      <c r="E38" s="8"/>
      <c r="F38" s="42">
        <f>SUM(D31:D39)</f>
        <v>403693.6</v>
      </c>
      <c r="G38" s="8"/>
      <c r="H38" s="8"/>
    </row>
    <row r="39" spans="1:8" x14ac:dyDescent="0.2">
      <c r="A39" s="20" t="s">
        <v>50</v>
      </c>
      <c r="B39" s="43"/>
      <c r="C39" s="40">
        <f>[2]Charters!C23</f>
        <v>0</v>
      </c>
      <c r="D39" s="41">
        <f>[2]Charters!E23</f>
        <v>0</v>
      </c>
      <c r="E39" s="8"/>
      <c r="F39" s="42">
        <f>+F37-F38</f>
        <v>0</v>
      </c>
      <c r="G39" s="8"/>
      <c r="H39" s="8"/>
    </row>
    <row r="40" spans="1:8" x14ac:dyDescent="0.2">
      <c r="A40" s="50"/>
      <c r="B40" s="51" t="s">
        <v>16</v>
      </c>
      <c r="C40" s="52">
        <f>SUM(C27:C39)</f>
        <v>1096.885</v>
      </c>
      <c r="D40" s="53">
        <f>SUM(D27:D39)</f>
        <v>3492480.37</v>
      </c>
      <c r="E40" s="8"/>
      <c r="F40" s="8"/>
      <c r="G40" s="8"/>
      <c r="H40" s="8"/>
    </row>
    <row r="41" spans="1:8" x14ac:dyDescent="0.2">
      <c r="A41" s="54" t="s">
        <v>17</v>
      </c>
      <c r="B41" s="39"/>
      <c r="C41" s="55"/>
      <c r="D41" s="47"/>
      <c r="E41" s="8"/>
      <c r="F41" s="8"/>
      <c r="G41" s="8"/>
      <c r="H41" s="42" t="s">
        <v>29</v>
      </c>
    </row>
    <row r="42" spans="1:8" x14ac:dyDescent="0.2">
      <c r="A42" s="20" t="s">
        <v>33</v>
      </c>
      <c r="B42" s="43"/>
      <c r="C42" s="56"/>
      <c r="D42" s="57">
        <f>[4]Charters!C22</f>
        <v>10122.84</v>
      </c>
      <c r="E42" s="8"/>
      <c r="F42" s="8"/>
      <c r="G42" s="8"/>
      <c r="H42" s="42">
        <f>[4]Charters!F963</f>
        <v>5531195.5899999999</v>
      </c>
    </row>
    <row r="43" spans="1:8" x14ac:dyDescent="0.2">
      <c r="A43" s="58" t="s">
        <v>35</v>
      </c>
      <c r="B43" s="43"/>
      <c r="C43" s="56"/>
      <c r="D43" s="41">
        <f>+[4]Charters!F343</f>
        <v>8622.58</v>
      </c>
      <c r="E43" s="8"/>
      <c r="F43" s="8"/>
      <c r="G43" s="8"/>
      <c r="H43" s="42">
        <f>SUM(D40:D59)</f>
        <v>5531195.5899999999</v>
      </c>
    </row>
    <row r="44" spans="1:8" x14ac:dyDescent="0.2">
      <c r="A44" s="59" t="s">
        <v>36</v>
      </c>
      <c r="B44" s="43"/>
      <c r="C44" s="56"/>
      <c r="D44" s="41">
        <f>[4]Charters!E182</f>
        <v>16294</v>
      </c>
      <c r="E44" s="8"/>
      <c r="F44" s="8"/>
      <c r="G44" s="8"/>
      <c r="H44" s="42">
        <f>+H42-H43</f>
        <v>0</v>
      </c>
    </row>
    <row r="45" spans="1:8" x14ac:dyDescent="0.2">
      <c r="A45" s="59" t="s">
        <v>52</v>
      </c>
      <c r="B45" s="43"/>
      <c r="C45" s="56"/>
      <c r="D45" s="41">
        <f>[4]Charters!G343</f>
        <v>67095.100000000006</v>
      </c>
      <c r="E45" s="8"/>
      <c r="F45" s="42" t="s">
        <v>27</v>
      </c>
      <c r="G45" s="8"/>
      <c r="H45" s="42"/>
    </row>
    <row r="46" spans="1:8" x14ac:dyDescent="0.2">
      <c r="A46" s="20" t="s">
        <v>37</v>
      </c>
      <c r="B46" s="43"/>
      <c r="C46" s="56"/>
      <c r="D46" s="41">
        <f>[4]Charters!E499</f>
        <v>53049</v>
      </c>
      <c r="E46" s="8"/>
      <c r="F46" s="42">
        <f>[4]Charters!E182</f>
        <v>16294</v>
      </c>
      <c r="G46" s="8"/>
      <c r="H46" s="8"/>
    </row>
    <row r="47" spans="1:8" x14ac:dyDescent="0.2">
      <c r="A47" s="20" t="s">
        <v>38</v>
      </c>
      <c r="B47" s="43"/>
      <c r="C47" s="56"/>
      <c r="D47" s="41">
        <f>[4]Charters!F499</f>
        <v>0</v>
      </c>
      <c r="E47" s="8"/>
      <c r="F47" s="42">
        <f>SUM(D44:D44)</f>
        <v>16294</v>
      </c>
      <c r="G47" s="8"/>
      <c r="H47" s="8"/>
    </row>
    <row r="48" spans="1:8" x14ac:dyDescent="0.2">
      <c r="A48" s="59" t="s">
        <v>40</v>
      </c>
      <c r="B48" s="43"/>
      <c r="C48" s="56"/>
      <c r="D48" s="41">
        <f>[4]Charters!G499</f>
        <v>0</v>
      </c>
      <c r="E48" s="8"/>
      <c r="F48" s="42">
        <f>+F46-F47</f>
        <v>0</v>
      </c>
      <c r="G48" s="8"/>
      <c r="H48" s="8"/>
    </row>
    <row r="49" spans="1:8" x14ac:dyDescent="0.2">
      <c r="A49" s="20" t="s">
        <v>41</v>
      </c>
      <c r="B49" s="43"/>
      <c r="C49" s="56"/>
      <c r="D49" s="41">
        <f>[4]Charters!C654</f>
        <v>1530765</v>
      </c>
      <c r="E49" s="8"/>
      <c r="F49" s="42" t="s">
        <v>28</v>
      </c>
      <c r="G49" s="8"/>
      <c r="H49" s="8"/>
    </row>
    <row r="50" spans="1:8" x14ac:dyDescent="0.2">
      <c r="A50" s="20" t="s">
        <v>42</v>
      </c>
      <c r="B50" s="43"/>
      <c r="C50" s="56"/>
      <c r="D50" s="41">
        <f>[4]Charters!D654</f>
        <v>169612.49</v>
      </c>
      <c r="E50" s="8"/>
      <c r="F50" s="42">
        <f>[4]Charters!D499</f>
        <v>92011.68</v>
      </c>
      <c r="G50" s="8"/>
      <c r="H50" s="8"/>
    </row>
    <row r="51" spans="1:8" x14ac:dyDescent="0.2">
      <c r="A51" s="20" t="s">
        <v>44</v>
      </c>
      <c r="B51" s="43"/>
      <c r="C51" s="56"/>
      <c r="D51" s="41">
        <f>[4]Charters!E654</f>
        <v>76500</v>
      </c>
      <c r="E51" s="8"/>
      <c r="F51" s="42">
        <f>SUM(D43:D45)</f>
        <v>92011.68</v>
      </c>
      <c r="G51" s="8"/>
      <c r="H51" s="8"/>
    </row>
    <row r="52" spans="1:8" x14ac:dyDescent="0.2">
      <c r="A52" s="59" t="s">
        <v>43</v>
      </c>
      <c r="B52" s="43"/>
      <c r="C52" s="56"/>
      <c r="D52" s="41">
        <f>[4]Charters!F654</f>
        <v>0</v>
      </c>
      <c r="E52" s="8"/>
      <c r="F52" s="42">
        <f>+F50-F51</f>
        <v>0</v>
      </c>
      <c r="G52" s="8"/>
      <c r="H52" s="8"/>
    </row>
    <row r="53" spans="1:8" x14ac:dyDescent="0.2">
      <c r="A53" s="59" t="s">
        <v>45</v>
      </c>
      <c r="B53" s="43"/>
      <c r="C53" s="56"/>
      <c r="D53" s="41">
        <f>[4]Charters!C499</f>
        <v>0</v>
      </c>
      <c r="E53" s="8"/>
      <c r="F53" s="8"/>
      <c r="G53" s="8"/>
      <c r="H53" s="8"/>
    </row>
    <row r="54" spans="1:8" x14ac:dyDescent="0.2">
      <c r="A54" s="59" t="s">
        <v>46</v>
      </c>
      <c r="B54" s="43"/>
      <c r="C54" s="56"/>
      <c r="D54" s="41">
        <f>[4]Charters!C810</f>
        <v>0</v>
      </c>
      <c r="E54" s="8"/>
      <c r="F54" s="8"/>
      <c r="G54" s="8"/>
      <c r="H54" s="42" t="s">
        <v>31</v>
      </c>
    </row>
    <row r="55" spans="1:8" x14ac:dyDescent="0.2">
      <c r="A55" s="59" t="s">
        <v>51</v>
      </c>
      <c r="B55" s="43"/>
      <c r="C55" s="56"/>
      <c r="D55" s="60">
        <f>[4]Charters!D810</f>
        <v>940.47</v>
      </c>
      <c r="E55" s="8"/>
      <c r="F55" s="8"/>
      <c r="G55" s="8"/>
      <c r="H55" s="42">
        <f>[4]Charters!D1269</f>
        <v>5545266.7400000002</v>
      </c>
    </row>
    <row r="56" spans="1:8" x14ac:dyDescent="0.2">
      <c r="A56" s="20" t="s">
        <v>47</v>
      </c>
      <c r="B56" s="43"/>
      <c r="C56" s="56"/>
      <c r="D56" s="60">
        <f>[4]Charters!E810</f>
        <v>0</v>
      </c>
      <c r="E56" s="8"/>
      <c r="F56" s="8"/>
      <c r="G56" s="8"/>
      <c r="H56" s="42">
        <f>D65</f>
        <v>5545266.7400000002</v>
      </c>
    </row>
    <row r="57" spans="1:8" x14ac:dyDescent="0.2">
      <c r="A57" s="20" t="s">
        <v>57</v>
      </c>
      <c r="B57" s="43"/>
      <c r="C57" s="56"/>
      <c r="D57" s="60">
        <f>[4]Charters!C963</f>
        <v>26709.45</v>
      </c>
      <c r="E57" s="8"/>
      <c r="F57" s="8"/>
      <c r="G57" s="8"/>
      <c r="H57" s="42">
        <f>+H55-H56</f>
        <v>0</v>
      </c>
    </row>
    <row r="58" spans="1:8" x14ac:dyDescent="0.2">
      <c r="A58" s="59" t="s">
        <v>53</v>
      </c>
      <c r="B58" s="43"/>
      <c r="C58" s="56"/>
      <c r="D58" s="60">
        <f>[4]Charters!D963</f>
        <v>44000</v>
      </c>
      <c r="E58" s="8"/>
      <c r="F58" s="42" t="s">
        <v>30</v>
      </c>
      <c r="G58" s="8"/>
      <c r="H58" s="8"/>
    </row>
    <row r="59" spans="1:8" x14ac:dyDescent="0.2">
      <c r="A59" s="59" t="s">
        <v>59</v>
      </c>
      <c r="B59" s="43"/>
      <c r="C59" s="56"/>
      <c r="D59" s="60">
        <f>[4]Charters!E963</f>
        <v>35004.29</v>
      </c>
      <c r="E59" s="8"/>
      <c r="F59" s="8"/>
      <c r="G59" s="8"/>
      <c r="H59" s="8"/>
    </row>
    <row r="60" spans="1:8" x14ac:dyDescent="0.2">
      <c r="A60" s="38" t="s">
        <v>18</v>
      </c>
      <c r="B60" s="61"/>
      <c r="C60" s="62"/>
      <c r="D60" s="87"/>
      <c r="E60" s="42"/>
      <c r="F60" s="42">
        <f>[4]Charters!C1269</f>
        <v>14071.15</v>
      </c>
      <c r="G60" s="42"/>
      <c r="H60" s="42"/>
    </row>
    <row r="61" spans="1:8" x14ac:dyDescent="0.2">
      <c r="A61" s="59" t="s">
        <v>39</v>
      </c>
      <c r="B61" s="43"/>
      <c r="C61" s="56"/>
      <c r="D61" s="41">
        <f>[4]Charters!C1116</f>
        <v>5958.59</v>
      </c>
      <c r="E61" s="42"/>
      <c r="F61" s="42">
        <f>SUM(D61:D64)</f>
        <v>14071.15</v>
      </c>
      <c r="G61" s="42"/>
      <c r="H61" s="42"/>
    </row>
    <row r="62" spans="1:8" x14ac:dyDescent="0.2">
      <c r="A62" s="59" t="s">
        <v>48</v>
      </c>
      <c r="B62" s="43"/>
      <c r="C62" s="56"/>
      <c r="D62" s="41">
        <f>[4]Charters!D1116</f>
        <v>0</v>
      </c>
      <c r="E62" s="42"/>
      <c r="F62" s="42">
        <f>+F60-F61</f>
        <v>0</v>
      </c>
      <c r="G62" s="42"/>
      <c r="H62" s="42"/>
    </row>
    <row r="63" spans="1:8" x14ac:dyDescent="0.2">
      <c r="A63" s="59" t="s">
        <v>60</v>
      </c>
      <c r="B63" s="43"/>
      <c r="C63" s="56"/>
      <c r="D63" s="41">
        <f>[4]Charters!E1116</f>
        <v>0</v>
      </c>
      <c r="E63" s="42"/>
      <c r="F63" s="42"/>
      <c r="G63" s="42"/>
      <c r="H63" s="42"/>
    </row>
    <row r="64" spans="1:8" x14ac:dyDescent="0.2">
      <c r="A64" s="59" t="s">
        <v>61</v>
      </c>
      <c r="B64" s="43"/>
      <c r="C64" s="56"/>
      <c r="D64" s="41">
        <f>[4]Charters!F1116</f>
        <v>8112.56</v>
      </c>
      <c r="E64" s="42"/>
      <c r="F64" s="42"/>
      <c r="G64" s="42"/>
      <c r="H64" s="42"/>
    </row>
    <row r="65" spans="1:8" ht="13.5" thickBot="1" x14ac:dyDescent="0.25">
      <c r="A65" s="64"/>
      <c r="B65" s="65"/>
      <c r="C65" s="66"/>
      <c r="D65" s="67">
        <f>SUM(D40:D64)</f>
        <v>5545266.7400000002</v>
      </c>
      <c r="E65" s="42"/>
      <c r="F65" s="42"/>
      <c r="G65" s="42"/>
      <c r="H65" s="42"/>
    </row>
    <row r="66" spans="1:8" ht="13.5" thickTop="1" x14ac:dyDescent="0.2">
      <c r="A66" s="68"/>
      <c r="B66" s="43"/>
      <c r="C66" s="56"/>
      <c r="D66" s="86"/>
      <c r="E66" s="42"/>
      <c r="F66" s="42"/>
      <c r="G66" s="42"/>
      <c r="H66" s="42"/>
    </row>
    <row r="67" spans="1:8" x14ac:dyDescent="0.2">
      <c r="A67" s="38" t="s">
        <v>20</v>
      </c>
      <c r="B67" s="39"/>
      <c r="C67" s="70"/>
      <c r="D67" s="71" t="s">
        <v>21</v>
      </c>
      <c r="E67" s="42"/>
      <c r="F67" s="42"/>
      <c r="G67" s="42"/>
      <c r="H67" s="42"/>
    </row>
    <row r="68" spans="1:8" x14ac:dyDescent="0.2">
      <c r="A68" s="72" t="s">
        <v>22</v>
      </c>
      <c r="B68" s="73"/>
      <c r="C68" s="74"/>
      <c r="D68" s="41">
        <f>[5]Charters!C22</f>
        <v>1674.22</v>
      </c>
      <c r="E68" s="42"/>
      <c r="F68" s="42"/>
      <c r="G68" s="42"/>
      <c r="H68" s="42"/>
    </row>
    <row r="69" spans="1:8" x14ac:dyDescent="0.2">
      <c r="A69" s="75"/>
      <c r="B69" s="61"/>
      <c r="C69" s="76"/>
      <c r="D69" s="77">
        <f>SUM(D68:D68)</f>
        <v>1674.22</v>
      </c>
      <c r="E69" s="42"/>
      <c r="F69" s="42"/>
      <c r="G69" s="42"/>
      <c r="H69" s="42"/>
    </row>
    <row r="70" spans="1:8" x14ac:dyDescent="0.2">
      <c r="A70" s="78" t="s">
        <v>58</v>
      </c>
      <c r="B70" s="79"/>
      <c r="C70" s="80"/>
      <c r="D70" s="77">
        <f>D69+D65</f>
        <v>5546940.96</v>
      </c>
      <c r="E70" s="42"/>
      <c r="F70" s="42"/>
      <c r="G70" s="42"/>
      <c r="H70" s="42"/>
    </row>
    <row r="71" spans="1:8" x14ac:dyDescent="0.2">
      <c r="A71" s="84"/>
      <c r="B71" s="84"/>
      <c r="C71" s="85"/>
      <c r="D71" s="81"/>
      <c r="E71" s="42"/>
      <c r="F71" s="42"/>
      <c r="G71" s="42"/>
      <c r="H71" s="42"/>
    </row>
    <row r="72" spans="1:8" x14ac:dyDescent="0.2">
      <c r="A72" s="84"/>
      <c r="B72" s="84"/>
      <c r="C72" s="85"/>
      <c r="D72" s="81">
        <f>[5]Charters!E178</f>
        <v>5546940.96</v>
      </c>
      <c r="E72" s="42"/>
      <c r="F72" s="42"/>
      <c r="G72" s="42"/>
      <c r="H72" s="42"/>
    </row>
    <row r="73" spans="1:8" x14ac:dyDescent="0.2">
      <c r="A73" s="84"/>
      <c r="B73" s="84"/>
      <c r="C73" s="85"/>
      <c r="D73" s="81">
        <f>D70</f>
        <v>5546940.96</v>
      </c>
      <c r="E73" s="42"/>
      <c r="F73" s="42"/>
      <c r="G73" s="42"/>
      <c r="H73" s="42"/>
    </row>
    <row r="74" spans="1:8" x14ac:dyDescent="0.2">
      <c r="C74" s="83"/>
      <c r="D74" s="42">
        <f>D72-D73</f>
        <v>0</v>
      </c>
      <c r="E74" s="42"/>
      <c r="F74" s="42"/>
      <c r="G74" s="42"/>
      <c r="H74" s="42"/>
    </row>
  </sheetData>
  <mergeCells count="4">
    <mergeCell ref="A18:D18"/>
    <mergeCell ref="A16:D16"/>
    <mergeCell ref="A17:D17"/>
    <mergeCell ref="A70:C70"/>
  </mergeCells>
  <phoneticPr fontId="0" type="noConversion"/>
  <printOptions horizontalCentered="1" verticalCentered="1"/>
  <pageMargins left="0.5" right="0.5" top="0.5" bottom="0.5" header="0.25" footer="0.25"/>
  <pageSetup orientation="portrait" r:id="rId1"/>
  <headerFooter alignWithMargins="0">
    <oddHeader>&amp;R&amp;8Current as of: &amp;D</oddHeader>
    <oddFooter>&amp;L&amp;8USOE, School Finance</oddFooter>
  </headerFooter>
  <picture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pageSetUpPr fitToPage="1"/>
  </sheetPr>
  <dimension ref="A1:H75"/>
  <sheetViews>
    <sheetView showGridLines="0" topLeftCell="A13" workbookViewId="0">
      <selection activeCell="C12" sqref="C12"/>
    </sheetView>
  </sheetViews>
  <sheetFormatPr defaultColWidth="9.140625" defaultRowHeight="12.75" x14ac:dyDescent="0.2"/>
  <cols>
    <col min="1" max="1" width="31.85546875" style="82" customWidth="1"/>
    <col min="2" max="2" width="16.140625" style="82" customWidth="1"/>
    <col min="3" max="4" width="14.85546875" style="82" customWidth="1"/>
    <col min="5" max="5" width="7" style="82" customWidth="1"/>
    <col min="6" max="6" width="19.7109375" style="82" customWidth="1"/>
    <col min="7" max="7" width="5.7109375" style="82" customWidth="1"/>
    <col min="8" max="8" width="18" style="82" customWidth="1"/>
    <col min="9" max="16384" width="9.140625" style="82"/>
  </cols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"/>
      <c r="B3" s="1"/>
      <c r="C3" s="1"/>
      <c r="D3" s="1"/>
      <c r="E3" s="1"/>
      <c r="F3" s="1"/>
      <c r="G3" s="1"/>
      <c r="H3" s="1"/>
    </row>
    <row r="4" spans="1:8" x14ac:dyDescent="0.2">
      <c r="A4" s="1"/>
      <c r="B4" s="1"/>
      <c r="C4" s="1"/>
      <c r="D4" s="1"/>
      <c r="E4" s="1"/>
      <c r="F4" s="1"/>
      <c r="G4" s="1"/>
      <c r="H4" s="1"/>
    </row>
    <row r="5" spans="1:8" x14ac:dyDescent="0.2">
      <c r="A5" s="1"/>
      <c r="B5" s="1"/>
      <c r="C5" s="1"/>
      <c r="D5" s="1"/>
      <c r="E5" s="1"/>
      <c r="F5" s="1"/>
      <c r="G5" s="1"/>
      <c r="H5" s="1"/>
    </row>
    <row r="6" spans="1:8" x14ac:dyDescent="0.2">
      <c r="A6" s="1"/>
      <c r="B6" s="1"/>
      <c r="C6" s="1"/>
      <c r="D6" s="1"/>
      <c r="E6" s="1"/>
      <c r="F6" s="1"/>
      <c r="G6" s="1"/>
      <c r="H6" s="1"/>
    </row>
    <row r="7" spans="1:8" x14ac:dyDescent="0.2">
      <c r="A7" s="1"/>
      <c r="B7" s="1"/>
      <c r="C7" s="1"/>
      <c r="D7" s="1"/>
      <c r="E7" s="1"/>
      <c r="F7" s="1"/>
      <c r="G7" s="1"/>
      <c r="H7" s="1"/>
    </row>
    <row r="8" spans="1:8" x14ac:dyDescent="0.2">
      <c r="A8" s="1"/>
      <c r="B8" s="1"/>
      <c r="C8" s="1"/>
      <c r="D8" s="1"/>
      <c r="E8" s="1"/>
      <c r="F8" s="1"/>
      <c r="G8" s="1"/>
      <c r="H8" s="1"/>
    </row>
    <row r="9" spans="1:8" x14ac:dyDescent="0.2">
      <c r="A9" s="1"/>
      <c r="B9" s="1"/>
      <c r="C9" s="1"/>
      <c r="D9" s="1"/>
      <c r="E9" s="1"/>
      <c r="F9" s="1"/>
      <c r="G9" s="1"/>
      <c r="H9" s="1"/>
    </row>
    <row r="10" spans="1:8" x14ac:dyDescent="0.2">
      <c r="A10" s="1"/>
      <c r="B10" s="1"/>
      <c r="C10" s="1"/>
      <c r="D10" s="1"/>
      <c r="E10" s="1"/>
      <c r="F10" s="1"/>
      <c r="G10" s="1"/>
      <c r="H10" s="1"/>
    </row>
    <row r="11" spans="1:8" x14ac:dyDescent="0.2">
      <c r="A11" s="1"/>
      <c r="B11" s="1"/>
      <c r="C11" s="1"/>
      <c r="D11" s="1"/>
      <c r="E11" s="1"/>
      <c r="F11" s="1"/>
      <c r="G11" s="1"/>
      <c r="H11" s="1"/>
    </row>
    <row r="12" spans="1:8" x14ac:dyDescent="0.2">
      <c r="A12" s="1"/>
      <c r="B12" s="1"/>
      <c r="C12" s="1"/>
      <c r="D12" s="1"/>
      <c r="E12" s="1"/>
      <c r="F12" s="1"/>
      <c r="G12" s="1"/>
      <c r="H12" s="1"/>
    </row>
    <row r="13" spans="1:8" x14ac:dyDescent="0.2">
      <c r="A13" s="1"/>
      <c r="B13" s="1"/>
      <c r="C13" s="1"/>
      <c r="D13" s="1"/>
      <c r="E13" s="1"/>
      <c r="F13" s="1"/>
      <c r="G13" s="1"/>
      <c r="H13" s="1"/>
    </row>
    <row r="14" spans="1:8" x14ac:dyDescent="0.2">
      <c r="A14" s="1"/>
      <c r="B14" s="1"/>
      <c r="C14" s="1"/>
      <c r="D14" s="1"/>
      <c r="E14" s="1"/>
      <c r="F14" s="1"/>
      <c r="G14" s="1"/>
      <c r="H14" s="1"/>
    </row>
    <row r="15" spans="1:8" x14ac:dyDescent="0.2">
      <c r="A15" s="1"/>
      <c r="B15" s="1"/>
      <c r="C15" s="1"/>
      <c r="D15" s="1"/>
      <c r="E15" s="1"/>
      <c r="F15" s="1"/>
      <c r="G15" s="1"/>
      <c r="H15" s="1"/>
    </row>
    <row r="16" spans="1:8" x14ac:dyDescent="0.2">
      <c r="A16" s="1"/>
      <c r="B16" s="1"/>
      <c r="C16" s="1"/>
      <c r="D16" s="1"/>
      <c r="E16" s="1"/>
      <c r="F16" s="1"/>
      <c r="G16" s="1"/>
      <c r="H16" s="1"/>
    </row>
    <row r="17" spans="1:8" x14ac:dyDescent="0.2">
      <c r="A17" s="11" t="s">
        <v>1</v>
      </c>
      <c r="B17" s="12"/>
      <c r="C17" s="12"/>
      <c r="D17" s="13"/>
      <c r="E17" s="8"/>
      <c r="F17" s="8"/>
      <c r="G17" s="8"/>
      <c r="H17" s="8"/>
    </row>
    <row r="18" spans="1:8" x14ac:dyDescent="0.2">
      <c r="A18" s="14" t="s">
        <v>15</v>
      </c>
      <c r="B18" s="15"/>
      <c r="C18" s="15"/>
      <c r="D18" s="16"/>
      <c r="E18" s="8"/>
      <c r="F18" s="8"/>
      <c r="G18" s="8"/>
      <c r="H18" s="8"/>
    </row>
    <row r="19" spans="1:8" x14ac:dyDescent="0.2">
      <c r="A19" s="17" t="s">
        <v>62</v>
      </c>
      <c r="B19" s="18"/>
      <c r="C19" s="18"/>
      <c r="D19" s="19"/>
      <c r="E19" s="8"/>
      <c r="F19" s="8"/>
      <c r="G19" s="8"/>
      <c r="H19" s="8"/>
    </row>
    <row r="20" spans="1:8" x14ac:dyDescent="0.2">
      <c r="A20" s="20"/>
      <c r="B20" s="21"/>
      <c r="C20" s="22"/>
      <c r="D20" s="23"/>
      <c r="E20" s="8"/>
      <c r="F20" s="8" t="s">
        <v>34</v>
      </c>
      <c r="G20" s="8"/>
      <c r="H20" s="8"/>
    </row>
    <row r="21" spans="1:8" ht="15.75" x14ac:dyDescent="0.25">
      <c r="A21" s="24" t="s">
        <v>2</v>
      </c>
      <c r="B21" s="25" t="str">
        <f>[1]Charters!B24</f>
        <v>The Ranches Academy</v>
      </c>
      <c r="C21" s="26"/>
      <c r="D21" s="27"/>
      <c r="E21" s="8"/>
      <c r="F21" s="8"/>
      <c r="G21" s="8"/>
      <c r="H21" s="8"/>
    </row>
    <row r="22" spans="1:8" x14ac:dyDescent="0.2">
      <c r="A22" s="24"/>
      <c r="B22" s="28"/>
      <c r="C22" s="26"/>
      <c r="D22" s="27"/>
      <c r="E22" s="8"/>
      <c r="F22" s="8"/>
      <c r="G22" s="8"/>
      <c r="H22" s="8"/>
    </row>
    <row r="23" spans="1:8" x14ac:dyDescent="0.2">
      <c r="A23" s="29" t="s">
        <v>0</v>
      </c>
      <c r="B23" s="30">
        <f>[1]Charters!$E$6</f>
        <v>3184</v>
      </c>
      <c r="C23" s="26"/>
      <c r="D23" s="31"/>
      <c r="E23" s="8"/>
      <c r="F23" s="8"/>
      <c r="G23" s="8"/>
      <c r="H23" s="8"/>
    </row>
    <row r="24" spans="1:8" x14ac:dyDescent="0.2">
      <c r="A24" s="32"/>
      <c r="B24" s="6"/>
      <c r="C24" s="33"/>
      <c r="D24" s="34" t="s">
        <v>3</v>
      </c>
      <c r="E24" s="8"/>
      <c r="F24" s="8"/>
      <c r="G24" s="8"/>
      <c r="H24" s="8"/>
    </row>
    <row r="25" spans="1:8" x14ac:dyDescent="0.2">
      <c r="A25" s="29" t="s">
        <v>19</v>
      </c>
      <c r="B25" s="35" t="str">
        <f>[1]Charters!A24</f>
        <v>A2</v>
      </c>
      <c r="C25" s="36" t="s">
        <v>4</v>
      </c>
      <c r="D25" s="37" t="s">
        <v>5</v>
      </c>
      <c r="E25" s="8"/>
      <c r="F25" s="8"/>
      <c r="G25" s="8"/>
      <c r="H25" s="8"/>
    </row>
    <row r="26" spans="1:8" x14ac:dyDescent="0.2">
      <c r="A26" s="38" t="s">
        <v>6</v>
      </c>
      <c r="B26" s="39"/>
      <c r="C26" s="40"/>
      <c r="D26" s="41"/>
      <c r="E26" s="8"/>
      <c r="F26" s="8"/>
      <c r="G26" s="8"/>
      <c r="H26" s="8"/>
    </row>
    <row r="27" spans="1:8" x14ac:dyDescent="0.2">
      <c r="A27" s="38" t="s">
        <v>7</v>
      </c>
      <c r="B27" s="39"/>
      <c r="C27" s="40"/>
      <c r="D27" s="41"/>
      <c r="E27" s="8"/>
      <c r="F27" s="42" t="s">
        <v>23</v>
      </c>
      <c r="G27" s="8"/>
      <c r="H27" s="42" t="s">
        <v>26</v>
      </c>
    </row>
    <row r="28" spans="1:8" x14ac:dyDescent="0.2">
      <c r="A28" s="20" t="s">
        <v>8</v>
      </c>
      <c r="B28" s="43"/>
      <c r="C28" s="44">
        <f>[1]Charters!C484</f>
        <v>309.22399999999999</v>
      </c>
      <c r="D28" s="45">
        <f>[1]Charters!E484</f>
        <v>984567.98</v>
      </c>
      <c r="E28" s="8"/>
      <c r="F28" s="42">
        <f>[1]Charters!E639</f>
        <v>1073025.51</v>
      </c>
      <c r="G28" s="8"/>
      <c r="H28" s="42">
        <f>[2]Charters!E178</f>
        <v>1332644.22</v>
      </c>
    </row>
    <row r="29" spans="1:8" x14ac:dyDescent="0.2">
      <c r="A29" s="20" t="s">
        <v>14</v>
      </c>
      <c r="B29" s="43"/>
      <c r="C29" s="44">
        <f>[1]Charters!F484</f>
        <v>27.782</v>
      </c>
      <c r="D29" s="45">
        <f>[1]Charters!H484</f>
        <v>88457.53</v>
      </c>
      <c r="E29" s="8"/>
      <c r="F29" s="42">
        <f>SUM(D28:D30)</f>
        <v>1073025.51</v>
      </c>
      <c r="G29" s="8"/>
      <c r="H29" s="42">
        <f>D41</f>
        <v>1332644.22</v>
      </c>
    </row>
    <row r="30" spans="1:8" x14ac:dyDescent="0.2">
      <c r="A30" s="20" t="s">
        <v>32</v>
      </c>
      <c r="B30" s="43"/>
      <c r="C30" s="44">
        <f>[1]Charters!C177</f>
        <v>0</v>
      </c>
      <c r="D30" s="45">
        <f>[1]Charters!E177</f>
        <v>0</v>
      </c>
      <c r="E30" s="8"/>
      <c r="F30" s="42">
        <f>+F28-F29</f>
        <v>0</v>
      </c>
      <c r="G30" s="8"/>
      <c r="H30" s="42">
        <f>+H28-H29</f>
        <v>0</v>
      </c>
    </row>
    <row r="31" spans="1:8" x14ac:dyDescent="0.2">
      <c r="A31" s="38" t="s">
        <v>9</v>
      </c>
      <c r="B31" s="39"/>
      <c r="C31" s="46"/>
      <c r="D31" s="47"/>
      <c r="E31" s="8"/>
      <c r="F31" s="8"/>
      <c r="G31" s="8"/>
      <c r="H31" s="8"/>
    </row>
    <row r="32" spans="1:8" x14ac:dyDescent="0.2">
      <c r="A32" s="20" t="s">
        <v>10</v>
      </c>
      <c r="B32" s="43"/>
      <c r="C32" s="40">
        <f>[3]Charters!C23</f>
        <v>45.725000000000001</v>
      </c>
      <c r="D32" s="41">
        <f>[3]Charters!E23</f>
        <v>145587.82999999999</v>
      </c>
      <c r="E32" s="8"/>
      <c r="F32" s="42" t="s">
        <v>24</v>
      </c>
      <c r="G32" s="8"/>
      <c r="H32" s="8"/>
    </row>
    <row r="33" spans="1:8" x14ac:dyDescent="0.2">
      <c r="A33" s="48" t="s">
        <v>11</v>
      </c>
      <c r="B33" s="43"/>
      <c r="C33" s="40">
        <f>[3]Charters!F23</f>
        <v>1.47</v>
      </c>
      <c r="D33" s="49">
        <f>[3]Charters!H23</f>
        <v>4680.4799999999996</v>
      </c>
      <c r="E33" s="8"/>
      <c r="F33" s="42">
        <f>[3]Charters!N334</f>
        <v>156652.48000000001</v>
      </c>
      <c r="G33" s="8"/>
      <c r="H33" s="8"/>
    </row>
    <row r="34" spans="1:8" x14ac:dyDescent="0.2">
      <c r="A34" s="48" t="s">
        <v>12</v>
      </c>
      <c r="B34" s="43"/>
      <c r="C34" s="40">
        <f>[3]Charters!C178</f>
        <v>0</v>
      </c>
      <c r="D34" s="41">
        <f>[3]Charters!E178</f>
        <v>0</v>
      </c>
      <c r="E34" s="8"/>
      <c r="F34" s="42">
        <f>SUM(D32:D38)</f>
        <v>156652.48000000001</v>
      </c>
      <c r="G34" s="8"/>
      <c r="H34" s="8"/>
    </row>
    <row r="35" spans="1:8" x14ac:dyDescent="0.2">
      <c r="A35" s="20" t="s">
        <v>13</v>
      </c>
      <c r="B35" s="43"/>
      <c r="C35" s="40">
        <f>[3]Charters!F178</f>
        <v>0.70899999999999996</v>
      </c>
      <c r="D35" s="41">
        <f>[3]Charters!H178</f>
        <v>2259</v>
      </c>
      <c r="E35" s="8"/>
      <c r="F35" s="42">
        <f>+F33-F34</f>
        <v>0</v>
      </c>
      <c r="G35" s="8"/>
      <c r="H35" s="8"/>
    </row>
    <row r="36" spans="1:8" x14ac:dyDescent="0.2">
      <c r="A36" s="48" t="s">
        <v>54</v>
      </c>
      <c r="B36" s="43"/>
      <c r="C36" s="40">
        <f>[3]Charters!C334</f>
        <v>1.296</v>
      </c>
      <c r="D36" s="41">
        <f>[3]Charters!E334</f>
        <v>4125.17</v>
      </c>
      <c r="E36" s="8"/>
      <c r="F36" s="8"/>
      <c r="G36" s="8"/>
      <c r="H36" s="8"/>
    </row>
    <row r="37" spans="1:8" x14ac:dyDescent="0.2">
      <c r="A37" s="48" t="s">
        <v>55</v>
      </c>
      <c r="B37" s="43"/>
      <c r="C37" s="40">
        <f>[3]Charters!F334</f>
        <v>0</v>
      </c>
      <c r="D37" s="41">
        <f>[3]Charters!H334</f>
        <v>0</v>
      </c>
      <c r="E37" s="8"/>
      <c r="F37" s="42" t="s">
        <v>25</v>
      </c>
      <c r="G37" s="8"/>
      <c r="H37" s="8"/>
    </row>
    <row r="38" spans="1:8" x14ac:dyDescent="0.2">
      <c r="A38" s="48" t="s">
        <v>56</v>
      </c>
      <c r="B38" s="43"/>
      <c r="C38" s="40">
        <f>[3]Charters!I334</f>
        <v>0</v>
      </c>
      <c r="D38" s="41">
        <f>[3]Charters!K334</f>
        <v>0</v>
      </c>
      <c r="E38" s="8"/>
      <c r="F38" s="42">
        <f>[2]Charters!H24</f>
        <v>259618.71</v>
      </c>
      <c r="G38" s="8"/>
      <c r="H38" s="8"/>
    </row>
    <row r="39" spans="1:8" x14ac:dyDescent="0.2">
      <c r="A39" s="20" t="s">
        <v>49</v>
      </c>
      <c r="B39" s="43"/>
      <c r="C39" s="40">
        <f>[3]Charters!C491</f>
        <v>0</v>
      </c>
      <c r="D39" s="41">
        <f>[3]Charters!E491</f>
        <v>0</v>
      </c>
      <c r="E39" s="8"/>
      <c r="F39" s="42">
        <f>SUM(D32:D40)</f>
        <v>259618.71</v>
      </c>
      <c r="G39" s="8"/>
      <c r="H39" s="8"/>
    </row>
    <row r="40" spans="1:8" x14ac:dyDescent="0.2">
      <c r="A40" s="20" t="s">
        <v>50</v>
      </c>
      <c r="B40" s="43"/>
      <c r="C40" s="40">
        <f>[2]Charters!C24</f>
        <v>32.338999999999999</v>
      </c>
      <c r="D40" s="41">
        <f>[2]Charters!E24</f>
        <v>102966.23</v>
      </c>
      <c r="E40" s="8"/>
      <c r="F40" s="42">
        <f>+F38-F39</f>
        <v>0</v>
      </c>
      <c r="G40" s="8"/>
      <c r="H40" s="8"/>
    </row>
    <row r="41" spans="1:8" x14ac:dyDescent="0.2">
      <c r="A41" s="50"/>
      <c r="B41" s="51" t="s">
        <v>16</v>
      </c>
      <c r="C41" s="52">
        <f>SUM(C28:C40)</f>
        <v>418.54500000000002</v>
      </c>
      <c r="D41" s="53">
        <f>SUM(D28:D40)</f>
        <v>1332644.22</v>
      </c>
      <c r="E41" s="8"/>
      <c r="F41" s="8"/>
      <c r="G41" s="8"/>
      <c r="H41" s="8"/>
    </row>
    <row r="42" spans="1:8" x14ac:dyDescent="0.2">
      <c r="A42" s="54" t="s">
        <v>17</v>
      </c>
      <c r="B42" s="39"/>
      <c r="C42" s="55"/>
      <c r="D42" s="47"/>
      <c r="E42" s="8"/>
      <c r="F42" s="8"/>
      <c r="G42" s="8"/>
      <c r="H42" s="42" t="s">
        <v>29</v>
      </c>
    </row>
    <row r="43" spans="1:8" x14ac:dyDescent="0.2">
      <c r="A43" s="20" t="s">
        <v>33</v>
      </c>
      <c r="B43" s="43"/>
      <c r="C43" s="56"/>
      <c r="D43" s="57">
        <f>[4]Charters!C23</f>
        <v>3862.63</v>
      </c>
      <c r="E43" s="8"/>
      <c r="F43" s="8"/>
      <c r="G43" s="8"/>
      <c r="H43" s="42">
        <f>[4]Charters!F964</f>
        <v>2243283.29</v>
      </c>
    </row>
    <row r="44" spans="1:8" x14ac:dyDescent="0.2">
      <c r="A44" s="58" t="s">
        <v>35</v>
      </c>
      <c r="B44" s="43"/>
      <c r="C44" s="56"/>
      <c r="D44" s="41">
        <f>+[4]Charters!F344</f>
        <v>0</v>
      </c>
      <c r="E44" s="8"/>
      <c r="F44" s="8"/>
      <c r="G44" s="8"/>
      <c r="H44" s="42">
        <f>SUM(D41:D60)</f>
        <v>2243283.29</v>
      </c>
    </row>
    <row r="45" spans="1:8" x14ac:dyDescent="0.2">
      <c r="A45" s="59" t="s">
        <v>36</v>
      </c>
      <c r="B45" s="43"/>
      <c r="C45" s="56"/>
      <c r="D45" s="41">
        <f>[4]Charters!E183</f>
        <v>13098</v>
      </c>
      <c r="E45" s="8"/>
      <c r="F45" s="8"/>
      <c r="G45" s="8"/>
      <c r="H45" s="42">
        <f>+H43-H44</f>
        <v>0</v>
      </c>
    </row>
    <row r="46" spans="1:8" x14ac:dyDescent="0.2">
      <c r="A46" s="59" t="s">
        <v>52</v>
      </c>
      <c r="B46" s="43"/>
      <c r="C46" s="56"/>
      <c r="D46" s="41">
        <f>[4]Charters!G344</f>
        <v>0</v>
      </c>
      <c r="E46" s="8"/>
      <c r="F46" s="42" t="s">
        <v>27</v>
      </c>
      <c r="G46" s="8"/>
      <c r="H46" s="42"/>
    </row>
    <row r="47" spans="1:8" x14ac:dyDescent="0.2">
      <c r="A47" s="20" t="s">
        <v>37</v>
      </c>
      <c r="B47" s="43"/>
      <c r="C47" s="56"/>
      <c r="D47" s="41">
        <f>[4]Charters!E500</f>
        <v>26096</v>
      </c>
      <c r="E47" s="8"/>
      <c r="F47" s="42">
        <f>[4]Charters!E183</f>
        <v>13098</v>
      </c>
      <c r="G47" s="8"/>
      <c r="H47" s="8"/>
    </row>
    <row r="48" spans="1:8" x14ac:dyDescent="0.2">
      <c r="A48" s="20" t="s">
        <v>38</v>
      </c>
      <c r="B48" s="43"/>
      <c r="C48" s="56"/>
      <c r="D48" s="41">
        <f>[4]Charters!F500</f>
        <v>0</v>
      </c>
      <c r="E48" s="8"/>
      <c r="F48" s="42">
        <f>SUM(D45:D45)</f>
        <v>13098</v>
      </c>
      <c r="G48" s="8"/>
      <c r="H48" s="8"/>
    </row>
    <row r="49" spans="1:8" x14ac:dyDescent="0.2">
      <c r="A49" s="59" t="s">
        <v>40</v>
      </c>
      <c r="B49" s="43"/>
      <c r="C49" s="56"/>
      <c r="D49" s="41">
        <f>[4]Charters!G500</f>
        <v>0</v>
      </c>
      <c r="E49" s="8"/>
      <c r="F49" s="42">
        <f>+F47-F48</f>
        <v>0</v>
      </c>
      <c r="G49" s="8"/>
      <c r="H49" s="8"/>
    </row>
    <row r="50" spans="1:8" x14ac:dyDescent="0.2">
      <c r="A50" s="20" t="s">
        <v>41</v>
      </c>
      <c r="B50" s="43"/>
      <c r="C50" s="56"/>
      <c r="D50" s="41">
        <f>[4]Charters!C655</f>
        <v>728364</v>
      </c>
      <c r="E50" s="8"/>
      <c r="F50" s="42" t="s">
        <v>28</v>
      </c>
      <c r="G50" s="8"/>
      <c r="H50" s="8"/>
    </row>
    <row r="51" spans="1:8" x14ac:dyDescent="0.2">
      <c r="A51" s="20" t="s">
        <v>42</v>
      </c>
      <c r="B51" s="43"/>
      <c r="C51" s="56"/>
      <c r="D51" s="41">
        <f>[4]Charters!D655</f>
        <v>93057.919999999998</v>
      </c>
      <c r="E51" s="8"/>
      <c r="F51" s="42">
        <f>[4]Charters!D500</f>
        <v>13098</v>
      </c>
      <c r="G51" s="8"/>
      <c r="H51" s="8"/>
    </row>
    <row r="52" spans="1:8" x14ac:dyDescent="0.2">
      <c r="A52" s="20" t="s">
        <v>44</v>
      </c>
      <c r="B52" s="43"/>
      <c r="C52" s="56"/>
      <c r="D52" s="41">
        <f>[4]Charters!E655</f>
        <v>36400</v>
      </c>
      <c r="E52" s="8"/>
      <c r="F52" s="42">
        <f>SUM(D44:D46)</f>
        <v>13098</v>
      </c>
      <c r="G52" s="8"/>
      <c r="H52" s="8"/>
    </row>
    <row r="53" spans="1:8" x14ac:dyDescent="0.2">
      <c r="A53" s="59" t="s">
        <v>43</v>
      </c>
      <c r="B53" s="43"/>
      <c r="C53" s="56"/>
      <c r="D53" s="41">
        <f>[4]Charters!F655</f>
        <v>9176.07</v>
      </c>
      <c r="E53" s="8"/>
      <c r="F53" s="42">
        <f>+F51-F52</f>
        <v>0</v>
      </c>
      <c r="G53" s="8"/>
      <c r="H53" s="8"/>
    </row>
    <row r="54" spans="1:8" x14ac:dyDescent="0.2">
      <c r="A54" s="59" t="s">
        <v>45</v>
      </c>
      <c r="B54" s="43"/>
      <c r="C54" s="56"/>
      <c r="D54" s="41">
        <f>[4]Charters!C500</f>
        <v>0</v>
      </c>
      <c r="E54" s="8"/>
      <c r="F54" s="8"/>
      <c r="G54" s="8"/>
      <c r="H54" s="8"/>
    </row>
    <row r="55" spans="1:8" x14ac:dyDescent="0.2">
      <c r="A55" s="59" t="s">
        <v>46</v>
      </c>
      <c r="B55" s="43"/>
      <c r="C55" s="56"/>
      <c r="D55" s="41">
        <f>[4]Charters!C811</f>
        <v>0</v>
      </c>
      <c r="E55" s="8"/>
      <c r="F55" s="8"/>
      <c r="G55" s="8"/>
      <c r="H55" s="42" t="s">
        <v>31</v>
      </c>
    </row>
    <row r="56" spans="1:8" x14ac:dyDescent="0.2">
      <c r="A56" s="59" t="s">
        <v>51</v>
      </c>
      <c r="B56" s="43"/>
      <c r="C56" s="56"/>
      <c r="D56" s="60">
        <f>[4]Charters!D811</f>
        <v>584.45000000000005</v>
      </c>
      <c r="E56" s="8"/>
      <c r="F56" s="8"/>
      <c r="G56" s="8"/>
      <c r="H56" s="42">
        <f>[4]Charters!D1270</f>
        <v>2246645.5099999998</v>
      </c>
    </row>
    <row r="57" spans="1:8" x14ac:dyDescent="0.2">
      <c r="A57" s="20" t="s">
        <v>47</v>
      </c>
      <c r="B57" s="43"/>
      <c r="C57" s="56"/>
      <c r="D57" s="60">
        <f>[4]Charters!E811</f>
        <v>0</v>
      </c>
      <c r="E57" s="8"/>
      <c r="F57" s="8"/>
      <c r="G57" s="8"/>
      <c r="H57" s="42">
        <f>D66</f>
        <v>2246645.5099999998</v>
      </c>
    </row>
    <row r="58" spans="1:8" x14ac:dyDescent="0.2">
      <c r="A58" s="20" t="s">
        <v>57</v>
      </c>
      <c r="B58" s="43"/>
      <c r="C58" s="56"/>
      <c r="D58" s="60">
        <f>[4]Charters!C964</f>
        <v>0</v>
      </c>
      <c r="E58" s="8"/>
      <c r="F58" s="8"/>
      <c r="G58" s="8"/>
      <c r="H58" s="42">
        <f>+H56-H57</f>
        <v>0</v>
      </c>
    </row>
    <row r="59" spans="1:8" x14ac:dyDescent="0.2">
      <c r="A59" s="59" t="s">
        <v>53</v>
      </c>
      <c r="B59" s="43"/>
      <c r="C59" s="56"/>
      <c r="D59" s="60">
        <f>[4]Charters!D964</f>
        <v>0</v>
      </c>
      <c r="E59" s="8"/>
      <c r="F59" s="42" t="s">
        <v>30</v>
      </c>
      <c r="G59" s="8"/>
      <c r="H59" s="8"/>
    </row>
    <row r="60" spans="1:8" x14ac:dyDescent="0.2">
      <c r="A60" s="59" t="s">
        <v>59</v>
      </c>
      <c r="B60" s="43"/>
      <c r="C60" s="56"/>
      <c r="D60" s="60">
        <f>[4]Charters!E964</f>
        <v>0</v>
      </c>
      <c r="E60" s="42"/>
      <c r="F60" s="42"/>
      <c r="G60" s="42"/>
      <c r="H60" s="42"/>
    </row>
    <row r="61" spans="1:8" x14ac:dyDescent="0.2">
      <c r="A61" s="38" t="s">
        <v>18</v>
      </c>
      <c r="B61" s="61"/>
      <c r="C61" s="62"/>
      <c r="D61" s="87"/>
      <c r="E61" s="42"/>
      <c r="F61" s="42">
        <f>[4]Charters!C1270</f>
        <v>3362.22</v>
      </c>
      <c r="G61" s="42"/>
      <c r="H61" s="42"/>
    </row>
    <row r="62" spans="1:8" x14ac:dyDescent="0.2">
      <c r="A62" s="59" t="s">
        <v>39</v>
      </c>
      <c r="B62" s="43"/>
      <c r="C62" s="56"/>
      <c r="D62" s="41">
        <f>[4]Charters!C1117</f>
        <v>3362.22</v>
      </c>
      <c r="E62" s="42"/>
      <c r="F62" s="42">
        <f>SUM(D62:D65)</f>
        <v>3362.22</v>
      </c>
      <c r="G62" s="42"/>
      <c r="H62" s="42"/>
    </row>
    <row r="63" spans="1:8" x14ac:dyDescent="0.2">
      <c r="A63" s="59" t="s">
        <v>48</v>
      </c>
      <c r="B63" s="43"/>
      <c r="C63" s="56"/>
      <c r="D63" s="41">
        <f>[4]Charters!D1117</f>
        <v>0</v>
      </c>
      <c r="E63" s="42"/>
      <c r="F63" s="42">
        <f>+F61-F62</f>
        <v>0</v>
      </c>
      <c r="G63" s="42"/>
      <c r="H63" s="42"/>
    </row>
    <row r="64" spans="1:8" x14ac:dyDescent="0.2">
      <c r="A64" s="59" t="s">
        <v>60</v>
      </c>
      <c r="B64" s="43"/>
      <c r="C64" s="56"/>
      <c r="D64" s="41">
        <f>[4]Charters!E1117</f>
        <v>0</v>
      </c>
      <c r="E64" s="42"/>
      <c r="F64" s="42"/>
      <c r="G64" s="42"/>
      <c r="H64" s="42"/>
    </row>
    <row r="65" spans="1:8" x14ac:dyDescent="0.2">
      <c r="A65" s="59" t="s">
        <v>61</v>
      </c>
      <c r="B65" s="43"/>
      <c r="C65" s="56"/>
      <c r="D65" s="41">
        <f>[4]Charters!F1117</f>
        <v>0</v>
      </c>
      <c r="E65" s="42"/>
      <c r="F65" s="42"/>
      <c r="G65" s="42"/>
      <c r="H65" s="42"/>
    </row>
    <row r="66" spans="1:8" ht="13.5" thickBot="1" x14ac:dyDescent="0.25">
      <c r="A66" s="64"/>
      <c r="B66" s="65"/>
      <c r="C66" s="66"/>
      <c r="D66" s="67">
        <f>SUM(D41:D65)</f>
        <v>2246645.5099999998</v>
      </c>
      <c r="E66" s="42"/>
      <c r="F66" s="42"/>
      <c r="G66" s="42"/>
      <c r="H66" s="42"/>
    </row>
    <row r="67" spans="1:8" ht="13.5" thickTop="1" x14ac:dyDescent="0.2">
      <c r="A67" s="68"/>
      <c r="B67" s="43"/>
      <c r="C67" s="56"/>
      <c r="D67" s="86"/>
      <c r="E67" s="42"/>
      <c r="F67" s="42"/>
      <c r="G67" s="42"/>
      <c r="H67" s="42"/>
    </row>
    <row r="68" spans="1:8" x14ac:dyDescent="0.2">
      <c r="A68" s="38" t="s">
        <v>20</v>
      </c>
      <c r="B68" s="39"/>
      <c r="C68" s="70"/>
      <c r="D68" s="71" t="s">
        <v>21</v>
      </c>
      <c r="E68" s="42"/>
      <c r="F68" s="42"/>
      <c r="G68" s="42"/>
      <c r="H68" s="42"/>
    </row>
    <row r="69" spans="1:8" x14ac:dyDescent="0.2">
      <c r="A69" s="72" t="s">
        <v>22</v>
      </c>
      <c r="B69" s="73"/>
      <c r="C69" s="74"/>
      <c r="D69" s="41">
        <f>[5]Charters!C23</f>
        <v>873.98</v>
      </c>
      <c r="E69" s="42"/>
      <c r="F69" s="42"/>
      <c r="G69" s="42"/>
      <c r="H69" s="42"/>
    </row>
    <row r="70" spans="1:8" x14ac:dyDescent="0.2">
      <c r="A70" s="75"/>
      <c r="B70" s="61"/>
      <c r="C70" s="76"/>
      <c r="D70" s="77">
        <f>SUM(D69:D69)</f>
        <v>873.98</v>
      </c>
      <c r="E70" s="42"/>
      <c r="F70" s="42"/>
      <c r="G70" s="42"/>
      <c r="H70" s="42"/>
    </row>
    <row r="71" spans="1:8" x14ac:dyDescent="0.2">
      <c r="A71" s="78" t="s">
        <v>58</v>
      </c>
      <c r="B71" s="79"/>
      <c r="C71" s="80"/>
      <c r="D71" s="77">
        <f>D70+D66</f>
        <v>2247519.4900000002</v>
      </c>
      <c r="E71" s="42"/>
      <c r="F71" s="42"/>
      <c r="G71" s="42"/>
      <c r="H71" s="42"/>
    </row>
    <row r="72" spans="1:8" x14ac:dyDescent="0.2">
      <c r="A72" s="84"/>
      <c r="B72" s="84"/>
      <c r="C72" s="85"/>
      <c r="D72" s="81"/>
      <c r="E72" s="42"/>
      <c r="F72" s="42"/>
      <c r="G72" s="42"/>
      <c r="H72" s="42"/>
    </row>
    <row r="73" spans="1:8" x14ac:dyDescent="0.2">
      <c r="A73" s="84"/>
      <c r="B73" s="84"/>
      <c r="C73" s="85"/>
      <c r="D73" s="81">
        <f>[5]Charters!E179</f>
        <v>2247519.4900000002</v>
      </c>
      <c r="E73" s="42"/>
      <c r="F73" s="42"/>
      <c r="G73" s="42"/>
      <c r="H73" s="42"/>
    </row>
    <row r="74" spans="1:8" x14ac:dyDescent="0.2">
      <c r="A74" s="84"/>
      <c r="B74" s="84"/>
      <c r="C74" s="85"/>
      <c r="D74" s="81">
        <f>D71</f>
        <v>2247519.4900000002</v>
      </c>
      <c r="E74" s="42"/>
      <c r="F74" s="42"/>
      <c r="G74" s="42"/>
      <c r="H74" s="42"/>
    </row>
    <row r="75" spans="1:8" x14ac:dyDescent="0.2">
      <c r="C75" s="83"/>
      <c r="D75" s="42">
        <f>D73-D74</f>
        <v>0</v>
      </c>
      <c r="E75" s="42"/>
      <c r="F75" s="42"/>
      <c r="G75" s="42"/>
      <c r="H75" s="42"/>
    </row>
  </sheetData>
  <mergeCells count="4">
    <mergeCell ref="A19:D19"/>
    <mergeCell ref="A17:D17"/>
    <mergeCell ref="A18:D18"/>
    <mergeCell ref="A71:C71"/>
  </mergeCells>
  <phoneticPr fontId="0" type="noConversion"/>
  <printOptions horizontalCentered="1" verticalCentered="1"/>
  <pageMargins left="0.5" right="0.5" top="0.5" bottom="0.5" header="0.25" footer="0.25"/>
  <pageSetup orientation="portrait" r:id="rId1"/>
  <headerFooter alignWithMargins="0">
    <oddHeader>&amp;R&amp;8Current as of: &amp;D</oddHeader>
    <oddFooter>&amp;L&amp;8USOE, School Finance</oddFooter>
  </headerFooter>
  <picture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>
    <pageSetUpPr fitToPage="1"/>
  </sheetPr>
  <dimension ref="A1:H76"/>
  <sheetViews>
    <sheetView showGridLines="0" topLeftCell="A10" workbookViewId="0">
      <selection activeCell="C12" sqref="C12"/>
    </sheetView>
  </sheetViews>
  <sheetFormatPr defaultColWidth="9.140625" defaultRowHeight="12.75" x14ac:dyDescent="0.2"/>
  <cols>
    <col min="1" max="1" width="31.85546875" style="82" customWidth="1"/>
    <col min="2" max="2" width="16.28515625" style="82" customWidth="1"/>
    <col min="3" max="4" width="14.85546875" style="82" customWidth="1"/>
    <col min="5" max="5" width="7" style="82" customWidth="1"/>
    <col min="6" max="6" width="19.7109375" style="82" customWidth="1"/>
    <col min="7" max="7" width="5.7109375" style="82" customWidth="1"/>
    <col min="8" max="8" width="18" style="82" customWidth="1"/>
    <col min="9" max="16384" width="9.140625" style="82"/>
  </cols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"/>
      <c r="B3" s="1"/>
      <c r="C3" s="1"/>
      <c r="D3" s="1"/>
      <c r="E3" s="1"/>
      <c r="F3" s="1"/>
      <c r="G3" s="1"/>
      <c r="H3" s="1"/>
    </row>
    <row r="4" spans="1:8" x14ac:dyDescent="0.2">
      <c r="A4" s="1"/>
      <c r="B4" s="1"/>
      <c r="C4" s="1"/>
      <c r="D4" s="1"/>
      <c r="E4" s="1"/>
      <c r="F4" s="1"/>
      <c r="G4" s="1"/>
      <c r="H4" s="1"/>
    </row>
    <row r="5" spans="1:8" x14ac:dyDescent="0.2">
      <c r="A5" s="1"/>
      <c r="B5" s="1"/>
      <c r="C5" s="1"/>
      <c r="D5" s="1"/>
      <c r="E5" s="1"/>
      <c r="F5" s="1"/>
      <c r="G5" s="1"/>
      <c r="H5" s="1"/>
    </row>
    <row r="6" spans="1:8" x14ac:dyDescent="0.2">
      <c r="A6" s="1"/>
      <c r="B6" s="1"/>
      <c r="C6" s="1"/>
      <c r="D6" s="1"/>
      <c r="E6" s="1"/>
      <c r="F6" s="1"/>
      <c r="G6" s="1"/>
      <c r="H6" s="1"/>
    </row>
    <row r="7" spans="1:8" x14ac:dyDescent="0.2">
      <c r="A7" s="1"/>
      <c r="B7" s="1"/>
      <c r="C7" s="1"/>
      <c r="D7" s="1"/>
      <c r="E7" s="1"/>
      <c r="F7" s="1"/>
      <c r="G7" s="1"/>
      <c r="H7" s="1"/>
    </row>
    <row r="8" spans="1:8" x14ac:dyDescent="0.2">
      <c r="A8" s="1"/>
      <c r="B8" s="1"/>
      <c r="C8" s="1"/>
      <c r="D8" s="1"/>
      <c r="E8" s="1"/>
      <c r="F8" s="1"/>
      <c r="G8" s="1"/>
      <c r="H8" s="1"/>
    </row>
    <row r="9" spans="1:8" x14ac:dyDescent="0.2">
      <c r="A9" s="1"/>
      <c r="B9" s="1"/>
      <c r="C9" s="1"/>
      <c r="D9" s="1"/>
      <c r="E9" s="1"/>
      <c r="F9" s="1"/>
      <c r="G9" s="1"/>
      <c r="H9" s="1"/>
    </row>
    <row r="10" spans="1:8" x14ac:dyDescent="0.2">
      <c r="A10" s="1"/>
      <c r="B10" s="1"/>
      <c r="C10" s="1"/>
      <c r="D10" s="1"/>
      <c r="E10" s="1"/>
      <c r="F10" s="1"/>
      <c r="G10" s="1"/>
      <c r="H10" s="1"/>
    </row>
    <row r="11" spans="1:8" x14ac:dyDescent="0.2">
      <c r="A11" s="1"/>
      <c r="B11" s="1"/>
      <c r="C11" s="1"/>
      <c r="D11" s="1"/>
      <c r="E11" s="1"/>
      <c r="F11" s="1"/>
      <c r="G11" s="1"/>
      <c r="H11" s="1"/>
    </row>
    <row r="12" spans="1:8" x14ac:dyDescent="0.2">
      <c r="A12" s="1"/>
      <c r="B12" s="1"/>
      <c r="C12" s="1"/>
      <c r="D12" s="1"/>
      <c r="E12" s="1"/>
      <c r="F12" s="1"/>
      <c r="G12" s="1"/>
      <c r="H12" s="1"/>
    </row>
    <row r="13" spans="1:8" x14ac:dyDescent="0.2">
      <c r="A13" s="1"/>
      <c r="B13" s="1"/>
      <c r="C13" s="1"/>
      <c r="D13" s="1"/>
      <c r="E13" s="1"/>
      <c r="F13" s="1"/>
      <c r="G13" s="1"/>
      <c r="H13" s="1"/>
    </row>
    <row r="14" spans="1:8" x14ac:dyDescent="0.2">
      <c r="A14" s="1"/>
      <c r="B14" s="1"/>
      <c r="C14" s="1"/>
      <c r="D14" s="1"/>
      <c r="E14" s="1"/>
      <c r="F14" s="1"/>
      <c r="G14" s="1"/>
      <c r="H14" s="1"/>
    </row>
    <row r="15" spans="1:8" x14ac:dyDescent="0.2">
      <c r="A15" s="1"/>
      <c r="B15" s="1"/>
      <c r="C15" s="1"/>
      <c r="D15" s="1"/>
      <c r="E15" s="1"/>
      <c r="F15" s="1"/>
      <c r="G15" s="1"/>
      <c r="H15" s="1"/>
    </row>
    <row r="16" spans="1:8" x14ac:dyDescent="0.2">
      <c r="A16" s="1"/>
      <c r="B16" s="1"/>
      <c r="C16" s="1"/>
      <c r="D16" s="1"/>
      <c r="E16" s="1"/>
      <c r="F16" s="1"/>
      <c r="G16" s="1"/>
      <c r="H16" s="1"/>
    </row>
    <row r="17" spans="1:8" x14ac:dyDescent="0.2">
      <c r="A17" s="1"/>
      <c r="B17" s="1"/>
      <c r="C17" s="1"/>
      <c r="D17" s="1"/>
      <c r="E17" s="1"/>
      <c r="F17" s="1"/>
      <c r="G17" s="1"/>
      <c r="H17" s="1"/>
    </row>
    <row r="18" spans="1:8" x14ac:dyDescent="0.2">
      <c r="A18" s="11" t="s">
        <v>1</v>
      </c>
      <c r="B18" s="12"/>
      <c r="C18" s="12"/>
      <c r="D18" s="13"/>
      <c r="E18" s="8"/>
      <c r="F18" s="8"/>
      <c r="G18" s="8"/>
      <c r="H18" s="8"/>
    </row>
    <row r="19" spans="1:8" x14ac:dyDescent="0.2">
      <c r="A19" s="14" t="s">
        <v>15</v>
      </c>
      <c r="B19" s="15"/>
      <c r="C19" s="15"/>
      <c r="D19" s="16"/>
      <c r="E19" s="8"/>
      <c r="F19" s="8"/>
      <c r="G19" s="8"/>
      <c r="H19" s="8"/>
    </row>
    <row r="20" spans="1:8" x14ac:dyDescent="0.2">
      <c r="A20" s="17" t="s">
        <v>62</v>
      </c>
      <c r="B20" s="18"/>
      <c r="C20" s="18"/>
      <c r="D20" s="19"/>
      <c r="E20" s="8"/>
      <c r="F20" s="8"/>
      <c r="G20" s="8"/>
      <c r="H20" s="8"/>
    </row>
    <row r="21" spans="1:8" x14ac:dyDescent="0.2">
      <c r="A21" s="20"/>
      <c r="B21" s="21"/>
      <c r="C21" s="22"/>
      <c r="D21" s="23"/>
      <c r="E21" s="8"/>
      <c r="F21" s="8" t="s">
        <v>34</v>
      </c>
      <c r="G21" s="8"/>
      <c r="H21" s="8"/>
    </row>
    <row r="22" spans="1:8" ht="15.75" x14ac:dyDescent="0.25">
      <c r="A22" s="24" t="s">
        <v>2</v>
      </c>
      <c r="B22" s="25" t="str">
        <f>[1]Charters!B25</f>
        <v>DaVinci Acad of Science Arts</v>
      </c>
      <c r="C22" s="26"/>
      <c r="D22" s="27"/>
      <c r="E22" s="8"/>
      <c r="F22" s="8"/>
      <c r="G22" s="8"/>
      <c r="H22" s="8"/>
    </row>
    <row r="23" spans="1:8" x14ac:dyDescent="0.2">
      <c r="A23" s="24"/>
      <c r="B23" s="28"/>
      <c r="C23" s="26"/>
      <c r="D23" s="27"/>
      <c r="E23" s="8"/>
      <c r="F23" s="8"/>
      <c r="G23" s="8"/>
      <c r="H23" s="8"/>
    </row>
    <row r="24" spans="1:8" x14ac:dyDescent="0.2">
      <c r="A24" s="29" t="s">
        <v>0</v>
      </c>
      <c r="B24" s="30">
        <f>[1]Charters!$E$6</f>
        <v>3184</v>
      </c>
      <c r="C24" s="26"/>
      <c r="D24" s="31"/>
      <c r="E24" s="8"/>
      <c r="F24" s="8"/>
      <c r="G24" s="8"/>
      <c r="H24" s="8"/>
    </row>
    <row r="25" spans="1:8" x14ac:dyDescent="0.2">
      <c r="A25" s="32"/>
      <c r="B25" s="6"/>
      <c r="C25" s="33"/>
      <c r="D25" s="34" t="s">
        <v>3</v>
      </c>
      <c r="E25" s="8"/>
      <c r="F25" s="8"/>
      <c r="G25" s="8"/>
      <c r="H25" s="8"/>
    </row>
    <row r="26" spans="1:8" x14ac:dyDescent="0.2">
      <c r="A26" s="29" t="s">
        <v>19</v>
      </c>
      <c r="B26" s="35" t="str">
        <f>[1]Charters!A25</f>
        <v>A3</v>
      </c>
      <c r="C26" s="36" t="s">
        <v>4</v>
      </c>
      <c r="D26" s="37" t="s">
        <v>5</v>
      </c>
      <c r="E26" s="8"/>
      <c r="F26" s="8"/>
      <c r="G26" s="8"/>
      <c r="H26" s="8"/>
    </row>
    <row r="27" spans="1:8" x14ac:dyDescent="0.2">
      <c r="A27" s="38" t="s">
        <v>6</v>
      </c>
      <c r="B27" s="39"/>
      <c r="C27" s="40"/>
      <c r="D27" s="41"/>
      <c r="E27" s="8"/>
      <c r="F27" s="8"/>
      <c r="G27" s="8"/>
      <c r="H27" s="8"/>
    </row>
    <row r="28" spans="1:8" x14ac:dyDescent="0.2">
      <c r="A28" s="38" t="s">
        <v>7</v>
      </c>
      <c r="B28" s="39"/>
      <c r="C28" s="40"/>
      <c r="D28" s="41"/>
      <c r="E28" s="8"/>
      <c r="F28" s="42" t="s">
        <v>23</v>
      </c>
      <c r="G28" s="8"/>
      <c r="H28" s="42" t="s">
        <v>26</v>
      </c>
    </row>
    <row r="29" spans="1:8" x14ac:dyDescent="0.2">
      <c r="A29" s="20" t="s">
        <v>8</v>
      </c>
      <c r="B29" s="43"/>
      <c r="C29" s="44">
        <f>[1]Charters!C485</f>
        <v>1088.4929999999999</v>
      </c>
      <c r="D29" s="45">
        <f>[1]Charters!E485</f>
        <v>3465763.16</v>
      </c>
      <c r="E29" s="8"/>
      <c r="F29" s="42">
        <f>[1]Charters!E640</f>
        <v>3617917.09</v>
      </c>
      <c r="G29" s="8"/>
      <c r="H29" s="42">
        <f>[2]Charters!E179</f>
        <v>4397433.4800000004</v>
      </c>
    </row>
    <row r="30" spans="1:8" x14ac:dyDescent="0.2">
      <c r="A30" s="20" t="s">
        <v>14</v>
      </c>
      <c r="B30" s="43"/>
      <c r="C30" s="44">
        <f>[1]Charters!F485</f>
        <v>47.786999999999999</v>
      </c>
      <c r="D30" s="45">
        <f>[1]Charters!H485</f>
        <v>152153.93</v>
      </c>
      <c r="E30" s="8"/>
      <c r="F30" s="42">
        <f>SUM(D29:D31)</f>
        <v>3617917.09</v>
      </c>
      <c r="G30" s="8"/>
      <c r="H30" s="42">
        <f>D42</f>
        <v>4397433.4800000004</v>
      </c>
    </row>
    <row r="31" spans="1:8" x14ac:dyDescent="0.2">
      <c r="A31" s="20" t="s">
        <v>32</v>
      </c>
      <c r="B31" s="43"/>
      <c r="C31" s="44">
        <f>[1]Charters!C178</f>
        <v>0</v>
      </c>
      <c r="D31" s="45">
        <f>[1]Charters!E178</f>
        <v>0</v>
      </c>
      <c r="E31" s="8"/>
      <c r="F31" s="42">
        <f>+F29-F30</f>
        <v>0</v>
      </c>
      <c r="G31" s="8"/>
      <c r="H31" s="42">
        <f>+H29-H30</f>
        <v>0</v>
      </c>
    </row>
    <row r="32" spans="1:8" x14ac:dyDescent="0.2">
      <c r="A32" s="38" t="s">
        <v>9</v>
      </c>
      <c r="B32" s="39"/>
      <c r="C32" s="46"/>
      <c r="D32" s="47"/>
      <c r="E32" s="8"/>
      <c r="F32" s="8"/>
      <c r="G32" s="8"/>
      <c r="H32" s="8"/>
    </row>
    <row r="33" spans="1:8" x14ac:dyDescent="0.2">
      <c r="A33" s="20" t="s">
        <v>10</v>
      </c>
      <c r="B33" s="43"/>
      <c r="C33" s="40">
        <f>[3]Charters!C24</f>
        <v>134.94800000000001</v>
      </c>
      <c r="D33" s="41">
        <f>[3]Charters!E24</f>
        <v>429674.43</v>
      </c>
      <c r="E33" s="8"/>
      <c r="F33" s="42" t="s">
        <v>24</v>
      </c>
      <c r="G33" s="8"/>
      <c r="H33" s="8"/>
    </row>
    <row r="34" spans="1:8" x14ac:dyDescent="0.2">
      <c r="A34" s="48" t="s">
        <v>11</v>
      </c>
      <c r="B34" s="43"/>
      <c r="C34" s="40">
        <f>[3]Charters!F24</f>
        <v>22.89</v>
      </c>
      <c r="D34" s="49">
        <f>[3]Charters!H24</f>
        <v>72881.759999999995</v>
      </c>
      <c r="E34" s="8"/>
      <c r="F34" s="42">
        <f>[3]Charters!N335</f>
        <v>515765.65</v>
      </c>
      <c r="G34" s="8"/>
      <c r="H34" s="8"/>
    </row>
    <row r="35" spans="1:8" x14ac:dyDescent="0.2">
      <c r="A35" s="48" t="s">
        <v>12</v>
      </c>
      <c r="B35" s="43"/>
      <c r="C35" s="40">
        <f>[3]Charters!C179</f>
        <v>0</v>
      </c>
      <c r="D35" s="41">
        <f>[3]Charters!E179</f>
        <v>0</v>
      </c>
      <c r="E35" s="8"/>
      <c r="F35" s="42">
        <f>SUM(D33:D39)</f>
        <v>515765.65</v>
      </c>
      <c r="G35" s="8"/>
      <c r="H35" s="8"/>
    </row>
    <row r="36" spans="1:8" x14ac:dyDescent="0.2">
      <c r="A36" s="20" t="s">
        <v>13</v>
      </c>
      <c r="B36" s="43"/>
      <c r="C36" s="40">
        <f>[3]Charters!F179</f>
        <v>0.70899999999999996</v>
      </c>
      <c r="D36" s="41">
        <f>[3]Charters!H179</f>
        <v>2259</v>
      </c>
      <c r="E36" s="8"/>
      <c r="F36" s="42">
        <f>+F34-F35</f>
        <v>0</v>
      </c>
      <c r="G36" s="8"/>
      <c r="H36" s="8"/>
    </row>
    <row r="37" spans="1:8" x14ac:dyDescent="0.2">
      <c r="A37" s="48" t="s">
        <v>54</v>
      </c>
      <c r="B37" s="43"/>
      <c r="C37" s="40">
        <f>[3]Charters!C335</f>
        <v>3.4390000000000001</v>
      </c>
      <c r="D37" s="41">
        <f>[3]Charters!E335</f>
        <v>10950.46</v>
      </c>
      <c r="E37" s="8"/>
      <c r="F37" s="8"/>
      <c r="G37" s="8"/>
      <c r="H37" s="8"/>
    </row>
    <row r="38" spans="1:8" x14ac:dyDescent="0.2">
      <c r="A38" s="48" t="s">
        <v>55</v>
      </c>
      <c r="B38" s="43"/>
      <c r="C38" s="40">
        <f>[3]Charters!F335</f>
        <v>0</v>
      </c>
      <c r="D38" s="41">
        <f>[3]Charters!H335</f>
        <v>0</v>
      </c>
      <c r="E38" s="8"/>
      <c r="F38" s="42" t="s">
        <v>25</v>
      </c>
      <c r="G38" s="8"/>
      <c r="H38" s="8"/>
    </row>
    <row r="39" spans="1:8" x14ac:dyDescent="0.2">
      <c r="A39" s="48" t="s">
        <v>56</v>
      </c>
      <c r="B39" s="43"/>
      <c r="C39" s="40">
        <f>[3]Charters!I335</f>
        <v>0</v>
      </c>
      <c r="D39" s="41">
        <f>[3]Charters!K335</f>
        <v>0</v>
      </c>
      <c r="E39" s="8"/>
      <c r="F39" s="42">
        <f>[2]Charters!H25</f>
        <v>779516.39</v>
      </c>
      <c r="G39" s="8"/>
      <c r="H39" s="8"/>
    </row>
    <row r="40" spans="1:8" x14ac:dyDescent="0.2">
      <c r="A40" s="20" t="s">
        <v>49</v>
      </c>
      <c r="B40" s="43"/>
      <c r="C40" s="40">
        <f>[3]Charters!C492</f>
        <v>8.7360000000000007</v>
      </c>
      <c r="D40" s="41">
        <f>[3]Charters!E492</f>
        <v>27816.61</v>
      </c>
      <c r="E40" s="8"/>
      <c r="F40" s="42">
        <f>SUM(D33:D41)</f>
        <v>779516.39</v>
      </c>
      <c r="G40" s="8"/>
      <c r="H40" s="8"/>
    </row>
    <row r="41" spans="1:8" x14ac:dyDescent="0.2">
      <c r="A41" s="20" t="s">
        <v>50</v>
      </c>
      <c r="B41" s="43"/>
      <c r="C41" s="40">
        <f>[2]Charters!C25</f>
        <v>74.099999999999994</v>
      </c>
      <c r="D41" s="41">
        <f>[2]Charters!E25</f>
        <v>235934.13</v>
      </c>
      <c r="E41" s="8"/>
      <c r="F41" s="42">
        <f>+F39-F40</f>
        <v>0</v>
      </c>
      <c r="G41" s="8"/>
      <c r="H41" s="8"/>
    </row>
    <row r="42" spans="1:8" x14ac:dyDescent="0.2">
      <c r="A42" s="50"/>
      <c r="B42" s="51" t="s">
        <v>16</v>
      </c>
      <c r="C42" s="52">
        <f>SUM(C29:C41)</f>
        <v>1381.1020000000001</v>
      </c>
      <c r="D42" s="53">
        <f>SUM(D29:D41)</f>
        <v>4397433.4800000004</v>
      </c>
      <c r="E42" s="8"/>
      <c r="F42" s="8"/>
      <c r="G42" s="8"/>
      <c r="H42" s="8"/>
    </row>
    <row r="43" spans="1:8" x14ac:dyDescent="0.2">
      <c r="A43" s="54" t="s">
        <v>17</v>
      </c>
      <c r="B43" s="39"/>
      <c r="C43" s="55"/>
      <c r="D43" s="47"/>
      <c r="E43" s="8"/>
      <c r="F43" s="8"/>
      <c r="G43" s="8"/>
      <c r="H43" s="42" t="s">
        <v>29</v>
      </c>
    </row>
    <row r="44" spans="1:8" x14ac:dyDescent="0.2">
      <c r="A44" s="20" t="s">
        <v>33</v>
      </c>
      <c r="B44" s="43"/>
      <c r="C44" s="56"/>
      <c r="D44" s="57">
        <f>[4]Charters!C24</f>
        <v>12745.82</v>
      </c>
      <c r="E44" s="8"/>
      <c r="F44" s="8"/>
      <c r="G44" s="8"/>
      <c r="H44" s="42">
        <f>[4]Charters!F965</f>
        <v>7480416.8300000001</v>
      </c>
    </row>
    <row r="45" spans="1:8" x14ac:dyDescent="0.2">
      <c r="A45" s="58" t="s">
        <v>35</v>
      </c>
      <c r="B45" s="43"/>
      <c r="C45" s="56"/>
      <c r="D45" s="41">
        <f>+[4]Charters!F345</f>
        <v>10005.620000000001</v>
      </c>
      <c r="E45" s="8"/>
      <c r="F45" s="8"/>
      <c r="G45" s="8"/>
      <c r="H45" s="42">
        <f>SUM(D42:D61)</f>
        <v>7480416.8300000001</v>
      </c>
    </row>
    <row r="46" spans="1:8" x14ac:dyDescent="0.2">
      <c r="A46" s="59" t="s">
        <v>36</v>
      </c>
      <c r="B46" s="43"/>
      <c r="C46" s="56"/>
      <c r="D46" s="41">
        <f>[4]Charters!E184</f>
        <v>44752</v>
      </c>
      <c r="E46" s="8"/>
      <c r="F46" s="8"/>
      <c r="G46" s="8"/>
      <c r="H46" s="42">
        <f>+H44-H45</f>
        <v>0</v>
      </c>
    </row>
    <row r="47" spans="1:8" x14ac:dyDescent="0.2">
      <c r="A47" s="59" t="s">
        <v>52</v>
      </c>
      <c r="B47" s="43"/>
      <c r="C47" s="56"/>
      <c r="D47" s="41">
        <f>[4]Charters!G345</f>
        <v>0</v>
      </c>
      <c r="E47" s="8"/>
      <c r="F47" s="42" t="s">
        <v>27</v>
      </c>
      <c r="G47" s="8"/>
      <c r="H47" s="42"/>
    </row>
    <row r="48" spans="1:8" x14ac:dyDescent="0.2">
      <c r="A48" s="20" t="s">
        <v>37</v>
      </c>
      <c r="B48" s="43"/>
      <c r="C48" s="56"/>
      <c r="D48" s="41">
        <f>[4]Charters!E501</f>
        <v>79073</v>
      </c>
      <c r="E48" s="8"/>
      <c r="F48" s="42">
        <f>[4]Charters!E184</f>
        <v>44752</v>
      </c>
      <c r="G48" s="8"/>
      <c r="H48" s="8"/>
    </row>
    <row r="49" spans="1:8" x14ac:dyDescent="0.2">
      <c r="A49" s="20" t="s">
        <v>38</v>
      </c>
      <c r="B49" s="43"/>
      <c r="C49" s="56"/>
      <c r="D49" s="41">
        <f>[4]Charters!F501</f>
        <v>0</v>
      </c>
      <c r="E49" s="8"/>
      <c r="F49" s="42">
        <f>SUM(D46:D46)</f>
        <v>44752</v>
      </c>
      <c r="G49" s="8"/>
      <c r="H49" s="8"/>
    </row>
    <row r="50" spans="1:8" x14ac:dyDescent="0.2">
      <c r="A50" s="59" t="s">
        <v>40</v>
      </c>
      <c r="B50" s="43"/>
      <c r="C50" s="56"/>
      <c r="D50" s="41">
        <f>[4]Charters!G501</f>
        <v>0</v>
      </c>
      <c r="E50" s="8"/>
      <c r="F50" s="42">
        <f>+F48-F49</f>
        <v>0</v>
      </c>
      <c r="G50" s="8"/>
      <c r="H50" s="8"/>
    </row>
    <row r="51" spans="1:8" x14ac:dyDescent="0.2">
      <c r="A51" s="20" t="s">
        <v>41</v>
      </c>
      <c r="B51" s="43"/>
      <c r="C51" s="56"/>
      <c r="D51" s="41">
        <f>[4]Charters!C656</f>
        <v>2337168</v>
      </c>
      <c r="E51" s="8"/>
      <c r="F51" s="42" t="s">
        <v>28</v>
      </c>
      <c r="G51" s="8"/>
      <c r="H51" s="8"/>
    </row>
    <row r="52" spans="1:8" x14ac:dyDescent="0.2">
      <c r="A52" s="20" t="s">
        <v>42</v>
      </c>
      <c r="B52" s="43"/>
      <c r="C52" s="56"/>
      <c r="D52" s="41">
        <f>[4]Charters!D656</f>
        <v>291843.05</v>
      </c>
      <c r="E52" s="8"/>
      <c r="F52" s="42">
        <f>[4]Charters!D501</f>
        <v>54757.62</v>
      </c>
      <c r="G52" s="8"/>
      <c r="H52" s="8"/>
    </row>
    <row r="53" spans="1:8" x14ac:dyDescent="0.2">
      <c r="A53" s="20" t="s">
        <v>44</v>
      </c>
      <c r="B53" s="43"/>
      <c r="C53" s="56"/>
      <c r="D53" s="41">
        <f>[4]Charters!E656</f>
        <v>116800</v>
      </c>
      <c r="E53" s="8"/>
      <c r="F53" s="42">
        <f>SUM(D45:D47)</f>
        <v>54757.62</v>
      </c>
      <c r="G53" s="8"/>
      <c r="H53" s="8"/>
    </row>
    <row r="54" spans="1:8" x14ac:dyDescent="0.2">
      <c r="A54" s="59" t="s">
        <v>43</v>
      </c>
      <c r="B54" s="43"/>
      <c r="C54" s="56"/>
      <c r="D54" s="41">
        <f>[4]Charters!F656</f>
        <v>42085.72</v>
      </c>
      <c r="E54" s="8"/>
      <c r="F54" s="42">
        <f>+F52-F53</f>
        <v>0</v>
      </c>
      <c r="G54" s="8"/>
      <c r="H54" s="8"/>
    </row>
    <row r="55" spans="1:8" x14ac:dyDescent="0.2">
      <c r="A55" s="59" t="s">
        <v>45</v>
      </c>
      <c r="B55" s="43"/>
      <c r="C55" s="56"/>
      <c r="D55" s="41">
        <f>[4]Charters!C501</f>
        <v>0</v>
      </c>
      <c r="E55" s="8"/>
      <c r="F55" s="8"/>
      <c r="G55" s="8"/>
      <c r="H55" s="8"/>
    </row>
    <row r="56" spans="1:8" x14ac:dyDescent="0.2">
      <c r="A56" s="59" t="s">
        <v>46</v>
      </c>
      <c r="B56" s="43"/>
      <c r="C56" s="56"/>
      <c r="D56" s="41">
        <f>[4]Charters!C812</f>
        <v>0</v>
      </c>
      <c r="E56" s="8"/>
      <c r="F56" s="8"/>
      <c r="G56" s="8"/>
      <c r="H56" s="42" t="s">
        <v>31</v>
      </c>
    </row>
    <row r="57" spans="1:8" x14ac:dyDescent="0.2">
      <c r="A57" s="59" t="s">
        <v>51</v>
      </c>
      <c r="B57" s="43"/>
      <c r="C57" s="56"/>
      <c r="D57" s="60">
        <f>[4]Charters!D812</f>
        <v>1323.58</v>
      </c>
      <c r="E57" s="8"/>
      <c r="F57" s="8"/>
      <c r="G57" s="8"/>
      <c r="H57" s="42">
        <f>[4]Charters!D1271</f>
        <v>7503582.7999999998</v>
      </c>
    </row>
    <row r="58" spans="1:8" x14ac:dyDescent="0.2">
      <c r="A58" s="20" t="s">
        <v>47</v>
      </c>
      <c r="B58" s="43"/>
      <c r="C58" s="56"/>
      <c r="D58" s="60">
        <f>[4]Charters!E812</f>
        <v>0</v>
      </c>
      <c r="E58" s="8"/>
      <c r="F58" s="8"/>
      <c r="G58" s="8"/>
      <c r="H58" s="42">
        <f>D67</f>
        <v>7503582.7999999998</v>
      </c>
    </row>
    <row r="59" spans="1:8" x14ac:dyDescent="0.2">
      <c r="A59" s="20" t="s">
        <v>57</v>
      </c>
      <c r="B59" s="43"/>
      <c r="C59" s="56"/>
      <c r="D59" s="60">
        <f>[4]Charters!C965</f>
        <v>13544.35</v>
      </c>
      <c r="E59" s="8"/>
      <c r="F59" s="8"/>
      <c r="G59" s="8"/>
      <c r="H59" s="42">
        <f>+H57-H58</f>
        <v>0</v>
      </c>
    </row>
    <row r="60" spans="1:8" x14ac:dyDescent="0.2">
      <c r="A60" s="59" t="s">
        <v>53</v>
      </c>
      <c r="B60" s="43"/>
      <c r="C60" s="56"/>
      <c r="D60" s="60">
        <f>[4]Charters!D965</f>
        <v>81466</v>
      </c>
      <c r="E60" s="42"/>
      <c r="F60" s="42" t="s">
        <v>30</v>
      </c>
      <c r="G60" s="42"/>
      <c r="H60" s="42"/>
    </row>
    <row r="61" spans="1:8" x14ac:dyDescent="0.2">
      <c r="A61" s="59" t="s">
        <v>59</v>
      </c>
      <c r="B61" s="43"/>
      <c r="C61" s="56"/>
      <c r="D61" s="60">
        <f>[4]Charters!E965</f>
        <v>52176.21</v>
      </c>
      <c r="E61" s="42"/>
      <c r="F61" s="42"/>
      <c r="G61" s="42"/>
      <c r="H61" s="42"/>
    </row>
    <row r="62" spans="1:8" x14ac:dyDescent="0.2">
      <c r="A62" s="38" t="s">
        <v>18</v>
      </c>
      <c r="B62" s="61"/>
      <c r="C62" s="62"/>
      <c r="D62" s="87"/>
      <c r="E62" s="42"/>
      <c r="F62" s="42">
        <f>[4]Charters!C1271</f>
        <v>23165.97</v>
      </c>
      <c r="G62" s="42"/>
      <c r="H62" s="42"/>
    </row>
    <row r="63" spans="1:8" x14ac:dyDescent="0.2">
      <c r="A63" s="59" t="s">
        <v>39</v>
      </c>
      <c r="B63" s="43"/>
      <c r="C63" s="56"/>
      <c r="D63" s="41">
        <f>[4]Charters!C1118</f>
        <v>11073.67</v>
      </c>
      <c r="E63" s="42"/>
      <c r="F63" s="42">
        <f>SUM(D63:D66)</f>
        <v>23165.97</v>
      </c>
      <c r="G63" s="42"/>
      <c r="H63" s="42"/>
    </row>
    <row r="64" spans="1:8" x14ac:dyDescent="0.2">
      <c r="A64" s="59" t="s">
        <v>48</v>
      </c>
      <c r="B64" s="43"/>
      <c r="C64" s="56"/>
      <c r="D64" s="41">
        <f>[4]Charters!D1118</f>
        <v>0</v>
      </c>
      <c r="E64" s="42"/>
      <c r="F64" s="42">
        <f>+F62-F63</f>
        <v>0</v>
      </c>
      <c r="G64" s="42"/>
      <c r="H64" s="42"/>
    </row>
    <row r="65" spans="1:8" x14ac:dyDescent="0.2">
      <c r="A65" s="59" t="s">
        <v>60</v>
      </c>
      <c r="B65" s="43"/>
      <c r="C65" s="56"/>
      <c r="D65" s="41">
        <f>[4]Charters!E1118</f>
        <v>0</v>
      </c>
      <c r="E65" s="42"/>
      <c r="F65" s="42"/>
      <c r="G65" s="42"/>
      <c r="H65" s="42"/>
    </row>
    <row r="66" spans="1:8" x14ac:dyDescent="0.2">
      <c r="A66" s="59" t="s">
        <v>61</v>
      </c>
      <c r="B66" s="43"/>
      <c r="C66" s="56"/>
      <c r="D66" s="41">
        <f>[4]Charters!F1118</f>
        <v>12092.3</v>
      </c>
      <c r="E66" s="42"/>
      <c r="F66" s="42"/>
      <c r="G66" s="42"/>
      <c r="H66" s="42"/>
    </row>
    <row r="67" spans="1:8" ht="13.5" thickBot="1" x14ac:dyDescent="0.25">
      <c r="A67" s="64"/>
      <c r="B67" s="65"/>
      <c r="C67" s="66"/>
      <c r="D67" s="67">
        <f>SUM(D42:D66)</f>
        <v>7503582.7999999998</v>
      </c>
      <c r="E67" s="42"/>
      <c r="F67" s="42"/>
      <c r="G67" s="42"/>
      <c r="H67" s="42"/>
    </row>
    <row r="68" spans="1:8" ht="13.5" thickTop="1" x14ac:dyDescent="0.2">
      <c r="A68" s="68"/>
      <c r="B68" s="43"/>
      <c r="C68" s="56"/>
      <c r="D68" s="86"/>
      <c r="E68" s="42"/>
      <c r="F68" s="42"/>
      <c r="G68" s="42"/>
      <c r="H68" s="42"/>
    </row>
    <row r="69" spans="1:8" x14ac:dyDescent="0.2">
      <c r="A69" s="38" t="s">
        <v>20</v>
      </c>
      <c r="B69" s="39"/>
      <c r="C69" s="70"/>
      <c r="D69" s="71" t="s">
        <v>21</v>
      </c>
      <c r="E69" s="42"/>
      <c r="F69" s="42"/>
      <c r="G69" s="42"/>
      <c r="H69" s="42"/>
    </row>
    <row r="70" spans="1:8" x14ac:dyDescent="0.2">
      <c r="A70" s="72" t="s">
        <v>22</v>
      </c>
      <c r="B70" s="73"/>
      <c r="C70" s="74"/>
      <c r="D70" s="41">
        <f>[5]Charters!C24</f>
        <v>2446.87</v>
      </c>
      <c r="E70" s="42"/>
      <c r="F70" s="42"/>
      <c r="G70" s="42"/>
      <c r="H70" s="42"/>
    </row>
    <row r="71" spans="1:8" x14ac:dyDescent="0.2">
      <c r="A71" s="75"/>
      <c r="B71" s="61"/>
      <c r="C71" s="76"/>
      <c r="D71" s="77">
        <f>SUM(D70:D70)</f>
        <v>2446.87</v>
      </c>
      <c r="E71" s="42"/>
      <c r="F71" s="42"/>
      <c r="G71" s="42"/>
      <c r="H71" s="42"/>
    </row>
    <row r="72" spans="1:8" x14ac:dyDescent="0.2">
      <c r="A72" s="78" t="s">
        <v>58</v>
      </c>
      <c r="B72" s="79"/>
      <c r="C72" s="80"/>
      <c r="D72" s="77">
        <f>D71+D67</f>
        <v>7506029.6699999999</v>
      </c>
      <c r="E72" s="42"/>
      <c r="F72" s="42"/>
      <c r="G72" s="42"/>
      <c r="H72" s="42"/>
    </row>
    <row r="73" spans="1:8" x14ac:dyDescent="0.2">
      <c r="A73" s="84"/>
      <c r="B73" s="84"/>
      <c r="C73" s="85"/>
      <c r="D73" s="81"/>
      <c r="E73" s="42"/>
      <c r="F73" s="42"/>
      <c r="G73" s="42"/>
      <c r="H73" s="42"/>
    </row>
    <row r="74" spans="1:8" x14ac:dyDescent="0.2">
      <c r="A74" s="84"/>
      <c r="B74" s="84"/>
      <c r="C74" s="85"/>
      <c r="D74" s="81">
        <f>[5]Charters!E180</f>
        <v>7506029.6699999999</v>
      </c>
      <c r="E74" s="42"/>
      <c r="F74" s="42"/>
      <c r="G74" s="42"/>
      <c r="H74" s="42"/>
    </row>
    <row r="75" spans="1:8" x14ac:dyDescent="0.2">
      <c r="A75" s="84"/>
      <c r="B75" s="84"/>
      <c r="C75" s="85"/>
      <c r="D75" s="81">
        <f>D72</f>
        <v>7506029.6699999999</v>
      </c>
      <c r="E75" s="42"/>
      <c r="F75" s="42"/>
      <c r="G75" s="42"/>
      <c r="H75" s="42"/>
    </row>
    <row r="76" spans="1:8" x14ac:dyDescent="0.2">
      <c r="C76" s="83"/>
      <c r="D76" s="42">
        <f>D74-D75</f>
        <v>0</v>
      </c>
      <c r="E76" s="42"/>
      <c r="F76" s="42"/>
      <c r="G76" s="42"/>
      <c r="H76" s="42"/>
    </row>
  </sheetData>
  <mergeCells count="4">
    <mergeCell ref="A20:D20"/>
    <mergeCell ref="A18:D18"/>
    <mergeCell ref="A19:D19"/>
    <mergeCell ref="A72:C72"/>
  </mergeCells>
  <phoneticPr fontId="0" type="noConversion"/>
  <printOptions horizontalCentered="1" verticalCentered="1"/>
  <pageMargins left="0.5" right="0.5" top="0.5" bottom="0.5" header="0.25" footer="0.25"/>
  <pageSetup orientation="portrait" r:id="rId1"/>
  <headerFooter alignWithMargins="0">
    <oddHeader>&amp;R&amp;8Current as of: &amp;D</oddHeader>
    <oddFooter>&amp;L&amp;8USOE, School Finance</oddFooter>
  </headerFooter>
  <picture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pageSetUpPr fitToPage="1"/>
  </sheetPr>
  <dimension ref="A1:H77"/>
  <sheetViews>
    <sheetView showGridLines="0" topLeftCell="A13" workbookViewId="0">
      <selection activeCell="C12" sqref="C12"/>
    </sheetView>
  </sheetViews>
  <sheetFormatPr defaultColWidth="9.140625" defaultRowHeight="12.75" x14ac:dyDescent="0.2"/>
  <cols>
    <col min="1" max="1" width="31.85546875" style="82" customWidth="1"/>
    <col min="2" max="2" width="16.140625" style="82" customWidth="1"/>
    <col min="3" max="4" width="14.85546875" style="82" customWidth="1"/>
    <col min="5" max="5" width="7" style="82" customWidth="1"/>
    <col min="6" max="6" width="19.7109375" style="82" customWidth="1"/>
    <col min="7" max="7" width="5.7109375" style="82" customWidth="1"/>
    <col min="8" max="8" width="18" style="82" customWidth="1"/>
    <col min="9" max="16384" width="9.140625" style="82"/>
  </cols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"/>
      <c r="B3" s="1"/>
      <c r="C3" s="1"/>
      <c r="D3" s="1"/>
      <c r="E3" s="1"/>
      <c r="F3" s="1"/>
      <c r="G3" s="1"/>
      <c r="H3" s="1"/>
    </row>
    <row r="4" spans="1:8" x14ac:dyDescent="0.2">
      <c r="A4" s="1"/>
      <c r="B4" s="1"/>
      <c r="C4" s="1"/>
      <c r="D4" s="1"/>
      <c r="E4" s="1"/>
      <c r="F4" s="1"/>
      <c r="G4" s="1"/>
      <c r="H4" s="1"/>
    </row>
    <row r="5" spans="1:8" x14ac:dyDescent="0.2">
      <c r="A5" s="1"/>
      <c r="B5" s="1"/>
      <c r="C5" s="1"/>
      <c r="D5" s="1"/>
      <c r="E5" s="1"/>
      <c r="F5" s="1"/>
      <c r="G5" s="1"/>
      <c r="H5" s="1"/>
    </row>
    <row r="6" spans="1:8" x14ac:dyDescent="0.2">
      <c r="A6" s="1"/>
      <c r="B6" s="1"/>
      <c r="C6" s="1"/>
      <c r="D6" s="1"/>
      <c r="E6" s="1"/>
      <c r="F6" s="1"/>
      <c r="G6" s="1"/>
      <c r="H6" s="1"/>
    </row>
    <row r="7" spans="1:8" x14ac:dyDescent="0.2">
      <c r="A7" s="1"/>
      <c r="B7" s="1"/>
      <c r="C7" s="1"/>
      <c r="D7" s="1"/>
      <c r="E7" s="1"/>
      <c r="F7" s="1"/>
      <c r="G7" s="1"/>
      <c r="H7" s="1"/>
    </row>
    <row r="8" spans="1:8" x14ac:dyDescent="0.2">
      <c r="A8" s="1"/>
      <c r="B8" s="1"/>
      <c r="C8" s="1"/>
      <c r="D8" s="1"/>
      <c r="E8" s="1"/>
      <c r="F8" s="1"/>
      <c r="G8" s="1"/>
      <c r="H8" s="1"/>
    </row>
    <row r="9" spans="1:8" x14ac:dyDescent="0.2">
      <c r="A9" s="1"/>
      <c r="B9" s="1"/>
      <c r="C9" s="1"/>
      <c r="D9" s="1"/>
      <c r="E9" s="1"/>
      <c r="F9" s="1"/>
      <c r="G9" s="1"/>
      <c r="H9" s="1"/>
    </row>
    <row r="10" spans="1:8" x14ac:dyDescent="0.2">
      <c r="A10" s="1"/>
      <c r="B10" s="1"/>
      <c r="C10" s="1"/>
      <c r="D10" s="1"/>
      <c r="E10" s="1"/>
      <c r="F10" s="1"/>
      <c r="G10" s="1"/>
      <c r="H10" s="1"/>
    </row>
    <row r="11" spans="1:8" x14ac:dyDescent="0.2">
      <c r="A11" s="1"/>
      <c r="B11" s="1"/>
      <c r="C11" s="1"/>
      <c r="D11" s="1"/>
      <c r="E11" s="1"/>
      <c r="F11" s="1"/>
      <c r="G11" s="1"/>
      <c r="H11" s="1"/>
    </row>
    <row r="12" spans="1:8" x14ac:dyDescent="0.2">
      <c r="A12" s="1"/>
      <c r="B12" s="1"/>
      <c r="C12" s="1"/>
      <c r="D12" s="1"/>
      <c r="E12" s="1"/>
      <c r="F12" s="1"/>
      <c r="G12" s="1"/>
      <c r="H12" s="1"/>
    </row>
    <row r="13" spans="1:8" x14ac:dyDescent="0.2">
      <c r="A13" s="1"/>
      <c r="B13" s="1"/>
      <c r="C13" s="1"/>
      <c r="D13" s="1"/>
      <c r="E13" s="1"/>
      <c r="F13" s="1"/>
      <c r="G13" s="1"/>
      <c r="H13" s="1"/>
    </row>
    <row r="14" spans="1:8" x14ac:dyDescent="0.2">
      <c r="A14" s="1"/>
      <c r="B14" s="1"/>
      <c r="C14" s="1"/>
      <c r="D14" s="1"/>
      <c r="E14" s="1"/>
      <c r="F14" s="1"/>
      <c r="G14" s="1"/>
      <c r="H14" s="1"/>
    </row>
    <row r="15" spans="1:8" x14ac:dyDescent="0.2">
      <c r="A15" s="1"/>
      <c r="B15" s="1"/>
      <c r="C15" s="1"/>
      <c r="D15" s="1"/>
      <c r="E15" s="1"/>
      <c r="F15" s="1"/>
      <c r="G15" s="1"/>
      <c r="H15" s="1"/>
    </row>
    <row r="16" spans="1:8" x14ac:dyDescent="0.2">
      <c r="A16" s="1"/>
      <c r="B16" s="1"/>
      <c r="C16" s="1"/>
      <c r="D16" s="1"/>
      <c r="E16" s="1"/>
      <c r="F16" s="1"/>
      <c r="G16" s="1"/>
      <c r="H16" s="1"/>
    </row>
    <row r="17" spans="1:8" x14ac:dyDescent="0.2">
      <c r="A17" s="1"/>
      <c r="B17" s="1"/>
      <c r="C17" s="1"/>
      <c r="D17" s="1"/>
      <c r="E17" s="1"/>
      <c r="F17" s="1"/>
      <c r="G17" s="1"/>
      <c r="H17" s="1"/>
    </row>
    <row r="18" spans="1:8" x14ac:dyDescent="0.2">
      <c r="A18" s="1"/>
      <c r="B18" s="1"/>
      <c r="C18" s="1"/>
      <c r="D18" s="1"/>
      <c r="E18" s="1"/>
      <c r="F18" s="1"/>
      <c r="G18" s="1"/>
      <c r="H18" s="1"/>
    </row>
    <row r="19" spans="1:8" x14ac:dyDescent="0.2">
      <c r="A19" s="11" t="s">
        <v>1</v>
      </c>
      <c r="B19" s="12"/>
      <c r="C19" s="12"/>
      <c r="D19" s="13"/>
      <c r="E19" s="8"/>
      <c r="F19" s="8"/>
      <c r="G19" s="8"/>
      <c r="H19" s="8"/>
    </row>
    <row r="20" spans="1:8" x14ac:dyDescent="0.2">
      <c r="A20" s="14" t="s">
        <v>15</v>
      </c>
      <c r="B20" s="15"/>
      <c r="C20" s="15"/>
      <c r="D20" s="16"/>
      <c r="E20" s="8"/>
      <c r="F20" s="8"/>
      <c r="G20" s="8"/>
      <c r="H20" s="8"/>
    </row>
    <row r="21" spans="1:8" x14ac:dyDescent="0.2">
      <c r="A21" s="17" t="s">
        <v>62</v>
      </c>
      <c r="B21" s="18"/>
      <c r="C21" s="18"/>
      <c r="D21" s="19"/>
      <c r="E21" s="8"/>
      <c r="F21" s="8"/>
      <c r="G21" s="8"/>
      <c r="H21" s="8"/>
    </row>
    <row r="22" spans="1:8" x14ac:dyDescent="0.2">
      <c r="A22" s="20"/>
      <c r="B22" s="21"/>
      <c r="C22" s="22"/>
      <c r="D22" s="23"/>
      <c r="E22" s="8"/>
      <c r="F22" s="8" t="s">
        <v>34</v>
      </c>
      <c r="G22" s="8"/>
      <c r="H22" s="8"/>
    </row>
    <row r="23" spans="1:8" ht="15.75" x14ac:dyDescent="0.25">
      <c r="A23" s="24" t="s">
        <v>2</v>
      </c>
      <c r="B23" s="25" t="str">
        <f>[1]Charters!B26</f>
        <v>Summit Academy</v>
      </c>
      <c r="C23" s="26"/>
      <c r="D23" s="27"/>
      <c r="E23" s="8"/>
      <c r="F23" s="8"/>
      <c r="G23" s="8"/>
      <c r="H23" s="8"/>
    </row>
    <row r="24" spans="1:8" x14ac:dyDescent="0.2">
      <c r="A24" s="24"/>
      <c r="B24" s="28"/>
      <c r="C24" s="26"/>
      <c r="D24" s="27"/>
      <c r="E24" s="8"/>
      <c r="F24" s="8"/>
      <c r="G24" s="8"/>
      <c r="H24" s="8"/>
    </row>
    <row r="25" spans="1:8" x14ac:dyDescent="0.2">
      <c r="A25" s="29" t="s">
        <v>0</v>
      </c>
      <c r="B25" s="30">
        <f>[1]Charters!$E$6</f>
        <v>3184</v>
      </c>
      <c r="C25" s="26"/>
      <c r="D25" s="31"/>
      <c r="E25" s="8"/>
      <c r="F25" s="8"/>
      <c r="G25" s="8"/>
      <c r="H25" s="8"/>
    </row>
    <row r="26" spans="1:8" x14ac:dyDescent="0.2">
      <c r="A26" s="32"/>
      <c r="B26" s="6"/>
      <c r="C26" s="33"/>
      <c r="D26" s="34" t="s">
        <v>3</v>
      </c>
      <c r="E26" s="8"/>
      <c r="F26" s="8"/>
      <c r="G26" s="8"/>
      <c r="H26" s="8"/>
    </row>
    <row r="27" spans="1:8" x14ac:dyDescent="0.2">
      <c r="A27" s="29" t="s">
        <v>19</v>
      </c>
      <c r="B27" s="35" t="str">
        <f>[1]Charters!A26</f>
        <v>A4</v>
      </c>
      <c r="C27" s="36" t="s">
        <v>4</v>
      </c>
      <c r="D27" s="37" t="s">
        <v>5</v>
      </c>
      <c r="E27" s="8"/>
      <c r="F27" s="8"/>
      <c r="G27" s="8"/>
      <c r="H27" s="8"/>
    </row>
    <row r="28" spans="1:8" x14ac:dyDescent="0.2">
      <c r="A28" s="38" t="s">
        <v>6</v>
      </c>
      <c r="B28" s="39"/>
      <c r="C28" s="40"/>
      <c r="D28" s="41"/>
      <c r="E28" s="8"/>
      <c r="F28" s="8"/>
      <c r="G28" s="8"/>
      <c r="H28" s="8"/>
    </row>
    <row r="29" spans="1:8" x14ac:dyDescent="0.2">
      <c r="A29" s="38" t="s">
        <v>7</v>
      </c>
      <c r="B29" s="39"/>
      <c r="C29" s="40"/>
      <c r="D29" s="41"/>
      <c r="E29" s="8"/>
      <c r="F29" s="42" t="s">
        <v>23</v>
      </c>
      <c r="G29" s="8"/>
      <c r="H29" s="42" t="s">
        <v>26</v>
      </c>
    </row>
    <row r="30" spans="1:8" x14ac:dyDescent="0.2">
      <c r="A30" s="20" t="s">
        <v>8</v>
      </c>
      <c r="B30" s="43"/>
      <c r="C30" s="44">
        <f>[1]Charters!C486</f>
        <v>2091.3960000000002</v>
      </c>
      <c r="D30" s="45">
        <f>[1]Charters!E486</f>
        <v>6659005.5300000003</v>
      </c>
      <c r="E30" s="8"/>
      <c r="F30" s="42">
        <f>[1]Charters!E641</f>
        <v>7013437.7599999998</v>
      </c>
      <c r="G30" s="8"/>
      <c r="H30" s="42">
        <f>[2]Charters!E180</f>
        <v>8850553.2300000004</v>
      </c>
    </row>
    <row r="31" spans="1:8" x14ac:dyDescent="0.2">
      <c r="A31" s="20" t="s">
        <v>14</v>
      </c>
      <c r="B31" s="43"/>
      <c r="C31" s="44">
        <f>[1]Charters!F486</f>
        <v>111.31699999999999</v>
      </c>
      <c r="D31" s="45">
        <f>[1]Charters!H486</f>
        <v>354432.23</v>
      </c>
      <c r="E31" s="8"/>
      <c r="F31" s="42">
        <f>SUM(D30:D32)</f>
        <v>7013437.7599999998</v>
      </c>
      <c r="G31" s="8"/>
      <c r="H31" s="42">
        <f>D43</f>
        <v>8850553.2300000004</v>
      </c>
    </row>
    <row r="32" spans="1:8" x14ac:dyDescent="0.2">
      <c r="A32" s="20" t="s">
        <v>32</v>
      </c>
      <c r="B32" s="43"/>
      <c r="C32" s="44">
        <f>[1]Charters!C179</f>
        <v>0</v>
      </c>
      <c r="D32" s="45">
        <f>[1]Charters!E179</f>
        <v>0</v>
      </c>
      <c r="E32" s="8"/>
      <c r="F32" s="42">
        <f>+F30-F31</f>
        <v>0</v>
      </c>
      <c r="G32" s="8"/>
      <c r="H32" s="42">
        <f>+H30-H31</f>
        <v>0</v>
      </c>
    </row>
    <row r="33" spans="1:8" x14ac:dyDescent="0.2">
      <c r="A33" s="38" t="s">
        <v>9</v>
      </c>
      <c r="B33" s="39"/>
      <c r="C33" s="46"/>
      <c r="D33" s="47"/>
      <c r="E33" s="8"/>
      <c r="F33" s="8"/>
      <c r="G33" s="8"/>
      <c r="H33" s="8"/>
    </row>
    <row r="34" spans="1:8" x14ac:dyDescent="0.2">
      <c r="A34" s="20" t="s">
        <v>10</v>
      </c>
      <c r="B34" s="43"/>
      <c r="C34" s="40">
        <f>[3]Charters!C25</f>
        <v>349.24200000000002</v>
      </c>
      <c r="D34" s="41">
        <f>[3]Charters!E25</f>
        <v>1111987.2</v>
      </c>
      <c r="E34" s="8"/>
      <c r="F34" s="42" t="s">
        <v>24</v>
      </c>
      <c r="G34" s="8"/>
      <c r="H34" s="8"/>
    </row>
    <row r="35" spans="1:8" x14ac:dyDescent="0.2">
      <c r="A35" s="48" t="s">
        <v>11</v>
      </c>
      <c r="B35" s="43"/>
      <c r="C35" s="40">
        <f>[3]Charters!F25</f>
        <v>3.18</v>
      </c>
      <c r="D35" s="49">
        <f>[3]Charters!H25</f>
        <v>10125.120000000001</v>
      </c>
      <c r="E35" s="8"/>
      <c r="F35" s="42">
        <f>[3]Charters!N336</f>
        <v>1136521.83</v>
      </c>
      <c r="G35" s="8"/>
      <c r="H35" s="8"/>
    </row>
    <row r="36" spans="1:8" x14ac:dyDescent="0.2">
      <c r="A36" s="48" t="s">
        <v>12</v>
      </c>
      <c r="B36" s="43"/>
      <c r="C36" s="40">
        <f>[3]Charters!C180</f>
        <v>0</v>
      </c>
      <c r="D36" s="41">
        <f>[3]Charters!E180</f>
        <v>0</v>
      </c>
      <c r="E36" s="8"/>
      <c r="F36" s="42">
        <f>SUM(D34:D40)</f>
        <v>1136521.83</v>
      </c>
      <c r="G36" s="8"/>
      <c r="H36" s="8"/>
    </row>
    <row r="37" spans="1:8" x14ac:dyDescent="0.2">
      <c r="A37" s="20" t="s">
        <v>13</v>
      </c>
      <c r="B37" s="43"/>
      <c r="C37" s="40">
        <f>[3]Charters!F180</f>
        <v>0.70899999999999996</v>
      </c>
      <c r="D37" s="41">
        <f>[3]Charters!H180</f>
        <v>2259</v>
      </c>
      <c r="E37" s="8"/>
      <c r="F37" s="42">
        <f>+F35-F36</f>
        <v>0</v>
      </c>
      <c r="G37" s="8"/>
      <c r="H37" s="8"/>
    </row>
    <row r="38" spans="1:8" x14ac:dyDescent="0.2">
      <c r="A38" s="48" t="s">
        <v>54</v>
      </c>
      <c r="B38" s="43"/>
      <c r="C38" s="40">
        <f>[3]Charters!C336</f>
        <v>3.8159999999999998</v>
      </c>
      <c r="D38" s="41">
        <f>[3]Charters!E336</f>
        <v>12150.51</v>
      </c>
      <c r="E38" s="8"/>
      <c r="F38" s="8"/>
      <c r="G38" s="8"/>
      <c r="H38" s="8"/>
    </row>
    <row r="39" spans="1:8" x14ac:dyDescent="0.2">
      <c r="A39" s="48" t="s">
        <v>55</v>
      </c>
      <c r="B39" s="43"/>
      <c r="C39" s="40">
        <f>[3]Charters!F336</f>
        <v>0</v>
      </c>
      <c r="D39" s="41">
        <f>[3]Charters!H336</f>
        <v>0</v>
      </c>
      <c r="E39" s="8"/>
      <c r="F39" s="42" t="s">
        <v>25</v>
      </c>
      <c r="G39" s="8"/>
      <c r="H39" s="8"/>
    </row>
    <row r="40" spans="1:8" x14ac:dyDescent="0.2">
      <c r="A40" s="48" t="s">
        <v>56</v>
      </c>
      <c r="B40" s="43"/>
      <c r="C40" s="40">
        <f>[3]Charters!I336</f>
        <v>0</v>
      </c>
      <c r="D40" s="41">
        <f>[3]Charters!K336</f>
        <v>0</v>
      </c>
      <c r="E40" s="8"/>
      <c r="F40" s="42">
        <f>[2]Charters!H26</f>
        <v>1837115.47</v>
      </c>
      <c r="G40" s="8"/>
      <c r="H40" s="8"/>
    </row>
    <row r="41" spans="1:8" x14ac:dyDescent="0.2">
      <c r="A41" s="20" t="s">
        <v>49</v>
      </c>
      <c r="B41" s="43"/>
      <c r="C41" s="40">
        <f>[3]Charters!C493</f>
        <v>7.9020000000000001</v>
      </c>
      <c r="D41" s="41">
        <f>[3]Charters!E493</f>
        <v>25159.49</v>
      </c>
      <c r="E41" s="8"/>
      <c r="F41" s="42">
        <f>SUM(D34:D42)</f>
        <v>1837115.47</v>
      </c>
      <c r="G41" s="8"/>
      <c r="H41" s="8"/>
    </row>
    <row r="42" spans="1:8" x14ac:dyDescent="0.2">
      <c r="A42" s="20" t="s">
        <v>50</v>
      </c>
      <c r="B42" s="43"/>
      <c r="C42" s="40">
        <f>[2]Charters!C26</f>
        <v>212.13399999999999</v>
      </c>
      <c r="D42" s="41">
        <f>[2]Charters!E26</f>
        <v>675434.15</v>
      </c>
      <c r="E42" s="8"/>
      <c r="F42" s="42">
        <f>+F40-F41</f>
        <v>0</v>
      </c>
      <c r="G42" s="8"/>
      <c r="H42" s="8"/>
    </row>
    <row r="43" spans="1:8" x14ac:dyDescent="0.2">
      <c r="A43" s="50"/>
      <c r="B43" s="51" t="s">
        <v>16</v>
      </c>
      <c r="C43" s="52">
        <f>SUM(C30:C42)</f>
        <v>2779.6959999999999</v>
      </c>
      <c r="D43" s="53">
        <f>SUM(D30:D42)</f>
        <v>8850553.2300000004</v>
      </c>
      <c r="E43" s="8"/>
      <c r="F43" s="8"/>
      <c r="G43" s="8"/>
      <c r="H43" s="8"/>
    </row>
    <row r="44" spans="1:8" x14ac:dyDescent="0.2">
      <c r="A44" s="54" t="s">
        <v>17</v>
      </c>
      <c r="B44" s="39"/>
      <c r="C44" s="55"/>
      <c r="D44" s="47"/>
      <c r="E44" s="8"/>
      <c r="F44" s="8"/>
      <c r="G44" s="8"/>
      <c r="H44" s="42" t="s">
        <v>29</v>
      </c>
    </row>
    <row r="45" spans="1:8" x14ac:dyDescent="0.2">
      <c r="A45" s="20" t="s">
        <v>33</v>
      </c>
      <c r="B45" s="43"/>
      <c r="C45" s="56"/>
      <c r="D45" s="57">
        <f>[4]Charters!C25</f>
        <v>25653.05</v>
      </c>
      <c r="E45" s="8"/>
      <c r="F45" s="8"/>
      <c r="G45" s="8"/>
      <c r="H45" s="42">
        <f>[4]Charters!F966</f>
        <v>14967076.710000001</v>
      </c>
    </row>
    <row r="46" spans="1:8" x14ac:dyDescent="0.2">
      <c r="A46" s="58" t="s">
        <v>35</v>
      </c>
      <c r="B46" s="43"/>
      <c r="C46" s="56"/>
      <c r="D46" s="41">
        <f>+[4]Charters!F346</f>
        <v>10065.85</v>
      </c>
      <c r="E46" s="8"/>
      <c r="F46" s="8"/>
      <c r="G46" s="8"/>
      <c r="H46" s="42">
        <f>SUM(D43:D62)</f>
        <v>14967076.710000001</v>
      </c>
    </row>
    <row r="47" spans="1:8" x14ac:dyDescent="0.2">
      <c r="A47" s="59" t="s">
        <v>36</v>
      </c>
      <c r="B47" s="43"/>
      <c r="C47" s="56"/>
      <c r="D47" s="41">
        <f>[4]Charters!E185</f>
        <v>43590</v>
      </c>
      <c r="E47" s="8"/>
      <c r="F47" s="8"/>
      <c r="G47" s="8"/>
      <c r="H47" s="42">
        <f>+H45-H46</f>
        <v>0</v>
      </c>
    </row>
    <row r="48" spans="1:8" x14ac:dyDescent="0.2">
      <c r="A48" s="59" t="s">
        <v>52</v>
      </c>
      <c r="B48" s="43"/>
      <c r="C48" s="56"/>
      <c r="D48" s="41">
        <f>[4]Charters!G346</f>
        <v>0</v>
      </c>
      <c r="E48" s="8"/>
      <c r="F48" s="42" t="s">
        <v>27</v>
      </c>
      <c r="G48" s="8"/>
      <c r="H48" s="42"/>
    </row>
    <row r="49" spans="1:8" x14ac:dyDescent="0.2">
      <c r="A49" s="20" t="s">
        <v>37</v>
      </c>
      <c r="B49" s="43"/>
      <c r="C49" s="56"/>
      <c r="D49" s="41">
        <f>[4]Charters!E502</f>
        <v>152356</v>
      </c>
      <c r="E49" s="8"/>
      <c r="F49" s="42">
        <f>[4]Charters!E185</f>
        <v>43590</v>
      </c>
      <c r="G49" s="8"/>
      <c r="H49" s="8"/>
    </row>
    <row r="50" spans="1:8" x14ac:dyDescent="0.2">
      <c r="A50" s="20" t="s">
        <v>38</v>
      </c>
      <c r="B50" s="43"/>
      <c r="C50" s="56"/>
      <c r="D50" s="41">
        <f>[4]Charters!F502</f>
        <v>0</v>
      </c>
      <c r="E50" s="8"/>
      <c r="F50" s="42">
        <f>SUM(D47:D47)</f>
        <v>43590</v>
      </c>
      <c r="G50" s="8"/>
      <c r="H50" s="8"/>
    </row>
    <row r="51" spans="1:8" x14ac:dyDescent="0.2">
      <c r="A51" s="59" t="s">
        <v>40</v>
      </c>
      <c r="B51" s="43"/>
      <c r="C51" s="56"/>
      <c r="D51" s="41">
        <f>[4]Charters!G502</f>
        <v>30306</v>
      </c>
      <c r="E51" s="8"/>
      <c r="F51" s="42">
        <f>+F49-F50</f>
        <v>0</v>
      </c>
      <c r="G51" s="8"/>
      <c r="H51" s="8"/>
    </row>
    <row r="52" spans="1:8" x14ac:dyDescent="0.2">
      <c r="A52" s="20" t="s">
        <v>41</v>
      </c>
      <c r="B52" s="43"/>
      <c r="C52" s="56"/>
      <c r="D52" s="41">
        <f>[4]Charters!C657</f>
        <v>4824411</v>
      </c>
      <c r="E52" s="8"/>
      <c r="F52" s="42" t="s">
        <v>28</v>
      </c>
      <c r="G52" s="8"/>
      <c r="H52" s="8"/>
    </row>
    <row r="53" spans="1:8" x14ac:dyDescent="0.2">
      <c r="A53" s="20" t="s">
        <v>42</v>
      </c>
      <c r="B53" s="43"/>
      <c r="C53" s="56"/>
      <c r="D53" s="41">
        <f>[4]Charters!D657</f>
        <v>501453.68</v>
      </c>
      <c r="E53" s="8"/>
      <c r="F53" s="42">
        <f>[4]Charters!D502</f>
        <v>53655.85</v>
      </c>
      <c r="G53" s="8"/>
      <c r="H53" s="8"/>
    </row>
    <row r="54" spans="1:8" x14ac:dyDescent="0.2">
      <c r="A54" s="20" t="s">
        <v>44</v>
      </c>
      <c r="B54" s="43"/>
      <c r="C54" s="56"/>
      <c r="D54" s="41">
        <f>[4]Charters!E657</f>
        <v>241100</v>
      </c>
      <c r="E54" s="8"/>
      <c r="F54" s="42">
        <f>SUM(D46:D48)</f>
        <v>53655.85</v>
      </c>
      <c r="G54" s="8"/>
      <c r="H54" s="8"/>
    </row>
    <row r="55" spans="1:8" x14ac:dyDescent="0.2">
      <c r="A55" s="59" t="s">
        <v>43</v>
      </c>
      <c r="B55" s="43"/>
      <c r="C55" s="56"/>
      <c r="D55" s="41">
        <f>[4]Charters!F657</f>
        <v>62577.38</v>
      </c>
      <c r="E55" s="8"/>
      <c r="F55" s="42">
        <f>+F53-F54</f>
        <v>0</v>
      </c>
      <c r="G55" s="8"/>
      <c r="H55" s="8"/>
    </row>
    <row r="56" spans="1:8" x14ac:dyDescent="0.2">
      <c r="A56" s="59" t="s">
        <v>45</v>
      </c>
      <c r="B56" s="43"/>
      <c r="C56" s="56"/>
      <c r="D56" s="41">
        <f>[4]Charters!C502</f>
        <v>0</v>
      </c>
      <c r="E56" s="8"/>
      <c r="F56" s="8"/>
      <c r="G56" s="8"/>
      <c r="H56" s="8"/>
    </row>
    <row r="57" spans="1:8" x14ac:dyDescent="0.2">
      <c r="A57" s="59" t="s">
        <v>46</v>
      </c>
      <c r="B57" s="43"/>
      <c r="C57" s="56"/>
      <c r="D57" s="41">
        <f>[4]Charters!C813</f>
        <v>10000</v>
      </c>
      <c r="E57" s="8"/>
      <c r="F57" s="8"/>
      <c r="G57" s="8"/>
      <c r="H57" s="42" t="s">
        <v>31</v>
      </c>
    </row>
    <row r="58" spans="1:8" x14ac:dyDescent="0.2">
      <c r="A58" s="59" t="s">
        <v>51</v>
      </c>
      <c r="B58" s="43"/>
      <c r="C58" s="56"/>
      <c r="D58" s="60">
        <f>[4]Charters!D813</f>
        <v>2239.38</v>
      </c>
      <c r="E58" s="8"/>
      <c r="F58" s="8"/>
      <c r="G58" s="8"/>
      <c r="H58" s="42">
        <f>[4]Charters!D1272</f>
        <v>15014575.74</v>
      </c>
    </row>
    <row r="59" spans="1:8" x14ac:dyDescent="0.2">
      <c r="A59" s="20" t="s">
        <v>47</v>
      </c>
      <c r="B59" s="43"/>
      <c r="C59" s="56"/>
      <c r="D59" s="60">
        <f>[4]Charters!E813</f>
        <v>75916</v>
      </c>
      <c r="E59" s="8"/>
      <c r="F59" s="8"/>
      <c r="G59" s="8"/>
      <c r="H59" s="42">
        <f>D68</f>
        <v>15014575.74</v>
      </c>
    </row>
    <row r="60" spans="1:8" x14ac:dyDescent="0.2">
      <c r="A60" s="20" t="s">
        <v>57</v>
      </c>
      <c r="B60" s="43"/>
      <c r="C60" s="56"/>
      <c r="D60" s="60">
        <f>[4]Charters!C966</f>
        <v>9481.0300000000007</v>
      </c>
      <c r="E60" s="42"/>
      <c r="F60" s="42"/>
      <c r="G60" s="42"/>
      <c r="H60" s="42">
        <f>+H58-H59</f>
        <v>0</v>
      </c>
    </row>
    <row r="61" spans="1:8" x14ac:dyDescent="0.2">
      <c r="A61" s="59" t="s">
        <v>53</v>
      </c>
      <c r="B61" s="43"/>
      <c r="C61" s="56"/>
      <c r="D61" s="60">
        <f>[4]Charters!D966</f>
        <v>0</v>
      </c>
      <c r="E61" s="42"/>
      <c r="F61" s="42" t="s">
        <v>30</v>
      </c>
      <c r="G61" s="42"/>
      <c r="H61" s="42"/>
    </row>
    <row r="62" spans="1:8" x14ac:dyDescent="0.2">
      <c r="A62" s="59" t="s">
        <v>59</v>
      </c>
      <c r="B62" s="43"/>
      <c r="C62" s="56"/>
      <c r="D62" s="60">
        <f>[4]Charters!E966</f>
        <v>127374.11</v>
      </c>
      <c r="E62" s="42"/>
      <c r="F62" s="42"/>
      <c r="G62" s="42"/>
      <c r="H62" s="42"/>
    </row>
    <row r="63" spans="1:8" x14ac:dyDescent="0.2">
      <c r="A63" s="38" t="s">
        <v>18</v>
      </c>
      <c r="B63" s="61"/>
      <c r="C63" s="62"/>
      <c r="D63" s="87"/>
      <c r="E63" s="42"/>
      <c r="F63" s="42">
        <f>[4]Charters!C1272</f>
        <v>47499.03</v>
      </c>
      <c r="G63" s="42"/>
      <c r="H63" s="42"/>
    </row>
    <row r="64" spans="1:8" x14ac:dyDescent="0.2">
      <c r="A64" s="59" t="s">
        <v>39</v>
      </c>
      <c r="B64" s="43"/>
      <c r="C64" s="56"/>
      <c r="D64" s="41">
        <f>[4]Charters!C1119</f>
        <v>17978.939999999999</v>
      </c>
      <c r="E64" s="42"/>
      <c r="F64" s="42">
        <f>SUM(D64:D67)</f>
        <v>47499.03</v>
      </c>
      <c r="G64" s="42"/>
      <c r="H64" s="42"/>
    </row>
    <row r="65" spans="1:8" x14ac:dyDescent="0.2">
      <c r="A65" s="59" t="s">
        <v>48</v>
      </c>
      <c r="B65" s="43"/>
      <c r="C65" s="56"/>
      <c r="D65" s="41">
        <f>[4]Charters!D1119</f>
        <v>0</v>
      </c>
      <c r="E65" s="42"/>
      <c r="F65" s="42">
        <f>+F63-F64</f>
        <v>0</v>
      </c>
      <c r="G65" s="42"/>
      <c r="H65" s="42"/>
    </row>
    <row r="66" spans="1:8" x14ac:dyDescent="0.2">
      <c r="A66" s="59" t="s">
        <v>60</v>
      </c>
      <c r="B66" s="43"/>
      <c r="C66" s="56"/>
      <c r="D66" s="41">
        <f>[4]Charters!E1119</f>
        <v>0</v>
      </c>
      <c r="E66" s="42"/>
      <c r="F66" s="42"/>
      <c r="G66" s="42"/>
      <c r="H66" s="42"/>
    </row>
    <row r="67" spans="1:8" x14ac:dyDescent="0.2">
      <c r="A67" s="59" t="s">
        <v>61</v>
      </c>
      <c r="B67" s="43"/>
      <c r="C67" s="56"/>
      <c r="D67" s="41">
        <f>[4]Charters!F1119</f>
        <v>29520.09</v>
      </c>
      <c r="E67" s="42"/>
      <c r="F67" s="42"/>
      <c r="G67" s="42"/>
      <c r="H67" s="42"/>
    </row>
    <row r="68" spans="1:8" ht="13.5" thickBot="1" x14ac:dyDescent="0.25">
      <c r="A68" s="64"/>
      <c r="B68" s="65"/>
      <c r="C68" s="66"/>
      <c r="D68" s="67">
        <f>SUM(D43:D67)</f>
        <v>15014575.74</v>
      </c>
      <c r="E68" s="42"/>
      <c r="F68" s="42"/>
      <c r="G68" s="42"/>
      <c r="H68" s="42"/>
    </row>
    <row r="69" spans="1:8" ht="13.5" thickTop="1" x14ac:dyDescent="0.2">
      <c r="A69" s="68"/>
      <c r="B69" s="43"/>
      <c r="C69" s="56"/>
      <c r="D69" s="86"/>
      <c r="E69" s="42"/>
      <c r="F69" s="42"/>
      <c r="G69" s="42"/>
      <c r="H69" s="42"/>
    </row>
    <row r="70" spans="1:8" x14ac:dyDescent="0.2">
      <c r="A70" s="38" t="s">
        <v>20</v>
      </c>
      <c r="B70" s="39"/>
      <c r="C70" s="70"/>
      <c r="D70" s="71" t="s">
        <v>21</v>
      </c>
      <c r="E70" s="42"/>
      <c r="F70" s="42"/>
      <c r="G70" s="42"/>
      <c r="H70" s="42"/>
    </row>
    <row r="71" spans="1:8" x14ac:dyDescent="0.2">
      <c r="A71" s="72" t="s">
        <v>22</v>
      </c>
      <c r="B71" s="73"/>
      <c r="C71" s="74"/>
      <c r="D71" s="41">
        <f>[5]Charters!C25</f>
        <v>3928.49</v>
      </c>
      <c r="E71" s="42"/>
      <c r="F71" s="42"/>
      <c r="G71" s="42"/>
      <c r="H71" s="42"/>
    </row>
    <row r="72" spans="1:8" x14ac:dyDescent="0.2">
      <c r="A72" s="75"/>
      <c r="B72" s="61"/>
      <c r="C72" s="76"/>
      <c r="D72" s="77">
        <f>SUM(D71:D71)</f>
        <v>3928.49</v>
      </c>
      <c r="E72" s="42"/>
      <c r="F72" s="42"/>
      <c r="G72" s="42"/>
      <c r="H72" s="42"/>
    </row>
    <row r="73" spans="1:8" x14ac:dyDescent="0.2">
      <c r="A73" s="78" t="s">
        <v>58</v>
      </c>
      <c r="B73" s="79"/>
      <c r="C73" s="80"/>
      <c r="D73" s="77">
        <f>D72+D68</f>
        <v>15018504.23</v>
      </c>
      <c r="E73" s="42"/>
      <c r="F73" s="42"/>
      <c r="G73" s="42"/>
      <c r="H73" s="42"/>
    </row>
    <row r="74" spans="1:8" x14ac:dyDescent="0.2">
      <c r="A74" s="84"/>
      <c r="B74" s="84"/>
      <c r="C74" s="85"/>
      <c r="D74" s="81"/>
      <c r="E74" s="42"/>
      <c r="F74" s="42"/>
      <c r="G74" s="42"/>
      <c r="H74" s="42"/>
    </row>
    <row r="75" spans="1:8" x14ac:dyDescent="0.2">
      <c r="A75" s="84"/>
      <c r="B75" s="84"/>
      <c r="C75" s="85"/>
      <c r="D75" s="81">
        <f>[5]Charters!E181</f>
        <v>15018504.23</v>
      </c>
      <c r="E75" s="42"/>
      <c r="F75" s="42"/>
      <c r="G75" s="42"/>
      <c r="H75" s="42"/>
    </row>
    <row r="76" spans="1:8" x14ac:dyDescent="0.2">
      <c r="A76" s="84"/>
      <c r="B76" s="84"/>
      <c r="C76" s="85"/>
      <c r="D76" s="81">
        <f>D73</f>
        <v>15018504.23</v>
      </c>
      <c r="E76" s="42"/>
      <c r="F76" s="42"/>
      <c r="G76" s="42"/>
      <c r="H76" s="42"/>
    </row>
    <row r="77" spans="1:8" x14ac:dyDescent="0.2">
      <c r="C77" s="83"/>
      <c r="D77" s="42">
        <f>D75-D76</f>
        <v>0</v>
      </c>
      <c r="E77" s="42"/>
      <c r="F77" s="42"/>
      <c r="G77" s="42"/>
      <c r="H77" s="42"/>
    </row>
  </sheetData>
  <mergeCells count="4">
    <mergeCell ref="A21:D21"/>
    <mergeCell ref="A19:D19"/>
    <mergeCell ref="A20:D20"/>
    <mergeCell ref="A73:C73"/>
  </mergeCells>
  <phoneticPr fontId="0" type="noConversion"/>
  <printOptions horizontalCentered="1" verticalCentered="1"/>
  <pageMargins left="0.5" right="0.5" top="0.5" bottom="0.5" header="0.25" footer="0.25"/>
  <pageSetup orientation="portrait" r:id="rId1"/>
  <headerFooter alignWithMargins="0">
    <oddHeader>&amp;R&amp;8Current as of: &amp;D</oddHeader>
    <oddFooter>&amp;L&amp;8USOE, School Finance</oddFooter>
  </headerFooter>
  <picture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>
    <pageSetUpPr fitToPage="1"/>
  </sheetPr>
  <dimension ref="A1:H78"/>
  <sheetViews>
    <sheetView showGridLines="0" topLeftCell="A10" workbookViewId="0">
      <selection activeCell="C12" sqref="C12"/>
    </sheetView>
  </sheetViews>
  <sheetFormatPr defaultColWidth="9.140625" defaultRowHeight="12.75" x14ac:dyDescent="0.2"/>
  <cols>
    <col min="1" max="1" width="31.85546875" style="82" customWidth="1"/>
    <col min="2" max="2" width="16.140625" style="82" customWidth="1"/>
    <col min="3" max="4" width="14.85546875" style="82" customWidth="1"/>
    <col min="5" max="5" width="7" style="82" customWidth="1"/>
    <col min="6" max="6" width="19.7109375" style="82" customWidth="1"/>
    <col min="7" max="7" width="5.7109375" style="82" customWidth="1"/>
    <col min="8" max="8" width="18" style="82" customWidth="1"/>
    <col min="9" max="16384" width="9.140625" style="82"/>
  </cols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"/>
      <c r="B3" s="1"/>
      <c r="C3" s="1"/>
      <c r="D3" s="1"/>
      <c r="E3" s="1"/>
      <c r="F3" s="1"/>
      <c r="G3" s="1"/>
      <c r="H3" s="1"/>
    </row>
    <row r="4" spans="1:8" x14ac:dyDescent="0.2">
      <c r="A4" s="1"/>
      <c r="B4" s="1"/>
      <c r="C4" s="1"/>
      <c r="D4" s="1"/>
      <c r="E4" s="1"/>
      <c r="F4" s="1"/>
      <c r="G4" s="1"/>
      <c r="H4" s="1"/>
    </row>
    <row r="5" spans="1:8" x14ac:dyDescent="0.2">
      <c r="A5" s="1"/>
      <c r="B5" s="1"/>
      <c r="C5" s="1"/>
      <c r="D5" s="1"/>
      <c r="E5" s="1"/>
      <c r="F5" s="1"/>
      <c r="G5" s="1"/>
      <c r="H5" s="1"/>
    </row>
    <row r="6" spans="1:8" x14ac:dyDescent="0.2">
      <c r="A6" s="1"/>
      <c r="B6" s="1"/>
      <c r="C6" s="1"/>
      <c r="D6" s="1"/>
      <c r="E6" s="1"/>
      <c r="F6" s="1"/>
      <c r="G6" s="1"/>
      <c r="H6" s="1"/>
    </row>
    <row r="7" spans="1:8" x14ac:dyDescent="0.2">
      <c r="A7" s="1"/>
      <c r="B7" s="1"/>
      <c r="C7" s="1"/>
      <c r="D7" s="1"/>
      <c r="E7" s="1"/>
      <c r="F7" s="1"/>
      <c r="G7" s="1"/>
      <c r="H7" s="1"/>
    </row>
    <row r="8" spans="1:8" x14ac:dyDescent="0.2">
      <c r="A8" s="1"/>
      <c r="B8" s="1"/>
      <c r="C8" s="1"/>
      <c r="D8" s="1"/>
      <c r="E8" s="1"/>
      <c r="F8" s="1"/>
      <c r="G8" s="1"/>
      <c r="H8" s="1"/>
    </row>
    <row r="9" spans="1:8" x14ac:dyDescent="0.2">
      <c r="A9" s="1"/>
      <c r="B9" s="1"/>
      <c r="C9" s="1"/>
      <c r="D9" s="1"/>
      <c r="E9" s="1"/>
      <c r="F9" s="1"/>
      <c r="G9" s="1"/>
      <c r="H9" s="1"/>
    </row>
    <row r="10" spans="1:8" x14ac:dyDescent="0.2">
      <c r="A10" s="1"/>
      <c r="B10" s="1"/>
      <c r="C10" s="1"/>
      <c r="D10" s="1"/>
      <c r="E10" s="1"/>
      <c r="F10" s="1"/>
      <c r="G10" s="1"/>
      <c r="H10" s="1"/>
    </row>
    <row r="11" spans="1:8" x14ac:dyDescent="0.2">
      <c r="A11" s="1"/>
      <c r="B11" s="1"/>
      <c r="C11" s="1"/>
      <c r="D11" s="1"/>
      <c r="E11" s="1"/>
      <c r="F11" s="1"/>
      <c r="G11" s="1"/>
      <c r="H11" s="1"/>
    </row>
    <row r="12" spans="1:8" x14ac:dyDescent="0.2">
      <c r="A12" s="1"/>
      <c r="B12" s="1"/>
      <c r="C12" s="1"/>
      <c r="D12" s="1"/>
      <c r="E12" s="1"/>
      <c r="F12" s="1"/>
      <c r="G12" s="1"/>
      <c r="H12" s="1"/>
    </row>
    <row r="13" spans="1:8" x14ac:dyDescent="0.2">
      <c r="A13" s="1"/>
      <c r="B13" s="1"/>
      <c r="C13" s="1"/>
      <c r="D13" s="1"/>
      <c r="E13" s="1"/>
      <c r="F13" s="1"/>
      <c r="G13" s="1"/>
      <c r="H13" s="1"/>
    </row>
    <row r="14" spans="1:8" x14ac:dyDescent="0.2">
      <c r="A14" s="1"/>
      <c r="B14" s="1"/>
      <c r="C14" s="1"/>
      <c r="D14" s="1"/>
      <c r="E14" s="1"/>
      <c r="F14" s="1"/>
      <c r="G14" s="1"/>
      <c r="H14" s="1"/>
    </row>
    <row r="15" spans="1:8" x14ac:dyDescent="0.2">
      <c r="A15" s="1"/>
      <c r="B15" s="1"/>
      <c r="C15" s="1"/>
      <c r="D15" s="1"/>
      <c r="E15" s="1"/>
      <c r="F15" s="1"/>
      <c r="G15" s="1"/>
      <c r="H15" s="1"/>
    </row>
    <row r="16" spans="1:8" x14ac:dyDescent="0.2">
      <c r="A16" s="1"/>
      <c r="B16" s="1"/>
      <c r="C16" s="1"/>
      <c r="D16" s="1"/>
      <c r="E16" s="1"/>
      <c r="F16" s="1"/>
      <c r="G16" s="1"/>
      <c r="H16" s="1"/>
    </row>
    <row r="17" spans="1:8" x14ac:dyDescent="0.2">
      <c r="A17" s="1"/>
      <c r="B17" s="1"/>
      <c r="C17" s="1"/>
      <c r="D17" s="1"/>
      <c r="E17" s="1"/>
      <c r="F17" s="1"/>
      <c r="G17" s="1"/>
      <c r="H17" s="1"/>
    </row>
    <row r="18" spans="1:8" x14ac:dyDescent="0.2">
      <c r="A18" s="1"/>
      <c r="B18" s="1"/>
      <c r="C18" s="1"/>
      <c r="D18" s="1"/>
      <c r="E18" s="1"/>
      <c r="F18" s="1"/>
      <c r="G18" s="1"/>
      <c r="H18" s="1"/>
    </row>
    <row r="19" spans="1:8" x14ac:dyDescent="0.2">
      <c r="A19" s="1"/>
      <c r="B19" s="1"/>
      <c r="C19" s="1"/>
      <c r="D19" s="1"/>
      <c r="E19" s="1"/>
      <c r="F19" s="1"/>
      <c r="G19" s="1"/>
      <c r="H19" s="1"/>
    </row>
    <row r="20" spans="1:8" x14ac:dyDescent="0.2">
      <c r="A20" s="11" t="s">
        <v>1</v>
      </c>
      <c r="B20" s="12"/>
      <c r="C20" s="12"/>
      <c r="D20" s="13"/>
      <c r="E20" s="8"/>
      <c r="F20" s="8"/>
      <c r="G20" s="8"/>
      <c r="H20" s="8"/>
    </row>
    <row r="21" spans="1:8" x14ac:dyDescent="0.2">
      <c r="A21" s="14" t="s">
        <v>15</v>
      </c>
      <c r="B21" s="15"/>
      <c r="C21" s="15"/>
      <c r="D21" s="16"/>
      <c r="E21" s="8"/>
      <c r="F21" s="8"/>
      <c r="G21" s="8"/>
      <c r="H21" s="8"/>
    </row>
    <row r="22" spans="1:8" x14ac:dyDescent="0.2">
      <c r="A22" s="17" t="s">
        <v>62</v>
      </c>
      <c r="B22" s="18"/>
      <c r="C22" s="18"/>
      <c r="D22" s="19"/>
      <c r="E22" s="8"/>
      <c r="F22" s="8"/>
      <c r="G22" s="8"/>
      <c r="H22" s="8"/>
    </row>
    <row r="23" spans="1:8" x14ac:dyDescent="0.2">
      <c r="A23" s="20"/>
      <c r="B23" s="21"/>
      <c r="C23" s="22"/>
      <c r="D23" s="23"/>
      <c r="E23" s="8"/>
      <c r="F23" s="8" t="s">
        <v>34</v>
      </c>
      <c r="G23" s="8"/>
      <c r="H23" s="8"/>
    </row>
    <row r="24" spans="1:8" ht="15.75" x14ac:dyDescent="0.25">
      <c r="A24" s="24" t="s">
        <v>2</v>
      </c>
      <c r="B24" s="25" t="str">
        <f>[1]Charters!B27</f>
        <v>Itineris Early College HS</v>
      </c>
      <c r="C24" s="26"/>
      <c r="D24" s="27"/>
      <c r="E24" s="8"/>
      <c r="F24" s="8"/>
      <c r="G24" s="8"/>
      <c r="H24" s="8"/>
    </row>
    <row r="25" spans="1:8" x14ac:dyDescent="0.2">
      <c r="A25" s="24"/>
      <c r="B25" s="28"/>
      <c r="C25" s="26"/>
      <c r="D25" s="27"/>
      <c r="E25" s="8"/>
      <c r="F25" s="8"/>
      <c r="G25" s="8"/>
      <c r="H25" s="8"/>
    </row>
    <row r="26" spans="1:8" x14ac:dyDescent="0.2">
      <c r="A26" s="29" t="s">
        <v>0</v>
      </c>
      <c r="B26" s="30">
        <f>[1]Charters!$E$6</f>
        <v>3184</v>
      </c>
      <c r="C26" s="26"/>
      <c r="D26" s="31"/>
      <c r="E26" s="8"/>
      <c r="F26" s="8"/>
      <c r="G26" s="8"/>
      <c r="H26" s="8"/>
    </row>
    <row r="27" spans="1:8" x14ac:dyDescent="0.2">
      <c r="A27" s="32"/>
      <c r="B27" s="6"/>
      <c r="C27" s="33"/>
      <c r="D27" s="34" t="s">
        <v>3</v>
      </c>
      <c r="E27" s="8"/>
      <c r="F27" s="8"/>
      <c r="G27" s="8"/>
      <c r="H27" s="8"/>
    </row>
    <row r="28" spans="1:8" x14ac:dyDescent="0.2">
      <c r="A28" s="29" t="s">
        <v>19</v>
      </c>
      <c r="B28" s="35" t="str">
        <f>[1]Charters!A27</f>
        <v>A5</v>
      </c>
      <c r="C28" s="36" t="s">
        <v>4</v>
      </c>
      <c r="D28" s="37" t="s">
        <v>5</v>
      </c>
      <c r="E28" s="8"/>
      <c r="F28" s="8"/>
      <c r="G28" s="8"/>
      <c r="H28" s="8"/>
    </row>
    <row r="29" spans="1:8" x14ac:dyDescent="0.2">
      <c r="A29" s="38" t="s">
        <v>6</v>
      </c>
      <c r="B29" s="39"/>
      <c r="C29" s="40"/>
      <c r="D29" s="41"/>
      <c r="E29" s="8"/>
      <c r="F29" s="8"/>
      <c r="G29" s="8"/>
      <c r="H29" s="8"/>
    </row>
    <row r="30" spans="1:8" x14ac:dyDescent="0.2">
      <c r="A30" s="38" t="s">
        <v>7</v>
      </c>
      <c r="B30" s="39"/>
      <c r="C30" s="40"/>
      <c r="D30" s="41"/>
      <c r="E30" s="8"/>
      <c r="F30" s="42" t="s">
        <v>23</v>
      </c>
      <c r="G30" s="8"/>
      <c r="H30" s="42" t="s">
        <v>26</v>
      </c>
    </row>
    <row r="31" spans="1:8" x14ac:dyDescent="0.2">
      <c r="A31" s="20" t="s">
        <v>8</v>
      </c>
      <c r="B31" s="43"/>
      <c r="C31" s="44">
        <f>[1]Charters!C487</f>
        <v>464.517</v>
      </c>
      <c r="D31" s="45">
        <f>[1]Charters!E487</f>
        <v>1479022.24</v>
      </c>
      <c r="E31" s="8"/>
      <c r="F31" s="42">
        <f>[1]Charters!E642</f>
        <v>1638352.23</v>
      </c>
      <c r="G31" s="8"/>
      <c r="H31" s="42">
        <f>[2]Charters!E181</f>
        <v>1759423.56</v>
      </c>
    </row>
    <row r="32" spans="1:8" x14ac:dyDescent="0.2">
      <c r="A32" s="20" t="s">
        <v>14</v>
      </c>
      <c r="B32" s="43"/>
      <c r="C32" s="44">
        <f>[1]Charters!F487</f>
        <v>50.040999999999997</v>
      </c>
      <c r="D32" s="45">
        <f>[1]Charters!H487</f>
        <v>159329.99</v>
      </c>
      <c r="E32" s="8"/>
      <c r="F32" s="42">
        <f>SUM(D31:D33)</f>
        <v>1638352.23</v>
      </c>
      <c r="G32" s="8"/>
      <c r="H32" s="42">
        <f>D44</f>
        <v>1759423.56</v>
      </c>
    </row>
    <row r="33" spans="1:8" x14ac:dyDescent="0.2">
      <c r="A33" s="20" t="s">
        <v>32</v>
      </c>
      <c r="B33" s="43"/>
      <c r="C33" s="44">
        <f>[1]Charters!C180</f>
        <v>0</v>
      </c>
      <c r="D33" s="45">
        <f>[1]Charters!E180</f>
        <v>0</v>
      </c>
      <c r="E33" s="8"/>
      <c r="F33" s="42">
        <f>+F31-F32</f>
        <v>0</v>
      </c>
      <c r="G33" s="8"/>
      <c r="H33" s="42">
        <f>+H31-H32</f>
        <v>0</v>
      </c>
    </row>
    <row r="34" spans="1:8" x14ac:dyDescent="0.2">
      <c r="A34" s="38" t="s">
        <v>9</v>
      </c>
      <c r="B34" s="39"/>
      <c r="C34" s="46"/>
      <c r="D34" s="47"/>
      <c r="E34" s="8"/>
      <c r="F34" s="8"/>
      <c r="G34" s="8"/>
      <c r="H34" s="8"/>
    </row>
    <row r="35" spans="1:8" x14ac:dyDescent="0.2">
      <c r="A35" s="20" t="s">
        <v>10</v>
      </c>
      <c r="B35" s="43"/>
      <c r="C35" s="40">
        <f>[3]Charters!C26</f>
        <v>3.65</v>
      </c>
      <c r="D35" s="41">
        <f>[3]Charters!E26</f>
        <v>11620.09</v>
      </c>
      <c r="E35" s="8"/>
      <c r="F35" s="42" t="s">
        <v>24</v>
      </c>
      <c r="G35" s="8"/>
      <c r="H35" s="8"/>
    </row>
    <row r="36" spans="1:8" x14ac:dyDescent="0.2">
      <c r="A36" s="48" t="s">
        <v>11</v>
      </c>
      <c r="B36" s="43"/>
      <c r="C36" s="40">
        <f>[3]Charters!F26</f>
        <v>0</v>
      </c>
      <c r="D36" s="49">
        <f>[3]Charters!H26</f>
        <v>0</v>
      </c>
      <c r="E36" s="8"/>
      <c r="F36" s="42">
        <f>[3]Charters!N337</f>
        <v>14629.12</v>
      </c>
      <c r="G36" s="8"/>
      <c r="H36" s="8"/>
    </row>
    <row r="37" spans="1:8" x14ac:dyDescent="0.2">
      <c r="A37" s="48" t="s">
        <v>12</v>
      </c>
      <c r="B37" s="43"/>
      <c r="C37" s="40">
        <f>[3]Charters!C181</f>
        <v>0</v>
      </c>
      <c r="D37" s="41">
        <f>[3]Charters!E181</f>
        <v>0</v>
      </c>
      <c r="E37" s="8"/>
      <c r="F37" s="42">
        <f>SUM(D35:D41)</f>
        <v>14629.12</v>
      </c>
      <c r="G37" s="8"/>
      <c r="H37" s="8"/>
    </row>
    <row r="38" spans="1:8" x14ac:dyDescent="0.2">
      <c r="A38" s="20" t="s">
        <v>13</v>
      </c>
      <c r="B38" s="43"/>
      <c r="C38" s="40">
        <f>[3]Charters!F181</f>
        <v>0.70899999999999996</v>
      </c>
      <c r="D38" s="41">
        <f>[3]Charters!H181</f>
        <v>2259</v>
      </c>
      <c r="E38" s="8"/>
      <c r="F38" s="42">
        <f>+F36-F37</f>
        <v>0</v>
      </c>
      <c r="G38" s="8"/>
      <c r="H38" s="8"/>
    </row>
    <row r="39" spans="1:8" x14ac:dyDescent="0.2">
      <c r="A39" s="48" t="s">
        <v>54</v>
      </c>
      <c r="B39" s="43"/>
      <c r="C39" s="40">
        <f>[3]Charters!C337</f>
        <v>0.23599999999999999</v>
      </c>
      <c r="D39" s="41">
        <f>[3]Charters!E337</f>
        <v>750.03</v>
      </c>
      <c r="E39" s="8"/>
      <c r="F39" s="8"/>
      <c r="G39" s="8"/>
      <c r="H39" s="8"/>
    </row>
    <row r="40" spans="1:8" x14ac:dyDescent="0.2">
      <c r="A40" s="48" t="s">
        <v>55</v>
      </c>
      <c r="B40" s="43"/>
      <c r="C40" s="40">
        <f>[3]Charters!F337</f>
        <v>0</v>
      </c>
      <c r="D40" s="41">
        <f>[3]Charters!H337</f>
        <v>0</v>
      </c>
      <c r="E40" s="8"/>
      <c r="F40" s="42" t="s">
        <v>25</v>
      </c>
      <c r="G40" s="8"/>
      <c r="H40" s="8"/>
    </row>
    <row r="41" spans="1:8" x14ac:dyDescent="0.2">
      <c r="A41" s="48" t="s">
        <v>56</v>
      </c>
      <c r="B41" s="43"/>
      <c r="C41" s="40">
        <f>[3]Charters!I337</f>
        <v>0</v>
      </c>
      <c r="D41" s="41">
        <f>[3]Charters!K337</f>
        <v>0</v>
      </c>
      <c r="E41" s="8"/>
      <c r="F41" s="42">
        <f>[2]Charters!H27</f>
        <v>121071.33</v>
      </c>
      <c r="G41" s="8"/>
      <c r="H41" s="8"/>
    </row>
    <row r="42" spans="1:8" x14ac:dyDescent="0.2">
      <c r="A42" s="20" t="s">
        <v>49</v>
      </c>
      <c r="B42" s="43"/>
      <c r="C42" s="40">
        <f>[3]Charters!C494</f>
        <v>33.43</v>
      </c>
      <c r="D42" s="41">
        <f>[3]Charters!E494</f>
        <v>106442.21</v>
      </c>
      <c r="E42" s="8"/>
      <c r="F42" s="42">
        <f>SUM(D35:D43)</f>
        <v>121071.33</v>
      </c>
      <c r="G42" s="8"/>
      <c r="H42" s="8"/>
    </row>
    <row r="43" spans="1:8" x14ac:dyDescent="0.2">
      <c r="A43" s="20" t="s">
        <v>50</v>
      </c>
      <c r="B43" s="43"/>
      <c r="C43" s="40">
        <f>[2]Charters!C27</f>
        <v>0</v>
      </c>
      <c r="D43" s="41">
        <f>[2]Charters!E27</f>
        <v>0</v>
      </c>
      <c r="E43" s="8"/>
      <c r="F43" s="42">
        <f>+F41-F42</f>
        <v>0</v>
      </c>
      <c r="G43" s="8"/>
      <c r="H43" s="8"/>
    </row>
    <row r="44" spans="1:8" x14ac:dyDescent="0.2">
      <c r="A44" s="50"/>
      <c r="B44" s="51" t="s">
        <v>16</v>
      </c>
      <c r="C44" s="52">
        <f>SUM(C31:C43)</f>
        <v>552.58299999999997</v>
      </c>
      <c r="D44" s="53">
        <f>SUM(D31:D43)</f>
        <v>1759423.56</v>
      </c>
      <c r="E44" s="8"/>
      <c r="F44" s="8"/>
      <c r="G44" s="8"/>
      <c r="H44" s="8"/>
    </row>
    <row r="45" spans="1:8" x14ac:dyDescent="0.2">
      <c r="A45" s="54" t="s">
        <v>17</v>
      </c>
      <c r="B45" s="39"/>
      <c r="C45" s="55"/>
      <c r="D45" s="47"/>
      <c r="E45" s="8"/>
      <c r="F45" s="8"/>
      <c r="G45" s="8"/>
      <c r="H45" s="42" t="s">
        <v>29</v>
      </c>
    </row>
    <row r="46" spans="1:8" x14ac:dyDescent="0.2">
      <c r="A46" s="20" t="s">
        <v>33</v>
      </c>
      <c r="B46" s="43"/>
      <c r="C46" s="56"/>
      <c r="D46" s="57">
        <f>[4]Charters!C26</f>
        <v>5099.63</v>
      </c>
      <c r="E46" s="8"/>
      <c r="F46" s="8"/>
      <c r="G46" s="8"/>
      <c r="H46" s="42">
        <f>[4]Charters!F967</f>
        <v>2898275.44</v>
      </c>
    </row>
    <row r="47" spans="1:8" x14ac:dyDescent="0.2">
      <c r="A47" s="58" t="s">
        <v>35</v>
      </c>
      <c r="B47" s="43"/>
      <c r="C47" s="56"/>
      <c r="D47" s="41">
        <f>+[4]Charters!F347</f>
        <v>4584.53</v>
      </c>
      <c r="E47" s="8"/>
      <c r="F47" s="8"/>
      <c r="G47" s="8"/>
      <c r="H47" s="42">
        <f>SUM(D44:D63)</f>
        <v>2898275.44</v>
      </c>
    </row>
    <row r="48" spans="1:8" x14ac:dyDescent="0.2">
      <c r="A48" s="59" t="s">
        <v>36</v>
      </c>
      <c r="B48" s="43"/>
      <c r="C48" s="56"/>
      <c r="D48" s="41">
        <f>[4]Charters!E186</f>
        <v>14772</v>
      </c>
      <c r="E48" s="8"/>
      <c r="F48" s="8"/>
      <c r="G48" s="8"/>
      <c r="H48" s="42">
        <f>+H46-H47</f>
        <v>0</v>
      </c>
    </row>
    <row r="49" spans="1:8" x14ac:dyDescent="0.2">
      <c r="A49" s="59" t="s">
        <v>52</v>
      </c>
      <c r="B49" s="43"/>
      <c r="C49" s="56"/>
      <c r="D49" s="41">
        <f>[4]Charters!G347</f>
        <v>144991.15</v>
      </c>
      <c r="E49" s="8"/>
      <c r="F49" s="42" t="s">
        <v>27</v>
      </c>
      <c r="G49" s="8"/>
      <c r="H49" s="42"/>
    </row>
    <row r="50" spans="1:8" x14ac:dyDescent="0.2">
      <c r="A50" s="20" t="s">
        <v>37</v>
      </c>
      <c r="B50" s="43"/>
      <c r="C50" s="56"/>
      <c r="D50" s="41">
        <f>[4]Charters!E503</f>
        <v>29098</v>
      </c>
      <c r="E50" s="8"/>
      <c r="F50" s="42">
        <f>[4]Charters!E186</f>
        <v>14772</v>
      </c>
      <c r="G50" s="8"/>
      <c r="H50" s="8"/>
    </row>
    <row r="51" spans="1:8" x14ac:dyDescent="0.2">
      <c r="A51" s="20" t="s">
        <v>38</v>
      </c>
      <c r="B51" s="43"/>
      <c r="C51" s="56"/>
      <c r="D51" s="41">
        <f>[4]Charters!F503</f>
        <v>0</v>
      </c>
      <c r="E51" s="8"/>
      <c r="F51" s="42">
        <f>SUM(D48:D48)</f>
        <v>14772</v>
      </c>
      <c r="G51" s="8"/>
      <c r="H51" s="8"/>
    </row>
    <row r="52" spans="1:8" x14ac:dyDescent="0.2">
      <c r="A52" s="59" t="s">
        <v>40</v>
      </c>
      <c r="B52" s="43"/>
      <c r="C52" s="56"/>
      <c r="D52" s="41">
        <f>[4]Charters!G503</f>
        <v>0</v>
      </c>
      <c r="E52" s="8"/>
      <c r="F52" s="42">
        <f>+F50-F51</f>
        <v>0</v>
      </c>
      <c r="G52" s="8"/>
      <c r="H52" s="8"/>
    </row>
    <row r="53" spans="1:8" x14ac:dyDescent="0.2">
      <c r="A53" s="20" t="s">
        <v>41</v>
      </c>
      <c r="B53" s="43"/>
      <c r="C53" s="56"/>
      <c r="D53" s="41">
        <f>[4]Charters!C658</f>
        <v>772386</v>
      </c>
      <c r="E53" s="8"/>
      <c r="F53" s="42" t="s">
        <v>28</v>
      </c>
      <c r="G53" s="8"/>
      <c r="H53" s="8"/>
    </row>
    <row r="54" spans="1:8" x14ac:dyDescent="0.2">
      <c r="A54" s="20" t="s">
        <v>42</v>
      </c>
      <c r="B54" s="43"/>
      <c r="C54" s="56"/>
      <c r="D54" s="41">
        <f>[4]Charters!D658</f>
        <v>96944.13</v>
      </c>
      <c r="E54" s="8"/>
      <c r="F54" s="42">
        <f>[4]Charters!D503</f>
        <v>164347.68</v>
      </c>
      <c r="G54" s="8"/>
      <c r="H54" s="8"/>
    </row>
    <row r="55" spans="1:8" x14ac:dyDescent="0.2">
      <c r="A55" s="20" t="s">
        <v>44</v>
      </c>
      <c r="B55" s="43"/>
      <c r="C55" s="56"/>
      <c r="D55" s="41">
        <f>[4]Charters!E658</f>
        <v>38600</v>
      </c>
      <c r="E55" s="8"/>
      <c r="F55" s="42">
        <f>SUM(D47:D49)</f>
        <v>164347.68</v>
      </c>
      <c r="G55" s="8"/>
      <c r="H55" s="8"/>
    </row>
    <row r="56" spans="1:8" x14ac:dyDescent="0.2">
      <c r="A56" s="59" t="s">
        <v>43</v>
      </c>
      <c r="B56" s="43"/>
      <c r="C56" s="56"/>
      <c r="D56" s="41">
        <f>[4]Charters!F658</f>
        <v>0</v>
      </c>
      <c r="E56" s="8"/>
      <c r="F56" s="42">
        <f>+F54-F55</f>
        <v>0</v>
      </c>
      <c r="G56" s="8"/>
      <c r="H56" s="8"/>
    </row>
    <row r="57" spans="1:8" x14ac:dyDescent="0.2">
      <c r="A57" s="59" t="s">
        <v>45</v>
      </c>
      <c r="B57" s="43"/>
      <c r="C57" s="56"/>
      <c r="D57" s="41">
        <f>[4]Charters!C503</f>
        <v>0</v>
      </c>
      <c r="E57" s="8"/>
      <c r="F57" s="8"/>
      <c r="G57" s="8"/>
      <c r="H57" s="8"/>
    </row>
    <row r="58" spans="1:8" x14ac:dyDescent="0.2">
      <c r="A58" s="59" t="s">
        <v>46</v>
      </c>
      <c r="B58" s="43"/>
      <c r="C58" s="56"/>
      <c r="D58" s="41">
        <f>[4]Charters!C814</f>
        <v>0</v>
      </c>
      <c r="E58" s="8"/>
      <c r="F58" s="8"/>
      <c r="G58" s="8"/>
      <c r="H58" s="42" t="s">
        <v>31</v>
      </c>
    </row>
    <row r="59" spans="1:8" x14ac:dyDescent="0.2">
      <c r="A59" s="59" t="s">
        <v>51</v>
      </c>
      <c r="B59" s="43"/>
      <c r="C59" s="56"/>
      <c r="D59" s="60">
        <f>[4]Charters!D814</f>
        <v>606.83000000000004</v>
      </c>
      <c r="E59" s="8"/>
      <c r="F59" s="8"/>
      <c r="G59" s="8"/>
      <c r="H59" s="42">
        <f>[4]Charters!D1273</f>
        <v>2906211.51</v>
      </c>
    </row>
    <row r="60" spans="1:8" x14ac:dyDescent="0.2">
      <c r="A60" s="20" t="s">
        <v>47</v>
      </c>
      <c r="B60" s="43"/>
      <c r="C60" s="56"/>
      <c r="D60" s="60">
        <f>[4]Charters!E814</f>
        <v>0</v>
      </c>
      <c r="E60" s="42"/>
      <c r="F60" s="42"/>
      <c r="G60" s="42"/>
      <c r="H60" s="42">
        <f>D69</f>
        <v>2906211.51</v>
      </c>
    </row>
    <row r="61" spans="1:8" x14ac:dyDescent="0.2">
      <c r="A61" s="20" t="s">
        <v>57</v>
      </c>
      <c r="B61" s="43"/>
      <c r="C61" s="56"/>
      <c r="D61" s="60">
        <f>[4]Charters!C967</f>
        <v>12569.14</v>
      </c>
      <c r="E61" s="42"/>
      <c r="F61" s="42"/>
      <c r="G61" s="42"/>
      <c r="H61" s="42">
        <f>+H59-H60</f>
        <v>0</v>
      </c>
    </row>
    <row r="62" spans="1:8" x14ac:dyDescent="0.2">
      <c r="A62" s="59" t="s">
        <v>53</v>
      </c>
      <c r="B62" s="43"/>
      <c r="C62" s="56"/>
      <c r="D62" s="60">
        <f>[4]Charters!D967</f>
        <v>0</v>
      </c>
      <c r="E62" s="42"/>
      <c r="F62" s="42" t="s">
        <v>30</v>
      </c>
      <c r="G62" s="42"/>
      <c r="H62" s="42"/>
    </row>
    <row r="63" spans="1:8" x14ac:dyDescent="0.2">
      <c r="A63" s="59" t="s">
        <v>59</v>
      </c>
      <c r="B63" s="43"/>
      <c r="C63" s="56"/>
      <c r="D63" s="60">
        <f>[4]Charters!E967</f>
        <v>19200.47</v>
      </c>
      <c r="E63" s="42"/>
      <c r="F63" s="42"/>
      <c r="G63" s="42"/>
      <c r="H63" s="42"/>
    </row>
    <row r="64" spans="1:8" x14ac:dyDescent="0.2">
      <c r="A64" s="38" t="s">
        <v>18</v>
      </c>
      <c r="B64" s="61"/>
      <c r="C64" s="62"/>
      <c r="D64" s="87"/>
      <c r="E64" s="42"/>
      <c r="F64" s="42">
        <f>[4]Charters!C1273</f>
        <v>7936.07</v>
      </c>
      <c r="G64" s="42"/>
      <c r="H64" s="42"/>
    </row>
    <row r="65" spans="1:8" x14ac:dyDescent="0.2">
      <c r="A65" s="59" t="s">
        <v>39</v>
      </c>
      <c r="B65" s="43"/>
      <c r="C65" s="56"/>
      <c r="D65" s="41">
        <f>[4]Charters!C1120</f>
        <v>3486.19</v>
      </c>
      <c r="E65" s="42"/>
      <c r="F65" s="42">
        <f>SUM(D65:D68)</f>
        <v>7936.07</v>
      </c>
      <c r="G65" s="42"/>
      <c r="H65" s="42"/>
    </row>
    <row r="66" spans="1:8" x14ac:dyDescent="0.2">
      <c r="A66" s="59" t="s">
        <v>48</v>
      </c>
      <c r="B66" s="43"/>
      <c r="C66" s="56"/>
      <c r="D66" s="41">
        <f>[4]Charters!D1120</f>
        <v>0</v>
      </c>
      <c r="E66" s="42"/>
      <c r="F66" s="42">
        <f>+F64-F65</f>
        <v>0</v>
      </c>
      <c r="G66" s="42"/>
      <c r="H66" s="42"/>
    </row>
    <row r="67" spans="1:8" x14ac:dyDescent="0.2">
      <c r="A67" s="59" t="s">
        <v>60</v>
      </c>
      <c r="B67" s="43"/>
      <c r="C67" s="56"/>
      <c r="D67" s="41">
        <f>[4]Charters!E1120</f>
        <v>0</v>
      </c>
      <c r="E67" s="42"/>
      <c r="F67" s="42"/>
      <c r="G67" s="42"/>
      <c r="H67" s="42"/>
    </row>
    <row r="68" spans="1:8" x14ac:dyDescent="0.2">
      <c r="A68" s="59" t="s">
        <v>61</v>
      </c>
      <c r="B68" s="43"/>
      <c r="C68" s="56"/>
      <c r="D68" s="41">
        <f>[4]Charters!F1120</f>
        <v>4449.88</v>
      </c>
      <c r="E68" s="42"/>
      <c r="F68" s="42"/>
      <c r="G68" s="42"/>
      <c r="H68" s="42"/>
    </row>
    <row r="69" spans="1:8" ht="13.5" thickBot="1" x14ac:dyDescent="0.25">
      <c r="A69" s="64"/>
      <c r="B69" s="65"/>
      <c r="C69" s="66"/>
      <c r="D69" s="67">
        <f>SUM(D44:D68)</f>
        <v>2906211.51</v>
      </c>
      <c r="E69" s="42"/>
      <c r="F69" s="42"/>
      <c r="G69" s="42"/>
      <c r="H69" s="42"/>
    </row>
    <row r="70" spans="1:8" ht="13.5" thickTop="1" x14ac:dyDescent="0.2">
      <c r="A70" s="68"/>
      <c r="B70" s="43"/>
      <c r="C70" s="56"/>
      <c r="D70" s="86"/>
      <c r="E70" s="42"/>
      <c r="F70" s="42"/>
      <c r="G70" s="42"/>
      <c r="H70" s="42"/>
    </row>
    <row r="71" spans="1:8" x14ac:dyDescent="0.2">
      <c r="A71" s="38" t="s">
        <v>20</v>
      </c>
      <c r="B71" s="39"/>
      <c r="C71" s="70"/>
      <c r="D71" s="71" t="s">
        <v>21</v>
      </c>
      <c r="E71" s="42"/>
      <c r="F71" s="42"/>
      <c r="G71" s="42"/>
      <c r="H71" s="42"/>
    </row>
    <row r="72" spans="1:8" x14ac:dyDescent="0.2">
      <c r="A72" s="72" t="s">
        <v>22</v>
      </c>
      <c r="B72" s="73"/>
      <c r="C72" s="74"/>
      <c r="D72" s="41">
        <f>[5]Charters!C26</f>
        <v>963.13</v>
      </c>
      <c r="E72" s="42"/>
      <c r="F72" s="42"/>
      <c r="G72" s="42"/>
      <c r="H72" s="42"/>
    </row>
    <row r="73" spans="1:8" x14ac:dyDescent="0.2">
      <c r="A73" s="75"/>
      <c r="B73" s="61"/>
      <c r="C73" s="76"/>
      <c r="D73" s="77">
        <f>SUM(D72:D72)</f>
        <v>963.13</v>
      </c>
      <c r="E73" s="42"/>
      <c r="F73" s="42"/>
      <c r="G73" s="42"/>
      <c r="H73" s="42"/>
    </row>
    <row r="74" spans="1:8" x14ac:dyDescent="0.2">
      <c r="A74" s="78" t="s">
        <v>58</v>
      </c>
      <c r="B74" s="79"/>
      <c r="C74" s="80"/>
      <c r="D74" s="77">
        <f>D73+D69</f>
        <v>2907174.64</v>
      </c>
      <c r="E74" s="42"/>
      <c r="F74" s="42"/>
      <c r="G74" s="42"/>
      <c r="H74" s="42"/>
    </row>
    <row r="75" spans="1:8" x14ac:dyDescent="0.2">
      <c r="A75" s="84"/>
      <c r="B75" s="84"/>
      <c r="C75" s="85"/>
      <c r="D75" s="81"/>
      <c r="E75" s="42"/>
      <c r="F75" s="42"/>
      <c r="G75" s="42"/>
      <c r="H75" s="42"/>
    </row>
    <row r="76" spans="1:8" x14ac:dyDescent="0.2">
      <c r="A76" s="84"/>
      <c r="B76" s="84"/>
      <c r="C76" s="85"/>
      <c r="D76" s="81">
        <f>[5]Charters!E182</f>
        <v>2907174.64</v>
      </c>
      <c r="E76" s="42"/>
      <c r="F76" s="42"/>
      <c r="G76" s="42"/>
      <c r="H76" s="42"/>
    </row>
    <row r="77" spans="1:8" x14ac:dyDescent="0.2">
      <c r="A77" s="84"/>
      <c r="B77" s="84"/>
      <c r="C77" s="85"/>
      <c r="D77" s="81">
        <f>D74</f>
        <v>2907174.64</v>
      </c>
      <c r="E77" s="42"/>
      <c r="F77" s="42"/>
      <c r="G77" s="42"/>
      <c r="H77" s="42"/>
    </row>
    <row r="78" spans="1:8" x14ac:dyDescent="0.2">
      <c r="C78" s="83"/>
      <c r="D78" s="42">
        <f>D76-D77</f>
        <v>0</v>
      </c>
      <c r="E78" s="42"/>
      <c r="F78" s="42"/>
      <c r="G78" s="42"/>
      <c r="H78" s="42"/>
    </row>
  </sheetData>
  <mergeCells count="4">
    <mergeCell ref="A22:D22"/>
    <mergeCell ref="A20:D20"/>
    <mergeCell ref="A21:D21"/>
    <mergeCell ref="A74:C74"/>
  </mergeCells>
  <phoneticPr fontId="0" type="noConversion"/>
  <printOptions horizontalCentered="1" verticalCentered="1"/>
  <pageMargins left="0.5" right="0.5" top="0.5" bottom="0.5" header="0.25" footer="0.25"/>
  <pageSetup orientation="portrait" r:id="rId1"/>
  <headerFooter alignWithMargins="0">
    <oddHeader>&amp;R&amp;8Current as of: &amp;D</oddHeader>
    <oddFooter>&amp;L&amp;8USOE, School Finance</oddFooter>
  </headerFooter>
  <picture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>
    <pageSetUpPr fitToPage="1"/>
  </sheetPr>
  <dimension ref="A1:H79"/>
  <sheetViews>
    <sheetView showGridLines="0" topLeftCell="A19" workbookViewId="0">
      <selection activeCell="C12" sqref="C12"/>
    </sheetView>
  </sheetViews>
  <sheetFormatPr defaultColWidth="9.140625" defaultRowHeight="12.75" x14ac:dyDescent="0.2"/>
  <cols>
    <col min="1" max="1" width="31.85546875" style="82" customWidth="1"/>
    <col min="2" max="2" width="16.28515625" style="82" customWidth="1"/>
    <col min="3" max="4" width="14.85546875" style="82" customWidth="1"/>
    <col min="5" max="5" width="7" style="82" customWidth="1"/>
    <col min="6" max="6" width="19.7109375" style="82" customWidth="1"/>
    <col min="7" max="7" width="5.7109375" style="82" customWidth="1"/>
    <col min="8" max="8" width="18" style="82" customWidth="1"/>
    <col min="9" max="16384" width="9.140625" style="82"/>
  </cols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"/>
      <c r="B3" s="1"/>
      <c r="C3" s="1"/>
      <c r="D3" s="1"/>
      <c r="E3" s="1"/>
      <c r="F3" s="1"/>
      <c r="G3" s="1"/>
      <c r="H3" s="1"/>
    </row>
    <row r="4" spans="1:8" x14ac:dyDescent="0.2">
      <c r="A4" s="1"/>
      <c r="B4" s="1"/>
      <c r="C4" s="1"/>
      <c r="D4" s="1"/>
      <c r="E4" s="1"/>
      <c r="F4" s="1"/>
      <c r="G4" s="1"/>
      <c r="H4" s="1"/>
    </row>
    <row r="5" spans="1:8" x14ac:dyDescent="0.2">
      <c r="A5" s="1"/>
      <c r="B5" s="1"/>
      <c r="C5" s="1"/>
      <c r="D5" s="1"/>
      <c r="E5" s="1"/>
      <c r="F5" s="1"/>
      <c r="G5" s="1"/>
      <c r="H5" s="1"/>
    </row>
    <row r="6" spans="1:8" x14ac:dyDescent="0.2">
      <c r="A6" s="1"/>
      <c r="B6" s="1"/>
      <c r="C6" s="1"/>
      <c r="D6" s="1"/>
      <c r="E6" s="1"/>
      <c r="F6" s="1"/>
      <c r="G6" s="1"/>
      <c r="H6" s="1"/>
    </row>
    <row r="7" spans="1:8" x14ac:dyDescent="0.2">
      <c r="A7" s="1"/>
      <c r="B7" s="1"/>
      <c r="C7" s="1"/>
      <c r="D7" s="1"/>
      <c r="E7" s="1"/>
      <c r="F7" s="1"/>
      <c r="G7" s="1"/>
      <c r="H7" s="1"/>
    </row>
    <row r="8" spans="1:8" x14ac:dyDescent="0.2">
      <c r="A8" s="1"/>
      <c r="B8" s="1"/>
      <c r="C8" s="1"/>
      <c r="D8" s="1"/>
      <c r="E8" s="1"/>
      <c r="F8" s="1"/>
      <c r="G8" s="1"/>
      <c r="H8" s="1"/>
    </row>
    <row r="9" spans="1:8" x14ac:dyDescent="0.2">
      <c r="A9" s="1"/>
      <c r="B9" s="1"/>
      <c r="C9" s="1"/>
      <c r="D9" s="1"/>
      <c r="E9" s="1"/>
      <c r="F9" s="1"/>
      <c r="G9" s="1"/>
      <c r="H9" s="1"/>
    </row>
    <row r="10" spans="1:8" x14ac:dyDescent="0.2">
      <c r="A10" s="1"/>
      <c r="B10" s="1"/>
      <c r="C10" s="1"/>
      <c r="D10" s="1"/>
      <c r="E10" s="1"/>
      <c r="F10" s="1"/>
      <c r="G10" s="1"/>
      <c r="H10" s="1"/>
    </row>
    <row r="11" spans="1:8" x14ac:dyDescent="0.2">
      <c r="A11" s="1"/>
      <c r="B11" s="1"/>
      <c r="C11" s="1"/>
      <c r="D11" s="1"/>
      <c r="E11" s="1"/>
      <c r="F11" s="1"/>
      <c r="G11" s="1"/>
      <c r="H11" s="1"/>
    </row>
    <row r="12" spans="1:8" x14ac:dyDescent="0.2">
      <c r="A12" s="1"/>
      <c r="B12" s="1"/>
      <c r="C12" s="1"/>
      <c r="D12" s="1"/>
      <c r="E12" s="1"/>
      <c r="F12" s="1"/>
      <c r="G12" s="1"/>
      <c r="H12" s="1"/>
    </row>
    <row r="13" spans="1:8" x14ac:dyDescent="0.2">
      <c r="A13" s="1"/>
      <c r="B13" s="1"/>
      <c r="C13" s="1"/>
      <c r="D13" s="1"/>
      <c r="E13" s="1"/>
      <c r="F13" s="1"/>
      <c r="G13" s="1"/>
      <c r="H13" s="1"/>
    </row>
    <row r="14" spans="1:8" x14ac:dyDescent="0.2">
      <c r="A14" s="1"/>
      <c r="B14" s="1"/>
      <c r="C14" s="1"/>
      <c r="D14" s="1"/>
      <c r="E14" s="1"/>
      <c r="F14" s="1"/>
      <c r="G14" s="1"/>
      <c r="H14" s="1"/>
    </row>
    <row r="15" spans="1:8" x14ac:dyDescent="0.2">
      <c r="A15" s="1"/>
      <c r="B15" s="1"/>
      <c r="C15" s="1"/>
      <c r="D15" s="1"/>
      <c r="E15" s="1"/>
      <c r="F15" s="1"/>
      <c r="G15" s="1"/>
      <c r="H15" s="1"/>
    </row>
    <row r="16" spans="1:8" x14ac:dyDescent="0.2">
      <c r="A16" s="1"/>
      <c r="B16" s="1"/>
      <c r="C16" s="1"/>
      <c r="D16" s="1"/>
      <c r="E16" s="1"/>
      <c r="F16" s="1"/>
      <c r="G16" s="1"/>
      <c r="H16" s="1"/>
    </row>
    <row r="17" spans="1:8" x14ac:dyDescent="0.2">
      <c r="A17" s="1"/>
      <c r="B17" s="1"/>
      <c r="C17" s="1"/>
      <c r="D17" s="1"/>
      <c r="E17" s="1"/>
      <c r="F17" s="1"/>
      <c r="G17" s="1"/>
      <c r="H17" s="1"/>
    </row>
    <row r="18" spans="1:8" x14ac:dyDescent="0.2">
      <c r="A18" s="1"/>
      <c r="B18" s="1"/>
      <c r="C18" s="1"/>
      <c r="D18" s="1"/>
      <c r="E18" s="1"/>
      <c r="F18" s="1"/>
      <c r="G18" s="1"/>
      <c r="H18" s="1"/>
    </row>
    <row r="19" spans="1:8" x14ac:dyDescent="0.2">
      <c r="A19" s="1"/>
      <c r="B19" s="1"/>
      <c r="C19" s="1"/>
      <c r="D19" s="1"/>
      <c r="E19" s="1"/>
      <c r="F19" s="1"/>
      <c r="G19" s="1"/>
      <c r="H19" s="1"/>
    </row>
    <row r="20" spans="1:8" x14ac:dyDescent="0.2">
      <c r="A20" s="1"/>
      <c r="B20" s="1"/>
      <c r="C20" s="1"/>
      <c r="D20" s="1"/>
      <c r="E20" s="1"/>
      <c r="F20" s="1"/>
      <c r="G20" s="1"/>
      <c r="H20" s="1"/>
    </row>
    <row r="21" spans="1:8" x14ac:dyDescent="0.2">
      <c r="A21" s="11" t="s">
        <v>1</v>
      </c>
      <c r="B21" s="12"/>
      <c r="C21" s="12"/>
      <c r="D21" s="13"/>
      <c r="E21" s="8"/>
      <c r="F21" s="8"/>
      <c r="G21" s="8"/>
      <c r="H21" s="8"/>
    </row>
    <row r="22" spans="1:8" x14ac:dyDescent="0.2">
      <c r="A22" s="14" t="s">
        <v>15</v>
      </c>
      <c r="B22" s="15"/>
      <c r="C22" s="15"/>
      <c r="D22" s="16"/>
      <c r="E22" s="8"/>
      <c r="F22" s="8"/>
      <c r="G22" s="8"/>
      <c r="H22" s="8"/>
    </row>
    <row r="23" spans="1:8" x14ac:dyDescent="0.2">
      <c r="A23" s="17" t="s">
        <v>62</v>
      </c>
      <c r="B23" s="18"/>
      <c r="C23" s="18"/>
      <c r="D23" s="19"/>
      <c r="E23" s="8"/>
      <c r="F23" s="8"/>
      <c r="G23" s="8"/>
      <c r="H23" s="8"/>
    </row>
    <row r="24" spans="1:8" x14ac:dyDescent="0.2">
      <c r="A24" s="20"/>
      <c r="B24" s="21"/>
      <c r="C24" s="22"/>
      <c r="D24" s="23"/>
      <c r="E24" s="8"/>
      <c r="F24" s="8" t="s">
        <v>34</v>
      </c>
      <c r="G24" s="8"/>
      <c r="H24" s="8"/>
    </row>
    <row r="25" spans="1:8" ht="15.75" x14ac:dyDescent="0.25">
      <c r="A25" s="24" t="s">
        <v>2</v>
      </c>
      <c r="B25" s="25" t="str">
        <f>[1]Charters!B28</f>
        <v>North Davis Prep Academy</v>
      </c>
      <c r="C25" s="26"/>
      <c r="D25" s="27"/>
      <c r="E25" s="8"/>
      <c r="F25" s="8"/>
      <c r="G25" s="8"/>
      <c r="H25" s="8"/>
    </row>
    <row r="26" spans="1:8" x14ac:dyDescent="0.2">
      <c r="A26" s="24"/>
      <c r="B26" s="28"/>
      <c r="C26" s="26"/>
      <c r="D26" s="27"/>
      <c r="E26" s="8"/>
      <c r="F26" s="8"/>
      <c r="G26" s="8"/>
      <c r="H26" s="8"/>
    </row>
    <row r="27" spans="1:8" x14ac:dyDescent="0.2">
      <c r="A27" s="29" t="s">
        <v>0</v>
      </c>
      <c r="B27" s="30">
        <f>[1]Charters!$E$6</f>
        <v>3184</v>
      </c>
      <c r="C27" s="26"/>
      <c r="D27" s="31"/>
      <c r="E27" s="8"/>
      <c r="F27" s="8"/>
      <c r="G27" s="8"/>
      <c r="H27" s="8"/>
    </row>
    <row r="28" spans="1:8" x14ac:dyDescent="0.2">
      <c r="A28" s="32"/>
      <c r="B28" s="6"/>
      <c r="C28" s="33"/>
      <c r="D28" s="34" t="s">
        <v>3</v>
      </c>
      <c r="E28" s="8"/>
      <c r="F28" s="8"/>
      <c r="G28" s="8"/>
      <c r="H28" s="8"/>
    </row>
    <row r="29" spans="1:8" x14ac:dyDescent="0.2">
      <c r="A29" s="29" t="s">
        <v>19</v>
      </c>
      <c r="B29" s="35" t="str">
        <f>[1]Charters!A28</f>
        <v>A6</v>
      </c>
      <c r="C29" s="36" t="s">
        <v>4</v>
      </c>
      <c r="D29" s="37" t="s">
        <v>5</v>
      </c>
      <c r="E29" s="8"/>
      <c r="F29" s="8"/>
      <c r="G29" s="8"/>
      <c r="H29" s="8"/>
    </row>
    <row r="30" spans="1:8" x14ac:dyDescent="0.2">
      <c r="A30" s="38" t="s">
        <v>6</v>
      </c>
      <c r="B30" s="39"/>
      <c r="C30" s="40"/>
      <c r="D30" s="41"/>
      <c r="E30" s="8"/>
      <c r="F30" s="8"/>
      <c r="G30" s="8"/>
      <c r="H30" s="8"/>
    </row>
    <row r="31" spans="1:8" x14ac:dyDescent="0.2">
      <c r="A31" s="38" t="s">
        <v>7</v>
      </c>
      <c r="B31" s="39"/>
      <c r="C31" s="40"/>
      <c r="D31" s="41"/>
      <c r="E31" s="8"/>
      <c r="F31" s="42" t="s">
        <v>23</v>
      </c>
      <c r="G31" s="8"/>
      <c r="H31" s="42" t="s">
        <v>26</v>
      </c>
    </row>
    <row r="32" spans="1:8" x14ac:dyDescent="0.2">
      <c r="A32" s="20" t="s">
        <v>8</v>
      </c>
      <c r="B32" s="43"/>
      <c r="C32" s="44">
        <f>[1]Charters!C488</f>
        <v>905.06700000000001</v>
      </c>
      <c r="D32" s="45">
        <f>[1]Charters!E488</f>
        <v>2881732.62</v>
      </c>
      <c r="E32" s="8"/>
      <c r="F32" s="42">
        <f>[1]Charters!E643</f>
        <v>3103055.45</v>
      </c>
      <c r="G32" s="8"/>
      <c r="H32" s="42">
        <f>[2]Charters!E182</f>
        <v>3635163.33</v>
      </c>
    </row>
    <row r="33" spans="1:8" x14ac:dyDescent="0.2">
      <c r="A33" s="20" t="s">
        <v>14</v>
      </c>
      <c r="B33" s="43"/>
      <c r="C33" s="44">
        <f>[1]Charters!F488</f>
        <v>69.510999999999996</v>
      </c>
      <c r="D33" s="45">
        <f>[1]Charters!H488</f>
        <v>221322.83</v>
      </c>
      <c r="E33" s="8"/>
      <c r="F33" s="42">
        <f>SUM(D32:D34)</f>
        <v>3103055.45</v>
      </c>
      <c r="G33" s="8"/>
      <c r="H33" s="42">
        <f>D45</f>
        <v>3635163.33</v>
      </c>
    </row>
    <row r="34" spans="1:8" x14ac:dyDescent="0.2">
      <c r="A34" s="20" t="s">
        <v>32</v>
      </c>
      <c r="B34" s="43"/>
      <c r="C34" s="44">
        <f>[1]Charters!C181</f>
        <v>0</v>
      </c>
      <c r="D34" s="45">
        <f>[1]Charters!E181</f>
        <v>0</v>
      </c>
      <c r="E34" s="8"/>
      <c r="F34" s="42">
        <f>+F32-F33</f>
        <v>0</v>
      </c>
      <c r="G34" s="8"/>
      <c r="H34" s="42">
        <f>+H32-H33</f>
        <v>0</v>
      </c>
    </row>
    <row r="35" spans="1:8" x14ac:dyDescent="0.2">
      <c r="A35" s="38" t="s">
        <v>9</v>
      </c>
      <c r="B35" s="39"/>
      <c r="C35" s="46"/>
      <c r="D35" s="47"/>
      <c r="E35" s="8"/>
      <c r="F35" s="8"/>
      <c r="G35" s="8"/>
      <c r="H35" s="8"/>
    </row>
    <row r="36" spans="1:8" x14ac:dyDescent="0.2">
      <c r="A36" s="20" t="s">
        <v>10</v>
      </c>
      <c r="B36" s="43"/>
      <c r="C36" s="40">
        <f>[3]Charters!C27</f>
        <v>71.710999999999999</v>
      </c>
      <c r="D36" s="41">
        <f>[3]Charters!E27</f>
        <v>228326.97</v>
      </c>
      <c r="E36" s="8"/>
      <c r="F36" s="42" t="s">
        <v>24</v>
      </c>
      <c r="G36" s="8"/>
      <c r="H36" s="8"/>
    </row>
    <row r="37" spans="1:8" x14ac:dyDescent="0.2">
      <c r="A37" s="48" t="s">
        <v>11</v>
      </c>
      <c r="B37" s="43"/>
      <c r="C37" s="40">
        <f>[3]Charters!F27</f>
        <v>2</v>
      </c>
      <c r="D37" s="49">
        <f>[3]Charters!H27</f>
        <v>6368</v>
      </c>
      <c r="E37" s="8"/>
      <c r="F37" s="42">
        <f>[3]Charters!N338</f>
        <v>242579.20000000001</v>
      </c>
      <c r="G37" s="8"/>
      <c r="H37" s="8"/>
    </row>
    <row r="38" spans="1:8" x14ac:dyDescent="0.2">
      <c r="A38" s="48" t="s">
        <v>12</v>
      </c>
      <c r="B38" s="43"/>
      <c r="C38" s="40">
        <f>[3]Charters!C182</f>
        <v>0</v>
      </c>
      <c r="D38" s="41">
        <f>[3]Charters!E182</f>
        <v>0</v>
      </c>
      <c r="E38" s="8"/>
      <c r="F38" s="42">
        <f>SUM(D36:D42)</f>
        <v>242579.20000000001</v>
      </c>
      <c r="G38" s="8"/>
      <c r="H38" s="8"/>
    </row>
    <row r="39" spans="1:8" x14ac:dyDescent="0.2">
      <c r="A39" s="20" t="s">
        <v>13</v>
      </c>
      <c r="B39" s="43"/>
      <c r="C39" s="40">
        <f>[3]Charters!F182</f>
        <v>0.70899999999999996</v>
      </c>
      <c r="D39" s="41">
        <f>[3]Charters!H182</f>
        <v>2259</v>
      </c>
      <c r="E39" s="8"/>
      <c r="F39" s="42">
        <f>+F37-F38</f>
        <v>0</v>
      </c>
      <c r="G39" s="8"/>
      <c r="H39" s="8"/>
    </row>
    <row r="40" spans="1:8" x14ac:dyDescent="0.2">
      <c r="A40" s="48" t="s">
        <v>54</v>
      </c>
      <c r="B40" s="43"/>
      <c r="C40" s="40">
        <f>[3]Charters!C338</f>
        <v>1.7669999999999999</v>
      </c>
      <c r="D40" s="41">
        <f>[3]Charters!E338</f>
        <v>5625.23</v>
      </c>
      <c r="E40" s="8"/>
      <c r="F40" s="8"/>
      <c r="G40" s="8"/>
      <c r="H40" s="8"/>
    </row>
    <row r="41" spans="1:8" x14ac:dyDescent="0.2">
      <c r="A41" s="48" t="s">
        <v>55</v>
      </c>
      <c r="B41" s="43"/>
      <c r="C41" s="40">
        <f>[3]Charters!F338</f>
        <v>0</v>
      </c>
      <c r="D41" s="41">
        <f>[3]Charters!H338</f>
        <v>0</v>
      </c>
      <c r="E41" s="8"/>
      <c r="F41" s="42" t="s">
        <v>25</v>
      </c>
      <c r="G41" s="8"/>
      <c r="H41" s="8"/>
    </row>
    <row r="42" spans="1:8" x14ac:dyDescent="0.2">
      <c r="A42" s="48" t="s">
        <v>56</v>
      </c>
      <c r="B42" s="43"/>
      <c r="C42" s="40">
        <f>[3]Charters!I338</f>
        <v>0</v>
      </c>
      <c r="D42" s="41">
        <f>[3]Charters!K338</f>
        <v>0</v>
      </c>
      <c r="E42" s="8"/>
      <c r="F42" s="42">
        <f>[2]Charters!H28</f>
        <v>532107.88</v>
      </c>
      <c r="G42" s="8"/>
      <c r="H42" s="8"/>
    </row>
    <row r="43" spans="1:8" x14ac:dyDescent="0.2">
      <c r="A43" s="20" t="s">
        <v>49</v>
      </c>
      <c r="B43" s="43"/>
      <c r="C43" s="40">
        <f>[3]Charters!C495</f>
        <v>7.88</v>
      </c>
      <c r="D43" s="41">
        <f>[3]Charters!E495</f>
        <v>25090.560000000001</v>
      </c>
      <c r="E43" s="8"/>
      <c r="F43" s="42">
        <f>SUM(D36:D44)</f>
        <v>532107.88</v>
      </c>
      <c r="G43" s="8"/>
      <c r="H43" s="8"/>
    </row>
    <row r="44" spans="1:8" x14ac:dyDescent="0.2">
      <c r="A44" s="20" t="s">
        <v>50</v>
      </c>
      <c r="B44" s="43"/>
      <c r="C44" s="40">
        <f>[2]Charters!C28</f>
        <v>83.052000000000007</v>
      </c>
      <c r="D44" s="41">
        <f>[2]Charters!E28</f>
        <v>264438.12</v>
      </c>
      <c r="E44" s="8"/>
      <c r="F44" s="42">
        <f>+F42-F43</f>
        <v>0</v>
      </c>
      <c r="G44" s="8"/>
      <c r="H44" s="8"/>
    </row>
    <row r="45" spans="1:8" x14ac:dyDescent="0.2">
      <c r="A45" s="50"/>
      <c r="B45" s="51" t="s">
        <v>16</v>
      </c>
      <c r="C45" s="52">
        <f>SUM(C32:C44)</f>
        <v>1141.6969999999999</v>
      </c>
      <c r="D45" s="53">
        <f>SUM(D32:D44)</f>
        <v>3635163.33</v>
      </c>
      <c r="E45" s="8"/>
      <c r="F45" s="8"/>
      <c r="G45" s="8"/>
      <c r="H45" s="8"/>
    </row>
    <row r="46" spans="1:8" x14ac:dyDescent="0.2">
      <c r="A46" s="54" t="s">
        <v>17</v>
      </c>
      <c r="B46" s="39"/>
      <c r="C46" s="55"/>
      <c r="D46" s="47"/>
      <c r="E46" s="8"/>
      <c r="F46" s="8"/>
      <c r="G46" s="8"/>
      <c r="H46" s="42" t="s">
        <v>29</v>
      </c>
    </row>
    <row r="47" spans="1:8" x14ac:dyDescent="0.2">
      <c r="A47" s="20" t="s">
        <v>33</v>
      </c>
      <c r="B47" s="43"/>
      <c r="C47" s="56"/>
      <c r="D47" s="57">
        <f>[4]Charters!C27</f>
        <v>10536.4</v>
      </c>
      <c r="E47" s="8"/>
      <c r="F47" s="8"/>
      <c r="G47" s="8"/>
      <c r="H47" s="42">
        <f>[4]Charters!F968</f>
        <v>6166338.2199999997</v>
      </c>
    </row>
    <row r="48" spans="1:8" x14ac:dyDescent="0.2">
      <c r="A48" s="58" t="s">
        <v>35</v>
      </c>
      <c r="B48" s="43"/>
      <c r="C48" s="56"/>
      <c r="D48" s="41">
        <f>+[4]Charters!F348</f>
        <v>4356.07</v>
      </c>
      <c r="E48" s="8"/>
      <c r="F48" s="8"/>
      <c r="G48" s="8"/>
      <c r="H48" s="42">
        <f>SUM(D45:D64)</f>
        <v>6166338.2199999997</v>
      </c>
    </row>
    <row r="49" spans="1:8" x14ac:dyDescent="0.2">
      <c r="A49" s="59" t="s">
        <v>36</v>
      </c>
      <c r="B49" s="43"/>
      <c r="C49" s="56"/>
      <c r="D49" s="41">
        <f>[4]Charters!E187</f>
        <v>34911</v>
      </c>
      <c r="E49" s="8"/>
      <c r="F49" s="8"/>
      <c r="G49" s="8"/>
      <c r="H49" s="42">
        <f>+H47-H48</f>
        <v>0</v>
      </c>
    </row>
    <row r="50" spans="1:8" x14ac:dyDescent="0.2">
      <c r="A50" s="59" t="s">
        <v>52</v>
      </c>
      <c r="B50" s="43"/>
      <c r="C50" s="56"/>
      <c r="D50" s="41">
        <f>[4]Charters!G348</f>
        <v>0</v>
      </c>
      <c r="E50" s="8"/>
      <c r="F50" s="42" t="s">
        <v>27</v>
      </c>
      <c r="G50" s="8"/>
      <c r="H50" s="42"/>
    </row>
    <row r="51" spans="1:8" x14ac:dyDescent="0.2">
      <c r="A51" s="20" t="s">
        <v>37</v>
      </c>
      <c r="B51" s="43"/>
      <c r="C51" s="56"/>
      <c r="D51" s="41">
        <f>[4]Charters!E504</f>
        <v>73425</v>
      </c>
      <c r="E51" s="8"/>
      <c r="F51" s="42">
        <f>[4]Charters!E187</f>
        <v>34911</v>
      </c>
      <c r="G51" s="8"/>
      <c r="H51" s="8"/>
    </row>
    <row r="52" spans="1:8" x14ac:dyDescent="0.2">
      <c r="A52" s="20" t="s">
        <v>38</v>
      </c>
      <c r="B52" s="43"/>
      <c r="C52" s="56"/>
      <c r="D52" s="41">
        <f>[4]Charters!F504</f>
        <v>0</v>
      </c>
      <c r="E52" s="8"/>
      <c r="F52" s="42">
        <f>SUM(D49:D49)</f>
        <v>34911</v>
      </c>
      <c r="G52" s="8"/>
      <c r="H52" s="8"/>
    </row>
    <row r="53" spans="1:8" x14ac:dyDescent="0.2">
      <c r="A53" s="59" t="s">
        <v>40</v>
      </c>
      <c r="B53" s="43"/>
      <c r="C53" s="56"/>
      <c r="D53" s="41">
        <f>[4]Charters!G504</f>
        <v>0</v>
      </c>
      <c r="E53" s="8"/>
      <c r="F53" s="42">
        <f>+F51-F52</f>
        <v>0</v>
      </c>
      <c r="G53" s="8"/>
      <c r="H53" s="8"/>
    </row>
    <row r="54" spans="1:8" x14ac:dyDescent="0.2">
      <c r="A54" s="20" t="s">
        <v>41</v>
      </c>
      <c r="B54" s="43"/>
      <c r="C54" s="56"/>
      <c r="D54" s="41">
        <f>[4]Charters!C659</f>
        <v>2035017</v>
      </c>
      <c r="E54" s="8"/>
      <c r="F54" s="42" t="s">
        <v>28</v>
      </c>
      <c r="G54" s="8"/>
      <c r="H54" s="8"/>
    </row>
    <row r="55" spans="1:8" x14ac:dyDescent="0.2">
      <c r="A55" s="20" t="s">
        <v>42</v>
      </c>
      <c r="B55" s="43"/>
      <c r="C55" s="56"/>
      <c r="D55" s="41">
        <f>[4]Charters!D659</f>
        <v>226078.97</v>
      </c>
      <c r="E55" s="8"/>
      <c r="F55" s="42">
        <f>[4]Charters!D504</f>
        <v>39267.07</v>
      </c>
      <c r="G55" s="8"/>
      <c r="H55" s="8"/>
    </row>
    <row r="56" spans="1:8" x14ac:dyDescent="0.2">
      <c r="A56" s="20" t="s">
        <v>44</v>
      </c>
      <c r="B56" s="43"/>
      <c r="C56" s="56"/>
      <c r="D56" s="41">
        <f>[4]Charters!E659</f>
        <v>101700</v>
      </c>
      <c r="E56" s="8"/>
      <c r="F56" s="42">
        <f>SUM(D48:D50)</f>
        <v>39267.07</v>
      </c>
      <c r="G56" s="8"/>
      <c r="H56" s="8"/>
    </row>
    <row r="57" spans="1:8" x14ac:dyDescent="0.2">
      <c r="A57" s="59" t="s">
        <v>43</v>
      </c>
      <c r="B57" s="43"/>
      <c r="C57" s="56"/>
      <c r="D57" s="41">
        <f>[4]Charters!F659</f>
        <v>32166.43</v>
      </c>
      <c r="E57" s="8"/>
      <c r="F57" s="42">
        <f>+F55-F56</f>
        <v>0</v>
      </c>
      <c r="G57" s="8"/>
      <c r="H57" s="8"/>
    </row>
    <row r="58" spans="1:8" x14ac:dyDescent="0.2">
      <c r="A58" s="59" t="s">
        <v>45</v>
      </c>
      <c r="B58" s="43"/>
      <c r="C58" s="56"/>
      <c r="D58" s="41">
        <f>[4]Charters!C504</f>
        <v>0</v>
      </c>
      <c r="E58" s="8"/>
      <c r="F58" s="8"/>
      <c r="G58" s="8"/>
      <c r="H58" s="8"/>
    </row>
    <row r="59" spans="1:8" x14ac:dyDescent="0.2">
      <c r="A59" s="59" t="s">
        <v>46</v>
      </c>
      <c r="B59" s="43"/>
      <c r="C59" s="56"/>
      <c r="D59" s="41">
        <f>[4]Charters!C815</f>
        <v>10000</v>
      </c>
      <c r="E59" s="8"/>
      <c r="F59" s="8"/>
      <c r="G59" s="8"/>
      <c r="H59" s="42" t="s">
        <v>31</v>
      </c>
    </row>
    <row r="60" spans="1:8" x14ac:dyDescent="0.2">
      <c r="A60" s="59" t="s">
        <v>51</v>
      </c>
      <c r="B60" s="43"/>
      <c r="C60" s="56"/>
      <c r="D60" s="60">
        <f>[4]Charters!D815</f>
        <v>1232.28</v>
      </c>
      <c r="E60" s="42"/>
      <c r="F60" s="42"/>
      <c r="G60" s="42"/>
      <c r="H60" s="42">
        <f>[4]Charters!D1274</f>
        <v>6174824.0999999996</v>
      </c>
    </row>
    <row r="61" spans="1:8" x14ac:dyDescent="0.2">
      <c r="A61" s="20" t="s">
        <v>47</v>
      </c>
      <c r="B61" s="43"/>
      <c r="C61" s="56"/>
      <c r="D61" s="60">
        <f>[4]Charters!E815</f>
        <v>0</v>
      </c>
      <c r="E61" s="42"/>
      <c r="F61" s="42"/>
      <c r="G61" s="42"/>
      <c r="H61" s="42">
        <f>D70</f>
        <v>6174824.0999999996</v>
      </c>
    </row>
    <row r="62" spans="1:8" x14ac:dyDescent="0.2">
      <c r="A62" s="20" t="s">
        <v>57</v>
      </c>
      <c r="B62" s="43"/>
      <c r="C62" s="56"/>
      <c r="D62" s="60">
        <f>[4]Charters!C968</f>
        <v>1751.74</v>
      </c>
      <c r="E62" s="42"/>
      <c r="F62" s="42"/>
      <c r="G62" s="42"/>
      <c r="H62" s="42">
        <f>+H60-H61</f>
        <v>0</v>
      </c>
    </row>
    <row r="63" spans="1:8" x14ac:dyDescent="0.2">
      <c r="A63" s="59" t="s">
        <v>53</v>
      </c>
      <c r="B63" s="43"/>
      <c r="C63" s="56"/>
      <c r="D63" s="60">
        <f>[4]Charters!D968</f>
        <v>0</v>
      </c>
      <c r="E63" s="42"/>
      <c r="F63" s="42" t="s">
        <v>30</v>
      </c>
      <c r="G63" s="42"/>
      <c r="H63" s="42"/>
    </row>
    <row r="64" spans="1:8" x14ac:dyDescent="0.2">
      <c r="A64" s="59" t="s">
        <v>59</v>
      </c>
      <c r="B64" s="43"/>
      <c r="C64" s="56"/>
      <c r="D64" s="60">
        <f>[4]Charters!E968</f>
        <v>0</v>
      </c>
      <c r="E64" s="42"/>
      <c r="F64" s="42"/>
      <c r="G64" s="42"/>
      <c r="H64" s="42"/>
    </row>
    <row r="65" spans="1:8" x14ac:dyDescent="0.2">
      <c r="A65" s="38" t="s">
        <v>18</v>
      </c>
      <c r="B65" s="61"/>
      <c r="C65" s="62"/>
      <c r="D65" s="87"/>
      <c r="E65" s="42"/>
      <c r="F65" s="42">
        <f>[4]Charters!C1274</f>
        <v>8485.8799999999992</v>
      </c>
      <c r="G65" s="42"/>
      <c r="H65" s="42"/>
    </row>
    <row r="66" spans="1:8" x14ac:dyDescent="0.2">
      <c r="A66" s="59" t="s">
        <v>39</v>
      </c>
      <c r="B66" s="43"/>
      <c r="C66" s="56"/>
      <c r="D66" s="41">
        <f>[4]Charters!C1121</f>
        <v>8485.8799999999992</v>
      </c>
      <c r="E66" s="42"/>
      <c r="F66" s="42">
        <f>SUM(D66:D69)</f>
        <v>8485.8799999999992</v>
      </c>
      <c r="G66" s="42"/>
      <c r="H66" s="42"/>
    </row>
    <row r="67" spans="1:8" x14ac:dyDescent="0.2">
      <c r="A67" s="59" t="s">
        <v>48</v>
      </c>
      <c r="B67" s="43"/>
      <c r="C67" s="56"/>
      <c r="D67" s="41">
        <f>[4]Charters!D1121</f>
        <v>0</v>
      </c>
      <c r="E67" s="42"/>
      <c r="F67" s="42">
        <f>+F65-F66</f>
        <v>0</v>
      </c>
      <c r="G67" s="42"/>
      <c r="H67" s="42"/>
    </row>
    <row r="68" spans="1:8" x14ac:dyDescent="0.2">
      <c r="A68" s="59" t="s">
        <v>60</v>
      </c>
      <c r="B68" s="43"/>
      <c r="C68" s="56"/>
      <c r="D68" s="41">
        <f>[4]Charters!E1121</f>
        <v>0</v>
      </c>
      <c r="E68" s="42"/>
      <c r="F68" s="42"/>
      <c r="G68" s="42"/>
      <c r="H68" s="42"/>
    </row>
    <row r="69" spans="1:8" x14ac:dyDescent="0.2">
      <c r="A69" s="59" t="s">
        <v>61</v>
      </c>
      <c r="B69" s="43"/>
      <c r="C69" s="56"/>
      <c r="D69" s="41">
        <f>[4]Charters!F1121</f>
        <v>0</v>
      </c>
      <c r="E69" s="42"/>
      <c r="F69" s="42"/>
      <c r="G69" s="42"/>
      <c r="H69" s="42"/>
    </row>
    <row r="70" spans="1:8" ht="13.5" thickBot="1" x14ac:dyDescent="0.25">
      <c r="A70" s="64"/>
      <c r="B70" s="65"/>
      <c r="C70" s="66"/>
      <c r="D70" s="67">
        <f>SUM(D45:D69)</f>
        <v>6174824.0999999996</v>
      </c>
      <c r="E70" s="42"/>
      <c r="F70" s="42"/>
      <c r="G70" s="42"/>
      <c r="H70" s="42"/>
    </row>
    <row r="71" spans="1:8" ht="13.5" thickTop="1" x14ac:dyDescent="0.2">
      <c r="A71" s="68"/>
      <c r="B71" s="43"/>
      <c r="C71" s="56"/>
      <c r="D71" s="86"/>
      <c r="E71" s="42"/>
      <c r="F71" s="42"/>
      <c r="G71" s="42"/>
      <c r="H71" s="42"/>
    </row>
    <row r="72" spans="1:8" x14ac:dyDescent="0.2">
      <c r="A72" s="38" t="s">
        <v>20</v>
      </c>
      <c r="B72" s="39"/>
      <c r="C72" s="70"/>
      <c r="D72" s="71" t="s">
        <v>21</v>
      </c>
      <c r="E72" s="42"/>
      <c r="F72" s="42"/>
      <c r="G72" s="42"/>
      <c r="H72" s="42"/>
    </row>
    <row r="73" spans="1:8" x14ac:dyDescent="0.2">
      <c r="A73" s="72" t="s">
        <v>22</v>
      </c>
      <c r="B73" s="73"/>
      <c r="C73" s="74"/>
      <c r="D73" s="41">
        <f>[5]Charters!C27</f>
        <v>2279.1799999999998</v>
      </c>
      <c r="E73" s="42"/>
      <c r="F73" s="42"/>
      <c r="G73" s="42"/>
      <c r="H73" s="42"/>
    </row>
    <row r="74" spans="1:8" x14ac:dyDescent="0.2">
      <c r="A74" s="75"/>
      <c r="B74" s="61"/>
      <c r="C74" s="76"/>
      <c r="D74" s="77">
        <f>SUM(D73:D73)</f>
        <v>2279.1799999999998</v>
      </c>
      <c r="E74" s="42"/>
      <c r="F74" s="42"/>
      <c r="G74" s="42"/>
      <c r="H74" s="42"/>
    </row>
    <row r="75" spans="1:8" x14ac:dyDescent="0.2">
      <c r="A75" s="78" t="s">
        <v>58</v>
      </c>
      <c r="B75" s="79"/>
      <c r="C75" s="80"/>
      <c r="D75" s="77">
        <f>D74+D70</f>
        <v>6177103.2800000003</v>
      </c>
      <c r="E75" s="42"/>
      <c r="F75" s="42"/>
      <c r="G75" s="42"/>
      <c r="H75" s="42"/>
    </row>
    <row r="76" spans="1:8" x14ac:dyDescent="0.2">
      <c r="A76" s="84"/>
      <c r="B76" s="84"/>
      <c r="C76" s="85"/>
      <c r="D76" s="81"/>
      <c r="E76" s="42"/>
      <c r="F76" s="42"/>
      <c r="G76" s="42"/>
      <c r="H76" s="42"/>
    </row>
    <row r="77" spans="1:8" x14ac:dyDescent="0.2">
      <c r="A77" s="84"/>
      <c r="B77" s="84"/>
      <c r="C77" s="85"/>
      <c r="D77" s="81">
        <f>[5]Charters!E183</f>
        <v>6177103.2800000003</v>
      </c>
      <c r="E77" s="42"/>
      <c r="F77" s="42"/>
      <c r="G77" s="42"/>
      <c r="H77" s="42"/>
    </row>
    <row r="78" spans="1:8" x14ac:dyDescent="0.2">
      <c r="A78" s="84"/>
      <c r="B78" s="84"/>
      <c r="C78" s="85"/>
      <c r="D78" s="81">
        <f>D75</f>
        <v>6177103.2800000003</v>
      </c>
      <c r="E78" s="42"/>
      <c r="F78" s="42"/>
      <c r="G78" s="42"/>
      <c r="H78" s="42"/>
    </row>
    <row r="79" spans="1:8" x14ac:dyDescent="0.2">
      <c r="C79" s="83"/>
      <c r="D79" s="42">
        <f>D77-D78</f>
        <v>0</v>
      </c>
      <c r="E79" s="42"/>
      <c r="F79" s="42"/>
      <c r="G79" s="42"/>
      <c r="H79" s="42"/>
    </row>
  </sheetData>
  <mergeCells count="4">
    <mergeCell ref="A23:D23"/>
    <mergeCell ref="A21:D21"/>
    <mergeCell ref="A22:D22"/>
    <mergeCell ref="A75:C75"/>
  </mergeCells>
  <phoneticPr fontId="0" type="noConversion"/>
  <printOptions horizontalCentered="1" verticalCentered="1"/>
  <pageMargins left="0.5" right="0.5" top="0.5" bottom="0.5" header="0.25" footer="0.25"/>
  <pageSetup orientation="portrait" r:id="rId1"/>
  <headerFooter alignWithMargins="0">
    <oddHeader>&amp;R&amp;8Current as of: &amp;D</oddHeader>
    <oddFooter>&amp;L&amp;8USOE, School Finance</oddFooter>
  </headerFooter>
  <picture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>
    <pageSetUpPr fitToPage="1"/>
  </sheetPr>
  <dimension ref="A1:H80"/>
  <sheetViews>
    <sheetView showGridLines="0" topLeftCell="A23" zoomScaleNormal="100" workbookViewId="0">
      <selection activeCell="C12" sqref="C12"/>
    </sheetView>
  </sheetViews>
  <sheetFormatPr defaultColWidth="9.140625" defaultRowHeight="12.75" x14ac:dyDescent="0.2"/>
  <cols>
    <col min="1" max="1" width="31.85546875" style="82" customWidth="1"/>
    <col min="2" max="2" width="16.140625" style="82" customWidth="1"/>
    <col min="3" max="4" width="14.85546875" style="82" customWidth="1"/>
    <col min="5" max="5" width="7" style="82" customWidth="1"/>
    <col min="6" max="6" width="19.7109375" style="82" customWidth="1"/>
    <col min="7" max="7" width="5.7109375" style="82" customWidth="1"/>
    <col min="8" max="8" width="18" style="82" customWidth="1"/>
    <col min="9" max="16384" width="9.140625" style="82"/>
  </cols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"/>
      <c r="B3" s="1"/>
      <c r="C3" s="1"/>
      <c r="D3" s="1"/>
      <c r="E3" s="1"/>
      <c r="F3" s="1"/>
      <c r="G3" s="1"/>
      <c r="H3" s="1"/>
    </row>
    <row r="4" spans="1:8" x14ac:dyDescent="0.2">
      <c r="A4" s="1"/>
      <c r="B4" s="1"/>
      <c r="C4" s="1"/>
      <c r="D4" s="1"/>
      <c r="E4" s="1"/>
      <c r="F4" s="1"/>
      <c r="G4" s="1"/>
      <c r="H4" s="1"/>
    </row>
    <row r="5" spans="1:8" x14ac:dyDescent="0.2">
      <c r="A5" s="1"/>
      <c r="B5" s="1"/>
      <c r="C5" s="1"/>
      <c r="D5" s="1"/>
      <c r="E5" s="1"/>
      <c r="F5" s="1"/>
      <c r="G5" s="1"/>
      <c r="H5" s="1"/>
    </row>
    <row r="6" spans="1:8" x14ac:dyDescent="0.2">
      <c r="A6" s="1"/>
      <c r="B6" s="1"/>
      <c r="C6" s="1"/>
      <c r="D6" s="1"/>
      <c r="E6" s="1"/>
      <c r="F6" s="1"/>
      <c r="G6" s="1"/>
      <c r="H6" s="1"/>
    </row>
    <row r="7" spans="1:8" x14ac:dyDescent="0.2">
      <c r="A7" s="1"/>
      <c r="B7" s="1"/>
      <c r="C7" s="1"/>
      <c r="D7" s="1"/>
      <c r="E7" s="1"/>
      <c r="F7" s="1"/>
      <c r="G7" s="1"/>
      <c r="H7" s="1"/>
    </row>
    <row r="8" spans="1:8" x14ac:dyDescent="0.2">
      <c r="A8" s="1"/>
      <c r="B8" s="1"/>
      <c r="C8" s="1"/>
      <c r="D8" s="1"/>
      <c r="E8" s="1"/>
      <c r="F8" s="1"/>
      <c r="G8" s="1"/>
      <c r="H8" s="1"/>
    </row>
    <row r="9" spans="1:8" x14ac:dyDescent="0.2">
      <c r="A9" s="1"/>
      <c r="B9" s="1"/>
      <c r="C9" s="1"/>
      <c r="D9" s="1"/>
      <c r="E9" s="1"/>
      <c r="F9" s="1"/>
      <c r="G9" s="1"/>
      <c r="H9" s="1"/>
    </row>
    <row r="10" spans="1:8" x14ac:dyDescent="0.2">
      <c r="A10" s="1"/>
      <c r="B10" s="1"/>
      <c r="C10" s="1"/>
      <c r="D10" s="1"/>
      <c r="E10" s="1"/>
      <c r="F10" s="1"/>
      <c r="G10" s="1"/>
      <c r="H10" s="1"/>
    </row>
    <row r="11" spans="1:8" x14ac:dyDescent="0.2">
      <c r="A11" s="1"/>
      <c r="B11" s="1"/>
      <c r="C11" s="1"/>
      <c r="D11" s="1"/>
      <c r="E11" s="1"/>
      <c r="F11" s="1"/>
      <c r="G11" s="1"/>
      <c r="H11" s="1"/>
    </row>
    <row r="12" spans="1:8" x14ac:dyDescent="0.2">
      <c r="A12" s="1"/>
      <c r="B12" s="1"/>
      <c r="C12" s="1"/>
      <c r="D12" s="1"/>
      <c r="E12" s="1"/>
      <c r="F12" s="1"/>
      <c r="G12" s="1"/>
      <c r="H12" s="1"/>
    </row>
    <row r="13" spans="1:8" x14ac:dyDescent="0.2">
      <c r="A13" s="1"/>
      <c r="B13" s="1"/>
      <c r="C13" s="1"/>
      <c r="D13" s="1"/>
      <c r="E13" s="1"/>
      <c r="F13" s="1"/>
      <c r="G13" s="1"/>
      <c r="H13" s="1"/>
    </row>
    <row r="14" spans="1:8" x14ac:dyDescent="0.2">
      <c r="A14" s="1"/>
      <c r="B14" s="1"/>
      <c r="C14" s="1"/>
      <c r="D14" s="1"/>
      <c r="E14" s="1"/>
      <c r="F14" s="1"/>
      <c r="G14" s="1"/>
      <c r="H14" s="1"/>
    </row>
    <row r="15" spans="1:8" x14ac:dyDescent="0.2">
      <c r="A15" s="1"/>
      <c r="B15" s="1"/>
      <c r="C15" s="1"/>
      <c r="D15" s="1"/>
      <c r="E15" s="1"/>
      <c r="F15" s="1"/>
      <c r="G15" s="1"/>
      <c r="H15" s="1"/>
    </row>
    <row r="16" spans="1:8" x14ac:dyDescent="0.2">
      <c r="A16" s="1"/>
      <c r="B16" s="1"/>
      <c r="C16" s="1"/>
      <c r="D16" s="1"/>
      <c r="E16" s="1"/>
      <c r="F16" s="1"/>
      <c r="G16" s="1"/>
      <c r="H16" s="1"/>
    </row>
    <row r="17" spans="1:8" x14ac:dyDescent="0.2">
      <c r="A17" s="1"/>
      <c r="B17" s="1"/>
      <c r="C17" s="1"/>
      <c r="D17" s="1"/>
      <c r="E17" s="1"/>
      <c r="F17" s="1"/>
      <c r="G17" s="1"/>
      <c r="H17" s="1"/>
    </row>
    <row r="18" spans="1:8" x14ac:dyDescent="0.2">
      <c r="A18" s="1"/>
      <c r="B18" s="1"/>
      <c r="C18" s="1"/>
      <c r="D18" s="1"/>
      <c r="E18" s="1"/>
      <c r="F18" s="1"/>
      <c r="G18" s="1"/>
      <c r="H18" s="1"/>
    </row>
    <row r="19" spans="1:8" x14ac:dyDescent="0.2">
      <c r="A19" s="1"/>
      <c r="B19" s="1"/>
      <c r="C19" s="1"/>
      <c r="D19" s="1"/>
      <c r="E19" s="1"/>
      <c r="F19" s="1"/>
      <c r="G19" s="1"/>
      <c r="H19" s="1"/>
    </row>
    <row r="20" spans="1:8" x14ac:dyDescent="0.2">
      <c r="A20" s="1"/>
      <c r="B20" s="1"/>
      <c r="C20" s="1"/>
      <c r="D20" s="1"/>
      <c r="E20" s="1"/>
      <c r="F20" s="1"/>
      <c r="G20" s="1"/>
      <c r="H20" s="1"/>
    </row>
    <row r="21" spans="1:8" x14ac:dyDescent="0.2">
      <c r="A21" s="1"/>
      <c r="B21" s="1"/>
      <c r="C21" s="1"/>
      <c r="D21" s="1"/>
      <c r="E21" s="1"/>
      <c r="F21" s="1"/>
      <c r="G21" s="1"/>
      <c r="H21" s="1"/>
    </row>
    <row r="22" spans="1:8" x14ac:dyDescent="0.2">
      <c r="A22" s="11" t="s">
        <v>1</v>
      </c>
      <c r="B22" s="12"/>
      <c r="C22" s="12"/>
      <c r="D22" s="13"/>
      <c r="E22" s="8"/>
      <c r="F22" s="8"/>
      <c r="G22" s="8"/>
      <c r="H22" s="8"/>
    </row>
    <row r="23" spans="1:8" x14ac:dyDescent="0.2">
      <c r="A23" s="14" t="s">
        <v>15</v>
      </c>
      <c r="B23" s="15"/>
      <c r="C23" s="15"/>
      <c r="D23" s="16"/>
      <c r="E23" s="8"/>
      <c r="F23" s="8"/>
      <c r="G23" s="8"/>
      <c r="H23" s="8"/>
    </row>
    <row r="24" spans="1:8" x14ac:dyDescent="0.2">
      <c r="A24" s="17" t="s">
        <v>62</v>
      </c>
      <c r="B24" s="18"/>
      <c r="C24" s="18"/>
      <c r="D24" s="19"/>
      <c r="E24" s="8"/>
      <c r="F24" s="8"/>
      <c r="G24" s="8"/>
      <c r="H24" s="8"/>
    </row>
    <row r="25" spans="1:8" x14ac:dyDescent="0.2">
      <c r="A25" s="20"/>
      <c r="B25" s="21"/>
      <c r="C25" s="22"/>
      <c r="D25" s="23"/>
      <c r="E25" s="8"/>
      <c r="F25" s="8" t="s">
        <v>34</v>
      </c>
      <c r="G25" s="8"/>
      <c r="H25" s="8"/>
    </row>
    <row r="26" spans="1:8" ht="15.75" x14ac:dyDescent="0.25">
      <c r="A26" s="24" t="s">
        <v>2</v>
      </c>
      <c r="B26" s="25" t="str">
        <f>[1]Charters!B29</f>
        <v>Moab Charter School</v>
      </c>
      <c r="C26" s="26"/>
      <c r="D26" s="27"/>
      <c r="E26" s="8"/>
      <c r="F26" s="8"/>
      <c r="G26" s="8"/>
      <c r="H26" s="8"/>
    </row>
    <row r="27" spans="1:8" x14ac:dyDescent="0.2">
      <c r="A27" s="24"/>
      <c r="B27" s="28"/>
      <c r="C27" s="26"/>
      <c r="D27" s="27"/>
      <c r="E27" s="8"/>
      <c r="F27" s="8"/>
      <c r="G27" s="8"/>
      <c r="H27" s="8"/>
    </row>
    <row r="28" spans="1:8" x14ac:dyDescent="0.2">
      <c r="A28" s="29" t="s">
        <v>0</v>
      </c>
      <c r="B28" s="30">
        <f>[1]Charters!$E$6</f>
        <v>3184</v>
      </c>
      <c r="C28" s="26"/>
      <c r="D28" s="31"/>
      <c r="E28" s="8"/>
      <c r="F28" s="8"/>
      <c r="G28" s="8"/>
      <c r="H28" s="8"/>
    </row>
    <row r="29" spans="1:8" x14ac:dyDescent="0.2">
      <c r="A29" s="32"/>
      <c r="B29" s="6"/>
      <c r="C29" s="33"/>
      <c r="D29" s="34" t="s">
        <v>3</v>
      </c>
      <c r="E29" s="8"/>
      <c r="F29" s="8"/>
      <c r="G29" s="8"/>
      <c r="H29" s="8"/>
    </row>
    <row r="30" spans="1:8" x14ac:dyDescent="0.2">
      <c r="A30" s="29" t="s">
        <v>19</v>
      </c>
      <c r="B30" s="35" t="str">
        <f>[1]Charters!A29</f>
        <v>A7</v>
      </c>
      <c r="C30" s="36" t="s">
        <v>4</v>
      </c>
      <c r="D30" s="37" t="s">
        <v>5</v>
      </c>
      <c r="E30" s="8"/>
      <c r="F30" s="8"/>
      <c r="G30" s="8"/>
      <c r="H30" s="8"/>
    </row>
    <row r="31" spans="1:8" x14ac:dyDescent="0.2">
      <c r="A31" s="38" t="s">
        <v>6</v>
      </c>
      <c r="B31" s="39"/>
      <c r="C31" s="40"/>
      <c r="D31" s="41"/>
      <c r="E31" s="8"/>
      <c r="F31" s="8"/>
      <c r="G31" s="8"/>
      <c r="H31" s="8"/>
    </row>
    <row r="32" spans="1:8" x14ac:dyDescent="0.2">
      <c r="A32" s="38" t="s">
        <v>7</v>
      </c>
      <c r="B32" s="39"/>
      <c r="C32" s="40"/>
      <c r="D32" s="41"/>
      <c r="E32" s="8"/>
      <c r="F32" s="42" t="s">
        <v>23</v>
      </c>
      <c r="G32" s="8"/>
      <c r="H32" s="42" t="s">
        <v>26</v>
      </c>
    </row>
    <row r="33" spans="1:8" x14ac:dyDescent="0.2">
      <c r="A33" s="20" t="s">
        <v>8</v>
      </c>
      <c r="B33" s="43"/>
      <c r="C33" s="44">
        <f>[1]Charters!C489</f>
        <v>101.402</v>
      </c>
      <c r="D33" s="45">
        <f>[1]Charters!E489</f>
        <v>322865.02</v>
      </c>
      <c r="E33" s="8"/>
      <c r="F33" s="42">
        <f>[1]Charters!E644</f>
        <v>336835.07</v>
      </c>
      <c r="G33" s="8"/>
      <c r="H33" s="42">
        <f>[2]Charters!E183</f>
        <v>442230.36</v>
      </c>
    </row>
    <row r="34" spans="1:8" x14ac:dyDescent="0.2">
      <c r="A34" s="20" t="s">
        <v>14</v>
      </c>
      <c r="B34" s="43"/>
      <c r="C34" s="44">
        <f>[1]Charters!F489</f>
        <v>4.3879999999999999</v>
      </c>
      <c r="D34" s="45">
        <f>[1]Charters!H489</f>
        <v>13970.05</v>
      </c>
      <c r="E34" s="8"/>
      <c r="F34" s="42">
        <f>SUM(D33:D35)</f>
        <v>336835.07</v>
      </c>
      <c r="G34" s="8"/>
      <c r="H34" s="42">
        <f>D46</f>
        <v>442230.36</v>
      </c>
    </row>
    <row r="35" spans="1:8" x14ac:dyDescent="0.2">
      <c r="A35" s="20" t="s">
        <v>32</v>
      </c>
      <c r="B35" s="43"/>
      <c r="C35" s="44">
        <f>[1]Charters!C182</f>
        <v>0</v>
      </c>
      <c r="D35" s="45">
        <f>[1]Charters!E182</f>
        <v>0</v>
      </c>
      <c r="E35" s="8"/>
      <c r="F35" s="42">
        <f>+F33-F34</f>
        <v>0</v>
      </c>
      <c r="G35" s="8"/>
      <c r="H35" s="42">
        <f>+H33-H34</f>
        <v>0</v>
      </c>
    </row>
    <row r="36" spans="1:8" x14ac:dyDescent="0.2">
      <c r="A36" s="38" t="s">
        <v>9</v>
      </c>
      <c r="B36" s="39"/>
      <c r="C36" s="46"/>
      <c r="D36" s="47"/>
      <c r="E36" s="8"/>
      <c r="F36" s="8"/>
      <c r="G36" s="8"/>
      <c r="H36" s="8"/>
    </row>
    <row r="37" spans="1:8" x14ac:dyDescent="0.2">
      <c r="A37" s="20" t="s">
        <v>10</v>
      </c>
      <c r="B37" s="43"/>
      <c r="C37" s="40">
        <f>[3]Charters!C28</f>
        <v>21.28</v>
      </c>
      <c r="D37" s="41">
        <f>[3]Charters!E28</f>
        <v>67756.7</v>
      </c>
      <c r="E37" s="8"/>
      <c r="F37" s="42" t="s">
        <v>24</v>
      </c>
      <c r="G37" s="8"/>
      <c r="H37" s="8"/>
    </row>
    <row r="38" spans="1:8" x14ac:dyDescent="0.2">
      <c r="A38" s="48" t="s">
        <v>11</v>
      </c>
      <c r="B38" s="43"/>
      <c r="C38" s="40">
        <f>[3]Charters!F28</f>
        <v>0</v>
      </c>
      <c r="D38" s="49">
        <f>[3]Charters!H28</f>
        <v>0</v>
      </c>
      <c r="E38" s="8"/>
      <c r="F38" s="42">
        <f>[3]Charters!N339</f>
        <v>71440.759999999995</v>
      </c>
      <c r="G38" s="8"/>
      <c r="H38" s="8"/>
    </row>
    <row r="39" spans="1:8" x14ac:dyDescent="0.2">
      <c r="A39" s="48" t="s">
        <v>12</v>
      </c>
      <c r="B39" s="43"/>
      <c r="C39" s="40">
        <f>[3]Charters!C183</f>
        <v>0</v>
      </c>
      <c r="D39" s="41">
        <f>[3]Charters!E183</f>
        <v>0</v>
      </c>
      <c r="E39" s="8"/>
      <c r="F39" s="42">
        <f>SUM(D37:D43)</f>
        <v>71440.759999999995</v>
      </c>
      <c r="G39" s="8"/>
      <c r="H39" s="8"/>
    </row>
    <row r="40" spans="1:8" x14ac:dyDescent="0.2">
      <c r="A40" s="20" t="s">
        <v>13</v>
      </c>
      <c r="B40" s="43"/>
      <c r="C40" s="40">
        <f>[3]Charters!F183</f>
        <v>0.70899999999999996</v>
      </c>
      <c r="D40" s="41">
        <f>[3]Charters!H183</f>
        <v>2259</v>
      </c>
      <c r="E40" s="8"/>
      <c r="F40" s="42">
        <f>+F38-F39</f>
        <v>0</v>
      </c>
      <c r="G40" s="8"/>
      <c r="H40" s="8"/>
    </row>
    <row r="41" spans="1:8" x14ac:dyDescent="0.2">
      <c r="A41" s="48" t="s">
        <v>54</v>
      </c>
      <c r="B41" s="43"/>
      <c r="C41" s="40">
        <f>[3]Charters!C339</f>
        <v>0.44800000000000001</v>
      </c>
      <c r="D41" s="41">
        <f>[3]Charters!E339</f>
        <v>1425.06</v>
      </c>
      <c r="E41" s="8"/>
      <c r="F41" s="8"/>
      <c r="G41" s="8"/>
      <c r="H41" s="8"/>
    </row>
    <row r="42" spans="1:8" x14ac:dyDescent="0.2">
      <c r="A42" s="48" t="s">
        <v>55</v>
      </c>
      <c r="B42" s="43"/>
      <c r="C42" s="40">
        <f>[3]Charters!F339</f>
        <v>0</v>
      </c>
      <c r="D42" s="41">
        <f>[3]Charters!H339</f>
        <v>0</v>
      </c>
      <c r="E42" s="8"/>
      <c r="F42" s="42" t="s">
        <v>25</v>
      </c>
      <c r="G42" s="8"/>
      <c r="H42" s="8"/>
    </row>
    <row r="43" spans="1:8" x14ac:dyDescent="0.2">
      <c r="A43" s="48" t="s">
        <v>56</v>
      </c>
      <c r="B43" s="43"/>
      <c r="C43" s="40">
        <f>[3]Charters!I339</f>
        <v>0</v>
      </c>
      <c r="D43" s="41">
        <f>[3]Charters!K339</f>
        <v>0</v>
      </c>
      <c r="E43" s="8"/>
      <c r="F43" s="42">
        <f>[2]Charters!H29</f>
        <v>105395.29</v>
      </c>
      <c r="G43" s="8"/>
      <c r="H43" s="8"/>
    </row>
    <row r="44" spans="1:8" x14ac:dyDescent="0.2">
      <c r="A44" s="20" t="s">
        <v>49</v>
      </c>
      <c r="B44" s="43"/>
      <c r="C44" s="40">
        <f>[3]Charters!C496</f>
        <v>0</v>
      </c>
      <c r="D44" s="41">
        <f>[3]Charters!E496</f>
        <v>0</v>
      </c>
      <c r="E44" s="8"/>
      <c r="F44" s="42">
        <f>SUM(D37:D45)</f>
        <v>105395.29</v>
      </c>
      <c r="G44" s="8"/>
      <c r="H44" s="8"/>
    </row>
    <row r="45" spans="1:8" x14ac:dyDescent="0.2">
      <c r="A45" s="20" t="s">
        <v>50</v>
      </c>
      <c r="B45" s="43"/>
      <c r="C45" s="40">
        <f>[2]Charters!C29</f>
        <v>10.664</v>
      </c>
      <c r="D45" s="41">
        <f>[2]Charters!E29</f>
        <v>33954.53</v>
      </c>
      <c r="E45" s="8"/>
      <c r="F45" s="42">
        <f>+F43-F44</f>
        <v>0</v>
      </c>
      <c r="G45" s="8"/>
      <c r="H45" s="8"/>
    </row>
    <row r="46" spans="1:8" x14ac:dyDescent="0.2">
      <c r="A46" s="50"/>
      <c r="B46" s="51" t="s">
        <v>16</v>
      </c>
      <c r="C46" s="52">
        <f>SUM(C33:C45)</f>
        <v>138.89099999999999</v>
      </c>
      <c r="D46" s="53">
        <f>SUM(D33:D45)</f>
        <v>442230.36</v>
      </c>
      <c r="E46" s="8"/>
      <c r="F46" s="8"/>
      <c r="G46" s="8"/>
      <c r="H46" s="8"/>
    </row>
    <row r="47" spans="1:8" x14ac:dyDescent="0.2">
      <c r="A47" s="54" t="s">
        <v>17</v>
      </c>
      <c r="B47" s="39"/>
      <c r="C47" s="55"/>
      <c r="D47" s="47"/>
      <c r="E47" s="8"/>
      <c r="F47" s="8"/>
      <c r="G47" s="8"/>
      <c r="H47" s="42" t="s">
        <v>29</v>
      </c>
    </row>
    <row r="48" spans="1:8" x14ac:dyDescent="0.2">
      <c r="A48" s="20" t="s">
        <v>33</v>
      </c>
      <c r="B48" s="43"/>
      <c r="C48" s="56"/>
      <c r="D48" s="57">
        <f>[4]Charters!C28</f>
        <v>1281.79</v>
      </c>
      <c r="E48" s="8"/>
      <c r="F48" s="8"/>
      <c r="G48" s="8"/>
      <c r="H48" s="42">
        <f>[4]Charters!F969</f>
        <v>771567.23</v>
      </c>
    </row>
    <row r="49" spans="1:8" x14ac:dyDescent="0.2">
      <c r="A49" s="58" t="s">
        <v>35</v>
      </c>
      <c r="B49" s="43"/>
      <c r="C49" s="56"/>
      <c r="D49" s="41">
        <f>+[4]Charters!F349</f>
        <v>488.05</v>
      </c>
      <c r="E49" s="8"/>
      <c r="F49" s="8"/>
      <c r="G49" s="8"/>
      <c r="H49" s="42">
        <f>SUM(D46:D65)</f>
        <v>771567.23</v>
      </c>
    </row>
    <row r="50" spans="1:8" x14ac:dyDescent="0.2">
      <c r="A50" s="59" t="s">
        <v>36</v>
      </c>
      <c r="B50" s="43"/>
      <c r="C50" s="56"/>
      <c r="D50" s="41">
        <f>[4]Charters!E188</f>
        <v>10765</v>
      </c>
      <c r="E50" s="8"/>
      <c r="F50" s="8"/>
      <c r="G50" s="8"/>
      <c r="H50" s="42">
        <f>+H48-H49</f>
        <v>0</v>
      </c>
    </row>
    <row r="51" spans="1:8" x14ac:dyDescent="0.2">
      <c r="A51" s="59" t="s">
        <v>52</v>
      </c>
      <c r="B51" s="43"/>
      <c r="C51" s="56"/>
      <c r="D51" s="41">
        <f>[4]Charters!G349</f>
        <v>0</v>
      </c>
      <c r="E51" s="8"/>
      <c r="F51" s="42" t="s">
        <v>27</v>
      </c>
      <c r="G51" s="8"/>
      <c r="H51" s="42"/>
    </row>
    <row r="52" spans="1:8" x14ac:dyDescent="0.2">
      <c r="A52" s="20" t="s">
        <v>37</v>
      </c>
      <c r="B52" s="43"/>
      <c r="C52" s="56"/>
      <c r="D52" s="41">
        <f>[4]Charters!E505</f>
        <v>20996</v>
      </c>
      <c r="E52" s="8"/>
      <c r="F52" s="42">
        <f>[4]Charters!E188</f>
        <v>10765</v>
      </c>
      <c r="G52" s="8"/>
      <c r="H52" s="8"/>
    </row>
    <row r="53" spans="1:8" x14ac:dyDescent="0.2">
      <c r="A53" s="20" t="s">
        <v>38</v>
      </c>
      <c r="B53" s="43"/>
      <c r="C53" s="56"/>
      <c r="D53" s="41">
        <f>[4]Charters!F505</f>
        <v>0</v>
      </c>
      <c r="E53" s="8"/>
      <c r="F53" s="42">
        <f>SUM(D50:D50)</f>
        <v>10765</v>
      </c>
      <c r="G53" s="8"/>
      <c r="H53" s="8"/>
    </row>
    <row r="54" spans="1:8" x14ac:dyDescent="0.2">
      <c r="A54" s="59" t="s">
        <v>40</v>
      </c>
      <c r="B54" s="43"/>
      <c r="C54" s="56"/>
      <c r="D54" s="41">
        <f>[4]Charters!G505</f>
        <v>0</v>
      </c>
      <c r="E54" s="8"/>
      <c r="F54" s="42">
        <f>+F52-F53</f>
        <v>0</v>
      </c>
      <c r="G54" s="8"/>
      <c r="H54" s="8"/>
    </row>
    <row r="55" spans="1:8" x14ac:dyDescent="0.2">
      <c r="A55" s="20" t="s">
        <v>41</v>
      </c>
      <c r="B55" s="43"/>
      <c r="C55" s="56"/>
      <c r="D55" s="41">
        <f>[4]Charters!C660</f>
        <v>240120</v>
      </c>
      <c r="E55" s="8"/>
      <c r="F55" s="42" t="s">
        <v>28</v>
      </c>
      <c r="G55" s="8"/>
      <c r="H55" s="8"/>
    </row>
    <row r="56" spans="1:8" x14ac:dyDescent="0.2">
      <c r="A56" s="20" t="s">
        <v>42</v>
      </c>
      <c r="B56" s="43"/>
      <c r="C56" s="56"/>
      <c r="D56" s="41">
        <f>[4]Charters!D660</f>
        <v>23466.240000000002</v>
      </c>
      <c r="E56" s="8"/>
      <c r="F56" s="42">
        <f>[4]Charters!D505</f>
        <v>11253.05</v>
      </c>
      <c r="G56" s="8"/>
      <c r="H56" s="8"/>
    </row>
    <row r="57" spans="1:8" x14ac:dyDescent="0.2">
      <c r="A57" s="20" t="s">
        <v>44</v>
      </c>
      <c r="B57" s="43"/>
      <c r="C57" s="56"/>
      <c r="D57" s="41">
        <f>[4]Charters!E660</f>
        <v>12000</v>
      </c>
      <c r="E57" s="8"/>
      <c r="F57" s="42">
        <f>SUM(D49:D51)</f>
        <v>11253.05</v>
      </c>
      <c r="G57" s="8"/>
      <c r="H57" s="8"/>
    </row>
    <row r="58" spans="1:8" x14ac:dyDescent="0.2">
      <c r="A58" s="59" t="s">
        <v>43</v>
      </c>
      <c r="B58" s="43"/>
      <c r="C58" s="56"/>
      <c r="D58" s="41">
        <f>[4]Charters!F660</f>
        <v>4383.83</v>
      </c>
      <c r="E58" s="8"/>
      <c r="F58" s="42">
        <f>+F56-F57</f>
        <v>0</v>
      </c>
      <c r="G58" s="8"/>
      <c r="H58" s="8"/>
    </row>
    <row r="59" spans="1:8" x14ac:dyDescent="0.2">
      <c r="A59" s="59" t="s">
        <v>45</v>
      </c>
      <c r="B59" s="43"/>
      <c r="C59" s="56"/>
      <c r="D59" s="41">
        <f>[4]Charters!C505</f>
        <v>0</v>
      </c>
      <c r="E59" s="8"/>
      <c r="F59" s="8"/>
      <c r="G59" s="8"/>
      <c r="H59" s="8"/>
    </row>
    <row r="60" spans="1:8" x14ac:dyDescent="0.2">
      <c r="A60" s="59" t="s">
        <v>46</v>
      </c>
      <c r="B60" s="43"/>
      <c r="C60" s="56"/>
      <c r="D60" s="41">
        <f>[4]Charters!C816</f>
        <v>0</v>
      </c>
      <c r="E60" s="42"/>
      <c r="F60" s="42"/>
      <c r="G60" s="42"/>
      <c r="H60" s="42" t="s">
        <v>31</v>
      </c>
    </row>
    <row r="61" spans="1:8" x14ac:dyDescent="0.2">
      <c r="A61" s="59" t="s">
        <v>51</v>
      </c>
      <c r="B61" s="43"/>
      <c r="C61" s="56"/>
      <c r="D61" s="60">
        <f>[4]Charters!D816</f>
        <v>333.96</v>
      </c>
      <c r="E61" s="42"/>
      <c r="F61" s="42"/>
      <c r="G61" s="42"/>
      <c r="H61" s="42">
        <f>[4]Charters!D1275</f>
        <v>772468.83</v>
      </c>
    </row>
    <row r="62" spans="1:8" x14ac:dyDescent="0.2">
      <c r="A62" s="20" t="s">
        <v>47</v>
      </c>
      <c r="B62" s="43"/>
      <c r="C62" s="56"/>
      <c r="D62" s="60">
        <f>[4]Charters!E816</f>
        <v>15502</v>
      </c>
      <c r="E62" s="42"/>
      <c r="F62" s="42"/>
      <c r="G62" s="42"/>
      <c r="H62" s="42">
        <f>D71</f>
        <v>772468.83</v>
      </c>
    </row>
    <row r="63" spans="1:8" x14ac:dyDescent="0.2">
      <c r="A63" s="20" t="s">
        <v>57</v>
      </c>
      <c r="B63" s="43"/>
      <c r="C63" s="56"/>
      <c r="D63" s="60">
        <f>[4]Charters!C969</f>
        <v>0</v>
      </c>
      <c r="E63" s="42"/>
      <c r="F63" s="42"/>
      <c r="G63" s="42"/>
      <c r="H63" s="42">
        <f>+H61-H62</f>
        <v>0</v>
      </c>
    </row>
    <row r="64" spans="1:8" x14ac:dyDescent="0.2">
      <c r="A64" s="59" t="s">
        <v>53</v>
      </c>
      <c r="B64" s="43"/>
      <c r="C64" s="56"/>
      <c r="D64" s="60">
        <f>[4]Charters!D969</f>
        <v>0</v>
      </c>
      <c r="E64" s="42"/>
      <c r="F64" s="42" t="s">
        <v>30</v>
      </c>
      <c r="G64" s="42"/>
      <c r="H64" s="42"/>
    </row>
    <row r="65" spans="1:8" x14ac:dyDescent="0.2">
      <c r="A65" s="59" t="s">
        <v>59</v>
      </c>
      <c r="B65" s="43"/>
      <c r="C65" s="56"/>
      <c r="D65" s="60">
        <f>[4]Charters!E969</f>
        <v>0</v>
      </c>
      <c r="E65" s="42"/>
      <c r="F65" s="42"/>
      <c r="G65" s="42"/>
      <c r="H65" s="42"/>
    </row>
    <row r="66" spans="1:8" x14ac:dyDescent="0.2">
      <c r="A66" s="38" t="s">
        <v>18</v>
      </c>
      <c r="B66" s="61"/>
      <c r="C66" s="62"/>
      <c r="D66" s="87"/>
      <c r="E66" s="42"/>
      <c r="F66" s="42">
        <f>[4]Charters!C1275</f>
        <v>901.6</v>
      </c>
      <c r="G66" s="42"/>
      <c r="H66" s="42"/>
    </row>
    <row r="67" spans="1:8" x14ac:dyDescent="0.2">
      <c r="A67" s="59" t="s">
        <v>39</v>
      </c>
      <c r="B67" s="43"/>
      <c r="C67" s="56"/>
      <c r="D67" s="41">
        <f>[4]Charters!C1122</f>
        <v>901.6</v>
      </c>
      <c r="E67" s="42"/>
      <c r="F67" s="42">
        <f>SUM(D67:D70)</f>
        <v>901.6</v>
      </c>
      <c r="G67" s="42"/>
      <c r="H67" s="42"/>
    </row>
    <row r="68" spans="1:8" x14ac:dyDescent="0.2">
      <c r="A68" s="59" t="s">
        <v>48</v>
      </c>
      <c r="B68" s="43"/>
      <c r="C68" s="56"/>
      <c r="D68" s="41">
        <f>[4]Charters!D1122</f>
        <v>0</v>
      </c>
      <c r="E68" s="42"/>
      <c r="F68" s="42">
        <f>+F66-F67</f>
        <v>0</v>
      </c>
      <c r="G68" s="42"/>
      <c r="H68" s="42"/>
    </row>
    <row r="69" spans="1:8" x14ac:dyDescent="0.2">
      <c r="A69" s="59" t="s">
        <v>60</v>
      </c>
      <c r="B69" s="43"/>
      <c r="C69" s="56"/>
      <c r="D69" s="41">
        <f>[4]Charters!E1122</f>
        <v>0</v>
      </c>
      <c r="E69" s="42"/>
      <c r="F69" s="42"/>
      <c r="G69" s="42"/>
      <c r="H69" s="42"/>
    </row>
    <row r="70" spans="1:8" x14ac:dyDescent="0.2">
      <c r="A70" s="59" t="s">
        <v>61</v>
      </c>
      <c r="B70" s="43"/>
      <c r="C70" s="56"/>
      <c r="D70" s="41">
        <f>[4]Charters!F1122</f>
        <v>0</v>
      </c>
      <c r="E70" s="42"/>
      <c r="F70" s="42"/>
      <c r="G70" s="42"/>
      <c r="H70" s="42"/>
    </row>
    <row r="71" spans="1:8" ht="13.5" thickBot="1" x14ac:dyDescent="0.25">
      <c r="A71" s="64"/>
      <c r="B71" s="65"/>
      <c r="C71" s="66"/>
      <c r="D71" s="67">
        <f>SUM(D46:D70)</f>
        <v>772468.83</v>
      </c>
      <c r="E71" s="42"/>
      <c r="F71" s="42"/>
      <c r="G71" s="42"/>
      <c r="H71" s="42"/>
    </row>
    <row r="72" spans="1:8" ht="13.5" thickTop="1" x14ac:dyDescent="0.2">
      <c r="A72" s="68"/>
      <c r="B72" s="43"/>
      <c r="C72" s="56"/>
      <c r="D72" s="86"/>
      <c r="E72" s="42"/>
      <c r="F72" s="42"/>
      <c r="G72" s="42"/>
      <c r="H72" s="42"/>
    </row>
    <row r="73" spans="1:8" x14ac:dyDescent="0.2">
      <c r="A73" s="38" t="s">
        <v>20</v>
      </c>
      <c r="B73" s="39"/>
      <c r="C73" s="70"/>
      <c r="D73" s="71" t="s">
        <v>21</v>
      </c>
      <c r="E73" s="42"/>
      <c r="F73" s="42"/>
      <c r="G73" s="42"/>
      <c r="H73" s="42"/>
    </row>
    <row r="74" spans="1:8" x14ac:dyDescent="0.2">
      <c r="A74" s="72" t="s">
        <v>22</v>
      </c>
      <c r="B74" s="73"/>
      <c r="C74" s="74"/>
      <c r="D74" s="41">
        <f>[5]Charters!C28</f>
        <v>347.56</v>
      </c>
      <c r="E74" s="42"/>
      <c r="F74" s="42"/>
      <c r="G74" s="42"/>
      <c r="H74" s="42"/>
    </row>
    <row r="75" spans="1:8" x14ac:dyDescent="0.2">
      <c r="A75" s="75"/>
      <c r="B75" s="61"/>
      <c r="C75" s="76"/>
      <c r="D75" s="77">
        <f>SUM(D74:D74)</f>
        <v>347.56</v>
      </c>
      <c r="E75" s="42"/>
      <c r="F75" s="42"/>
      <c r="G75" s="42"/>
      <c r="H75" s="42"/>
    </row>
    <row r="76" spans="1:8" x14ac:dyDescent="0.2">
      <c r="A76" s="78" t="s">
        <v>58</v>
      </c>
      <c r="B76" s="79"/>
      <c r="C76" s="80"/>
      <c r="D76" s="77">
        <f>D75+D71</f>
        <v>772816.39</v>
      </c>
      <c r="E76" s="42"/>
      <c r="F76" s="42"/>
      <c r="G76" s="42"/>
      <c r="H76" s="42"/>
    </row>
    <row r="77" spans="1:8" x14ac:dyDescent="0.2">
      <c r="A77" s="84"/>
      <c r="B77" s="84"/>
      <c r="C77" s="85"/>
      <c r="D77" s="81"/>
      <c r="E77" s="42"/>
      <c r="F77" s="42"/>
      <c r="G77" s="42"/>
      <c r="H77" s="42"/>
    </row>
    <row r="78" spans="1:8" x14ac:dyDescent="0.2">
      <c r="A78" s="84"/>
      <c r="B78" s="84"/>
      <c r="C78" s="85"/>
      <c r="D78" s="81">
        <f>[5]Charters!E184</f>
        <v>772816.39</v>
      </c>
      <c r="E78" s="42"/>
      <c r="F78" s="42"/>
      <c r="G78" s="42"/>
      <c r="H78" s="42"/>
    </row>
    <row r="79" spans="1:8" x14ac:dyDescent="0.2">
      <c r="A79" s="84"/>
      <c r="B79" s="84"/>
      <c r="C79" s="85"/>
      <c r="D79" s="81">
        <f>D76</f>
        <v>772816.39</v>
      </c>
      <c r="E79" s="42"/>
      <c r="F79" s="42"/>
      <c r="G79" s="42"/>
      <c r="H79" s="42"/>
    </row>
    <row r="80" spans="1:8" x14ac:dyDescent="0.2">
      <c r="C80" s="83"/>
      <c r="D80" s="42">
        <f>D78-D79</f>
        <v>0</v>
      </c>
      <c r="E80" s="42"/>
      <c r="F80" s="42"/>
      <c r="G80" s="42"/>
      <c r="H80" s="42"/>
    </row>
  </sheetData>
  <mergeCells count="4">
    <mergeCell ref="A24:D24"/>
    <mergeCell ref="A22:D22"/>
    <mergeCell ref="A23:D23"/>
    <mergeCell ref="A76:C76"/>
  </mergeCells>
  <phoneticPr fontId="0" type="noConversion"/>
  <printOptions horizontalCentered="1" verticalCentered="1"/>
  <pageMargins left="0.5" right="0.5" top="0.5" bottom="0.5" header="0.25" footer="0.25"/>
  <pageSetup orientation="portrait" r:id="rId1"/>
  <headerFooter alignWithMargins="0">
    <oddHeader>&amp;R&amp;8Current as of: &amp;D</oddHeader>
    <oddFooter>&amp;L&amp;8USOE, School Finance</oddFooter>
  </headerFooter>
  <picture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>
    <pageSetUpPr fitToPage="1"/>
  </sheetPr>
  <dimension ref="A1:H81"/>
  <sheetViews>
    <sheetView showGridLines="0" topLeftCell="A21" zoomScaleNormal="100" workbookViewId="0">
      <selection activeCell="C12" sqref="C12"/>
    </sheetView>
  </sheetViews>
  <sheetFormatPr defaultColWidth="9.140625" defaultRowHeight="12.75" x14ac:dyDescent="0.2"/>
  <cols>
    <col min="1" max="1" width="31.85546875" style="82" customWidth="1"/>
    <col min="2" max="2" width="16.28515625" style="82" customWidth="1"/>
    <col min="3" max="4" width="14.85546875" style="82" customWidth="1"/>
    <col min="5" max="5" width="7" style="82" customWidth="1"/>
    <col min="6" max="6" width="19.7109375" style="82" customWidth="1"/>
    <col min="7" max="7" width="5.7109375" style="82" customWidth="1"/>
    <col min="8" max="8" width="18" style="82" customWidth="1"/>
    <col min="9" max="16384" width="9.140625" style="82"/>
  </cols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"/>
      <c r="B3" s="1"/>
      <c r="C3" s="1"/>
      <c r="D3" s="1"/>
      <c r="E3" s="1"/>
      <c r="F3" s="1"/>
      <c r="G3" s="1"/>
      <c r="H3" s="1"/>
    </row>
    <row r="4" spans="1:8" x14ac:dyDescent="0.2">
      <c r="A4" s="1"/>
      <c r="B4" s="1"/>
      <c r="C4" s="1"/>
      <c r="D4" s="1"/>
      <c r="E4" s="1"/>
      <c r="F4" s="1"/>
      <c r="G4" s="1"/>
      <c r="H4" s="1"/>
    </row>
    <row r="5" spans="1:8" x14ac:dyDescent="0.2">
      <c r="A5" s="1"/>
      <c r="B5" s="1"/>
      <c r="C5" s="1"/>
      <c r="D5" s="1"/>
      <c r="E5" s="1"/>
      <c r="F5" s="1"/>
      <c r="G5" s="1"/>
      <c r="H5" s="1"/>
    </row>
    <row r="6" spans="1:8" x14ac:dyDescent="0.2">
      <c r="A6" s="1"/>
      <c r="B6" s="1"/>
      <c r="C6" s="1"/>
      <c r="D6" s="1"/>
      <c r="E6" s="1"/>
      <c r="F6" s="1"/>
      <c r="G6" s="1"/>
      <c r="H6" s="1"/>
    </row>
    <row r="7" spans="1:8" x14ac:dyDescent="0.2">
      <c r="A7" s="1"/>
      <c r="B7" s="1"/>
      <c r="C7" s="1"/>
      <c r="D7" s="1"/>
      <c r="E7" s="1"/>
      <c r="F7" s="1"/>
      <c r="G7" s="1"/>
      <c r="H7" s="1"/>
    </row>
    <row r="8" spans="1:8" x14ac:dyDescent="0.2">
      <c r="A8" s="1"/>
      <c r="B8" s="1"/>
      <c r="C8" s="1"/>
      <c r="D8" s="1"/>
      <c r="E8" s="1"/>
      <c r="F8" s="1"/>
      <c r="G8" s="1"/>
      <c r="H8" s="1"/>
    </row>
    <row r="9" spans="1:8" x14ac:dyDescent="0.2">
      <c r="A9" s="1"/>
      <c r="B9" s="1"/>
      <c r="C9" s="1"/>
      <c r="D9" s="1"/>
      <c r="E9" s="1"/>
      <c r="F9" s="1"/>
      <c r="G9" s="1"/>
      <c r="H9" s="1"/>
    </row>
    <row r="10" spans="1:8" x14ac:dyDescent="0.2">
      <c r="A10" s="1"/>
      <c r="B10" s="1"/>
      <c r="C10" s="1"/>
      <c r="D10" s="1"/>
      <c r="E10" s="1"/>
      <c r="F10" s="1"/>
      <c r="G10" s="1"/>
      <c r="H10" s="1"/>
    </row>
    <row r="11" spans="1:8" x14ac:dyDescent="0.2">
      <c r="A11" s="1"/>
      <c r="B11" s="1"/>
      <c r="C11" s="1"/>
      <c r="D11" s="1"/>
      <c r="E11" s="1"/>
      <c r="F11" s="1"/>
      <c r="G11" s="1"/>
      <c r="H11" s="1"/>
    </row>
    <row r="12" spans="1:8" x14ac:dyDescent="0.2">
      <c r="A12" s="1"/>
      <c r="B12" s="1"/>
      <c r="C12" s="1"/>
      <c r="D12" s="1"/>
      <c r="E12" s="1"/>
      <c r="F12" s="1"/>
      <c r="G12" s="1"/>
      <c r="H12" s="1"/>
    </row>
    <row r="13" spans="1:8" x14ac:dyDescent="0.2">
      <c r="A13" s="1"/>
      <c r="B13" s="1"/>
      <c r="C13" s="1"/>
      <c r="D13" s="1"/>
      <c r="E13" s="1"/>
      <c r="F13" s="1"/>
      <c r="G13" s="1"/>
      <c r="H13" s="1"/>
    </row>
    <row r="14" spans="1:8" x14ac:dyDescent="0.2">
      <c r="A14" s="1"/>
      <c r="B14" s="1"/>
      <c r="C14" s="1"/>
      <c r="D14" s="1"/>
      <c r="E14" s="1"/>
      <c r="F14" s="1"/>
      <c r="G14" s="1"/>
      <c r="H14" s="1"/>
    </row>
    <row r="15" spans="1:8" x14ac:dyDescent="0.2">
      <c r="A15" s="1"/>
      <c r="B15" s="1"/>
      <c r="C15" s="1"/>
      <c r="D15" s="1"/>
      <c r="E15" s="1"/>
      <c r="F15" s="1"/>
      <c r="G15" s="1"/>
      <c r="H15" s="1"/>
    </row>
    <row r="16" spans="1:8" x14ac:dyDescent="0.2">
      <c r="A16" s="1"/>
      <c r="B16" s="1"/>
      <c r="C16" s="1"/>
      <c r="D16" s="1"/>
      <c r="E16" s="1"/>
      <c r="F16" s="1"/>
      <c r="G16" s="1"/>
      <c r="H16" s="1"/>
    </row>
    <row r="17" spans="1:8" x14ac:dyDescent="0.2">
      <c r="A17" s="1"/>
      <c r="B17" s="1"/>
      <c r="C17" s="1"/>
      <c r="D17" s="1"/>
      <c r="E17" s="1"/>
      <c r="F17" s="1"/>
      <c r="G17" s="1"/>
      <c r="H17" s="1"/>
    </row>
    <row r="18" spans="1:8" x14ac:dyDescent="0.2">
      <c r="A18" s="1"/>
      <c r="B18" s="1"/>
      <c r="C18" s="1"/>
      <c r="D18" s="1"/>
      <c r="E18" s="1"/>
      <c r="F18" s="1"/>
      <c r="G18" s="1"/>
      <c r="H18" s="1"/>
    </row>
    <row r="19" spans="1:8" x14ac:dyDescent="0.2">
      <c r="A19" s="1"/>
      <c r="B19" s="1"/>
      <c r="C19" s="1"/>
      <c r="D19" s="1"/>
      <c r="E19" s="1"/>
      <c r="F19" s="1"/>
      <c r="G19" s="1"/>
      <c r="H19" s="1"/>
    </row>
    <row r="20" spans="1:8" x14ac:dyDescent="0.2">
      <c r="A20" s="1"/>
      <c r="B20" s="1"/>
      <c r="C20" s="1"/>
      <c r="D20" s="1"/>
      <c r="E20" s="1"/>
      <c r="F20" s="1"/>
      <c r="G20" s="1"/>
      <c r="H20" s="1"/>
    </row>
    <row r="21" spans="1:8" x14ac:dyDescent="0.2">
      <c r="A21" s="1"/>
      <c r="B21" s="1"/>
      <c r="C21" s="1"/>
      <c r="D21" s="1"/>
      <c r="E21" s="1"/>
      <c r="F21" s="1"/>
      <c r="G21" s="1"/>
      <c r="H21" s="1"/>
    </row>
    <row r="22" spans="1:8" x14ac:dyDescent="0.2">
      <c r="A22" s="1"/>
      <c r="B22" s="1"/>
      <c r="C22" s="1"/>
      <c r="D22" s="4"/>
      <c r="E22" s="1"/>
      <c r="F22" s="1"/>
      <c r="G22" s="1"/>
      <c r="H22" s="1"/>
    </row>
    <row r="23" spans="1:8" x14ac:dyDescent="0.2">
      <c r="A23" s="11" t="s">
        <v>1</v>
      </c>
      <c r="B23" s="12"/>
      <c r="C23" s="12"/>
      <c r="D23" s="13"/>
      <c r="E23" s="8"/>
      <c r="F23" s="8"/>
      <c r="G23" s="8"/>
      <c r="H23" s="8"/>
    </row>
    <row r="24" spans="1:8" x14ac:dyDescent="0.2">
      <c r="A24" s="14" t="s">
        <v>15</v>
      </c>
      <c r="B24" s="15"/>
      <c r="C24" s="15"/>
      <c r="D24" s="16"/>
      <c r="E24" s="8"/>
      <c r="F24" s="8"/>
      <c r="G24" s="8"/>
      <c r="H24" s="8"/>
    </row>
    <row r="25" spans="1:8" x14ac:dyDescent="0.2">
      <c r="A25" s="17" t="s">
        <v>62</v>
      </c>
      <c r="B25" s="18"/>
      <c r="C25" s="18"/>
      <c r="D25" s="19"/>
      <c r="E25" s="8"/>
      <c r="F25" s="8"/>
      <c r="G25" s="8"/>
      <c r="H25" s="8"/>
    </row>
    <row r="26" spans="1:8" x14ac:dyDescent="0.2">
      <c r="A26" s="20"/>
      <c r="B26" s="21"/>
      <c r="C26" s="22"/>
      <c r="D26" s="23"/>
      <c r="E26" s="8"/>
      <c r="F26" s="8" t="s">
        <v>34</v>
      </c>
      <c r="G26" s="8"/>
      <c r="H26" s="8"/>
    </row>
    <row r="27" spans="1:8" ht="15.75" x14ac:dyDescent="0.25">
      <c r="A27" s="24" t="s">
        <v>2</v>
      </c>
      <c r="B27" s="25" t="str">
        <f>[1]Charters!B30</f>
        <v>East Hollywood High School</v>
      </c>
      <c r="C27" s="26"/>
      <c r="D27" s="27"/>
      <c r="E27" s="8"/>
      <c r="F27" s="8"/>
      <c r="G27" s="8"/>
      <c r="H27" s="8"/>
    </row>
    <row r="28" spans="1:8" x14ac:dyDescent="0.2">
      <c r="A28" s="24"/>
      <c r="B28" s="28"/>
      <c r="C28" s="26"/>
      <c r="D28" s="27"/>
      <c r="E28" s="8"/>
      <c r="F28" s="8"/>
      <c r="G28" s="8"/>
      <c r="H28" s="8"/>
    </row>
    <row r="29" spans="1:8" x14ac:dyDescent="0.2">
      <c r="A29" s="29" t="s">
        <v>0</v>
      </c>
      <c r="B29" s="30">
        <f>[1]Charters!$E$6</f>
        <v>3184</v>
      </c>
      <c r="C29" s="26"/>
      <c r="D29" s="31"/>
      <c r="E29" s="8"/>
      <c r="F29" s="8"/>
      <c r="G29" s="8"/>
      <c r="H29" s="8"/>
    </row>
    <row r="30" spans="1:8" x14ac:dyDescent="0.2">
      <c r="A30" s="32"/>
      <c r="B30" s="6"/>
      <c r="C30" s="33"/>
      <c r="D30" s="34" t="s">
        <v>3</v>
      </c>
      <c r="E30" s="8"/>
      <c r="F30" s="8"/>
      <c r="G30" s="8"/>
      <c r="H30" s="8"/>
    </row>
    <row r="31" spans="1:8" x14ac:dyDescent="0.2">
      <c r="A31" s="29" t="s">
        <v>19</v>
      </c>
      <c r="B31" s="35" t="str">
        <f>[1]Charters!A30</f>
        <v>A8</v>
      </c>
      <c r="C31" s="36" t="s">
        <v>4</v>
      </c>
      <c r="D31" s="37" t="s">
        <v>5</v>
      </c>
      <c r="E31" s="8"/>
      <c r="F31" s="8"/>
      <c r="G31" s="8"/>
      <c r="H31" s="8"/>
    </row>
    <row r="32" spans="1:8" x14ac:dyDescent="0.2">
      <c r="A32" s="38" t="s">
        <v>6</v>
      </c>
      <c r="B32" s="39"/>
      <c r="C32" s="40"/>
      <c r="D32" s="41"/>
      <c r="E32" s="8"/>
      <c r="F32" s="8"/>
      <c r="G32" s="8"/>
      <c r="H32" s="8"/>
    </row>
    <row r="33" spans="1:8" x14ac:dyDescent="0.2">
      <c r="A33" s="38" t="s">
        <v>7</v>
      </c>
      <c r="B33" s="39"/>
      <c r="C33" s="40"/>
      <c r="D33" s="41"/>
      <c r="E33" s="8"/>
      <c r="F33" s="42" t="s">
        <v>23</v>
      </c>
      <c r="G33" s="8"/>
      <c r="H33" s="42" t="s">
        <v>26</v>
      </c>
    </row>
    <row r="34" spans="1:8" x14ac:dyDescent="0.2">
      <c r="A34" s="20" t="s">
        <v>8</v>
      </c>
      <c r="B34" s="43"/>
      <c r="C34" s="44">
        <f>[1]Charters!C490</f>
        <v>387.80700000000002</v>
      </c>
      <c r="D34" s="45">
        <f>[1]Charters!E490</f>
        <v>1234778.4099999999</v>
      </c>
      <c r="E34" s="8"/>
      <c r="F34" s="42">
        <f>[1]Charters!E645</f>
        <v>1324432.8500000001</v>
      </c>
      <c r="G34" s="8"/>
      <c r="H34" s="42">
        <f>[2]Charters!E184</f>
        <v>1529308.14</v>
      </c>
    </row>
    <row r="35" spans="1:8" x14ac:dyDescent="0.2">
      <c r="A35" s="20" t="s">
        <v>14</v>
      </c>
      <c r="B35" s="43"/>
      <c r="C35" s="44">
        <f>[1]Charters!F490</f>
        <v>28.158000000000001</v>
      </c>
      <c r="D35" s="45">
        <f>[1]Charters!H490</f>
        <v>89654.44</v>
      </c>
      <c r="E35" s="8"/>
      <c r="F35" s="42">
        <f>SUM(D34:D36)</f>
        <v>1324432.8500000001</v>
      </c>
      <c r="G35" s="8"/>
      <c r="H35" s="42">
        <f>D47</f>
        <v>1529308.14</v>
      </c>
    </row>
    <row r="36" spans="1:8" x14ac:dyDescent="0.2">
      <c r="A36" s="20" t="s">
        <v>32</v>
      </c>
      <c r="B36" s="43"/>
      <c r="C36" s="44">
        <f>[1]Charters!C183</f>
        <v>0</v>
      </c>
      <c r="D36" s="45">
        <f>[1]Charters!E183</f>
        <v>0</v>
      </c>
      <c r="E36" s="8"/>
      <c r="F36" s="42">
        <f>+F34-F35</f>
        <v>0</v>
      </c>
      <c r="G36" s="8"/>
      <c r="H36" s="42">
        <f>+H34-H35</f>
        <v>0</v>
      </c>
    </row>
    <row r="37" spans="1:8" x14ac:dyDescent="0.2">
      <c r="A37" s="38" t="s">
        <v>9</v>
      </c>
      <c r="B37" s="39"/>
      <c r="C37" s="46"/>
      <c r="D37" s="47"/>
      <c r="E37" s="8"/>
      <c r="F37" s="8"/>
      <c r="G37" s="8"/>
      <c r="H37" s="8"/>
    </row>
    <row r="38" spans="1:8" x14ac:dyDescent="0.2">
      <c r="A38" s="20" t="s">
        <v>10</v>
      </c>
      <c r="B38" s="43"/>
      <c r="C38" s="40">
        <f>[3]Charters!C29</f>
        <v>50.84</v>
      </c>
      <c r="D38" s="41">
        <f>[3]Charters!E29</f>
        <v>161873.19</v>
      </c>
      <c r="E38" s="8"/>
      <c r="F38" s="42" t="s">
        <v>24</v>
      </c>
      <c r="G38" s="8"/>
      <c r="H38" s="8"/>
    </row>
    <row r="39" spans="1:8" x14ac:dyDescent="0.2">
      <c r="A39" s="48" t="s">
        <v>11</v>
      </c>
      <c r="B39" s="43"/>
      <c r="C39" s="40">
        <f>[3]Charters!F29</f>
        <v>5.13</v>
      </c>
      <c r="D39" s="49">
        <f>[3]Charters!H29</f>
        <v>16333.92</v>
      </c>
      <c r="E39" s="8"/>
      <c r="F39" s="42">
        <f>[3]Charters!N340</f>
        <v>184816.29</v>
      </c>
      <c r="G39" s="8"/>
      <c r="H39" s="8"/>
    </row>
    <row r="40" spans="1:8" x14ac:dyDescent="0.2">
      <c r="A40" s="48" t="s">
        <v>12</v>
      </c>
      <c r="B40" s="43"/>
      <c r="C40" s="40">
        <f>[3]Charters!C184</f>
        <v>0</v>
      </c>
      <c r="D40" s="41">
        <f>[3]Charters!E184</f>
        <v>0</v>
      </c>
      <c r="E40" s="8"/>
      <c r="F40" s="42">
        <f>SUM(D38:D44)</f>
        <v>184816.29</v>
      </c>
      <c r="G40" s="8"/>
      <c r="H40" s="8"/>
    </row>
    <row r="41" spans="1:8" x14ac:dyDescent="0.2">
      <c r="A41" s="20" t="s">
        <v>13</v>
      </c>
      <c r="B41" s="43"/>
      <c r="C41" s="40">
        <f>[3]Charters!F184</f>
        <v>0.70899999999999996</v>
      </c>
      <c r="D41" s="41">
        <f>[3]Charters!H184</f>
        <v>2259</v>
      </c>
      <c r="E41" s="8"/>
      <c r="F41" s="42">
        <f>+F39-F40</f>
        <v>0</v>
      </c>
      <c r="G41" s="8"/>
      <c r="H41" s="8"/>
    </row>
    <row r="42" spans="1:8" x14ac:dyDescent="0.2">
      <c r="A42" s="48" t="s">
        <v>54</v>
      </c>
      <c r="B42" s="43"/>
      <c r="C42" s="40">
        <f>[3]Charters!C340</f>
        <v>1.3660000000000001</v>
      </c>
      <c r="D42" s="41">
        <f>[3]Charters!E340</f>
        <v>4350.18</v>
      </c>
      <c r="E42" s="8"/>
      <c r="F42" s="8"/>
      <c r="G42" s="8"/>
      <c r="H42" s="8"/>
    </row>
    <row r="43" spans="1:8" x14ac:dyDescent="0.2">
      <c r="A43" s="48" t="s">
        <v>55</v>
      </c>
      <c r="B43" s="43"/>
      <c r="C43" s="40">
        <f>[3]Charters!F340</f>
        <v>0</v>
      </c>
      <c r="D43" s="41">
        <f>[3]Charters!H340</f>
        <v>0</v>
      </c>
      <c r="E43" s="8"/>
      <c r="F43" s="42" t="s">
        <v>25</v>
      </c>
      <c r="G43" s="8"/>
      <c r="H43" s="8"/>
    </row>
    <row r="44" spans="1:8" x14ac:dyDescent="0.2">
      <c r="A44" s="48" t="s">
        <v>56</v>
      </c>
      <c r="B44" s="43"/>
      <c r="C44" s="40">
        <f>[3]Charters!I340</f>
        <v>0</v>
      </c>
      <c r="D44" s="41">
        <f>[3]Charters!K340</f>
        <v>0</v>
      </c>
      <c r="E44" s="8"/>
      <c r="F44" s="42">
        <f>[2]Charters!H30</f>
        <v>204875.29</v>
      </c>
      <c r="G44" s="8"/>
      <c r="H44" s="8"/>
    </row>
    <row r="45" spans="1:8" x14ac:dyDescent="0.2">
      <c r="A45" s="20" t="s">
        <v>49</v>
      </c>
      <c r="B45" s="43"/>
      <c r="C45" s="40">
        <f>[3]Charters!C497</f>
        <v>6.3</v>
      </c>
      <c r="D45" s="41">
        <f>[3]Charters!E497</f>
        <v>20059</v>
      </c>
      <c r="E45" s="8"/>
      <c r="F45" s="42">
        <f>SUM(D38:D46)</f>
        <v>204875.29</v>
      </c>
      <c r="G45" s="8"/>
      <c r="H45" s="8"/>
    </row>
    <row r="46" spans="1:8" x14ac:dyDescent="0.2">
      <c r="A46" s="20" t="s">
        <v>50</v>
      </c>
      <c r="B46" s="43"/>
      <c r="C46" s="40">
        <f>[2]Charters!C30</f>
        <v>0</v>
      </c>
      <c r="D46" s="41">
        <f>[2]Charters!E30</f>
        <v>0</v>
      </c>
      <c r="E46" s="8"/>
      <c r="F46" s="42">
        <f>+F44-F45</f>
        <v>0</v>
      </c>
      <c r="G46" s="8"/>
      <c r="H46" s="8"/>
    </row>
    <row r="47" spans="1:8" x14ac:dyDescent="0.2">
      <c r="A47" s="50"/>
      <c r="B47" s="51" t="s">
        <v>16</v>
      </c>
      <c r="C47" s="52">
        <f>SUM(C34:C46)</f>
        <v>480.31</v>
      </c>
      <c r="D47" s="53">
        <f>SUM(D34:D46)</f>
        <v>1529308.14</v>
      </c>
      <c r="E47" s="8"/>
      <c r="F47" s="8"/>
      <c r="G47" s="8"/>
      <c r="H47" s="8"/>
    </row>
    <row r="48" spans="1:8" x14ac:dyDescent="0.2">
      <c r="A48" s="54" t="s">
        <v>17</v>
      </c>
      <c r="B48" s="39"/>
      <c r="C48" s="55"/>
      <c r="D48" s="47"/>
      <c r="E48" s="8"/>
      <c r="F48" s="8"/>
      <c r="G48" s="8"/>
      <c r="H48" s="42" t="s">
        <v>29</v>
      </c>
    </row>
    <row r="49" spans="1:8" x14ac:dyDescent="0.2">
      <c r="A49" s="20" t="s">
        <v>33</v>
      </c>
      <c r="B49" s="43"/>
      <c r="C49" s="56"/>
      <c r="D49" s="57">
        <f>[4]Charters!C29</f>
        <v>4432.6499999999996</v>
      </c>
      <c r="E49" s="8"/>
      <c r="F49" s="8"/>
      <c r="G49" s="8"/>
      <c r="H49" s="42">
        <f>[4]Charters!F970</f>
        <v>2430337.09</v>
      </c>
    </row>
    <row r="50" spans="1:8" x14ac:dyDescent="0.2">
      <c r="A50" s="58" t="s">
        <v>35</v>
      </c>
      <c r="B50" s="43"/>
      <c r="C50" s="56"/>
      <c r="D50" s="41">
        <f>+[4]Charters!F350</f>
        <v>1866.51</v>
      </c>
      <c r="E50" s="8"/>
      <c r="F50" s="8"/>
      <c r="G50" s="8"/>
      <c r="H50" s="42">
        <f>SUM(D47:D66)</f>
        <v>2430337.09</v>
      </c>
    </row>
    <row r="51" spans="1:8" x14ac:dyDescent="0.2">
      <c r="A51" s="59" t="s">
        <v>36</v>
      </c>
      <c r="B51" s="43"/>
      <c r="C51" s="56"/>
      <c r="D51" s="41">
        <f>[4]Charters!E189</f>
        <v>20504</v>
      </c>
      <c r="E51" s="8"/>
      <c r="F51" s="8"/>
      <c r="G51" s="8"/>
      <c r="H51" s="42">
        <f>+H49-H50</f>
        <v>0</v>
      </c>
    </row>
    <row r="52" spans="1:8" x14ac:dyDescent="0.2">
      <c r="A52" s="59" t="s">
        <v>52</v>
      </c>
      <c r="B52" s="43"/>
      <c r="C52" s="56"/>
      <c r="D52" s="41">
        <f>[4]Charters!G350</f>
        <v>17816.62</v>
      </c>
      <c r="E52" s="8"/>
      <c r="F52" s="42" t="s">
        <v>27</v>
      </c>
      <c r="G52" s="8"/>
      <c r="H52" s="42"/>
    </row>
    <row r="53" spans="1:8" x14ac:dyDescent="0.2">
      <c r="A53" s="20" t="s">
        <v>37</v>
      </c>
      <c r="B53" s="43"/>
      <c r="C53" s="56"/>
      <c r="D53" s="41">
        <f>[4]Charters!E506</f>
        <v>24165</v>
      </c>
      <c r="E53" s="8"/>
      <c r="F53" s="42">
        <f>[4]Charters!E189</f>
        <v>20504</v>
      </c>
      <c r="G53" s="8"/>
      <c r="H53" s="8"/>
    </row>
    <row r="54" spans="1:8" x14ac:dyDescent="0.2">
      <c r="A54" s="20" t="s">
        <v>38</v>
      </c>
      <c r="B54" s="43"/>
      <c r="C54" s="56"/>
      <c r="D54" s="41">
        <f>[4]Charters!F506</f>
        <v>0</v>
      </c>
      <c r="E54" s="8"/>
      <c r="F54" s="42">
        <f>SUM(D51:D51)</f>
        <v>20504</v>
      </c>
      <c r="G54" s="8"/>
      <c r="H54" s="8"/>
    </row>
    <row r="55" spans="1:8" x14ac:dyDescent="0.2">
      <c r="A55" s="59" t="s">
        <v>40</v>
      </c>
      <c r="B55" s="43"/>
      <c r="C55" s="56"/>
      <c r="D55" s="41">
        <f>[4]Charters!G506</f>
        <v>0</v>
      </c>
      <c r="E55" s="8"/>
      <c r="F55" s="42">
        <f>+F53-F54</f>
        <v>0</v>
      </c>
      <c r="G55" s="8"/>
      <c r="H55" s="8"/>
    </row>
    <row r="56" spans="1:8" x14ac:dyDescent="0.2">
      <c r="A56" s="20" t="s">
        <v>41</v>
      </c>
      <c r="B56" s="43"/>
      <c r="C56" s="56"/>
      <c r="D56" s="41">
        <f>[4]Charters!C661</f>
        <v>702351</v>
      </c>
      <c r="E56" s="8"/>
      <c r="F56" s="42" t="s">
        <v>28</v>
      </c>
      <c r="G56" s="8"/>
      <c r="H56" s="8"/>
    </row>
    <row r="57" spans="1:8" x14ac:dyDescent="0.2">
      <c r="A57" s="20" t="s">
        <v>42</v>
      </c>
      <c r="B57" s="43"/>
      <c r="C57" s="56"/>
      <c r="D57" s="41">
        <f>[4]Charters!D661</f>
        <v>74260.100000000006</v>
      </c>
      <c r="E57" s="8"/>
      <c r="F57" s="42">
        <f>[4]Charters!D506</f>
        <v>60187.13</v>
      </c>
      <c r="G57" s="8"/>
      <c r="H57" s="8"/>
    </row>
    <row r="58" spans="1:8" x14ac:dyDescent="0.2">
      <c r="A58" s="20" t="s">
        <v>44</v>
      </c>
      <c r="B58" s="43"/>
      <c r="C58" s="56"/>
      <c r="D58" s="41">
        <f>[4]Charters!E661</f>
        <v>35100</v>
      </c>
      <c r="E58" s="8"/>
      <c r="F58" s="42">
        <f>SUM(D50:D52)</f>
        <v>40187.129999999997</v>
      </c>
      <c r="G58" s="8"/>
      <c r="H58" s="8"/>
    </row>
    <row r="59" spans="1:8" x14ac:dyDescent="0.2">
      <c r="A59" s="59" t="s">
        <v>43</v>
      </c>
      <c r="B59" s="43"/>
      <c r="C59" s="56"/>
      <c r="D59" s="41">
        <f>[4]Charters!F661</f>
        <v>0</v>
      </c>
      <c r="E59" s="8"/>
      <c r="F59" s="42">
        <f>+F57-F58</f>
        <v>20000</v>
      </c>
      <c r="G59" s="8"/>
      <c r="H59" s="8"/>
    </row>
    <row r="60" spans="1:8" x14ac:dyDescent="0.2">
      <c r="A60" s="59" t="s">
        <v>45</v>
      </c>
      <c r="B60" s="43"/>
      <c r="C60" s="56"/>
      <c r="D60" s="41">
        <f>[4]Charters!C506</f>
        <v>20000</v>
      </c>
      <c r="E60" s="8"/>
      <c r="F60" s="8"/>
      <c r="G60" s="8"/>
      <c r="H60" s="8"/>
    </row>
    <row r="61" spans="1:8" x14ac:dyDescent="0.2">
      <c r="A61" s="59" t="s">
        <v>46</v>
      </c>
      <c r="B61" s="43"/>
      <c r="C61" s="56"/>
      <c r="D61" s="41">
        <f>[4]Charters!C817</f>
        <v>0</v>
      </c>
      <c r="E61" s="42"/>
      <c r="F61" s="42"/>
      <c r="G61" s="42"/>
      <c r="H61" s="42" t="s">
        <v>31</v>
      </c>
    </row>
    <row r="62" spans="1:8" x14ac:dyDescent="0.2">
      <c r="A62" s="59" t="s">
        <v>51</v>
      </c>
      <c r="B62" s="43"/>
      <c r="C62" s="56"/>
      <c r="D62" s="60">
        <f>[4]Charters!D817</f>
        <v>533.07000000000005</v>
      </c>
      <c r="E62" s="42"/>
      <c r="F62" s="42"/>
      <c r="G62" s="42"/>
      <c r="H62" s="42">
        <f>[4]Charters!D1276</f>
        <v>2432951.7400000002</v>
      </c>
    </row>
    <row r="63" spans="1:8" x14ac:dyDescent="0.2">
      <c r="A63" s="20" t="s">
        <v>47</v>
      </c>
      <c r="B63" s="43"/>
      <c r="C63" s="56"/>
      <c r="D63" s="60">
        <f>[4]Charters!E817</f>
        <v>0</v>
      </c>
      <c r="E63" s="42"/>
      <c r="F63" s="42"/>
      <c r="G63" s="42"/>
      <c r="H63" s="42">
        <f>D72</f>
        <v>2432951.7400000002</v>
      </c>
    </row>
    <row r="64" spans="1:8" x14ac:dyDescent="0.2">
      <c r="A64" s="20" t="s">
        <v>57</v>
      </c>
      <c r="B64" s="43"/>
      <c r="C64" s="56"/>
      <c r="D64" s="60">
        <f>[4]Charters!C970</f>
        <v>0</v>
      </c>
      <c r="E64" s="42"/>
      <c r="F64" s="42"/>
      <c r="G64" s="42"/>
      <c r="H64" s="42">
        <f>+H62-H63</f>
        <v>0</v>
      </c>
    </row>
    <row r="65" spans="1:8" x14ac:dyDescent="0.2">
      <c r="A65" s="59" t="s">
        <v>53</v>
      </c>
      <c r="B65" s="43"/>
      <c r="C65" s="56"/>
      <c r="D65" s="60">
        <f>[4]Charters!D970</f>
        <v>0</v>
      </c>
      <c r="E65" s="42"/>
      <c r="F65" s="42" t="s">
        <v>30</v>
      </c>
      <c r="G65" s="42"/>
      <c r="H65" s="42"/>
    </row>
    <row r="66" spans="1:8" x14ac:dyDescent="0.2">
      <c r="A66" s="59" t="s">
        <v>59</v>
      </c>
      <c r="B66" s="43"/>
      <c r="C66" s="56"/>
      <c r="D66" s="60">
        <f>[4]Charters!E970</f>
        <v>0</v>
      </c>
      <c r="E66" s="42"/>
      <c r="F66" s="42"/>
      <c r="G66" s="42"/>
      <c r="H66" s="42"/>
    </row>
    <row r="67" spans="1:8" x14ac:dyDescent="0.2">
      <c r="A67" s="38" t="s">
        <v>18</v>
      </c>
      <c r="B67" s="61"/>
      <c r="C67" s="62"/>
      <c r="D67" s="87"/>
      <c r="E67" s="42"/>
      <c r="F67" s="42">
        <f>[4]Charters!C1276</f>
        <v>2614.65</v>
      </c>
      <c r="G67" s="42"/>
      <c r="H67" s="42"/>
    </row>
    <row r="68" spans="1:8" x14ac:dyDescent="0.2">
      <c r="A68" s="59" t="s">
        <v>39</v>
      </c>
      <c r="B68" s="43"/>
      <c r="C68" s="56"/>
      <c r="D68" s="41">
        <f>[4]Charters!C1123</f>
        <v>2614.65</v>
      </c>
      <c r="E68" s="42"/>
      <c r="F68" s="42">
        <f>SUM(D68:D71)</f>
        <v>2614.65</v>
      </c>
      <c r="G68" s="42"/>
      <c r="H68" s="42"/>
    </row>
    <row r="69" spans="1:8" x14ac:dyDescent="0.2">
      <c r="A69" s="59" t="s">
        <v>48</v>
      </c>
      <c r="B69" s="43"/>
      <c r="C69" s="56"/>
      <c r="D69" s="41">
        <f>[4]Charters!D1123</f>
        <v>0</v>
      </c>
      <c r="E69" s="42"/>
      <c r="F69" s="42">
        <f>+F67-F68</f>
        <v>0</v>
      </c>
      <c r="G69" s="42"/>
      <c r="H69" s="42"/>
    </row>
    <row r="70" spans="1:8" x14ac:dyDescent="0.2">
      <c r="A70" s="59" t="s">
        <v>60</v>
      </c>
      <c r="B70" s="43"/>
      <c r="C70" s="56"/>
      <c r="D70" s="41">
        <f>[4]Charters!E1123</f>
        <v>0</v>
      </c>
      <c r="E70" s="42"/>
      <c r="F70" s="42"/>
      <c r="G70" s="42"/>
      <c r="H70" s="42"/>
    </row>
    <row r="71" spans="1:8" x14ac:dyDescent="0.2">
      <c r="A71" s="59" t="s">
        <v>61</v>
      </c>
      <c r="B71" s="43"/>
      <c r="C71" s="56"/>
      <c r="D71" s="41">
        <f>[4]Charters!F1123</f>
        <v>0</v>
      </c>
      <c r="E71" s="42"/>
      <c r="F71" s="42"/>
      <c r="G71" s="42"/>
      <c r="H71" s="42"/>
    </row>
    <row r="72" spans="1:8" ht="13.5" thickBot="1" x14ac:dyDescent="0.25">
      <c r="A72" s="64"/>
      <c r="B72" s="65"/>
      <c r="C72" s="66"/>
      <c r="D72" s="67">
        <f>SUM(D47:D71)</f>
        <v>2432951.7400000002</v>
      </c>
      <c r="E72" s="42"/>
      <c r="F72" s="42"/>
      <c r="G72" s="42"/>
      <c r="H72" s="42"/>
    </row>
    <row r="73" spans="1:8" ht="13.5" thickTop="1" x14ac:dyDescent="0.2">
      <c r="A73" s="68"/>
      <c r="B73" s="43"/>
      <c r="C73" s="56"/>
      <c r="D73" s="86"/>
      <c r="E73" s="42"/>
      <c r="F73" s="42"/>
      <c r="G73" s="42"/>
      <c r="H73" s="42"/>
    </row>
    <row r="74" spans="1:8" x14ac:dyDescent="0.2">
      <c r="A74" s="38" t="s">
        <v>20</v>
      </c>
      <c r="B74" s="39"/>
      <c r="C74" s="70"/>
      <c r="D74" s="71" t="s">
        <v>21</v>
      </c>
      <c r="E74" s="42"/>
      <c r="F74" s="42"/>
      <c r="G74" s="42"/>
      <c r="H74" s="42"/>
    </row>
    <row r="75" spans="1:8" x14ac:dyDescent="0.2">
      <c r="A75" s="72" t="s">
        <v>22</v>
      </c>
      <c r="B75" s="73"/>
      <c r="C75" s="74"/>
      <c r="D75" s="41">
        <f>[5]Charters!C29</f>
        <v>816.67</v>
      </c>
      <c r="E75" s="42"/>
      <c r="F75" s="42"/>
      <c r="G75" s="42"/>
      <c r="H75" s="42"/>
    </row>
    <row r="76" spans="1:8" x14ac:dyDescent="0.2">
      <c r="A76" s="75"/>
      <c r="B76" s="61"/>
      <c r="C76" s="76"/>
      <c r="D76" s="77">
        <f>SUM(D75:D75)</f>
        <v>816.67</v>
      </c>
      <c r="E76" s="42"/>
      <c r="F76" s="42"/>
      <c r="G76" s="42"/>
      <c r="H76" s="42"/>
    </row>
    <row r="77" spans="1:8" x14ac:dyDescent="0.2">
      <c r="A77" s="78" t="s">
        <v>58</v>
      </c>
      <c r="B77" s="79"/>
      <c r="C77" s="80"/>
      <c r="D77" s="77">
        <f>D76+D72</f>
        <v>2433768.41</v>
      </c>
      <c r="E77" s="42"/>
      <c r="F77" s="42"/>
      <c r="G77" s="42"/>
      <c r="H77" s="42"/>
    </row>
    <row r="78" spans="1:8" x14ac:dyDescent="0.2">
      <c r="A78" s="84"/>
      <c r="B78" s="84"/>
      <c r="C78" s="85"/>
      <c r="D78" s="81"/>
      <c r="E78" s="42"/>
      <c r="F78" s="42"/>
      <c r="G78" s="42"/>
      <c r="H78" s="42"/>
    </row>
    <row r="79" spans="1:8" x14ac:dyDescent="0.2">
      <c r="A79" s="84"/>
      <c r="B79" s="84"/>
      <c r="C79" s="85"/>
      <c r="D79" s="81">
        <f>[5]Charters!E185</f>
        <v>2433768.41</v>
      </c>
      <c r="E79" s="42"/>
      <c r="F79" s="42"/>
      <c r="G79" s="42"/>
      <c r="H79" s="42"/>
    </row>
    <row r="80" spans="1:8" x14ac:dyDescent="0.2">
      <c r="A80" s="84"/>
      <c r="B80" s="84"/>
      <c r="C80" s="85"/>
      <c r="D80" s="81">
        <f>D77</f>
        <v>2433768.41</v>
      </c>
      <c r="E80" s="42"/>
      <c r="F80" s="42"/>
      <c r="G80" s="42"/>
      <c r="H80" s="42"/>
    </row>
    <row r="81" spans="3:8" x14ac:dyDescent="0.2">
      <c r="C81" s="83"/>
      <c r="D81" s="42">
        <f>D79-D80</f>
        <v>0</v>
      </c>
      <c r="E81" s="42"/>
      <c r="F81" s="42"/>
      <c r="G81" s="42"/>
      <c r="H81" s="42"/>
    </row>
  </sheetData>
  <mergeCells count="4">
    <mergeCell ref="A25:D25"/>
    <mergeCell ref="A23:D23"/>
    <mergeCell ref="A24:D24"/>
    <mergeCell ref="A77:C77"/>
  </mergeCells>
  <phoneticPr fontId="0" type="noConversion"/>
  <printOptions horizontalCentered="1" verticalCentered="1"/>
  <pageMargins left="0.5" right="0.5" top="0.5" bottom="0.5" header="0.25" footer="0.25"/>
  <pageSetup orientation="portrait" r:id="rId1"/>
  <headerFooter alignWithMargins="0">
    <oddHeader>&amp;R&amp;8Current as of: &amp;D</oddHeader>
    <oddFooter>&amp;L&amp;8USOE, School Finance</oddFooter>
  </headerFooter>
  <picture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>
    <pageSetUpPr fitToPage="1"/>
  </sheetPr>
  <dimension ref="A1:H82"/>
  <sheetViews>
    <sheetView showGridLines="0" topLeftCell="A19" workbookViewId="0">
      <selection activeCell="C12" sqref="C12"/>
    </sheetView>
  </sheetViews>
  <sheetFormatPr defaultColWidth="9.140625" defaultRowHeight="12.75" x14ac:dyDescent="0.2"/>
  <cols>
    <col min="1" max="1" width="31.85546875" style="82" customWidth="1"/>
    <col min="2" max="2" width="16.28515625" style="82" customWidth="1"/>
    <col min="3" max="4" width="14.85546875" style="82" customWidth="1"/>
    <col min="5" max="5" width="7" style="82" customWidth="1"/>
    <col min="6" max="6" width="19.7109375" style="82" customWidth="1"/>
    <col min="7" max="7" width="5.7109375" style="82" customWidth="1"/>
    <col min="8" max="8" width="18" style="82" customWidth="1"/>
    <col min="9" max="16384" width="9.140625" style="82"/>
  </cols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"/>
      <c r="B3" s="1"/>
      <c r="C3" s="1"/>
      <c r="D3" s="1"/>
      <c r="E3" s="1"/>
      <c r="F3" s="1"/>
      <c r="G3" s="1"/>
      <c r="H3" s="1"/>
    </row>
    <row r="4" spans="1:8" x14ac:dyDescent="0.2">
      <c r="A4" s="1"/>
      <c r="B4" s="1"/>
      <c r="C4" s="1"/>
      <c r="D4" s="1"/>
      <c r="E4" s="1"/>
      <c r="F4" s="1"/>
      <c r="G4" s="1"/>
      <c r="H4" s="1"/>
    </row>
    <row r="5" spans="1:8" x14ac:dyDescent="0.2">
      <c r="A5" s="1"/>
      <c r="B5" s="1"/>
      <c r="C5" s="1"/>
      <c r="D5" s="1"/>
      <c r="E5" s="1"/>
      <c r="F5" s="1"/>
      <c r="G5" s="1"/>
      <c r="H5" s="1"/>
    </row>
    <row r="6" spans="1:8" x14ac:dyDescent="0.2">
      <c r="A6" s="1"/>
      <c r="B6" s="1"/>
      <c r="C6" s="1"/>
      <c r="D6" s="1"/>
      <c r="E6" s="1"/>
      <c r="F6" s="1"/>
      <c r="G6" s="1"/>
      <c r="H6" s="1"/>
    </row>
    <row r="7" spans="1:8" x14ac:dyDescent="0.2">
      <c r="A7" s="1"/>
      <c r="B7" s="1"/>
      <c r="C7" s="1"/>
      <c r="D7" s="1"/>
      <c r="E7" s="1"/>
      <c r="F7" s="1"/>
      <c r="G7" s="1"/>
      <c r="H7" s="1"/>
    </row>
    <row r="8" spans="1:8" x14ac:dyDescent="0.2">
      <c r="A8" s="1"/>
      <c r="B8" s="1"/>
      <c r="C8" s="1"/>
      <c r="D8" s="1"/>
      <c r="E8" s="1"/>
      <c r="F8" s="1"/>
      <c r="G8" s="1"/>
      <c r="H8" s="1"/>
    </row>
    <row r="9" spans="1:8" x14ac:dyDescent="0.2">
      <c r="A9" s="1"/>
      <c r="B9" s="1"/>
      <c r="C9" s="1"/>
      <c r="D9" s="1"/>
      <c r="E9" s="1"/>
      <c r="F9" s="1"/>
      <c r="G9" s="1"/>
      <c r="H9" s="1"/>
    </row>
    <row r="10" spans="1:8" x14ac:dyDescent="0.2">
      <c r="A10" s="1"/>
      <c r="B10" s="1"/>
      <c r="C10" s="1"/>
      <c r="D10" s="1"/>
      <c r="E10" s="1"/>
      <c r="F10" s="1"/>
      <c r="G10" s="1"/>
      <c r="H10" s="1"/>
    </row>
    <row r="11" spans="1:8" x14ac:dyDescent="0.2">
      <c r="A11" s="1"/>
      <c r="B11" s="1"/>
      <c r="C11" s="1"/>
      <c r="D11" s="1"/>
      <c r="E11" s="1"/>
      <c r="F11" s="1"/>
      <c r="G11" s="1"/>
      <c r="H11" s="1"/>
    </row>
    <row r="12" spans="1:8" x14ac:dyDescent="0.2">
      <c r="A12" s="1"/>
      <c r="B12" s="1"/>
      <c r="C12" s="1"/>
      <c r="D12" s="1"/>
      <c r="E12" s="1"/>
      <c r="F12" s="1"/>
      <c r="G12" s="1"/>
      <c r="H12" s="1"/>
    </row>
    <row r="13" spans="1:8" x14ac:dyDescent="0.2">
      <c r="A13" s="1"/>
      <c r="B13" s="1"/>
      <c r="C13" s="1"/>
      <c r="D13" s="1"/>
      <c r="E13" s="1"/>
      <c r="F13" s="1"/>
      <c r="G13" s="1"/>
      <c r="H13" s="1"/>
    </row>
    <row r="14" spans="1:8" x14ac:dyDescent="0.2">
      <c r="A14" s="1"/>
      <c r="B14" s="1"/>
      <c r="C14" s="1"/>
      <c r="D14" s="1"/>
      <c r="E14" s="1"/>
      <c r="F14" s="1"/>
      <c r="G14" s="1"/>
      <c r="H14" s="1"/>
    </row>
    <row r="15" spans="1:8" x14ac:dyDescent="0.2">
      <c r="A15" s="1"/>
      <c r="B15" s="1"/>
      <c r="C15" s="1"/>
      <c r="D15" s="1"/>
      <c r="E15" s="1"/>
      <c r="F15" s="1"/>
      <c r="G15" s="1"/>
      <c r="H15" s="1"/>
    </row>
    <row r="16" spans="1:8" x14ac:dyDescent="0.2">
      <c r="A16" s="1"/>
      <c r="B16" s="1"/>
      <c r="C16" s="1"/>
      <c r="D16" s="1"/>
      <c r="E16" s="1"/>
      <c r="F16" s="1"/>
      <c r="G16" s="1"/>
      <c r="H16" s="1"/>
    </row>
    <row r="17" spans="1:8" x14ac:dyDescent="0.2">
      <c r="A17" s="1"/>
      <c r="B17" s="1"/>
      <c r="C17" s="1"/>
      <c r="D17" s="1"/>
      <c r="E17" s="1"/>
      <c r="F17" s="1"/>
      <c r="G17" s="1"/>
      <c r="H17" s="1"/>
    </row>
    <row r="18" spans="1:8" x14ac:dyDescent="0.2">
      <c r="A18" s="1"/>
      <c r="B18" s="1"/>
      <c r="C18" s="1"/>
      <c r="D18" s="1"/>
      <c r="E18" s="1"/>
      <c r="F18" s="1"/>
      <c r="G18" s="1"/>
      <c r="H18" s="1"/>
    </row>
    <row r="19" spans="1:8" x14ac:dyDescent="0.2">
      <c r="A19" s="1"/>
      <c r="B19" s="1"/>
      <c r="C19" s="1"/>
      <c r="D19" s="1"/>
      <c r="E19" s="1"/>
      <c r="F19" s="1"/>
      <c r="G19" s="1"/>
      <c r="H19" s="1"/>
    </row>
    <row r="20" spans="1:8" x14ac:dyDescent="0.2">
      <c r="A20" s="1"/>
      <c r="B20" s="1"/>
      <c r="C20" s="1"/>
      <c r="D20" s="1"/>
      <c r="E20" s="1"/>
      <c r="F20" s="1"/>
      <c r="G20" s="1"/>
      <c r="H20" s="1"/>
    </row>
    <row r="21" spans="1:8" x14ac:dyDescent="0.2">
      <c r="A21" s="1"/>
      <c r="B21" s="1"/>
      <c r="C21" s="1"/>
      <c r="D21" s="1"/>
      <c r="E21" s="1"/>
      <c r="F21" s="1"/>
      <c r="G21" s="1"/>
      <c r="H21" s="1"/>
    </row>
    <row r="22" spans="1:8" x14ac:dyDescent="0.2">
      <c r="A22" s="1"/>
      <c r="B22" s="1"/>
      <c r="C22" s="1"/>
      <c r="D22" s="4"/>
      <c r="E22" s="1"/>
      <c r="F22" s="1"/>
      <c r="G22" s="1"/>
      <c r="H22" s="1"/>
    </row>
    <row r="23" spans="1:8" x14ac:dyDescent="0.2">
      <c r="A23" s="1"/>
      <c r="B23" s="1"/>
      <c r="C23" s="1"/>
      <c r="D23" s="1"/>
      <c r="E23" s="1"/>
      <c r="F23" s="1"/>
      <c r="G23" s="1"/>
      <c r="H23" s="1"/>
    </row>
    <row r="24" spans="1:8" x14ac:dyDescent="0.2">
      <c r="A24" s="11" t="s">
        <v>1</v>
      </c>
      <c r="B24" s="12"/>
      <c r="C24" s="12"/>
      <c r="D24" s="13"/>
      <c r="E24" s="8"/>
      <c r="F24" s="8"/>
      <c r="G24" s="8"/>
      <c r="H24" s="8"/>
    </row>
    <row r="25" spans="1:8" x14ac:dyDescent="0.2">
      <c r="A25" s="14" t="s">
        <v>15</v>
      </c>
      <c r="B25" s="15"/>
      <c r="C25" s="15"/>
      <c r="D25" s="16"/>
      <c r="E25" s="8"/>
      <c r="F25" s="8"/>
      <c r="G25" s="8"/>
      <c r="H25" s="8"/>
    </row>
    <row r="26" spans="1:8" x14ac:dyDescent="0.2">
      <c r="A26" s="17" t="s">
        <v>62</v>
      </c>
      <c r="B26" s="18"/>
      <c r="C26" s="18"/>
      <c r="D26" s="19"/>
      <c r="E26" s="8"/>
      <c r="F26" s="8"/>
      <c r="G26" s="8"/>
      <c r="H26" s="8"/>
    </row>
    <row r="27" spans="1:8" x14ac:dyDescent="0.2">
      <c r="A27" s="20"/>
      <c r="B27" s="21"/>
      <c r="C27" s="22"/>
      <c r="D27" s="23"/>
      <c r="E27" s="8"/>
      <c r="F27" s="8" t="s">
        <v>34</v>
      </c>
      <c r="G27" s="8"/>
      <c r="H27" s="8"/>
    </row>
    <row r="28" spans="1:8" ht="15.75" x14ac:dyDescent="0.25">
      <c r="A28" s="24" t="s">
        <v>2</v>
      </c>
      <c r="B28" s="25" t="str">
        <f>[1]Charters!B31</f>
        <v>SUCCESS Academy</v>
      </c>
      <c r="C28" s="26"/>
      <c r="D28" s="27"/>
      <c r="E28" s="8"/>
      <c r="F28" s="8"/>
      <c r="G28" s="8"/>
      <c r="H28" s="8"/>
    </row>
    <row r="29" spans="1:8" x14ac:dyDescent="0.2">
      <c r="A29" s="24"/>
      <c r="B29" s="28"/>
      <c r="C29" s="26"/>
      <c r="D29" s="27"/>
      <c r="E29" s="8"/>
      <c r="F29" s="8"/>
      <c r="G29" s="8"/>
      <c r="H29" s="8"/>
    </row>
    <row r="30" spans="1:8" x14ac:dyDescent="0.2">
      <c r="A30" s="29" t="s">
        <v>0</v>
      </c>
      <c r="B30" s="30">
        <f>[1]Charters!$E$6</f>
        <v>3184</v>
      </c>
      <c r="C30" s="26"/>
      <c r="D30" s="31"/>
      <c r="E30" s="8"/>
      <c r="F30" s="8"/>
      <c r="G30" s="8"/>
      <c r="H30" s="8"/>
    </row>
    <row r="31" spans="1:8" x14ac:dyDescent="0.2">
      <c r="A31" s="32"/>
      <c r="B31" s="6"/>
      <c r="C31" s="33"/>
      <c r="D31" s="34" t="s">
        <v>3</v>
      </c>
      <c r="E31" s="8"/>
      <c r="F31" s="8"/>
      <c r="G31" s="8"/>
      <c r="H31" s="8"/>
    </row>
    <row r="32" spans="1:8" x14ac:dyDescent="0.2">
      <c r="A32" s="29" t="s">
        <v>19</v>
      </c>
      <c r="B32" s="35" t="str">
        <f>[1]Charters!A31</f>
        <v>A9</v>
      </c>
      <c r="C32" s="36" t="s">
        <v>4</v>
      </c>
      <c r="D32" s="37" t="s">
        <v>5</v>
      </c>
      <c r="E32" s="8"/>
      <c r="F32" s="8"/>
      <c r="G32" s="8"/>
      <c r="H32" s="8"/>
    </row>
    <row r="33" spans="1:8" x14ac:dyDescent="0.2">
      <c r="A33" s="38" t="s">
        <v>6</v>
      </c>
      <c r="B33" s="39"/>
      <c r="C33" s="40"/>
      <c r="D33" s="41"/>
      <c r="E33" s="8"/>
      <c r="F33" s="8"/>
      <c r="G33" s="8"/>
      <c r="H33" s="8"/>
    </row>
    <row r="34" spans="1:8" x14ac:dyDescent="0.2">
      <c r="A34" s="38" t="s">
        <v>7</v>
      </c>
      <c r="B34" s="39"/>
      <c r="C34" s="40"/>
      <c r="D34" s="41"/>
      <c r="E34" s="8"/>
      <c r="F34" s="42" t="s">
        <v>23</v>
      </c>
      <c r="G34" s="8"/>
      <c r="H34" s="42" t="s">
        <v>26</v>
      </c>
    </row>
    <row r="35" spans="1:8" x14ac:dyDescent="0.2">
      <c r="A35" s="20" t="s">
        <v>8</v>
      </c>
      <c r="B35" s="43"/>
      <c r="C35" s="44">
        <f>[1]Charters!C491</f>
        <v>508.02699999999999</v>
      </c>
      <c r="D35" s="45">
        <f>[1]Charters!E491</f>
        <v>1617559.27</v>
      </c>
      <c r="E35" s="8"/>
      <c r="F35" s="42">
        <f>[1]Charters!E646</f>
        <v>1767367.9</v>
      </c>
      <c r="G35" s="8"/>
      <c r="H35" s="42">
        <f>[2]Charters!E185</f>
        <v>1816487.2</v>
      </c>
    </row>
    <row r="36" spans="1:8" x14ac:dyDescent="0.2">
      <c r="A36" s="20" t="s">
        <v>14</v>
      </c>
      <c r="B36" s="43"/>
      <c r="C36" s="44">
        <f>[1]Charters!F491</f>
        <v>47.05</v>
      </c>
      <c r="D36" s="45">
        <f>[1]Charters!H491</f>
        <v>149808.63</v>
      </c>
      <c r="E36" s="8"/>
      <c r="F36" s="42">
        <f>SUM(D35:D37)</f>
        <v>1767367.9</v>
      </c>
      <c r="G36" s="8"/>
      <c r="H36" s="42">
        <f>D48</f>
        <v>1816487.2</v>
      </c>
    </row>
    <row r="37" spans="1:8" x14ac:dyDescent="0.2">
      <c r="A37" s="20" t="s">
        <v>32</v>
      </c>
      <c r="B37" s="43"/>
      <c r="C37" s="44">
        <f>[1]Charters!C184</f>
        <v>0</v>
      </c>
      <c r="D37" s="45">
        <f>[1]Charters!E184</f>
        <v>0</v>
      </c>
      <c r="E37" s="8"/>
      <c r="F37" s="42">
        <f>+F35-F36</f>
        <v>0</v>
      </c>
      <c r="G37" s="8"/>
      <c r="H37" s="42">
        <f>+H35-H36</f>
        <v>0</v>
      </c>
    </row>
    <row r="38" spans="1:8" x14ac:dyDescent="0.2">
      <c r="A38" s="38" t="s">
        <v>9</v>
      </c>
      <c r="B38" s="39"/>
      <c r="C38" s="46"/>
      <c r="D38" s="47"/>
      <c r="E38" s="8"/>
      <c r="F38" s="8"/>
      <c r="G38" s="8"/>
      <c r="H38" s="8"/>
    </row>
    <row r="39" spans="1:8" x14ac:dyDescent="0.2">
      <c r="A39" s="20" t="s">
        <v>10</v>
      </c>
      <c r="B39" s="43"/>
      <c r="C39" s="40">
        <f>[3]Charters!C30</f>
        <v>2.0939999999999999</v>
      </c>
      <c r="D39" s="41">
        <f>[3]Charters!E30</f>
        <v>6667.3</v>
      </c>
      <c r="E39" s="8"/>
      <c r="F39" s="42" t="s">
        <v>24</v>
      </c>
      <c r="G39" s="8"/>
      <c r="H39" s="8"/>
    </row>
    <row r="40" spans="1:8" x14ac:dyDescent="0.2">
      <c r="A40" s="48" t="s">
        <v>11</v>
      </c>
      <c r="B40" s="43"/>
      <c r="C40" s="40">
        <f>[3]Charters!F30</f>
        <v>0</v>
      </c>
      <c r="D40" s="49">
        <f>[3]Charters!H30</f>
        <v>0</v>
      </c>
      <c r="E40" s="8"/>
      <c r="F40" s="42">
        <f>[3]Charters!N341</f>
        <v>9001.2999999999993</v>
      </c>
      <c r="G40" s="8"/>
      <c r="H40" s="8"/>
    </row>
    <row r="41" spans="1:8" x14ac:dyDescent="0.2">
      <c r="A41" s="48" t="s">
        <v>12</v>
      </c>
      <c r="B41" s="43"/>
      <c r="C41" s="40">
        <f>[3]Charters!C185</f>
        <v>0</v>
      </c>
      <c r="D41" s="41">
        <f>[3]Charters!E185</f>
        <v>0</v>
      </c>
      <c r="E41" s="8"/>
      <c r="F41" s="42">
        <f>SUM(D39:D45)</f>
        <v>9001.2999999999993</v>
      </c>
      <c r="G41" s="8"/>
      <c r="H41" s="8"/>
    </row>
    <row r="42" spans="1:8" x14ac:dyDescent="0.2">
      <c r="A42" s="20" t="s">
        <v>13</v>
      </c>
      <c r="B42" s="43"/>
      <c r="C42" s="40">
        <f>[3]Charters!F185</f>
        <v>0.70899999999999996</v>
      </c>
      <c r="D42" s="41">
        <f>[3]Charters!H185</f>
        <v>2259</v>
      </c>
      <c r="E42" s="8"/>
      <c r="F42" s="42">
        <f>+F40-F41</f>
        <v>0</v>
      </c>
      <c r="G42" s="8"/>
      <c r="H42" s="8"/>
    </row>
    <row r="43" spans="1:8" x14ac:dyDescent="0.2">
      <c r="A43" s="48" t="s">
        <v>54</v>
      </c>
      <c r="B43" s="43"/>
      <c r="C43" s="40">
        <f>[3]Charters!C341</f>
        <v>2.4E-2</v>
      </c>
      <c r="D43" s="41">
        <f>[3]Charters!E341</f>
        <v>75</v>
      </c>
      <c r="E43" s="8"/>
      <c r="F43" s="8"/>
      <c r="G43" s="8"/>
      <c r="H43" s="8"/>
    </row>
    <row r="44" spans="1:8" x14ac:dyDescent="0.2">
      <c r="A44" s="48" t="s">
        <v>55</v>
      </c>
      <c r="B44" s="43"/>
      <c r="C44" s="40">
        <f>[3]Charters!F341</f>
        <v>0</v>
      </c>
      <c r="D44" s="41">
        <f>[3]Charters!H341</f>
        <v>0</v>
      </c>
      <c r="E44" s="8"/>
      <c r="F44" s="42" t="s">
        <v>25</v>
      </c>
      <c r="G44" s="8"/>
      <c r="H44" s="8"/>
    </row>
    <row r="45" spans="1:8" x14ac:dyDescent="0.2">
      <c r="A45" s="48" t="s">
        <v>56</v>
      </c>
      <c r="B45" s="43"/>
      <c r="C45" s="40">
        <f>[3]Charters!I341</f>
        <v>0</v>
      </c>
      <c r="D45" s="41">
        <f>[3]Charters!K341</f>
        <v>0</v>
      </c>
      <c r="E45" s="8"/>
      <c r="F45" s="42">
        <f>[2]Charters!H31</f>
        <v>49119.3</v>
      </c>
      <c r="G45" s="8"/>
      <c r="H45" s="8"/>
    </row>
    <row r="46" spans="1:8" x14ac:dyDescent="0.2">
      <c r="A46" s="20" t="s">
        <v>49</v>
      </c>
      <c r="B46" s="43"/>
      <c r="C46" s="40">
        <f>[3]Charters!C498</f>
        <v>12.6</v>
      </c>
      <c r="D46" s="41">
        <f>[3]Charters!E498</f>
        <v>40118</v>
      </c>
      <c r="E46" s="8"/>
      <c r="F46" s="42">
        <f>SUM(D39:D47)</f>
        <v>49119.3</v>
      </c>
      <c r="G46" s="8"/>
      <c r="H46" s="8"/>
    </row>
    <row r="47" spans="1:8" x14ac:dyDescent="0.2">
      <c r="A47" s="20" t="s">
        <v>50</v>
      </c>
      <c r="B47" s="43"/>
      <c r="C47" s="40">
        <f>[2]Charters!C31</f>
        <v>0</v>
      </c>
      <c r="D47" s="41">
        <f>[2]Charters!E31</f>
        <v>0</v>
      </c>
      <c r="E47" s="8"/>
      <c r="F47" s="42">
        <f>+F45-F46</f>
        <v>0</v>
      </c>
      <c r="G47" s="8"/>
      <c r="H47" s="8"/>
    </row>
    <row r="48" spans="1:8" x14ac:dyDescent="0.2">
      <c r="A48" s="50"/>
      <c r="B48" s="51" t="s">
        <v>16</v>
      </c>
      <c r="C48" s="52">
        <f>SUM(C35:C47)</f>
        <v>570.50400000000002</v>
      </c>
      <c r="D48" s="53">
        <f>SUM(D35:D47)</f>
        <v>1816487.2</v>
      </c>
      <c r="E48" s="8"/>
      <c r="F48" s="8"/>
      <c r="G48" s="8"/>
      <c r="H48" s="8"/>
    </row>
    <row r="49" spans="1:8" x14ac:dyDescent="0.2">
      <c r="A49" s="54" t="s">
        <v>17</v>
      </c>
      <c r="B49" s="39"/>
      <c r="C49" s="55"/>
      <c r="D49" s="47"/>
      <c r="E49" s="8"/>
      <c r="F49" s="8"/>
      <c r="G49" s="8"/>
      <c r="H49" s="42" t="s">
        <v>29</v>
      </c>
    </row>
    <row r="50" spans="1:8" x14ac:dyDescent="0.2">
      <c r="A50" s="20" t="s">
        <v>33</v>
      </c>
      <c r="B50" s="43"/>
      <c r="C50" s="56"/>
      <c r="D50" s="57">
        <f>[4]Charters!C30</f>
        <v>5265.03</v>
      </c>
      <c r="E50" s="8"/>
      <c r="F50" s="8"/>
      <c r="G50" s="8"/>
      <c r="H50" s="42">
        <f>[4]Charters!F971</f>
        <v>3154105.41</v>
      </c>
    </row>
    <row r="51" spans="1:8" x14ac:dyDescent="0.2">
      <c r="A51" s="58" t="s">
        <v>35</v>
      </c>
      <c r="B51" s="43"/>
      <c r="C51" s="56"/>
      <c r="D51" s="41">
        <f>+[4]Charters!F351</f>
        <v>2514.21</v>
      </c>
      <c r="E51" s="8"/>
      <c r="F51" s="8"/>
      <c r="G51" s="8"/>
      <c r="H51" s="42">
        <f>SUM(D48:D67)</f>
        <v>3154105.41</v>
      </c>
    </row>
    <row r="52" spans="1:8" x14ac:dyDescent="0.2">
      <c r="A52" s="59" t="s">
        <v>36</v>
      </c>
      <c r="B52" s="43"/>
      <c r="C52" s="56"/>
      <c r="D52" s="41">
        <f>[4]Charters!E190</f>
        <v>14772</v>
      </c>
      <c r="E52" s="8"/>
      <c r="F52" s="8"/>
      <c r="G52" s="8"/>
      <c r="H52" s="42">
        <f>+H50-H51</f>
        <v>0</v>
      </c>
    </row>
    <row r="53" spans="1:8" x14ac:dyDescent="0.2">
      <c r="A53" s="59" t="s">
        <v>52</v>
      </c>
      <c r="B53" s="43"/>
      <c r="C53" s="56"/>
      <c r="D53" s="41">
        <f>[4]Charters!G351</f>
        <v>228197.18</v>
      </c>
      <c r="E53" s="8"/>
      <c r="F53" s="42" t="s">
        <v>27</v>
      </c>
      <c r="G53" s="8"/>
      <c r="H53" s="42"/>
    </row>
    <row r="54" spans="1:8" x14ac:dyDescent="0.2">
      <c r="A54" s="20" t="s">
        <v>37</v>
      </c>
      <c r="B54" s="43"/>
      <c r="C54" s="56"/>
      <c r="D54" s="41">
        <f>[4]Charters!E507</f>
        <v>29527</v>
      </c>
      <c r="E54" s="8"/>
      <c r="F54" s="42">
        <f>[4]Charters!E190</f>
        <v>14772</v>
      </c>
      <c r="G54" s="8"/>
      <c r="H54" s="8"/>
    </row>
    <row r="55" spans="1:8" x14ac:dyDescent="0.2">
      <c r="A55" s="20" t="s">
        <v>38</v>
      </c>
      <c r="B55" s="43"/>
      <c r="C55" s="56"/>
      <c r="D55" s="41">
        <f>[4]Charters!F507</f>
        <v>0</v>
      </c>
      <c r="E55" s="8"/>
      <c r="F55" s="42">
        <f>SUM(D52:D52)</f>
        <v>14772</v>
      </c>
      <c r="G55" s="8"/>
      <c r="H55" s="8"/>
    </row>
    <row r="56" spans="1:8" x14ac:dyDescent="0.2">
      <c r="A56" s="59" t="s">
        <v>40</v>
      </c>
      <c r="B56" s="43"/>
      <c r="C56" s="56"/>
      <c r="D56" s="41">
        <f>[4]Charters!G507</f>
        <v>0</v>
      </c>
      <c r="E56" s="8"/>
      <c r="F56" s="42">
        <f>+F54-F55</f>
        <v>0</v>
      </c>
      <c r="G56" s="8"/>
      <c r="H56" s="8"/>
    </row>
    <row r="57" spans="1:8" x14ac:dyDescent="0.2">
      <c r="A57" s="20" t="s">
        <v>41</v>
      </c>
      <c r="B57" s="43"/>
      <c r="C57" s="56"/>
      <c r="D57" s="41">
        <f>[4]Charters!C662</f>
        <v>858429</v>
      </c>
      <c r="E57" s="8"/>
      <c r="F57" s="42" t="s">
        <v>28</v>
      </c>
      <c r="G57" s="8"/>
      <c r="H57" s="8"/>
    </row>
    <row r="58" spans="1:8" x14ac:dyDescent="0.2">
      <c r="A58" s="20" t="s">
        <v>42</v>
      </c>
      <c r="B58" s="43"/>
      <c r="C58" s="56"/>
      <c r="D58" s="41">
        <f>[4]Charters!D662</f>
        <v>66135.070000000007</v>
      </c>
      <c r="E58" s="8"/>
      <c r="F58" s="42">
        <f>[4]Charters!D507</f>
        <v>245483.39</v>
      </c>
      <c r="G58" s="8"/>
      <c r="H58" s="8"/>
    </row>
    <row r="59" spans="1:8" x14ac:dyDescent="0.2">
      <c r="A59" s="20" t="s">
        <v>44</v>
      </c>
      <c r="B59" s="43"/>
      <c r="C59" s="56"/>
      <c r="D59" s="41">
        <f>[4]Charters!E662</f>
        <v>42900</v>
      </c>
      <c r="E59" s="8"/>
      <c r="F59" s="42">
        <f>SUM(D51:D53)</f>
        <v>245483.39</v>
      </c>
      <c r="G59" s="8"/>
      <c r="H59" s="8"/>
    </row>
    <row r="60" spans="1:8" x14ac:dyDescent="0.2">
      <c r="A60" s="59" t="s">
        <v>43</v>
      </c>
      <c r="B60" s="43"/>
      <c r="C60" s="56"/>
      <c r="D60" s="41">
        <f>[4]Charters!F662</f>
        <v>0</v>
      </c>
      <c r="E60" s="8"/>
      <c r="F60" s="42">
        <f>+F58-F59</f>
        <v>0</v>
      </c>
      <c r="G60" s="8"/>
      <c r="H60" s="8"/>
    </row>
    <row r="61" spans="1:8" x14ac:dyDescent="0.2">
      <c r="A61" s="59" t="s">
        <v>45</v>
      </c>
      <c r="B61" s="43"/>
      <c r="C61" s="56"/>
      <c r="D61" s="41">
        <f>[4]Charters!C507</f>
        <v>0</v>
      </c>
      <c r="E61" s="8"/>
      <c r="F61" s="8"/>
      <c r="G61" s="8"/>
      <c r="H61" s="8"/>
    </row>
    <row r="62" spans="1:8" x14ac:dyDescent="0.2">
      <c r="A62" s="59" t="s">
        <v>46</v>
      </c>
      <c r="B62" s="43"/>
      <c r="C62" s="56"/>
      <c r="D62" s="41">
        <f>[4]Charters!C818</f>
        <v>0</v>
      </c>
      <c r="E62" s="42"/>
      <c r="F62" s="42"/>
      <c r="G62" s="42"/>
      <c r="H62" s="42" t="s">
        <v>31</v>
      </c>
    </row>
    <row r="63" spans="1:8" x14ac:dyDescent="0.2">
      <c r="A63" s="59" t="s">
        <v>51</v>
      </c>
      <c r="B63" s="43"/>
      <c r="C63" s="56"/>
      <c r="D63" s="60">
        <f>[4]Charters!D818</f>
        <v>843.39</v>
      </c>
      <c r="E63" s="42"/>
      <c r="F63" s="42"/>
      <c r="G63" s="42"/>
      <c r="H63" s="42">
        <f>[4]Charters!D1277</f>
        <v>3161114.98</v>
      </c>
    </row>
    <row r="64" spans="1:8" x14ac:dyDescent="0.2">
      <c r="A64" s="20" t="s">
        <v>47</v>
      </c>
      <c r="B64" s="43"/>
      <c r="C64" s="56"/>
      <c r="D64" s="60">
        <f>[4]Charters!E818</f>
        <v>0</v>
      </c>
      <c r="E64" s="42"/>
      <c r="F64" s="42"/>
      <c r="G64" s="42"/>
      <c r="H64" s="42">
        <f>D73</f>
        <v>3161114.98</v>
      </c>
    </row>
    <row r="65" spans="1:8" x14ac:dyDescent="0.2">
      <c r="A65" s="20" t="s">
        <v>57</v>
      </c>
      <c r="B65" s="43"/>
      <c r="C65" s="56"/>
      <c r="D65" s="60">
        <f>[4]Charters!C971</f>
        <v>14763.33</v>
      </c>
      <c r="E65" s="42"/>
      <c r="F65" s="42"/>
      <c r="G65" s="42"/>
      <c r="H65" s="42">
        <f>+H63-H64</f>
        <v>0</v>
      </c>
    </row>
    <row r="66" spans="1:8" x14ac:dyDescent="0.2">
      <c r="A66" s="59" t="s">
        <v>53</v>
      </c>
      <c r="B66" s="43"/>
      <c r="C66" s="56"/>
      <c r="D66" s="60">
        <f>[4]Charters!D971</f>
        <v>74272</v>
      </c>
      <c r="E66" s="42"/>
      <c r="F66" s="42" t="s">
        <v>30</v>
      </c>
      <c r="G66" s="42"/>
      <c r="H66" s="42"/>
    </row>
    <row r="67" spans="1:8" x14ac:dyDescent="0.2">
      <c r="A67" s="59" t="s">
        <v>59</v>
      </c>
      <c r="B67" s="43"/>
      <c r="C67" s="56"/>
      <c r="D67" s="60">
        <f>[4]Charters!E971</f>
        <v>0</v>
      </c>
      <c r="E67" s="42"/>
      <c r="F67" s="42"/>
      <c r="G67" s="42"/>
      <c r="H67" s="42"/>
    </row>
    <row r="68" spans="1:8" x14ac:dyDescent="0.2">
      <c r="A68" s="38" t="s">
        <v>18</v>
      </c>
      <c r="B68" s="61"/>
      <c r="C68" s="62"/>
      <c r="D68" s="87"/>
      <c r="E68" s="42"/>
      <c r="F68" s="42">
        <f>[4]Charters!C1277</f>
        <v>7009.57</v>
      </c>
      <c r="G68" s="42"/>
      <c r="H68" s="42"/>
    </row>
    <row r="69" spans="1:8" x14ac:dyDescent="0.2">
      <c r="A69" s="59" t="s">
        <v>39</v>
      </c>
      <c r="B69" s="43"/>
      <c r="C69" s="56"/>
      <c r="D69" s="41">
        <f>[4]Charters!C1124</f>
        <v>2009.57</v>
      </c>
      <c r="E69" s="42"/>
      <c r="F69" s="42">
        <f>SUM(D69:D72)</f>
        <v>7009.57</v>
      </c>
      <c r="G69" s="42"/>
      <c r="H69" s="42"/>
    </row>
    <row r="70" spans="1:8" x14ac:dyDescent="0.2">
      <c r="A70" s="59" t="s">
        <v>48</v>
      </c>
      <c r="B70" s="43"/>
      <c r="C70" s="56"/>
      <c r="D70" s="41">
        <f>[4]Charters!D1124</f>
        <v>0</v>
      </c>
      <c r="E70" s="42"/>
      <c r="F70" s="42">
        <f>+F68-F69</f>
        <v>0</v>
      </c>
      <c r="G70" s="42"/>
      <c r="H70" s="42"/>
    </row>
    <row r="71" spans="1:8" x14ac:dyDescent="0.2">
      <c r="A71" s="59" t="s">
        <v>60</v>
      </c>
      <c r="B71" s="43"/>
      <c r="C71" s="56"/>
      <c r="D71" s="41">
        <f>[4]Charters!E1124</f>
        <v>0</v>
      </c>
      <c r="E71" s="42"/>
      <c r="F71" s="42"/>
      <c r="G71" s="42"/>
      <c r="H71" s="42"/>
    </row>
    <row r="72" spans="1:8" x14ac:dyDescent="0.2">
      <c r="A72" s="59" t="s">
        <v>61</v>
      </c>
      <c r="B72" s="43"/>
      <c r="C72" s="56"/>
      <c r="D72" s="41">
        <f>[4]Charters!F1124</f>
        <v>5000</v>
      </c>
      <c r="E72" s="42"/>
      <c r="F72" s="42"/>
      <c r="G72" s="42"/>
      <c r="H72" s="42"/>
    </row>
    <row r="73" spans="1:8" ht="13.5" thickBot="1" x14ac:dyDescent="0.25">
      <c r="A73" s="64"/>
      <c r="B73" s="65"/>
      <c r="C73" s="66"/>
      <c r="D73" s="67">
        <f>SUM(D48:D72)</f>
        <v>3161114.98</v>
      </c>
      <c r="E73" s="42"/>
      <c r="F73" s="42"/>
      <c r="G73" s="42"/>
      <c r="H73" s="42"/>
    </row>
    <row r="74" spans="1:8" ht="13.5" thickTop="1" x14ac:dyDescent="0.2">
      <c r="A74" s="68"/>
      <c r="B74" s="43"/>
      <c r="C74" s="56"/>
      <c r="D74" s="86"/>
      <c r="E74" s="42"/>
      <c r="F74" s="42"/>
      <c r="G74" s="42"/>
      <c r="H74" s="42"/>
    </row>
    <row r="75" spans="1:8" x14ac:dyDescent="0.2">
      <c r="A75" s="38" t="s">
        <v>20</v>
      </c>
      <c r="B75" s="39"/>
      <c r="C75" s="70"/>
      <c r="D75" s="71" t="s">
        <v>21</v>
      </c>
      <c r="E75" s="42"/>
      <c r="F75" s="42"/>
      <c r="G75" s="42"/>
      <c r="H75" s="42"/>
    </row>
    <row r="76" spans="1:8" x14ac:dyDescent="0.2">
      <c r="A76" s="72" t="s">
        <v>22</v>
      </c>
      <c r="B76" s="73"/>
      <c r="C76" s="74"/>
      <c r="D76" s="41">
        <f>[5]Charters!C30</f>
        <v>975.87</v>
      </c>
      <c r="E76" s="42"/>
      <c r="F76" s="42"/>
      <c r="G76" s="42"/>
      <c r="H76" s="42"/>
    </row>
    <row r="77" spans="1:8" x14ac:dyDescent="0.2">
      <c r="A77" s="75"/>
      <c r="B77" s="61"/>
      <c r="C77" s="76"/>
      <c r="D77" s="77">
        <f>SUM(D76:D76)</f>
        <v>975.87</v>
      </c>
      <c r="E77" s="42"/>
      <c r="F77" s="42"/>
      <c r="G77" s="42"/>
      <c r="H77" s="42"/>
    </row>
    <row r="78" spans="1:8" x14ac:dyDescent="0.2">
      <c r="A78" s="78" t="s">
        <v>58</v>
      </c>
      <c r="B78" s="79"/>
      <c r="C78" s="80"/>
      <c r="D78" s="77">
        <f>D77+D73</f>
        <v>3162090.85</v>
      </c>
      <c r="E78" s="42"/>
      <c r="F78" s="42"/>
      <c r="G78" s="42"/>
      <c r="H78" s="42"/>
    </row>
    <row r="79" spans="1:8" x14ac:dyDescent="0.2">
      <c r="A79" s="84"/>
      <c r="B79" s="84"/>
      <c r="C79" s="85"/>
      <c r="D79" s="81"/>
      <c r="E79" s="42"/>
      <c r="F79" s="42"/>
      <c r="G79" s="42"/>
      <c r="H79" s="42"/>
    </row>
    <row r="80" spans="1:8" x14ac:dyDescent="0.2">
      <c r="A80" s="84"/>
      <c r="B80" s="84"/>
      <c r="C80" s="85"/>
      <c r="D80" s="81">
        <f>[5]Charters!E186</f>
        <v>3162090.85</v>
      </c>
      <c r="E80" s="42"/>
      <c r="F80" s="42"/>
      <c r="G80" s="42"/>
      <c r="H80" s="42"/>
    </row>
    <row r="81" spans="1:8" x14ac:dyDescent="0.2">
      <c r="A81" s="84"/>
      <c r="B81" s="84"/>
      <c r="C81" s="85"/>
      <c r="D81" s="81">
        <f>D78</f>
        <v>3162090.85</v>
      </c>
      <c r="E81" s="42"/>
      <c r="F81" s="42"/>
      <c r="G81" s="42"/>
      <c r="H81" s="42"/>
    </row>
    <row r="82" spans="1:8" x14ac:dyDescent="0.2">
      <c r="C82" s="83"/>
      <c r="D82" s="42">
        <f>D80-D81</f>
        <v>0</v>
      </c>
      <c r="E82" s="42"/>
      <c r="F82" s="42"/>
      <c r="G82" s="42"/>
      <c r="H82" s="42"/>
    </row>
  </sheetData>
  <mergeCells count="4">
    <mergeCell ref="A26:D26"/>
    <mergeCell ref="A24:D24"/>
    <mergeCell ref="A25:D25"/>
    <mergeCell ref="A78:C78"/>
  </mergeCells>
  <phoneticPr fontId="0" type="noConversion"/>
  <printOptions horizontalCentered="1" verticalCentered="1"/>
  <pageMargins left="0.5" right="0.5" top="0.5" bottom="0.5" header="0.25" footer="0.25"/>
  <pageSetup orientation="portrait" r:id="rId1"/>
  <headerFooter alignWithMargins="0">
    <oddHeader>&amp;R&amp;8Current as of: &amp;D</oddHeader>
    <oddFooter>&amp;L&amp;8USOE, School Finance</oddFooter>
  </headerFooter>
  <picture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>
    <pageSetUpPr fitToPage="1"/>
  </sheetPr>
  <dimension ref="A1:H83"/>
  <sheetViews>
    <sheetView showGridLines="0" topLeftCell="A22" workbookViewId="0">
      <selection activeCell="C12" sqref="C12"/>
    </sheetView>
  </sheetViews>
  <sheetFormatPr defaultColWidth="9.140625" defaultRowHeight="12.75" x14ac:dyDescent="0.2"/>
  <cols>
    <col min="1" max="1" width="31.85546875" style="82" customWidth="1"/>
    <col min="2" max="2" width="16.140625" style="82" customWidth="1"/>
    <col min="3" max="4" width="14.85546875" style="82" customWidth="1"/>
    <col min="5" max="5" width="7" style="82" customWidth="1"/>
    <col min="6" max="6" width="19.7109375" style="82" customWidth="1"/>
    <col min="7" max="7" width="5.7109375" style="82" customWidth="1"/>
    <col min="8" max="8" width="18" style="82" customWidth="1"/>
    <col min="9" max="16384" width="9.140625" style="82"/>
  </cols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"/>
      <c r="B3" s="1"/>
      <c r="C3" s="1"/>
      <c r="D3" s="1"/>
      <c r="E3" s="1"/>
      <c r="F3" s="1"/>
      <c r="G3" s="1"/>
      <c r="H3" s="1"/>
    </row>
    <row r="4" spans="1:8" x14ac:dyDescent="0.2">
      <c r="A4" s="1"/>
      <c r="B4" s="1"/>
      <c r="C4" s="1"/>
      <c r="D4" s="1"/>
      <c r="E4" s="1"/>
      <c r="F4" s="1"/>
      <c r="G4" s="1"/>
      <c r="H4" s="1"/>
    </row>
    <row r="5" spans="1:8" x14ac:dyDescent="0.2">
      <c r="A5" s="1"/>
      <c r="B5" s="1"/>
      <c r="C5" s="1"/>
      <c r="D5" s="1"/>
      <c r="E5" s="1"/>
      <c r="F5" s="1"/>
      <c r="G5" s="1"/>
      <c r="H5" s="1"/>
    </row>
    <row r="6" spans="1:8" x14ac:dyDescent="0.2">
      <c r="A6" s="1"/>
      <c r="B6" s="1"/>
      <c r="C6" s="1"/>
      <c r="D6" s="1"/>
      <c r="E6" s="1"/>
      <c r="F6" s="1"/>
      <c r="G6" s="1"/>
      <c r="H6" s="1"/>
    </row>
    <row r="7" spans="1:8" x14ac:dyDescent="0.2">
      <c r="A7" s="1"/>
      <c r="B7" s="1"/>
      <c r="C7" s="1"/>
      <c r="D7" s="1"/>
      <c r="E7" s="1"/>
      <c r="F7" s="1"/>
      <c r="G7" s="1"/>
      <c r="H7" s="1"/>
    </row>
    <row r="8" spans="1:8" x14ac:dyDescent="0.2">
      <c r="A8" s="1"/>
      <c r="B8" s="1"/>
      <c r="C8" s="1"/>
      <c r="D8" s="1"/>
      <c r="E8" s="1"/>
      <c r="F8" s="1"/>
      <c r="G8" s="1"/>
      <c r="H8" s="1"/>
    </row>
    <row r="9" spans="1:8" x14ac:dyDescent="0.2">
      <c r="A9" s="1"/>
      <c r="B9" s="1"/>
      <c r="C9" s="1"/>
      <c r="D9" s="1"/>
      <c r="E9" s="1"/>
      <c r="F9" s="1"/>
      <c r="G9" s="1"/>
      <c r="H9" s="1"/>
    </row>
    <row r="10" spans="1:8" x14ac:dyDescent="0.2">
      <c r="A10" s="1"/>
      <c r="B10" s="1"/>
      <c r="C10" s="1"/>
      <c r="D10" s="1"/>
      <c r="E10" s="1"/>
      <c r="F10" s="1"/>
      <c r="G10" s="1"/>
      <c r="H10" s="1"/>
    </row>
    <row r="11" spans="1:8" x14ac:dyDescent="0.2">
      <c r="A11" s="1"/>
      <c r="B11" s="1"/>
      <c r="C11" s="1"/>
      <c r="D11" s="1"/>
      <c r="E11" s="1"/>
      <c r="F11" s="1"/>
      <c r="G11" s="1"/>
      <c r="H11" s="1"/>
    </row>
    <row r="12" spans="1:8" x14ac:dyDescent="0.2">
      <c r="A12" s="1"/>
      <c r="B12" s="1"/>
      <c r="C12" s="1"/>
      <c r="D12" s="1"/>
      <c r="E12" s="1"/>
      <c r="F12" s="1"/>
      <c r="G12" s="1"/>
      <c r="H12" s="1"/>
    </row>
    <row r="13" spans="1:8" x14ac:dyDescent="0.2">
      <c r="A13" s="1"/>
      <c r="B13" s="1"/>
      <c r="C13" s="1"/>
      <c r="D13" s="1"/>
      <c r="E13" s="1"/>
      <c r="F13" s="1"/>
      <c r="G13" s="1"/>
      <c r="H13" s="1"/>
    </row>
    <row r="14" spans="1:8" x14ac:dyDescent="0.2">
      <c r="A14" s="1"/>
      <c r="B14" s="1"/>
      <c r="C14" s="1"/>
      <c r="D14" s="1"/>
      <c r="E14" s="1"/>
      <c r="F14" s="1"/>
      <c r="G14" s="1"/>
      <c r="H14" s="1"/>
    </row>
    <row r="15" spans="1:8" x14ac:dyDescent="0.2">
      <c r="A15" s="1"/>
      <c r="B15" s="1"/>
      <c r="C15" s="1"/>
      <c r="D15" s="1"/>
      <c r="E15" s="1"/>
      <c r="F15" s="1"/>
      <c r="G15" s="1"/>
      <c r="H15" s="1"/>
    </row>
    <row r="16" spans="1:8" x14ac:dyDescent="0.2">
      <c r="A16" s="1"/>
      <c r="B16" s="1"/>
      <c r="C16" s="1"/>
      <c r="D16" s="1"/>
      <c r="E16" s="1"/>
      <c r="F16" s="1"/>
      <c r="G16" s="1"/>
      <c r="H16" s="1"/>
    </row>
    <row r="17" spans="1:8" x14ac:dyDescent="0.2">
      <c r="A17" s="1"/>
      <c r="B17" s="1"/>
      <c r="C17" s="1"/>
      <c r="D17" s="1"/>
      <c r="E17" s="1"/>
      <c r="F17" s="1"/>
      <c r="G17" s="1"/>
      <c r="H17" s="1"/>
    </row>
    <row r="18" spans="1:8" x14ac:dyDescent="0.2">
      <c r="A18" s="1"/>
      <c r="B18" s="1"/>
      <c r="C18" s="1"/>
      <c r="D18" s="1"/>
      <c r="E18" s="1"/>
      <c r="F18" s="1"/>
      <c r="G18" s="1"/>
      <c r="H18" s="1"/>
    </row>
    <row r="19" spans="1:8" x14ac:dyDescent="0.2">
      <c r="A19" s="1"/>
      <c r="B19" s="1"/>
      <c r="C19" s="1"/>
      <c r="D19" s="1"/>
      <c r="E19" s="1"/>
      <c r="F19" s="1"/>
      <c r="G19" s="1"/>
      <c r="H19" s="1"/>
    </row>
    <row r="20" spans="1:8" x14ac:dyDescent="0.2">
      <c r="A20" s="1"/>
      <c r="B20" s="1"/>
      <c r="C20" s="1"/>
      <c r="D20" s="1"/>
      <c r="E20" s="1"/>
      <c r="F20" s="1"/>
      <c r="G20" s="1"/>
      <c r="H20" s="1"/>
    </row>
    <row r="21" spans="1:8" x14ac:dyDescent="0.2">
      <c r="A21" s="1"/>
      <c r="B21" s="1"/>
      <c r="C21" s="1"/>
      <c r="D21" s="1"/>
      <c r="E21" s="1"/>
      <c r="F21" s="1"/>
      <c r="G21" s="1"/>
      <c r="H21" s="1"/>
    </row>
    <row r="22" spans="1:8" x14ac:dyDescent="0.2">
      <c r="A22" s="1"/>
      <c r="B22" s="1"/>
      <c r="C22" s="1"/>
      <c r="D22" s="4"/>
      <c r="E22" s="1"/>
      <c r="F22" s="1"/>
      <c r="G22" s="1"/>
      <c r="H22" s="1"/>
    </row>
    <row r="23" spans="1:8" x14ac:dyDescent="0.2">
      <c r="A23" s="1"/>
      <c r="B23" s="1"/>
      <c r="C23" s="1"/>
      <c r="D23" s="1"/>
      <c r="E23" s="1"/>
      <c r="F23" s="1"/>
      <c r="G23" s="1"/>
      <c r="H23" s="1"/>
    </row>
    <row r="24" spans="1:8" x14ac:dyDescent="0.2">
      <c r="A24" s="1"/>
      <c r="B24" s="1"/>
      <c r="C24" s="1"/>
      <c r="D24" s="1"/>
      <c r="E24" s="1"/>
      <c r="F24" s="1"/>
      <c r="G24" s="1"/>
      <c r="H24" s="1"/>
    </row>
    <row r="25" spans="1:8" x14ac:dyDescent="0.2">
      <c r="A25" s="11" t="s">
        <v>1</v>
      </c>
      <c r="B25" s="12"/>
      <c r="C25" s="12"/>
      <c r="D25" s="13"/>
      <c r="E25" s="8"/>
      <c r="F25" s="8"/>
      <c r="G25" s="8"/>
      <c r="H25" s="8"/>
    </row>
    <row r="26" spans="1:8" x14ac:dyDescent="0.2">
      <c r="A26" s="14" t="s">
        <v>15</v>
      </c>
      <c r="B26" s="15"/>
      <c r="C26" s="15"/>
      <c r="D26" s="16"/>
      <c r="E26" s="8"/>
      <c r="F26" s="8"/>
      <c r="G26" s="8"/>
      <c r="H26" s="8"/>
    </row>
    <row r="27" spans="1:8" x14ac:dyDescent="0.2">
      <c r="A27" s="17" t="s">
        <v>62</v>
      </c>
      <c r="B27" s="18"/>
      <c r="C27" s="18"/>
      <c r="D27" s="19"/>
      <c r="E27" s="8"/>
      <c r="F27" s="8"/>
      <c r="G27" s="8"/>
      <c r="H27" s="8"/>
    </row>
    <row r="28" spans="1:8" x14ac:dyDescent="0.2">
      <c r="A28" s="20"/>
      <c r="B28" s="21"/>
      <c r="C28" s="22"/>
      <c r="D28" s="23"/>
      <c r="E28" s="8"/>
      <c r="F28" s="8" t="s">
        <v>34</v>
      </c>
      <c r="G28" s="8"/>
      <c r="H28" s="8"/>
    </row>
    <row r="29" spans="1:8" ht="15.75" x14ac:dyDescent="0.25">
      <c r="A29" s="24" t="s">
        <v>2</v>
      </c>
      <c r="B29" s="25" t="str">
        <f>[1]Charters!B32</f>
        <v>Utah County Academy of Science</v>
      </c>
      <c r="C29" s="26"/>
      <c r="D29" s="27"/>
      <c r="E29" s="8"/>
      <c r="F29" s="8"/>
      <c r="G29" s="8"/>
      <c r="H29" s="8"/>
    </row>
    <row r="30" spans="1:8" x14ac:dyDescent="0.2">
      <c r="A30" s="24"/>
      <c r="B30" s="28"/>
      <c r="C30" s="26"/>
      <c r="D30" s="27"/>
      <c r="E30" s="8"/>
      <c r="F30" s="8"/>
      <c r="G30" s="8"/>
      <c r="H30" s="8"/>
    </row>
    <row r="31" spans="1:8" x14ac:dyDescent="0.2">
      <c r="A31" s="29" t="s">
        <v>0</v>
      </c>
      <c r="B31" s="30">
        <f>[1]Charters!$E$6</f>
        <v>3184</v>
      </c>
      <c r="C31" s="26"/>
      <c r="D31" s="31"/>
      <c r="E31" s="8"/>
      <c r="F31" s="8"/>
      <c r="G31" s="8"/>
      <c r="H31" s="8"/>
    </row>
    <row r="32" spans="1:8" x14ac:dyDescent="0.2">
      <c r="A32" s="32"/>
      <c r="B32" s="6"/>
      <c r="C32" s="33"/>
      <c r="D32" s="34" t="s">
        <v>3</v>
      </c>
      <c r="E32" s="8"/>
      <c r="F32" s="8"/>
      <c r="G32" s="8"/>
      <c r="H32" s="8"/>
    </row>
    <row r="33" spans="1:8" x14ac:dyDescent="0.2">
      <c r="A33" s="29" t="s">
        <v>19</v>
      </c>
      <c r="B33" s="35" t="str">
        <f>[1]Charters!A32</f>
        <v>1B</v>
      </c>
      <c r="C33" s="36" t="s">
        <v>4</v>
      </c>
      <c r="D33" s="37" t="s">
        <v>5</v>
      </c>
      <c r="E33" s="8"/>
      <c r="F33" s="8"/>
      <c r="G33" s="8"/>
      <c r="H33" s="8"/>
    </row>
    <row r="34" spans="1:8" x14ac:dyDescent="0.2">
      <c r="A34" s="38" t="s">
        <v>6</v>
      </c>
      <c r="B34" s="39"/>
      <c r="C34" s="40"/>
      <c r="D34" s="41"/>
      <c r="E34" s="8"/>
      <c r="F34" s="8"/>
      <c r="G34" s="8"/>
      <c r="H34" s="8"/>
    </row>
    <row r="35" spans="1:8" x14ac:dyDescent="0.2">
      <c r="A35" s="38" t="s">
        <v>7</v>
      </c>
      <c r="B35" s="39"/>
      <c r="C35" s="40"/>
      <c r="D35" s="41"/>
      <c r="E35" s="8"/>
      <c r="F35" s="42" t="s">
        <v>23</v>
      </c>
      <c r="G35" s="8"/>
      <c r="H35" s="42" t="s">
        <v>26</v>
      </c>
    </row>
    <row r="36" spans="1:8" x14ac:dyDescent="0.2">
      <c r="A36" s="20" t="s">
        <v>8</v>
      </c>
      <c r="B36" s="43"/>
      <c r="C36" s="44">
        <f>[1]Charters!C492</f>
        <v>466.63600000000002</v>
      </c>
      <c r="D36" s="45">
        <f>[1]Charters!E492</f>
        <v>1485769.05</v>
      </c>
      <c r="E36" s="8"/>
      <c r="F36" s="42">
        <f>[1]Charters!E647</f>
        <v>1624689.76</v>
      </c>
      <c r="G36" s="8"/>
      <c r="H36" s="42">
        <f>[2]Charters!E186</f>
        <v>1784803</v>
      </c>
    </row>
    <row r="37" spans="1:8" x14ac:dyDescent="0.2">
      <c r="A37" s="20" t="s">
        <v>14</v>
      </c>
      <c r="B37" s="43"/>
      <c r="C37" s="44">
        <f>[1]Charters!F492</f>
        <v>41.631</v>
      </c>
      <c r="D37" s="45">
        <f>[1]Charters!H492</f>
        <v>132552.71</v>
      </c>
      <c r="E37" s="8"/>
      <c r="F37" s="42">
        <f>SUM(D36:D38)</f>
        <v>1624689.76</v>
      </c>
      <c r="G37" s="8"/>
      <c r="H37" s="42">
        <f>D49</f>
        <v>1784803</v>
      </c>
    </row>
    <row r="38" spans="1:8" x14ac:dyDescent="0.2">
      <c r="A38" s="20" t="s">
        <v>32</v>
      </c>
      <c r="B38" s="43"/>
      <c r="C38" s="44">
        <f>[1]Charters!C185</f>
        <v>2</v>
      </c>
      <c r="D38" s="45">
        <f>[1]Charters!E185</f>
        <v>6368</v>
      </c>
      <c r="E38" s="8"/>
      <c r="F38" s="42">
        <f>+F36-F37</f>
        <v>0</v>
      </c>
      <c r="G38" s="8"/>
      <c r="H38" s="42">
        <f>+H36-H37</f>
        <v>0</v>
      </c>
    </row>
    <row r="39" spans="1:8" x14ac:dyDescent="0.2">
      <c r="A39" s="38" t="s">
        <v>9</v>
      </c>
      <c r="B39" s="39"/>
      <c r="C39" s="46"/>
      <c r="D39" s="47"/>
      <c r="E39" s="8"/>
      <c r="F39" s="8"/>
      <c r="G39" s="8"/>
      <c r="H39" s="8"/>
    </row>
    <row r="40" spans="1:8" x14ac:dyDescent="0.2">
      <c r="A40" s="20" t="s">
        <v>10</v>
      </c>
      <c r="B40" s="43"/>
      <c r="C40" s="40">
        <f>[3]Charters!C31</f>
        <v>3.4980000000000002</v>
      </c>
      <c r="D40" s="41">
        <f>[3]Charters!E31</f>
        <v>11137</v>
      </c>
      <c r="E40" s="8"/>
      <c r="F40" s="42" t="s">
        <v>24</v>
      </c>
      <c r="G40" s="8"/>
      <c r="H40" s="8"/>
    </row>
    <row r="41" spans="1:8" x14ac:dyDescent="0.2">
      <c r="A41" s="48" t="s">
        <v>11</v>
      </c>
      <c r="B41" s="43"/>
      <c r="C41" s="40">
        <f>[3]Charters!F31</f>
        <v>0</v>
      </c>
      <c r="D41" s="49">
        <f>[3]Charters!H31</f>
        <v>0</v>
      </c>
      <c r="E41" s="8"/>
      <c r="F41" s="42">
        <f>[3]Charters!N342</f>
        <v>13471</v>
      </c>
      <c r="G41" s="8"/>
      <c r="H41" s="8"/>
    </row>
    <row r="42" spans="1:8" x14ac:dyDescent="0.2">
      <c r="A42" s="48" t="s">
        <v>12</v>
      </c>
      <c r="B42" s="43"/>
      <c r="C42" s="40">
        <f>[3]Charters!C186</f>
        <v>0</v>
      </c>
      <c r="D42" s="41">
        <f>[3]Charters!E186</f>
        <v>0</v>
      </c>
      <c r="E42" s="8"/>
      <c r="F42" s="42">
        <f>SUM(D40:D46)</f>
        <v>13471</v>
      </c>
      <c r="G42" s="8"/>
      <c r="H42" s="8"/>
    </row>
    <row r="43" spans="1:8" x14ac:dyDescent="0.2">
      <c r="A43" s="20" t="s">
        <v>13</v>
      </c>
      <c r="B43" s="43"/>
      <c r="C43" s="40">
        <f>[3]Charters!F186</f>
        <v>0.70899999999999996</v>
      </c>
      <c r="D43" s="41">
        <f>[3]Charters!H186</f>
        <v>2259</v>
      </c>
      <c r="E43" s="8"/>
      <c r="F43" s="42">
        <f>+F41-F42</f>
        <v>0</v>
      </c>
      <c r="G43" s="8"/>
      <c r="H43" s="8"/>
    </row>
    <row r="44" spans="1:8" x14ac:dyDescent="0.2">
      <c r="A44" s="48" t="s">
        <v>54</v>
      </c>
      <c r="B44" s="43"/>
      <c r="C44" s="40">
        <f>[3]Charters!C342</f>
        <v>2.4E-2</v>
      </c>
      <c r="D44" s="41">
        <f>[3]Charters!E342</f>
        <v>75</v>
      </c>
      <c r="E44" s="8"/>
      <c r="F44" s="8"/>
      <c r="G44" s="8"/>
      <c r="H44" s="8"/>
    </row>
    <row r="45" spans="1:8" x14ac:dyDescent="0.2">
      <c r="A45" s="48" t="s">
        <v>55</v>
      </c>
      <c r="B45" s="43"/>
      <c r="C45" s="40">
        <f>[3]Charters!F342</f>
        <v>0</v>
      </c>
      <c r="D45" s="41">
        <f>[3]Charters!H342</f>
        <v>0</v>
      </c>
      <c r="E45" s="8"/>
      <c r="F45" s="42" t="s">
        <v>25</v>
      </c>
      <c r="G45" s="8"/>
      <c r="H45" s="8"/>
    </row>
    <row r="46" spans="1:8" x14ac:dyDescent="0.2">
      <c r="A46" s="48" t="s">
        <v>56</v>
      </c>
      <c r="B46" s="43"/>
      <c r="C46" s="40">
        <f>[3]Charters!I342</f>
        <v>0</v>
      </c>
      <c r="D46" s="41">
        <f>[3]Charters!K342</f>
        <v>0</v>
      </c>
      <c r="E46" s="8"/>
      <c r="F46" s="42">
        <f>[2]Charters!H32</f>
        <v>160113.24</v>
      </c>
      <c r="G46" s="8"/>
      <c r="H46" s="8"/>
    </row>
    <row r="47" spans="1:8" x14ac:dyDescent="0.2">
      <c r="A47" s="20" t="s">
        <v>49</v>
      </c>
      <c r="B47" s="43"/>
      <c r="C47" s="40">
        <f>[3]Charters!C499</f>
        <v>46.055999999999997</v>
      </c>
      <c r="D47" s="41">
        <f>[3]Charters!E499</f>
        <v>146642.23999999999</v>
      </c>
      <c r="E47" s="8"/>
      <c r="F47" s="42">
        <f>SUM(D40:D48)</f>
        <v>160113.24</v>
      </c>
      <c r="G47" s="8"/>
      <c r="H47" s="8"/>
    </row>
    <row r="48" spans="1:8" x14ac:dyDescent="0.2">
      <c r="A48" s="20" t="s">
        <v>50</v>
      </c>
      <c r="B48" s="43"/>
      <c r="C48" s="40">
        <f>[2]Charters!C32</f>
        <v>0</v>
      </c>
      <c r="D48" s="41">
        <f>[2]Charters!E32</f>
        <v>0</v>
      </c>
      <c r="E48" s="8"/>
      <c r="F48" s="42">
        <f>+F46-F47</f>
        <v>0</v>
      </c>
      <c r="G48" s="8"/>
      <c r="H48" s="8"/>
    </row>
    <row r="49" spans="1:8" x14ac:dyDescent="0.2">
      <c r="A49" s="50"/>
      <c r="B49" s="51" t="s">
        <v>16</v>
      </c>
      <c r="C49" s="52">
        <f>SUM(C36:C48)</f>
        <v>560.55399999999997</v>
      </c>
      <c r="D49" s="53">
        <f>SUM(D36:D48)</f>
        <v>1784803</v>
      </c>
      <c r="E49" s="8"/>
      <c r="F49" s="8"/>
      <c r="G49" s="8"/>
      <c r="H49" s="8"/>
    </row>
    <row r="50" spans="1:8" x14ac:dyDescent="0.2">
      <c r="A50" s="54" t="s">
        <v>17</v>
      </c>
      <c r="B50" s="39"/>
      <c r="C50" s="55"/>
      <c r="D50" s="47"/>
      <c r="E50" s="8"/>
      <c r="F50" s="8"/>
      <c r="G50" s="8"/>
      <c r="H50" s="42" t="s">
        <v>29</v>
      </c>
    </row>
    <row r="51" spans="1:8" x14ac:dyDescent="0.2">
      <c r="A51" s="20" t="s">
        <v>33</v>
      </c>
      <c r="B51" s="43"/>
      <c r="C51" s="56"/>
      <c r="D51" s="57">
        <f>[4]Charters!C31</f>
        <v>5154.74</v>
      </c>
      <c r="E51" s="8"/>
      <c r="F51" s="8"/>
      <c r="G51" s="8"/>
      <c r="H51" s="42">
        <f>[4]Charters!F972</f>
        <v>2917861.9</v>
      </c>
    </row>
    <row r="52" spans="1:8" x14ac:dyDescent="0.2">
      <c r="A52" s="58" t="s">
        <v>35</v>
      </c>
      <c r="B52" s="43"/>
      <c r="C52" s="56"/>
      <c r="D52" s="41">
        <f>+[4]Charters!F352</f>
        <v>2314.9899999999998</v>
      </c>
      <c r="E52" s="8"/>
      <c r="F52" s="8"/>
      <c r="G52" s="8"/>
      <c r="H52" s="42">
        <f>SUM(D49:D68)</f>
        <v>2917861.9</v>
      </c>
    </row>
    <row r="53" spans="1:8" x14ac:dyDescent="0.2">
      <c r="A53" s="59" t="s">
        <v>36</v>
      </c>
      <c r="B53" s="43"/>
      <c r="C53" s="56"/>
      <c r="D53" s="41">
        <f>[4]Charters!E191</f>
        <v>17841</v>
      </c>
      <c r="E53" s="8"/>
      <c r="F53" s="8"/>
      <c r="G53" s="8"/>
      <c r="H53" s="42">
        <f>+H51-H52</f>
        <v>0</v>
      </c>
    </row>
    <row r="54" spans="1:8" x14ac:dyDescent="0.2">
      <c r="A54" s="59" t="s">
        <v>52</v>
      </c>
      <c r="B54" s="43"/>
      <c r="C54" s="56"/>
      <c r="D54" s="41">
        <f>[4]Charters!G352</f>
        <v>83320.179999999993</v>
      </c>
      <c r="E54" s="8"/>
      <c r="F54" s="42" t="s">
        <v>27</v>
      </c>
      <c r="G54" s="8"/>
      <c r="H54" s="42"/>
    </row>
    <row r="55" spans="1:8" x14ac:dyDescent="0.2">
      <c r="A55" s="20" t="s">
        <v>37</v>
      </c>
      <c r="B55" s="43"/>
      <c r="C55" s="56"/>
      <c r="D55" s="41">
        <f>[4]Charters!E508</f>
        <v>28026</v>
      </c>
      <c r="E55" s="8"/>
      <c r="F55" s="42">
        <f>[4]Charters!E191</f>
        <v>17841</v>
      </c>
      <c r="G55" s="8"/>
      <c r="H55" s="8"/>
    </row>
    <row r="56" spans="1:8" x14ac:dyDescent="0.2">
      <c r="A56" s="20" t="s">
        <v>38</v>
      </c>
      <c r="B56" s="43"/>
      <c r="C56" s="56"/>
      <c r="D56" s="41">
        <f>[4]Charters!F508</f>
        <v>0</v>
      </c>
      <c r="E56" s="8"/>
      <c r="F56" s="42">
        <f>SUM(D53:D53)</f>
        <v>17841</v>
      </c>
      <c r="G56" s="8"/>
      <c r="H56" s="8"/>
    </row>
    <row r="57" spans="1:8" x14ac:dyDescent="0.2">
      <c r="A57" s="59" t="s">
        <v>40</v>
      </c>
      <c r="B57" s="43"/>
      <c r="C57" s="56"/>
      <c r="D57" s="41">
        <f>[4]Charters!G508</f>
        <v>0</v>
      </c>
      <c r="E57" s="8"/>
      <c r="F57" s="42">
        <f>+F55-F56</f>
        <v>0</v>
      </c>
      <c r="G57" s="8"/>
      <c r="H57" s="8"/>
    </row>
    <row r="58" spans="1:8" x14ac:dyDescent="0.2">
      <c r="A58" s="20" t="s">
        <v>41</v>
      </c>
      <c r="B58" s="43"/>
      <c r="C58" s="56"/>
      <c r="D58" s="41">
        <f>[4]Charters!C663</f>
        <v>790395</v>
      </c>
      <c r="E58" s="8"/>
      <c r="F58" s="42" t="s">
        <v>28</v>
      </c>
      <c r="G58" s="8"/>
      <c r="H58" s="8"/>
    </row>
    <row r="59" spans="1:8" x14ac:dyDescent="0.2">
      <c r="A59" s="20" t="s">
        <v>42</v>
      </c>
      <c r="B59" s="43"/>
      <c r="C59" s="56"/>
      <c r="D59" s="41">
        <f>[4]Charters!D663</f>
        <v>92449.54</v>
      </c>
      <c r="E59" s="8"/>
      <c r="F59" s="42">
        <f>[4]Charters!D508</f>
        <v>103476.17</v>
      </c>
      <c r="G59" s="8"/>
      <c r="H59" s="8"/>
    </row>
    <row r="60" spans="1:8" x14ac:dyDescent="0.2">
      <c r="A60" s="20" t="s">
        <v>44</v>
      </c>
      <c r="B60" s="43"/>
      <c r="C60" s="56"/>
      <c r="D60" s="41">
        <f>[4]Charters!E663</f>
        <v>39500</v>
      </c>
      <c r="E60" s="8"/>
      <c r="F60" s="42">
        <f>SUM(D52:D54)</f>
        <v>103476.17</v>
      </c>
      <c r="G60" s="8"/>
      <c r="H60" s="8"/>
    </row>
    <row r="61" spans="1:8" x14ac:dyDescent="0.2">
      <c r="A61" s="59" t="s">
        <v>43</v>
      </c>
      <c r="B61" s="43"/>
      <c r="C61" s="56"/>
      <c r="D61" s="41">
        <f>[4]Charters!F663</f>
        <v>0</v>
      </c>
      <c r="E61" s="8"/>
      <c r="F61" s="42">
        <f>+F59-F60</f>
        <v>0</v>
      </c>
      <c r="G61" s="8"/>
      <c r="H61" s="8"/>
    </row>
    <row r="62" spans="1:8" x14ac:dyDescent="0.2">
      <c r="A62" s="59" t="s">
        <v>45</v>
      </c>
      <c r="B62" s="43"/>
      <c r="C62" s="56"/>
      <c r="D62" s="41">
        <f>[4]Charters!C508</f>
        <v>0</v>
      </c>
      <c r="E62" s="8"/>
      <c r="F62" s="8"/>
      <c r="G62" s="8"/>
      <c r="H62" s="8"/>
    </row>
    <row r="63" spans="1:8" x14ac:dyDescent="0.2">
      <c r="A63" s="59" t="s">
        <v>46</v>
      </c>
      <c r="B63" s="43"/>
      <c r="C63" s="56"/>
      <c r="D63" s="41">
        <f>[4]Charters!C819</f>
        <v>0</v>
      </c>
      <c r="E63" s="42"/>
      <c r="F63" s="42"/>
      <c r="G63" s="42"/>
      <c r="H63" s="42" t="s">
        <v>31</v>
      </c>
    </row>
    <row r="64" spans="1:8" x14ac:dyDescent="0.2">
      <c r="A64" s="59" t="s">
        <v>51</v>
      </c>
      <c r="B64" s="43"/>
      <c r="C64" s="56"/>
      <c r="D64" s="60">
        <f>[4]Charters!D819</f>
        <v>604.88</v>
      </c>
      <c r="E64" s="42"/>
      <c r="F64" s="42"/>
      <c r="G64" s="42"/>
      <c r="H64" s="42">
        <f>[4]Charters!D1278</f>
        <v>2925436.82</v>
      </c>
    </row>
    <row r="65" spans="1:8" x14ac:dyDescent="0.2">
      <c r="A65" s="20" t="s">
        <v>47</v>
      </c>
      <c r="B65" s="43"/>
      <c r="C65" s="56"/>
      <c r="D65" s="60">
        <f>[4]Charters!E819</f>
        <v>0</v>
      </c>
      <c r="E65" s="42"/>
      <c r="F65" s="42"/>
      <c r="G65" s="42"/>
      <c r="H65" s="42">
        <f>D74</f>
        <v>2925436.82</v>
      </c>
    </row>
    <row r="66" spans="1:8" x14ac:dyDescent="0.2">
      <c r="A66" s="20" t="s">
        <v>57</v>
      </c>
      <c r="B66" s="43"/>
      <c r="C66" s="56"/>
      <c r="D66" s="60">
        <f>[4]Charters!C972</f>
        <v>5417.74</v>
      </c>
      <c r="E66" s="42"/>
      <c r="F66" s="42"/>
      <c r="G66" s="42"/>
      <c r="H66" s="42">
        <f>+H64-H65</f>
        <v>0</v>
      </c>
    </row>
    <row r="67" spans="1:8" x14ac:dyDescent="0.2">
      <c r="A67" s="59" t="s">
        <v>53</v>
      </c>
      <c r="B67" s="43"/>
      <c r="C67" s="56"/>
      <c r="D67" s="60">
        <f>[4]Charters!D972</f>
        <v>49542</v>
      </c>
      <c r="E67" s="42"/>
      <c r="F67" s="42" t="s">
        <v>30</v>
      </c>
      <c r="G67" s="42"/>
      <c r="H67" s="42"/>
    </row>
    <row r="68" spans="1:8" x14ac:dyDescent="0.2">
      <c r="A68" s="59" t="s">
        <v>59</v>
      </c>
      <c r="B68" s="43"/>
      <c r="C68" s="56"/>
      <c r="D68" s="60">
        <f>[4]Charters!E972</f>
        <v>18492.830000000002</v>
      </c>
      <c r="E68" s="42"/>
      <c r="F68" s="42"/>
      <c r="G68" s="42"/>
      <c r="H68" s="42"/>
    </row>
    <row r="69" spans="1:8" x14ac:dyDescent="0.2">
      <c r="A69" s="38" t="s">
        <v>18</v>
      </c>
      <c r="B69" s="61"/>
      <c r="C69" s="62"/>
      <c r="D69" s="87"/>
      <c r="E69" s="42"/>
      <c r="F69" s="42">
        <f>[4]Charters!C1278</f>
        <v>7574.92</v>
      </c>
      <c r="G69" s="42"/>
      <c r="H69" s="42"/>
    </row>
    <row r="70" spans="1:8" x14ac:dyDescent="0.2">
      <c r="A70" s="59" t="s">
        <v>39</v>
      </c>
      <c r="B70" s="43"/>
      <c r="C70" s="56"/>
      <c r="D70" s="41">
        <f>[4]Charters!C1125</f>
        <v>3289.04</v>
      </c>
      <c r="E70" s="42"/>
      <c r="F70" s="42">
        <f>SUM(D70:D73)</f>
        <v>7574.92</v>
      </c>
      <c r="G70" s="42"/>
      <c r="H70" s="42"/>
    </row>
    <row r="71" spans="1:8" x14ac:dyDescent="0.2">
      <c r="A71" s="59" t="s">
        <v>48</v>
      </c>
      <c r="B71" s="43"/>
      <c r="C71" s="56"/>
      <c r="D71" s="41">
        <f>[4]Charters!D1125</f>
        <v>0</v>
      </c>
      <c r="E71" s="42"/>
      <c r="F71" s="42">
        <f>+F69-F70</f>
        <v>0</v>
      </c>
      <c r="G71" s="42"/>
      <c r="H71" s="42"/>
    </row>
    <row r="72" spans="1:8" x14ac:dyDescent="0.2">
      <c r="A72" s="59" t="s">
        <v>60</v>
      </c>
      <c r="B72" s="43"/>
      <c r="C72" s="56"/>
      <c r="D72" s="41">
        <f>[4]Charters!E1125</f>
        <v>0</v>
      </c>
      <c r="E72" s="42"/>
      <c r="F72" s="42"/>
      <c r="G72" s="42"/>
      <c r="H72" s="42"/>
    </row>
    <row r="73" spans="1:8" x14ac:dyDescent="0.2">
      <c r="A73" s="59" t="s">
        <v>61</v>
      </c>
      <c r="B73" s="43"/>
      <c r="C73" s="56"/>
      <c r="D73" s="41">
        <f>[4]Charters!F1125</f>
        <v>4285.88</v>
      </c>
      <c r="E73" s="42"/>
      <c r="F73" s="42"/>
      <c r="G73" s="42"/>
      <c r="H73" s="42"/>
    </row>
    <row r="74" spans="1:8" ht="13.5" thickBot="1" x14ac:dyDescent="0.25">
      <c r="A74" s="64"/>
      <c r="B74" s="65"/>
      <c r="C74" s="66"/>
      <c r="D74" s="67">
        <f>SUM(D49:D73)</f>
        <v>2925436.82</v>
      </c>
      <c r="E74" s="42"/>
      <c r="F74" s="42"/>
      <c r="G74" s="42"/>
      <c r="H74" s="42"/>
    </row>
    <row r="75" spans="1:8" ht="13.5" thickTop="1" x14ac:dyDescent="0.2">
      <c r="A75" s="68"/>
      <c r="B75" s="43"/>
      <c r="C75" s="56"/>
      <c r="D75" s="86"/>
      <c r="E75" s="42"/>
      <c r="F75" s="42"/>
      <c r="G75" s="42"/>
      <c r="H75" s="42"/>
    </row>
    <row r="76" spans="1:8" x14ac:dyDescent="0.2">
      <c r="A76" s="38" t="s">
        <v>20</v>
      </c>
      <c r="B76" s="39"/>
      <c r="C76" s="70"/>
      <c r="D76" s="71" t="s">
        <v>21</v>
      </c>
      <c r="E76" s="42"/>
      <c r="F76" s="42"/>
      <c r="G76" s="42"/>
      <c r="H76" s="42"/>
    </row>
    <row r="77" spans="1:8" x14ac:dyDescent="0.2">
      <c r="A77" s="72" t="s">
        <v>22</v>
      </c>
      <c r="B77" s="73"/>
      <c r="C77" s="74"/>
      <c r="D77" s="41">
        <f>[5]Charters!C31</f>
        <v>931.29</v>
      </c>
      <c r="E77" s="42"/>
      <c r="F77" s="42"/>
      <c r="G77" s="42"/>
      <c r="H77" s="42"/>
    </row>
    <row r="78" spans="1:8" x14ac:dyDescent="0.2">
      <c r="A78" s="75"/>
      <c r="B78" s="61"/>
      <c r="C78" s="76"/>
      <c r="D78" s="77">
        <f>SUM(D77:D77)</f>
        <v>931.29</v>
      </c>
      <c r="E78" s="42"/>
      <c r="F78" s="42"/>
      <c r="G78" s="42"/>
      <c r="H78" s="42"/>
    </row>
    <row r="79" spans="1:8" x14ac:dyDescent="0.2">
      <c r="A79" s="78" t="s">
        <v>58</v>
      </c>
      <c r="B79" s="79"/>
      <c r="C79" s="80"/>
      <c r="D79" s="77">
        <f>D78+D74</f>
        <v>2926368.11</v>
      </c>
      <c r="E79" s="42"/>
      <c r="F79" s="42"/>
      <c r="G79" s="42"/>
      <c r="H79" s="42"/>
    </row>
    <row r="80" spans="1:8" x14ac:dyDescent="0.2">
      <c r="A80" s="84"/>
      <c r="B80" s="84"/>
      <c r="C80" s="85"/>
      <c r="D80" s="81"/>
      <c r="E80" s="42"/>
      <c r="F80" s="42"/>
      <c r="G80" s="42"/>
      <c r="H80" s="42"/>
    </row>
    <row r="81" spans="1:8" x14ac:dyDescent="0.2">
      <c r="A81" s="84"/>
      <c r="B81" s="84"/>
      <c r="C81" s="85"/>
      <c r="D81" s="81">
        <f>[5]Charters!E187</f>
        <v>2926368.11</v>
      </c>
      <c r="E81" s="42"/>
      <c r="F81" s="42"/>
      <c r="G81" s="42"/>
      <c r="H81" s="42"/>
    </row>
    <row r="82" spans="1:8" x14ac:dyDescent="0.2">
      <c r="A82" s="84"/>
      <c r="B82" s="84"/>
      <c r="C82" s="85"/>
      <c r="D82" s="81">
        <f>D79</f>
        <v>2926368.11</v>
      </c>
      <c r="E82" s="42"/>
      <c r="F82" s="42"/>
      <c r="G82" s="42"/>
      <c r="H82" s="42"/>
    </row>
    <row r="83" spans="1:8" x14ac:dyDescent="0.2">
      <c r="C83" s="83"/>
      <c r="D83" s="42">
        <f>D81-D82</f>
        <v>0</v>
      </c>
      <c r="E83" s="42"/>
      <c r="F83" s="42"/>
      <c r="G83" s="42"/>
      <c r="H83" s="42"/>
    </row>
  </sheetData>
  <mergeCells count="4">
    <mergeCell ref="A27:D27"/>
    <mergeCell ref="A25:D25"/>
    <mergeCell ref="A26:D26"/>
    <mergeCell ref="A79:C79"/>
  </mergeCells>
  <phoneticPr fontId="0" type="noConversion"/>
  <printOptions horizontalCentered="1" verticalCentered="1"/>
  <pageMargins left="0.5" right="0.5" top="0.5" bottom="0.5" header="0.25" footer="0.25"/>
  <pageSetup orientation="portrait" r:id="rId1"/>
  <headerFooter alignWithMargins="0">
    <oddHeader>&amp;R&amp;8Current as of: &amp;D</oddHeader>
    <oddFooter>&amp;L&amp;8USOE, School Finance</oddFooter>
  </headerFooter>
  <picture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>
    <pageSetUpPr fitToPage="1"/>
  </sheetPr>
  <dimension ref="A1:H84"/>
  <sheetViews>
    <sheetView showGridLines="0" topLeftCell="A24" workbookViewId="0">
      <selection activeCell="C12" sqref="C12"/>
    </sheetView>
  </sheetViews>
  <sheetFormatPr defaultColWidth="9.140625" defaultRowHeight="12.75" x14ac:dyDescent="0.2"/>
  <cols>
    <col min="1" max="1" width="31.85546875" style="82" customWidth="1"/>
    <col min="2" max="2" width="16.28515625" style="82" customWidth="1"/>
    <col min="3" max="4" width="14.85546875" style="82" customWidth="1"/>
    <col min="5" max="5" width="7" style="82" customWidth="1"/>
    <col min="6" max="6" width="19.7109375" style="82" customWidth="1"/>
    <col min="7" max="7" width="5.7109375" style="82" customWidth="1"/>
    <col min="8" max="8" width="18" style="82" customWidth="1"/>
    <col min="9" max="16384" width="9.140625" style="82"/>
  </cols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"/>
      <c r="B3" s="1"/>
      <c r="C3" s="1"/>
      <c r="D3" s="1"/>
      <c r="E3" s="1"/>
      <c r="F3" s="1"/>
      <c r="G3" s="1"/>
      <c r="H3" s="1"/>
    </row>
    <row r="4" spans="1:8" x14ac:dyDescent="0.2">
      <c r="A4" s="1"/>
      <c r="B4" s="1"/>
      <c r="C4" s="1"/>
      <c r="D4" s="1"/>
      <c r="E4" s="1"/>
      <c r="F4" s="1"/>
      <c r="G4" s="1"/>
      <c r="H4" s="1"/>
    </row>
    <row r="5" spans="1:8" x14ac:dyDescent="0.2">
      <c r="A5" s="1"/>
      <c r="B5" s="1"/>
      <c r="C5" s="1"/>
      <c r="D5" s="1"/>
      <c r="E5" s="1"/>
      <c r="F5" s="1"/>
      <c r="G5" s="1"/>
      <c r="H5" s="1"/>
    </row>
    <row r="6" spans="1:8" x14ac:dyDescent="0.2">
      <c r="A6" s="1"/>
      <c r="B6" s="1"/>
      <c r="C6" s="1"/>
      <c r="D6" s="1"/>
      <c r="E6" s="1"/>
      <c r="F6" s="1"/>
      <c r="G6" s="1"/>
      <c r="H6" s="1"/>
    </row>
    <row r="7" spans="1:8" x14ac:dyDescent="0.2">
      <c r="A7" s="1"/>
      <c r="B7" s="1"/>
      <c r="C7" s="1"/>
      <c r="D7" s="1"/>
      <c r="E7" s="1"/>
      <c r="F7" s="1"/>
      <c r="G7" s="1"/>
      <c r="H7" s="1"/>
    </row>
    <row r="8" spans="1:8" x14ac:dyDescent="0.2">
      <c r="A8" s="1"/>
      <c r="B8" s="1"/>
      <c r="C8" s="1"/>
      <c r="D8" s="1"/>
      <c r="E8" s="1"/>
      <c r="F8" s="1"/>
      <c r="G8" s="1"/>
      <c r="H8" s="1"/>
    </row>
    <row r="9" spans="1:8" x14ac:dyDescent="0.2">
      <c r="A9" s="1"/>
      <c r="B9" s="1"/>
      <c r="C9" s="1"/>
      <c r="D9" s="1"/>
      <c r="E9" s="1"/>
      <c r="F9" s="1"/>
      <c r="G9" s="1"/>
      <c r="H9" s="1"/>
    </row>
    <row r="10" spans="1:8" x14ac:dyDescent="0.2">
      <c r="A10" s="1"/>
      <c r="B10" s="1"/>
      <c r="C10" s="1"/>
      <c r="D10" s="1"/>
      <c r="E10" s="1"/>
      <c r="F10" s="1"/>
      <c r="G10" s="1"/>
      <c r="H10" s="1"/>
    </row>
    <row r="11" spans="1:8" x14ac:dyDescent="0.2">
      <c r="A11" s="1"/>
      <c r="B11" s="1"/>
      <c r="C11" s="1"/>
      <c r="D11" s="1"/>
      <c r="E11" s="1"/>
      <c r="F11" s="1"/>
      <c r="G11" s="1"/>
      <c r="H11" s="1"/>
    </row>
    <row r="12" spans="1:8" x14ac:dyDescent="0.2">
      <c r="A12" s="1"/>
      <c r="B12" s="1"/>
      <c r="C12" s="1"/>
      <c r="D12" s="1"/>
      <c r="E12" s="1"/>
      <c r="F12" s="1"/>
      <c r="G12" s="1"/>
      <c r="H12" s="1"/>
    </row>
    <row r="13" spans="1:8" x14ac:dyDescent="0.2">
      <c r="A13" s="1"/>
      <c r="B13" s="1"/>
      <c r="C13" s="1"/>
      <c r="D13" s="1"/>
      <c r="E13" s="1"/>
      <c r="F13" s="1"/>
      <c r="G13" s="1"/>
      <c r="H13" s="1"/>
    </row>
    <row r="14" spans="1:8" x14ac:dyDescent="0.2">
      <c r="A14" s="1"/>
      <c r="B14" s="1"/>
      <c r="C14" s="1"/>
      <c r="D14" s="1"/>
      <c r="E14" s="1"/>
      <c r="F14" s="1"/>
      <c r="G14" s="1"/>
      <c r="H14" s="1"/>
    </row>
    <row r="15" spans="1:8" x14ac:dyDescent="0.2">
      <c r="A15" s="1"/>
      <c r="B15" s="1"/>
      <c r="C15" s="1"/>
      <c r="D15" s="1"/>
      <c r="E15" s="1"/>
      <c r="F15" s="1"/>
      <c r="G15" s="1"/>
      <c r="H15" s="1"/>
    </row>
    <row r="16" spans="1:8" x14ac:dyDescent="0.2">
      <c r="A16" s="1"/>
      <c r="B16" s="1"/>
      <c r="C16" s="1"/>
      <c r="D16" s="1"/>
      <c r="E16" s="1"/>
      <c r="F16" s="1"/>
      <c r="G16" s="1"/>
      <c r="H16" s="1"/>
    </row>
    <row r="17" spans="1:8" x14ac:dyDescent="0.2">
      <c r="A17" s="1"/>
      <c r="B17" s="1"/>
      <c r="C17" s="1"/>
      <c r="D17" s="1"/>
      <c r="E17" s="1"/>
      <c r="F17" s="1"/>
      <c r="G17" s="1"/>
      <c r="H17" s="1"/>
    </row>
    <row r="18" spans="1:8" x14ac:dyDescent="0.2">
      <c r="A18" s="1"/>
      <c r="B18" s="1"/>
      <c r="C18" s="1"/>
      <c r="D18" s="1"/>
      <c r="E18" s="1"/>
      <c r="F18" s="1"/>
      <c r="G18" s="1"/>
      <c r="H18" s="1"/>
    </row>
    <row r="19" spans="1:8" x14ac:dyDescent="0.2">
      <c r="A19" s="1"/>
      <c r="B19" s="1"/>
      <c r="C19" s="1"/>
      <c r="D19" s="1"/>
      <c r="E19" s="1"/>
      <c r="F19" s="1"/>
      <c r="G19" s="1"/>
      <c r="H19" s="1"/>
    </row>
    <row r="20" spans="1:8" x14ac:dyDescent="0.2">
      <c r="A20" s="1"/>
      <c r="B20" s="1"/>
      <c r="C20" s="1"/>
      <c r="D20" s="1"/>
      <c r="E20" s="1"/>
      <c r="F20" s="1"/>
      <c r="G20" s="1"/>
      <c r="H20" s="1"/>
    </row>
    <row r="21" spans="1:8" x14ac:dyDescent="0.2">
      <c r="A21" s="1"/>
      <c r="B21" s="1"/>
      <c r="C21" s="1"/>
      <c r="D21" s="1"/>
      <c r="E21" s="1"/>
      <c r="F21" s="1"/>
      <c r="G21" s="1"/>
      <c r="H21" s="1"/>
    </row>
    <row r="22" spans="1:8" x14ac:dyDescent="0.2">
      <c r="A22" s="1"/>
      <c r="B22" s="1"/>
      <c r="C22" s="1"/>
      <c r="D22" s="4"/>
      <c r="E22" s="1"/>
      <c r="F22" s="1"/>
      <c r="G22" s="1"/>
      <c r="H22" s="1"/>
    </row>
    <row r="23" spans="1:8" x14ac:dyDescent="0.2">
      <c r="A23" s="1"/>
      <c r="B23" s="1"/>
      <c r="C23" s="1"/>
      <c r="D23" s="1"/>
      <c r="E23" s="1"/>
      <c r="F23" s="1"/>
      <c r="G23" s="1"/>
      <c r="H23" s="1"/>
    </row>
    <row r="24" spans="1:8" x14ac:dyDescent="0.2">
      <c r="A24" s="1"/>
      <c r="B24" s="1"/>
      <c r="C24" s="1"/>
      <c r="D24" s="1"/>
      <c r="E24" s="1"/>
      <c r="F24" s="1"/>
      <c r="G24" s="1"/>
      <c r="H24" s="1"/>
    </row>
    <row r="25" spans="1:8" x14ac:dyDescent="0.2">
      <c r="A25" s="1"/>
      <c r="B25" s="1"/>
      <c r="C25" s="1"/>
      <c r="D25" s="1"/>
      <c r="E25" s="1"/>
      <c r="F25" s="1"/>
      <c r="G25" s="1"/>
      <c r="H25" s="1"/>
    </row>
    <row r="26" spans="1:8" x14ac:dyDescent="0.2">
      <c r="A26" s="11" t="s">
        <v>1</v>
      </c>
      <c r="B26" s="12"/>
      <c r="C26" s="12"/>
      <c r="D26" s="13"/>
      <c r="E26" s="8"/>
      <c r="F26" s="8"/>
      <c r="G26" s="8"/>
      <c r="H26" s="8"/>
    </row>
    <row r="27" spans="1:8" x14ac:dyDescent="0.2">
      <c r="A27" s="14" t="s">
        <v>15</v>
      </c>
      <c r="B27" s="15"/>
      <c r="C27" s="15"/>
      <c r="D27" s="16"/>
      <c r="E27" s="8"/>
      <c r="F27" s="8"/>
      <c r="G27" s="8"/>
      <c r="H27" s="8"/>
    </row>
    <row r="28" spans="1:8" x14ac:dyDescent="0.2">
      <c r="A28" s="17" t="s">
        <v>62</v>
      </c>
      <c r="B28" s="18"/>
      <c r="C28" s="18"/>
      <c r="D28" s="19"/>
      <c r="E28" s="8"/>
      <c r="F28" s="8"/>
      <c r="G28" s="8"/>
      <c r="H28" s="8"/>
    </row>
    <row r="29" spans="1:8" x14ac:dyDescent="0.2">
      <c r="A29" s="20"/>
      <c r="B29" s="21"/>
      <c r="C29" s="22"/>
      <c r="D29" s="23"/>
      <c r="E29" s="8"/>
      <c r="F29" s="8" t="s">
        <v>34</v>
      </c>
      <c r="G29" s="8"/>
      <c r="H29" s="8"/>
    </row>
    <row r="30" spans="1:8" ht="15.75" x14ac:dyDescent="0.25">
      <c r="A30" s="24" t="s">
        <v>2</v>
      </c>
      <c r="B30" s="25" t="str">
        <f>[1]Charters!B33</f>
        <v>Lincoln Academy</v>
      </c>
      <c r="C30" s="26"/>
      <c r="D30" s="27"/>
      <c r="E30" s="8"/>
      <c r="F30" s="8"/>
      <c r="G30" s="8"/>
      <c r="H30" s="8"/>
    </row>
    <row r="31" spans="1:8" x14ac:dyDescent="0.2">
      <c r="A31" s="24"/>
      <c r="B31" s="28"/>
      <c r="C31" s="26"/>
      <c r="D31" s="27"/>
      <c r="E31" s="8"/>
      <c r="F31" s="8"/>
      <c r="G31" s="8"/>
      <c r="H31" s="8"/>
    </row>
    <row r="32" spans="1:8" x14ac:dyDescent="0.2">
      <c r="A32" s="29" t="s">
        <v>0</v>
      </c>
      <c r="B32" s="30">
        <f>[1]Charters!$E$6</f>
        <v>3184</v>
      </c>
      <c r="C32" s="26"/>
      <c r="D32" s="31"/>
      <c r="E32" s="8"/>
      <c r="F32" s="8"/>
      <c r="G32" s="8"/>
      <c r="H32" s="8"/>
    </row>
    <row r="33" spans="1:8" x14ac:dyDescent="0.2">
      <c r="A33" s="32"/>
      <c r="B33" s="6"/>
      <c r="C33" s="33"/>
      <c r="D33" s="34" t="s">
        <v>3</v>
      </c>
      <c r="E33" s="8"/>
      <c r="F33" s="8"/>
      <c r="G33" s="8"/>
      <c r="H33" s="8"/>
    </row>
    <row r="34" spans="1:8" x14ac:dyDescent="0.2">
      <c r="A34" s="29" t="s">
        <v>19</v>
      </c>
      <c r="B34" s="35" t="str">
        <f>[1]Charters!A33</f>
        <v>2B</v>
      </c>
      <c r="C34" s="36" t="s">
        <v>4</v>
      </c>
      <c r="D34" s="37" t="s">
        <v>5</v>
      </c>
      <c r="E34" s="8"/>
      <c r="F34" s="8"/>
      <c r="G34" s="8"/>
      <c r="H34" s="8"/>
    </row>
    <row r="35" spans="1:8" x14ac:dyDescent="0.2">
      <c r="A35" s="38" t="s">
        <v>6</v>
      </c>
      <c r="B35" s="39"/>
      <c r="C35" s="40"/>
      <c r="D35" s="41"/>
      <c r="E35" s="8"/>
      <c r="F35" s="8"/>
      <c r="G35" s="8"/>
      <c r="H35" s="8"/>
    </row>
    <row r="36" spans="1:8" x14ac:dyDescent="0.2">
      <c r="A36" s="38" t="s">
        <v>7</v>
      </c>
      <c r="B36" s="39"/>
      <c r="C36" s="40"/>
      <c r="D36" s="41"/>
      <c r="E36" s="8"/>
      <c r="F36" s="42" t="s">
        <v>23</v>
      </c>
      <c r="G36" s="8"/>
      <c r="H36" s="42" t="s">
        <v>26</v>
      </c>
    </row>
    <row r="37" spans="1:8" x14ac:dyDescent="0.2">
      <c r="A37" s="20" t="s">
        <v>8</v>
      </c>
      <c r="B37" s="43"/>
      <c r="C37" s="44">
        <f>[1]Charters!C493</f>
        <v>808.98299999999995</v>
      </c>
      <c r="D37" s="45">
        <f>[1]Charters!E493</f>
        <v>2575802.09</v>
      </c>
      <c r="E37" s="8"/>
      <c r="F37" s="42">
        <f>[1]Charters!E648</f>
        <v>2730638.71</v>
      </c>
      <c r="G37" s="8"/>
      <c r="H37" s="42">
        <f>[2]Charters!E187</f>
        <v>3450268.42</v>
      </c>
    </row>
    <row r="38" spans="1:8" x14ac:dyDescent="0.2">
      <c r="A38" s="20" t="s">
        <v>14</v>
      </c>
      <c r="B38" s="43"/>
      <c r="C38" s="44">
        <f>[1]Charters!F493</f>
        <v>48.63</v>
      </c>
      <c r="D38" s="45">
        <f>[1]Charters!H493</f>
        <v>154836.62</v>
      </c>
      <c r="E38" s="8"/>
      <c r="F38" s="42">
        <f>SUM(D37:D39)</f>
        <v>2730638.71</v>
      </c>
      <c r="G38" s="8"/>
      <c r="H38" s="42">
        <f>D50</f>
        <v>3450268.42</v>
      </c>
    </row>
    <row r="39" spans="1:8" x14ac:dyDescent="0.2">
      <c r="A39" s="20" t="s">
        <v>32</v>
      </c>
      <c r="B39" s="43"/>
      <c r="C39" s="44">
        <f>[1]Charters!C186</f>
        <v>0</v>
      </c>
      <c r="D39" s="45">
        <f>[1]Charters!E186</f>
        <v>0</v>
      </c>
      <c r="E39" s="8"/>
      <c r="F39" s="42">
        <f>+F37-F38</f>
        <v>0</v>
      </c>
      <c r="G39" s="8"/>
      <c r="H39" s="42">
        <f>+H37-H38</f>
        <v>0</v>
      </c>
    </row>
    <row r="40" spans="1:8" x14ac:dyDescent="0.2">
      <c r="A40" s="38" t="s">
        <v>9</v>
      </c>
      <c r="B40" s="39"/>
      <c r="C40" s="46"/>
      <c r="D40" s="47"/>
      <c r="E40" s="8"/>
      <c r="F40" s="8"/>
      <c r="G40" s="8"/>
      <c r="H40" s="8"/>
    </row>
    <row r="41" spans="1:8" x14ac:dyDescent="0.2">
      <c r="A41" s="20" t="s">
        <v>10</v>
      </c>
      <c r="B41" s="43"/>
      <c r="C41" s="40">
        <f>[3]Charters!C32</f>
        <v>141.56</v>
      </c>
      <c r="D41" s="41">
        <f>[3]Charters!E32</f>
        <v>450728.52</v>
      </c>
      <c r="E41" s="8"/>
      <c r="F41" s="42" t="s">
        <v>24</v>
      </c>
      <c r="G41" s="8"/>
      <c r="H41" s="8"/>
    </row>
    <row r="42" spans="1:8" x14ac:dyDescent="0.2">
      <c r="A42" s="48" t="s">
        <v>11</v>
      </c>
      <c r="B42" s="43"/>
      <c r="C42" s="40">
        <f>[3]Charters!F32</f>
        <v>3.14</v>
      </c>
      <c r="D42" s="49">
        <f>[3]Charters!H32</f>
        <v>9997.76</v>
      </c>
      <c r="E42" s="8"/>
      <c r="F42" s="42">
        <f>[3]Charters!N343</f>
        <v>471137.08</v>
      </c>
      <c r="G42" s="8"/>
      <c r="H42" s="8"/>
    </row>
    <row r="43" spans="1:8" x14ac:dyDescent="0.2">
      <c r="A43" s="48" t="s">
        <v>12</v>
      </c>
      <c r="B43" s="43"/>
      <c r="C43" s="40">
        <f>[3]Charters!C187</f>
        <v>0</v>
      </c>
      <c r="D43" s="41">
        <f>[3]Charters!E187</f>
        <v>0</v>
      </c>
      <c r="E43" s="8"/>
      <c r="F43" s="42">
        <f>SUM(D41:D47)</f>
        <v>471137.08</v>
      </c>
      <c r="G43" s="8"/>
      <c r="H43" s="8"/>
    </row>
    <row r="44" spans="1:8" x14ac:dyDescent="0.2">
      <c r="A44" s="20" t="s">
        <v>13</v>
      </c>
      <c r="B44" s="43"/>
      <c r="C44" s="40">
        <f>[3]Charters!F187</f>
        <v>1.103</v>
      </c>
      <c r="D44" s="41">
        <f>[3]Charters!H187</f>
        <v>3510.51</v>
      </c>
      <c r="E44" s="8"/>
      <c r="F44" s="42">
        <f>+F42-F43</f>
        <v>0</v>
      </c>
      <c r="G44" s="8"/>
      <c r="H44" s="8"/>
    </row>
    <row r="45" spans="1:8" x14ac:dyDescent="0.2">
      <c r="A45" s="48" t="s">
        <v>54</v>
      </c>
      <c r="B45" s="43"/>
      <c r="C45" s="40">
        <f>[3]Charters!C343</f>
        <v>2.1669999999999998</v>
      </c>
      <c r="D45" s="41">
        <f>[3]Charters!E343</f>
        <v>6900.29</v>
      </c>
      <c r="E45" s="8"/>
      <c r="F45" s="8"/>
      <c r="G45" s="8"/>
      <c r="H45" s="8"/>
    </row>
    <row r="46" spans="1:8" x14ac:dyDescent="0.2">
      <c r="A46" s="48" t="s">
        <v>55</v>
      </c>
      <c r="B46" s="43"/>
      <c r="C46" s="40">
        <f>[3]Charters!F343</f>
        <v>0</v>
      </c>
      <c r="D46" s="41">
        <f>[3]Charters!H343</f>
        <v>0</v>
      </c>
      <c r="E46" s="8"/>
      <c r="F46" s="42" t="s">
        <v>25</v>
      </c>
      <c r="G46" s="8"/>
      <c r="H46" s="8"/>
    </row>
    <row r="47" spans="1:8" x14ac:dyDescent="0.2">
      <c r="A47" s="48" t="s">
        <v>56</v>
      </c>
      <c r="B47" s="43"/>
      <c r="C47" s="40">
        <f>[3]Charters!I343</f>
        <v>0</v>
      </c>
      <c r="D47" s="41">
        <f>[3]Charters!K343</f>
        <v>0</v>
      </c>
      <c r="E47" s="8"/>
      <c r="F47" s="42">
        <f>[2]Charters!H33</f>
        <v>719629.71</v>
      </c>
      <c r="G47" s="8"/>
      <c r="H47" s="8"/>
    </row>
    <row r="48" spans="1:8" x14ac:dyDescent="0.2">
      <c r="A48" s="20" t="s">
        <v>49</v>
      </c>
      <c r="B48" s="43"/>
      <c r="C48" s="40">
        <f>[3]Charters!C500</f>
        <v>7.9539999999999997</v>
      </c>
      <c r="D48" s="41">
        <f>[3]Charters!E500</f>
        <v>25326.54</v>
      </c>
      <c r="E48" s="8"/>
      <c r="F48" s="42">
        <f>SUM(D41:D49)</f>
        <v>719629.71</v>
      </c>
      <c r="G48" s="8"/>
      <c r="H48" s="8"/>
    </row>
    <row r="49" spans="1:8" x14ac:dyDescent="0.2">
      <c r="A49" s="20" t="s">
        <v>50</v>
      </c>
      <c r="B49" s="43"/>
      <c r="C49" s="40">
        <f>[2]Charters!C33</f>
        <v>70.09</v>
      </c>
      <c r="D49" s="41">
        <f>[2]Charters!E33</f>
        <v>223166.09</v>
      </c>
      <c r="E49" s="8"/>
      <c r="F49" s="42">
        <f>+F47-F48</f>
        <v>0</v>
      </c>
      <c r="G49" s="8"/>
      <c r="H49" s="8"/>
    </row>
    <row r="50" spans="1:8" x14ac:dyDescent="0.2">
      <c r="A50" s="50"/>
      <c r="B50" s="51" t="s">
        <v>16</v>
      </c>
      <c r="C50" s="52">
        <f>SUM(C37:C49)</f>
        <v>1083.627</v>
      </c>
      <c r="D50" s="53">
        <f>SUM(D37:D49)</f>
        <v>3450268.42</v>
      </c>
      <c r="E50" s="8"/>
      <c r="F50" s="8"/>
      <c r="G50" s="8"/>
      <c r="H50" s="8"/>
    </row>
    <row r="51" spans="1:8" x14ac:dyDescent="0.2">
      <c r="A51" s="54" t="s">
        <v>17</v>
      </c>
      <c r="B51" s="39"/>
      <c r="C51" s="55"/>
      <c r="D51" s="47"/>
      <c r="E51" s="8"/>
      <c r="F51" s="8"/>
      <c r="G51" s="8"/>
      <c r="H51" s="42" t="s">
        <v>29</v>
      </c>
    </row>
    <row r="52" spans="1:8" x14ac:dyDescent="0.2">
      <c r="A52" s="20" t="s">
        <v>33</v>
      </c>
      <c r="B52" s="43"/>
      <c r="C52" s="56"/>
      <c r="D52" s="57">
        <f>[4]Charters!C32</f>
        <v>10000.49</v>
      </c>
      <c r="E52" s="8"/>
      <c r="F52" s="8"/>
      <c r="G52" s="8"/>
      <c r="H52" s="42">
        <f>[4]Charters!F973</f>
        <v>5667657.3300000001</v>
      </c>
    </row>
    <row r="53" spans="1:8" x14ac:dyDescent="0.2">
      <c r="A53" s="58" t="s">
        <v>35</v>
      </c>
      <c r="B53" s="43"/>
      <c r="C53" s="56"/>
      <c r="D53" s="41">
        <f>+[4]Charters!F353</f>
        <v>3893.62</v>
      </c>
      <c r="E53" s="8"/>
      <c r="F53" s="8"/>
      <c r="G53" s="8"/>
      <c r="H53" s="42">
        <f>SUM(D50:D69)</f>
        <v>5667657.3300000001</v>
      </c>
    </row>
    <row r="54" spans="1:8" x14ac:dyDescent="0.2">
      <c r="A54" s="59" t="s">
        <v>36</v>
      </c>
      <c r="B54" s="43"/>
      <c r="C54" s="56"/>
      <c r="D54" s="41">
        <f>[4]Charters!E192</f>
        <v>26642</v>
      </c>
      <c r="E54" s="8"/>
      <c r="F54" s="8"/>
      <c r="G54" s="8"/>
      <c r="H54" s="42">
        <f>+H52-H53</f>
        <v>0</v>
      </c>
    </row>
    <row r="55" spans="1:8" x14ac:dyDescent="0.2">
      <c r="A55" s="59" t="s">
        <v>52</v>
      </c>
      <c r="B55" s="43"/>
      <c r="C55" s="56"/>
      <c r="D55" s="41">
        <f>[4]Charters!G353</f>
        <v>0</v>
      </c>
      <c r="E55" s="8"/>
      <c r="F55" s="42" t="s">
        <v>27</v>
      </c>
      <c r="G55" s="8"/>
      <c r="H55" s="42"/>
    </row>
    <row r="56" spans="1:8" x14ac:dyDescent="0.2">
      <c r="A56" s="20" t="s">
        <v>37</v>
      </c>
      <c r="B56" s="43"/>
      <c r="C56" s="56"/>
      <c r="D56" s="41">
        <f>[4]Charters!E509</f>
        <v>61771</v>
      </c>
      <c r="E56" s="8"/>
      <c r="F56" s="42">
        <f>[4]Charters!E192</f>
        <v>26642</v>
      </c>
      <c r="G56" s="8"/>
      <c r="H56" s="8"/>
    </row>
    <row r="57" spans="1:8" x14ac:dyDescent="0.2">
      <c r="A57" s="20" t="s">
        <v>38</v>
      </c>
      <c r="B57" s="43"/>
      <c r="C57" s="56"/>
      <c r="D57" s="41">
        <f>[4]Charters!F509</f>
        <v>0</v>
      </c>
      <c r="E57" s="8"/>
      <c r="F57" s="42">
        <f>SUM(D54:D54)</f>
        <v>26642</v>
      </c>
      <c r="G57" s="8"/>
      <c r="H57" s="8"/>
    </row>
    <row r="58" spans="1:8" x14ac:dyDescent="0.2">
      <c r="A58" s="59" t="s">
        <v>40</v>
      </c>
      <c r="B58" s="43"/>
      <c r="C58" s="56"/>
      <c r="D58" s="41">
        <f>[4]Charters!G509</f>
        <v>9055</v>
      </c>
      <c r="E58" s="8"/>
      <c r="F58" s="42">
        <f>+F56-F57</f>
        <v>0</v>
      </c>
      <c r="G58" s="8"/>
      <c r="H58" s="8"/>
    </row>
    <row r="59" spans="1:8" x14ac:dyDescent="0.2">
      <c r="A59" s="20" t="s">
        <v>41</v>
      </c>
      <c r="B59" s="43"/>
      <c r="C59" s="56"/>
      <c r="D59" s="41">
        <f>[4]Charters!C664</f>
        <v>1732866</v>
      </c>
      <c r="E59" s="8"/>
      <c r="F59" s="42" t="s">
        <v>28</v>
      </c>
      <c r="G59" s="8"/>
      <c r="H59" s="8"/>
    </row>
    <row r="60" spans="1:8" x14ac:dyDescent="0.2">
      <c r="A60" s="20" t="s">
        <v>42</v>
      </c>
      <c r="B60" s="43"/>
      <c r="C60" s="56"/>
      <c r="D60" s="41">
        <f>[4]Charters!D664</f>
        <v>221687.18</v>
      </c>
      <c r="E60" s="8"/>
      <c r="F60" s="42">
        <f>[4]Charters!D509</f>
        <v>30535.62</v>
      </c>
      <c r="G60" s="8"/>
      <c r="H60" s="8"/>
    </row>
    <row r="61" spans="1:8" x14ac:dyDescent="0.2">
      <c r="A61" s="20" t="s">
        <v>44</v>
      </c>
      <c r="B61" s="43"/>
      <c r="C61" s="56"/>
      <c r="D61" s="41">
        <f>[4]Charters!E664</f>
        <v>86600</v>
      </c>
      <c r="E61" s="8"/>
      <c r="F61" s="42">
        <f>SUM(D53:D55)</f>
        <v>30535.62</v>
      </c>
      <c r="G61" s="8"/>
      <c r="H61" s="8"/>
    </row>
    <row r="62" spans="1:8" x14ac:dyDescent="0.2">
      <c r="A62" s="59" t="s">
        <v>43</v>
      </c>
      <c r="B62" s="43"/>
      <c r="C62" s="56"/>
      <c r="D62" s="41">
        <f>[4]Charters!F664</f>
        <v>26487.67</v>
      </c>
      <c r="E62" s="8"/>
      <c r="F62" s="42">
        <f>+F60-F61</f>
        <v>0</v>
      </c>
      <c r="G62" s="8"/>
      <c r="H62" s="8"/>
    </row>
    <row r="63" spans="1:8" x14ac:dyDescent="0.2">
      <c r="A63" s="59" t="s">
        <v>45</v>
      </c>
      <c r="B63" s="43"/>
      <c r="C63" s="56"/>
      <c r="D63" s="41">
        <f>[4]Charters!C509</f>
        <v>0</v>
      </c>
      <c r="E63" s="8"/>
      <c r="F63" s="8"/>
      <c r="G63" s="8"/>
      <c r="H63" s="8"/>
    </row>
    <row r="64" spans="1:8" x14ac:dyDescent="0.2">
      <c r="A64" s="59" t="s">
        <v>46</v>
      </c>
      <c r="B64" s="43"/>
      <c r="C64" s="56"/>
      <c r="D64" s="41">
        <f>[4]Charters!C820</f>
        <v>0</v>
      </c>
      <c r="E64" s="42"/>
      <c r="F64" s="42"/>
      <c r="G64" s="42"/>
      <c r="H64" s="42" t="s">
        <v>31</v>
      </c>
    </row>
    <row r="65" spans="1:8" x14ac:dyDescent="0.2">
      <c r="A65" s="59" t="s">
        <v>51</v>
      </c>
      <c r="B65" s="43"/>
      <c r="C65" s="56"/>
      <c r="D65" s="60">
        <f>[4]Charters!D820</f>
        <v>1085.95</v>
      </c>
      <c r="E65" s="42"/>
      <c r="F65" s="42"/>
      <c r="G65" s="42"/>
      <c r="H65" s="42">
        <f>[4]Charters!D1279</f>
        <v>5675680.9900000002</v>
      </c>
    </row>
    <row r="66" spans="1:8" x14ac:dyDescent="0.2">
      <c r="A66" s="20" t="s">
        <v>47</v>
      </c>
      <c r="B66" s="43"/>
      <c r="C66" s="56"/>
      <c r="D66" s="60">
        <f>[4]Charters!E820</f>
        <v>0</v>
      </c>
      <c r="E66" s="42"/>
      <c r="F66" s="42"/>
      <c r="G66" s="42"/>
      <c r="H66" s="42">
        <f>D75</f>
        <v>5675680.9900000002</v>
      </c>
    </row>
    <row r="67" spans="1:8" x14ac:dyDescent="0.2">
      <c r="A67" s="20" t="s">
        <v>57</v>
      </c>
      <c r="B67" s="43"/>
      <c r="C67" s="56"/>
      <c r="D67" s="60">
        <f>[4]Charters!C973</f>
        <v>0</v>
      </c>
      <c r="E67" s="42"/>
      <c r="F67" s="42"/>
      <c r="G67" s="42"/>
      <c r="H67" s="42">
        <f>+H65-H66</f>
        <v>0</v>
      </c>
    </row>
    <row r="68" spans="1:8" x14ac:dyDescent="0.2">
      <c r="A68" s="59" t="s">
        <v>53</v>
      </c>
      <c r="B68" s="43"/>
      <c r="C68" s="56"/>
      <c r="D68" s="60">
        <f>[4]Charters!D973</f>
        <v>37300</v>
      </c>
      <c r="E68" s="42"/>
      <c r="F68" s="42" t="s">
        <v>30</v>
      </c>
      <c r="G68" s="42"/>
      <c r="H68" s="42"/>
    </row>
    <row r="69" spans="1:8" x14ac:dyDescent="0.2">
      <c r="A69" s="59" t="s">
        <v>59</v>
      </c>
      <c r="B69" s="43"/>
      <c r="C69" s="56"/>
      <c r="D69" s="60">
        <f>[4]Charters!E973</f>
        <v>0</v>
      </c>
      <c r="E69" s="42"/>
      <c r="F69" s="42"/>
      <c r="G69" s="42"/>
      <c r="H69" s="42"/>
    </row>
    <row r="70" spans="1:8" x14ac:dyDescent="0.2">
      <c r="A70" s="38" t="s">
        <v>18</v>
      </c>
      <c r="B70" s="61"/>
      <c r="C70" s="62"/>
      <c r="D70" s="87"/>
      <c r="E70" s="42"/>
      <c r="F70" s="42">
        <f>[4]Charters!C1279</f>
        <v>8023.66</v>
      </c>
      <c r="G70" s="42"/>
      <c r="H70" s="42"/>
    </row>
    <row r="71" spans="1:8" x14ac:dyDescent="0.2">
      <c r="A71" s="59" t="s">
        <v>39</v>
      </c>
      <c r="B71" s="43"/>
      <c r="C71" s="56"/>
      <c r="D71" s="41">
        <f>[4]Charters!C1126</f>
        <v>8023.66</v>
      </c>
      <c r="E71" s="42"/>
      <c r="F71" s="42">
        <f>SUM(D71:D74)</f>
        <v>8023.66</v>
      </c>
      <c r="G71" s="42"/>
      <c r="H71" s="42"/>
    </row>
    <row r="72" spans="1:8" x14ac:dyDescent="0.2">
      <c r="A72" s="59" t="s">
        <v>48</v>
      </c>
      <c r="B72" s="43"/>
      <c r="C72" s="56"/>
      <c r="D72" s="41">
        <f>[4]Charters!D1126</f>
        <v>0</v>
      </c>
      <c r="E72" s="42"/>
      <c r="F72" s="42">
        <f>+F70-F71</f>
        <v>0</v>
      </c>
      <c r="G72" s="42"/>
      <c r="H72" s="42"/>
    </row>
    <row r="73" spans="1:8" x14ac:dyDescent="0.2">
      <c r="A73" s="59" t="s">
        <v>60</v>
      </c>
      <c r="B73" s="43"/>
      <c r="C73" s="56"/>
      <c r="D73" s="41">
        <f>[4]Charters!E1126</f>
        <v>0</v>
      </c>
      <c r="E73" s="42"/>
      <c r="F73" s="42"/>
      <c r="G73" s="42"/>
      <c r="H73" s="42"/>
    </row>
    <row r="74" spans="1:8" x14ac:dyDescent="0.2">
      <c r="A74" s="59" t="s">
        <v>61</v>
      </c>
      <c r="B74" s="43"/>
      <c r="C74" s="56"/>
      <c r="D74" s="41">
        <f>[4]Charters!F1126</f>
        <v>0</v>
      </c>
      <c r="E74" s="42"/>
      <c r="F74" s="42"/>
      <c r="G74" s="42"/>
      <c r="H74" s="42"/>
    </row>
    <row r="75" spans="1:8" ht="13.5" thickBot="1" x14ac:dyDescent="0.25">
      <c r="A75" s="64"/>
      <c r="B75" s="65"/>
      <c r="C75" s="66"/>
      <c r="D75" s="67">
        <f>SUM(D50:D74)</f>
        <v>5675680.9900000002</v>
      </c>
      <c r="E75" s="42"/>
      <c r="F75" s="42"/>
      <c r="G75" s="42"/>
      <c r="H75" s="42"/>
    </row>
    <row r="76" spans="1:8" ht="13.5" thickTop="1" x14ac:dyDescent="0.2">
      <c r="A76" s="68"/>
      <c r="B76" s="43"/>
      <c r="C76" s="56"/>
      <c r="D76" s="86"/>
      <c r="E76" s="42"/>
      <c r="F76" s="42"/>
      <c r="G76" s="42"/>
      <c r="H76" s="42"/>
    </row>
    <row r="77" spans="1:8" x14ac:dyDescent="0.2">
      <c r="A77" s="38" t="s">
        <v>20</v>
      </c>
      <c r="B77" s="39"/>
      <c r="C77" s="70"/>
      <c r="D77" s="71" t="s">
        <v>21</v>
      </c>
      <c r="E77" s="42"/>
      <c r="F77" s="42"/>
      <c r="G77" s="42"/>
      <c r="H77" s="42"/>
    </row>
    <row r="78" spans="1:8" x14ac:dyDescent="0.2">
      <c r="A78" s="72" t="s">
        <v>22</v>
      </c>
      <c r="B78" s="73"/>
      <c r="C78" s="74"/>
      <c r="D78" s="41">
        <f>[5]Charters!C32</f>
        <v>1933.19</v>
      </c>
      <c r="E78" s="42"/>
      <c r="F78" s="42"/>
      <c r="G78" s="42"/>
      <c r="H78" s="42"/>
    </row>
    <row r="79" spans="1:8" x14ac:dyDescent="0.2">
      <c r="A79" s="75"/>
      <c r="B79" s="61"/>
      <c r="C79" s="76"/>
      <c r="D79" s="77">
        <f>SUM(D78:D78)</f>
        <v>1933.19</v>
      </c>
      <c r="E79" s="42"/>
      <c r="F79" s="42"/>
      <c r="G79" s="42"/>
      <c r="H79" s="42"/>
    </row>
    <row r="80" spans="1:8" x14ac:dyDescent="0.2">
      <c r="A80" s="78" t="s">
        <v>58</v>
      </c>
      <c r="B80" s="79"/>
      <c r="C80" s="80"/>
      <c r="D80" s="77">
        <f>D79+D75</f>
        <v>5677614.1799999997</v>
      </c>
      <c r="E80" s="42"/>
      <c r="F80" s="42"/>
      <c r="G80" s="42"/>
      <c r="H80" s="42"/>
    </row>
    <row r="81" spans="1:8" x14ac:dyDescent="0.2">
      <c r="A81" s="84"/>
      <c r="B81" s="84"/>
      <c r="C81" s="85"/>
      <c r="D81" s="81"/>
      <c r="E81" s="42"/>
      <c r="F81" s="42"/>
      <c r="G81" s="42"/>
      <c r="H81" s="42"/>
    </row>
    <row r="82" spans="1:8" x14ac:dyDescent="0.2">
      <c r="A82" s="84"/>
      <c r="B82" s="84"/>
      <c r="C82" s="85"/>
      <c r="D82" s="81">
        <f>[5]Charters!E188</f>
        <v>5677614.1799999997</v>
      </c>
      <c r="E82" s="42"/>
      <c r="F82" s="42"/>
      <c r="G82" s="42"/>
      <c r="H82" s="42"/>
    </row>
    <row r="83" spans="1:8" x14ac:dyDescent="0.2">
      <c r="A83" s="84"/>
      <c r="B83" s="84"/>
      <c r="C83" s="85"/>
      <c r="D83" s="81">
        <f>D80</f>
        <v>5677614.1799999997</v>
      </c>
      <c r="E83" s="42"/>
      <c r="F83" s="42"/>
      <c r="G83" s="42"/>
      <c r="H83" s="42"/>
    </row>
    <row r="84" spans="1:8" x14ac:dyDescent="0.2">
      <c r="C84" s="83"/>
      <c r="D84" s="42">
        <f>D82-D83</f>
        <v>0</v>
      </c>
      <c r="E84" s="42"/>
      <c r="F84" s="42"/>
      <c r="G84" s="42"/>
      <c r="H84" s="42"/>
    </row>
  </sheetData>
  <mergeCells count="4">
    <mergeCell ref="A28:D28"/>
    <mergeCell ref="A26:D26"/>
    <mergeCell ref="A27:D27"/>
    <mergeCell ref="A80:C80"/>
  </mergeCells>
  <phoneticPr fontId="0" type="noConversion"/>
  <printOptions horizontalCentered="1" verticalCentered="1"/>
  <pageMargins left="0.5" right="0.5" top="0.5" bottom="0.5" header="0.25" footer="0.25"/>
  <pageSetup orientation="portrait" r:id="rId1"/>
  <headerFooter alignWithMargins="0">
    <oddHeader>&amp;R&amp;8Current as of: &amp;D</oddHeader>
    <oddFooter>&amp;L&amp;8USOE, School Finance</oddFooter>
  </headerFooter>
  <picture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>
    <pageSetUpPr fitToPage="1"/>
  </sheetPr>
  <dimension ref="A1:H85"/>
  <sheetViews>
    <sheetView showGridLines="0" topLeftCell="A25" workbookViewId="0">
      <selection activeCell="C12" sqref="C12"/>
    </sheetView>
  </sheetViews>
  <sheetFormatPr defaultColWidth="9.140625" defaultRowHeight="12.75" x14ac:dyDescent="0.2"/>
  <cols>
    <col min="1" max="1" width="31.85546875" style="82" customWidth="1"/>
    <col min="2" max="2" width="16.28515625" style="82" customWidth="1"/>
    <col min="3" max="4" width="14.85546875" style="82" customWidth="1"/>
    <col min="5" max="5" width="7" style="82" customWidth="1"/>
    <col min="6" max="6" width="19.7109375" style="82" customWidth="1"/>
    <col min="7" max="7" width="5.7109375" style="82" customWidth="1"/>
    <col min="8" max="8" width="18" style="82" customWidth="1"/>
    <col min="9" max="16384" width="9.140625" style="82"/>
  </cols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"/>
      <c r="B3" s="1"/>
      <c r="C3" s="1"/>
      <c r="D3" s="1"/>
      <c r="E3" s="1"/>
      <c r="F3" s="1"/>
      <c r="G3" s="1"/>
      <c r="H3" s="1"/>
    </row>
    <row r="4" spans="1:8" x14ac:dyDescent="0.2">
      <c r="A4" s="1"/>
      <c r="B4" s="1"/>
      <c r="C4" s="1"/>
      <c r="D4" s="1"/>
      <c r="E4" s="1"/>
      <c r="F4" s="1"/>
      <c r="G4" s="1"/>
      <c r="H4" s="1"/>
    </row>
    <row r="5" spans="1:8" x14ac:dyDescent="0.2">
      <c r="A5" s="1"/>
      <c r="B5" s="1"/>
      <c r="C5" s="1"/>
      <c r="D5" s="1"/>
      <c r="E5" s="1"/>
      <c r="F5" s="1"/>
      <c r="G5" s="1"/>
      <c r="H5" s="1"/>
    </row>
    <row r="6" spans="1:8" x14ac:dyDescent="0.2">
      <c r="A6" s="1"/>
      <c r="B6" s="1"/>
      <c r="C6" s="1"/>
      <c r="D6" s="1"/>
      <c r="E6" s="1"/>
      <c r="F6" s="1"/>
      <c r="G6" s="1"/>
      <c r="H6" s="1"/>
    </row>
    <row r="7" spans="1:8" x14ac:dyDescent="0.2">
      <c r="A7" s="1"/>
      <c r="B7" s="1"/>
      <c r="C7" s="1"/>
      <c r="D7" s="1"/>
      <c r="E7" s="1"/>
      <c r="F7" s="1"/>
      <c r="G7" s="1"/>
      <c r="H7" s="1"/>
    </row>
    <row r="8" spans="1:8" x14ac:dyDescent="0.2">
      <c r="A8" s="1"/>
      <c r="B8" s="1"/>
      <c r="C8" s="1"/>
      <c r="D8" s="1"/>
      <c r="E8" s="1"/>
      <c r="F8" s="1"/>
      <c r="G8" s="1"/>
      <c r="H8" s="1"/>
    </row>
    <row r="9" spans="1:8" x14ac:dyDescent="0.2">
      <c r="A9" s="1"/>
      <c r="B9" s="1"/>
      <c r="C9" s="1"/>
      <c r="D9" s="1"/>
      <c r="E9" s="1"/>
      <c r="F9" s="1"/>
      <c r="G9" s="1"/>
      <c r="H9" s="1"/>
    </row>
    <row r="10" spans="1:8" x14ac:dyDescent="0.2">
      <c r="A10" s="1"/>
      <c r="B10" s="1"/>
      <c r="C10" s="1"/>
      <c r="D10" s="1"/>
      <c r="E10" s="1"/>
      <c r="F10" s="1"/>
      <c r="G10" s="1"/>
      <c r="H10" s="1"/>
    </row>
    <row r="11" spans="1:8" x14ac:dyDescent="0.2">
      <c r="A11" s="1"/>
      <c r="B11" s="1"/>
      <c r="C11" s="1"/>
      <c r="D11" s="1"/>
      <c r="E11" s="1"/>
      <c r="F11" s="1"/>
      <c r="G11" s="1"/>
      <c r="H11" s="1"/>
    </row>
    <row r="12" spans="1:8" x14ac:dyDescent="0.2">
      <c r="A12" s="1"/>
      <c r="B12" s="1"/>
      <c r="C12" s="1"/>
      <c r="D12" s="1"/>
      <c r="E12" s="1"/>
      <c r="F12" s="1"/>
      <c r="G12" s="1"/>
      <c r="H12" s="1"/>
    </row>
    <row r="13" spans="1:8" x14ac:dyDescent="0.2">
      <c r="A13" s="1"/>
      <c r="B13" s="1"/>
      <c r="C13" s="1"/>
      <c r="D13" s="1"/>
      <c r="E13" s="1"/>
      <c r="F13" s="1"/>
      <c r="G13" s="1"/>
      <c r="H13" s="1"/>
    </row>
    <row r="14" spans="1:8" x14ac:dyDescent="0.2">
      <c r="A14" s="1"/>
      <c r="B14" s="1"/>
      <c r="C14" s="1"/>
      <c r="D14" s="1"/>
      <c r="E14" s="1"/>
      <c r="F14" s="1"/>
      <c r="G14" s="1"/>
      <c r="H14" s="1"/>
    </row>
    <row r="15" spans="1:8" x14ac:dyDescent="0.2">
      <c r="A15" s="1"/>
      <c r="B15" s="1"/>
      <c r="C15" s="1"/>
      <c r="D15" s="1"/>
      <c r="E15" s="1"/>
      <c r="F15" s="1"/>
      <c r="G15" s="1"/>
      <c r="H15" s="1"/>
    </row>
    <row r="16" spans="1:8" x14ac:dyDescent="0.2">
      <c r="A16" s="1"/>
      <c r="B16" s="1"/>
      <c r="C16" s="1"/>
      <c r="D16" s="1"/>
      <c r="E16" s="1"/>
      <c r="F16" s="1"/>
      <c r="G16" s="1"/>
      <c r="H16" s="1"/>
    </row>
    <row r="17" spans="1:8" x14ac:dyDescent="0.2">
      <c r="A17" s="1"/>
      <c r="B17" s="1"/>
      <c r="C17" s="1"/>
      <c r="D17" s="1"/>
      <c r="E17" s="1"/>
      <c r="F17" s="1"/>
      <c r="G17" s="1"/>
      <c r="H17" s="1"/>
    </row>
    <row r="18" spans="1:8" x14ac:dyDescent="0.2">
      <c r="A18" s="1"/>
      <c r="B18" s="1"/>
      <c r="C18" s="1"/>
      <c r="D18" s="1"/>
      <c r="E18" s="1"/>
      <c r="F18" s="1"/>
      <c r="G18" s="1"/>
      <c r="H18" s="1"/>
    </row>
    <row r="19" spans="1:8" x14ac:dyDescent="0.2">
      <c r="A19" s="1"/>
      <c r="B19" s="1"/>
      <c r="C19" s="1"/>
      <c r="D19" s="1"/>
      <c r="E19" s="1"/>
      <c r="F19" s="1"/>
      <c r="G19" s="1"/>
      <c r="H19" s="1"/>
    </row>
    <row r="20" spans="1:8" x14ac:dyDescent="0.2">
      <c r="A20" s="1"/>
      <c r="B20" s="1"/>
      <c r="C20" s="1"/>
      <c r="D20" s="1"/>
      <c r="E20" s="1"/>
      <c r="F20" s="1"/>
      <c r="G20" s="1"/>
      <c r="H20" s="1"/>
    </row>
    <row r="21" spans="1:8" x14ac:dyDescent="0.2">
      <c r="A21" s="1"/>
      <c r="B21" s="1"/>
      <c r="C21" s="1"/>
      <c r="D21" s="1"/>
      <c r="E21" s="1"/>
      <c r="F21" s="1"/>
      <c r="G21" s="1"/>
      <c r="H21" s="1"/>
    </row>
    <row r="22" spans="1:8" x14ac:dyDescent="0.2">
      <c r="A22" s="1"/>
      <c r="B22" s="1"/>
      <c r="C22" s="1"/>
      <c r="D22" s="4"/>
      <c r="E22" s="1"/>
      <c r="F22" s="1"/>
      <c r="G22" s="1"/>
      <c r="H22" s="1"/>
    </row>
    <row r="23" spans="1:8" x14ac:dyDescent="0.2">
      <c r="A23" s="1"/>
      <c r="B23" s="1"/>
      <c r="C23" s="1"/>
      <c r="D23" s="1"/>
      <c r="E23" s="1"/>
      <c r="F23" s="1"/>
      <c r="G23" s="1"/>
      <c r="H23" s="1"/>
    </row>
    <row r="24" spans="1:8" x14ac:dyDescent="0.2">
      <c r="A24" s="1"/>
      <c r="B24" s="1"/>
      <c r="C24" s="1"/>
      <c r="D24" s="1"/>
      <c r="E24" s="1"/>
      <c r="F24" s="1"/>
      <c r="G24" s="1"/>
      <c r="H24" s="1"/>
    </row>
    <row r="25" spans="1:8" x14ac:dyDescent="0.2">
      <c r="A25" s="1"/>
      <c r="B25" s="1"/>
      <c r="C25" s="1"/>
      <c r="D25" s="1"/>
      <c r="E25" s="1"/>
      <c r="F25" s="1"/>
      <c r="G25" s="1"/>
      <c r="H25" s="1"/>
    </row>
    <row r="26" spans="1:8" x14ac:dyDescent="0.2">
      <c r="A26" s="1"/>
      <c r="B26" s="1"/>
      <c r="C26" s="1"/>
      <c r="D26" s="1"/>
      <c r="E26" s="1"/>
      <c r="F26" s="1"/>
      <c r="G26" s="1"/>
      <c r="H26" s="1"/>
    </row>
    <row r="27" spans="1:8" x14ac:dyDescent="0.2">
      <c r="A27" s="11" t="s">
        <v>1</v>
      </c>
      <c r="B27" s="12"/>
      <c r="C27" s="12"/>
      <c r="D27" s="13"/>
      <c r="E27" s="8"/>
      <c r="F27" s="8"/>
      <c r="G27" s="8"/>
      <c r="H27" s="8"/>
    </row>
    <row r="28" spans="1:8" x14ac:dyDescent="0.2">
      <c r="A28" s="14" t="s">
        <v>15</v>
      </c>
      <c r="B28" s="15"/>
      <c r="C28" s="15"/>
      <c r="D28" s="16"/>
      <c r="E28" s="8"/>
      <c r="F28" s="8"/>
      <c r="G28" s="8"/>
      <c r="H28" s="8"/>
    </row>
    <row r="29" spans="1:8" x14ac:dyDescent="0.2">
      <c r="A29" s="17" t="s">
        <v>62</v>
      </c>
      <c r="B29" s="18"/>
      <c r="C29" s="18"/>
      <c r="D29" s="19"/>
      <c r="E29" s="8"/>
      <c r="F29" s="8"/>
      <c r="G29" s="8"/>
      <c r="H29" s="8"/>
    </row>
    <row r="30" spans="1:8" x14ac:dyDescent="0.2">
      <c r="A30" s="20"/>
      <c r="B30" s="21"/>
      <c r="C30" s="22"/>
      <c r="D30" s="23"/>
      <c r="E30" s="8"/>
      <c r="F30" s="8" t="s">
        <v>34</v>
      </c>
      <c r="G30" s="8"/>
      <c r="H30" s="8"/>
    </row>
    <row r="31" spans="1:8" ht="15.75" x14ac:dyDescent="0.25">
      <c r="A31" s="24" t="s">
        <v>2</v>
      </c>
      <c r="B31" s="25" t="str">
        <f>[1]Charters!B34</f>
        <v>Beehive Science Tech Acad</v>
      </c>
      <c r="C31" s="26"/>
      <c r="D31" s="27"/>
      <c r="E31" s="8"/>
      <c r="F31" s="8"/>
      <c r="G31" s="8"/>
      <c r="H31" s="8"/>
    </row>
    <row r="32" spans="1:8" x14ac:dyDescent="0.2">
      <c r="A32" s="24"/>
      <c r="B32" s="28"/>
      <c r="C32" s="26"/>
      <c r="D32" s="27"/>
      <c r="E32" s="8"/>
      <c r="F32" s="8"/>
      <c r="G32" s="8"/>
      <c r="H32" s="8"/>
    </row>
    <row r="33" spans="1:8" x14ac:dyDescent="0.2">
      <c r="A33" s="29" t="s">
        <v>0</v>
      </c>
      <c r="B33" s="30">
        <f>[1]Charters!$E$6</f>
        <v>3184</v>
      </c>
      <c r="C33" s="26"/>
      <c r="D33" s="31"/>
      <c r="E33" s="8"/>
      <c r="F33" s="8"/>
      <c r="G33" s="8"/>
      <c r="H33" s="8"/>
    </row>
    <row r="34" spans="1:8" x14ac:dyDescent="0.2">
      <c r="A34" s="32"/>
      <c r="B34" s="6"/>
      <c r="C34" s="33"/>
      <c r="D34" s="34" t="s">
        <v>3</v>
      </c>
      <c r="E34" s="8"/>
      <c r="F34" s="8"/>
      <c r="G34" s="8"/>
      <c r="H34" s="8"/>
    </row>
    <row r="35" spans="1:8" x14ac:dyDescent="0.2">
      <c r="A35" s="29" t="s">
        <v>19</v>
      </c>
      <c r="B35" s="35" t="str">
        <f>[1]Charters!A34</f>
        <v>3B</v>
      </c>
      <c r="C35" s="36" t="s">
        <v>4</v>
      </c>
      <c r="D35" s="37" t="s">
        <v>5</v>
      </c>
      <c r="E35" s="8"/>
      <c r="F35" s="8"/>
      <c r="G35" s="8"/>
      <c r="H35" s="8"/>
    </row>
    <row r="36" spans="1:8" x14ac:dyDescent="0.2">
      <c r="A36" s="38" t="s">
        <v>6</v>
      </c>
      <c r="B36" s="39"/>
      <c r="C36" s="40"/>
      <c r="D36" s="41"/>
      <c r="E36" s="8"/>
      <c r="F36" s="8"/>
      <c r="G36" s="8"/>
      <c r="H36" s="8"/>
    </row>
    <row r="37" spans="1:8" x14ac:dyDescent="0.2">
      <c r="A37" s="38" t="s">
        <v>7</v>
      </c>
      <c r="B37" s="39"/>
      <c r="C37" s="40"/>
      <c r="D37" s="41"/>
      <c r="E37" s="8"/>
      <c r="F37" s="42" t="s">
        <v>23</v>
      </c>
      <c r="G37" s="8"/>
      <c r="H37" s="42" t="s">
        <v>26</v>
      </c>
    </row>
    <row r="38" spans="1:8" x14ac:dyDescent="0.2">
      <c r="A38" s="20" t="s">
        <v>8</v>
      </c>
      <c r="B38" s="43"/>
      <c r="C38" s="44">
        <f>[1]Charters!C494</f>
        <v>316.89</v>
      </c>
      <c r="D38" s="45">
        <f>[1]Charters!E494</f>
        <v>1008978.98</v>
      </c>
      <c r="E38" s="8"/>
      <c r="F38" s="42">
        <f>[1]Charters!E649</f>
        <v>1086643.82</v>
      </c>
      <c r="G38" s="8"/>
      <c r="H38" s="42">
        <f>[2]Charters!E188</f>
        <v>1369798.79</v>
      </c>
    </row>
    <row r="39" spans="1:8" x14ac:dyDescent="0.2">
      <c r="A39" s="20" t="s">
        <v>14</v>
      </c>
      <c r="B39" s="43"/>
      <c r="C39" s="44">
        <f>[1]Charters!F494</f>
        <v>24.391999999999999</v>
      </c>
      <c r="D39" s="45">
        <f>[1]Charters!H494</f>
        <v>77664.84</v>
      </c>
      <c r="E39" s="8"/>
      <c r="F39" s="42">
        <f>SUM(D38:D40)</f>
        <v>1086643.82</v>
      </c>
      <c r="G39" s="8"/>
      <c r="H39" s="42">
        <f>D51</f>
        <v>1369798.79</v>
      </c>
    </row>
    <row r="40" spans="1:8" x14ac:dyDescent="0.2">
      <c r="A40" s="20" t="s">
        <v>32</v>
      </c>
      <c r="B40" s="43"/>
      <c r="C40" s="44">
        <f>[1]Charters!C187</f>
        <v>0</v>
      </c>
      <c r="D40" s="45">
        <f>[1]Charters!E187</f>
        <v>0</v>
      </c>
      <c r="E40" s="8"/>
      <c r="F40" s="42">
        <f>+F38-F39</f>
        <v>0</v>
      </c>
      <c r="G40" s="8"/>
      <c r="H40" s="42">
        <f>+H38-H39</f>
        <v>0</v>
      </c>
    </row>
    <row r="41" spans="1:8" x14ac:dyDescent="0.2">
      <c r="A41" s="38" t="s">
        <v>9</v>
      </c>
      <c r="B41" s="39"/>
      <c r="C41" s="46"/>
      <c r="D41" s="47"/>
      <c r="E41" s="8"/>
      <c r="F41" s="8"/>
      <c r="G41" s="8"/>
      <c r="H41" s="8"/>
    </row>
    <row r="42" spans="1:8" x14ac:dyDescent="0.2">
      <c r="A42" s="20" t="s">
        <v>10</v>
      </c>
      <c r="B42" s="43"/>
      <c r="C42" s="40">
        <f>[3]Charters!C33</f>
        <v>68.465000000000003</v>
      </c>
      <c r="D42" s="41">
        <f>[3]Charters!E33</f>
        <v>217994.03</v>
      </c>
      <c r="E42" s="8"/>
      <c r="F42" s="42" t="s">
        <v>24</v>
      </c>
      <c r="G42" s="8"/>
      <c r="H42" s="8"/>
    </row>
    <row r="43" spans="1:8" x14ac:dyDescent="0.2">
      <c r="A43" s="48" t="s">
        <v>11</v>
      </c>
      <c r="B43" s="43"/>
      <c r="C43" s="40">
        <f>[3]Charters!F33</f>
        <v>1</v>
      </c>
      <c r="D43" s="49">
        <f>[3]Charters!H33</f>
        <v>3184</v>
      </c>
      <c r="E43" s="8"/>
      <c r="F43" s="42">
        <f>[3]Charters!N344</f>
        <v>227862.21</v>
      </c>
      <c r="G43" s="8"/>
      <c r="H43" s="8"/>
    </row>
    <row r="44" spans="1:8" x14ac:dyDescent="0.2">
      <c r="A44" s="48" t="s">
        <v>12</v>
      </c>
      <c r="B44" s="43"/>
      <c r="C44" s="40">
        <f>[3]Charters!C188</f>
        <v>0</v>
      </c>
      <c r="D44" s="41">
        <f>[3]Charters!E188</f>
        <v>0</v>
      </c>
      <c r="E44" s="8"/>
      <c r="F44" s="42">
        <f>SUM(D42:D48)</f>
        <v>227862.21</v>
      </c>
      <c r="G44" s="8"/>
      <c r="H44" s="8"/>
    </row>
    <row r="45" spans="1:8" x14ac:dyDescent="0.2">
      <c r="A45" s="20" t="s">
        <v>13</v>
      </c>
      <c r="B45" s="43"/>
      <c r="C45" s="40">
        <f>[3]Charters!F188</f>
        <v>0.70899999999999996</v>
      </c>
      <c r="D45" s="41">
        <f>[3]Charters!H188</f>
        <v>2259</v>
      </c>
      <c r="E45" s="8"/>
      <c r="F45" s="42">
        <f>+F43-F44</f>
        <v>0</v>
      </c>
      <c r="G45" s="8"/>
      <c r="H45" s="8"/>
    </row>
    <row r="46" spans="1:8" x14ac:dyDescent="0.2">
      <c r="A46" s="48" t="s">
        <v>54</v>
      </c>
      <c r="B46" s="43"/>
      <c r="C46" s="40">
        <f>[3]Charters!C344</f>
        <v>1.39</v>
      </c>
      <c r="D46" s="41">
        <f>[3]Charters!E344</f>
        <v>4425.18</v>
      </c>
      <c r="E46" s="8"/>
      <c r="F46" s="8"/>
      <c r="G46" s="8"/>
      <c r="H46" s="8"/>
    </row>
    <row r="47" spans="1:8" x14ac:dyDescent="0.2">
      <c r="A47" s="48" t="s">
        <v>55</v>
      </c>
      <c r="B47" s="43"/>
      <c r="C47" s="40">
        <f>[3]Charters!F344</f>
        <v>0</v>
      </c>
      <c r="D47" s="41">
        <f>[3]Charters!H344</f>
        <v>0</v>
      </c>
      <c r="E47" s="8"/>
      <c r="F47" s="42" t="s">
        <v>25</v>
      </c>
      <c r="G47" s="8"/>
      <c r="H47" s="8"/>
    </row>
    <row r="48" spans="1:8" x14ac:dyDescent="0.2">
      <c r="A48" s="48" t="s">
        <v>56</v>
      </c>
      <c r="B48" s="43"/>
      <c r="C48" s="40">
        <f>[3]Charters!I344</f>
        <v>0</v>
      </c>
      <c r="D48" s="41">
        <f>[3]Charters!K344</f>
        <v>0</v>
      </c>
      <c r="E48" s="8"/>
      <c r="F48" s="42">
        <f>[2]Charters!H34</f>
        <v>283154.96999999997</v>
      </c>
      <c r="G48" s="8"/>
      <c r="H48" s="8"/>
    </row>
    <row r="49" spans="1:8" x14ac:dyDescent="0.2">
      <c r="A49" s="20" t="s">
        <v>49</v>
      </c>
      <c r="B49" s="43"/>
      <c r="C49" s="40">
        <f>[3]Charters!C501</f>
        <v>1.4970000000000001</v>
      </c>
      <c r="D49" s="41">
        <f>[3]Charters!E501</f>
        <v>4766.37</v>
      </c>
      <c r="E49" s="8"/>
      <c r="F49" s="42">
        <f>SUM(D42:D50)</f>
        <v>283154.96999999997</v>
      </c>
      <c r="G49" s="8"/>
      <c r="H49" s="8"/>
    </row>
    <row r="50" spans="1:8" x14ac:dyDescent="0.2">
      <c r="A50" s="20" t="s">
        <v>50</v>
      </c>
      <c r="B50" s="43"/>
      <c r="C50" s="40">
        <f>[2]Charters!C34</f>
        <v>15.869</v>
      </c>
      <c r="D50" s="41">
        <f>[2]Charters!E34</f>
        <v>50526.39</v>
      </c>
      <c r="E50" s="8"/>
      <c r="F50" s="42">
        <f>+F48-F49</f>
        <v>0</v>
      </c>
      <c r="G50" s="8"/>
      <c r="H50" s="8"/>
    </row>
    <row r="51" spans="1:8" x14ac:dyDescent="0.2">
      <c r="A51" s="50"/>
      <c r="B51" s="51" t="s">
        <v>16</v>
      </c>
      <c r="C51" s="52">
        <f>SUM(C38:C50)</f>
        <v>430.21199999999999</v>
      </c>
      <c r="D51" s="53">
        <f>SUM(D38:D50)</f>
        <v>1369798.79</v>
      </c>
      <c r="E51" s="8"/>
      <c r="F51" s="8"/>
      <c r="G51" s="8"/>
      <c r="H51" s="8"/>
    </row>
    <row r="52" spans="1:8" x14ac:dyDescent="0.2">
      <c r="A52" s="54" t="s">
        <v>17</v>
      </c>
      <c r="B52" s="39"/>
      <c r="C52" s="55"/>
      <c r="D52" s="47"/>
      <c r="E52" s="8"/>
      <c r="F52" s="8"/>
      <c r="G52" s="8"/>
      <c r="H52" s="42" t="s">
        <v>29</v>
      </c>
    </row>
    <row r="53" spans="1:8" x14ac:dyDescent="0.2">
      <c r="A53" s="20" t="s">
        <v>33</v>
      </c>
      <c r="B53" s="43"/>
      <c r="C53" s="56"/>
      <c r="D53" s="57">
        <f>[4]Charters!C33</f>
        <v>3970.32</v>
      </c>
      <c r="E53" s="8"/>
      <c r="F53" s="8"/>
      <c r="G53" s="8"/>
      <c r="H53" s="42">
        <f>[4]Charters!F974</f>
        <v>2165571.77</v>
      </c>
    </row>
    <row r="54" spans="1:8" x14ac:dyDescent="0.2">
      <c r="A54" s="58" t="s">
        <v>35</v>
      </c>
      <c r="B54" s="43"/>
      <c r="C54" s="56"/>
      <c r="D54" s="41">
        <f>+[4]Charters!F354</f>
        <v>1525.19</v>
      </c>
      <c r="E54" s="8"/>
      <c r="F54" s="8"/>
      <c r="G54" s="8"/>
      <c r="H54" s="42">
        <f>SUM(D51:D70)</f>
        <v>2165571.77</v>
      </c>
    </row>
    <row r="55" spans="1:8" x14ac:dyDescent="0.2">
      <c r="A55" s="59" t="s">
        <v>36</v>
      </c>
      <c r="B55" s="43"/>
      <c r="C55" s="56"/>
      <c r="D55" s="41">
        <f>[4]Charters!E193</f>
        <v>16700</v>
      </c>
      <c r="E55" s="8"/>
      <c r="F55" s="8"/>
      <c r="G55" s="8"/>
      <c r="H55" s="42">
        <f>+H53-H54</f>
        <v>0</v>
      </c>
    </row>
    <row r="56" spans="1:8" x14ac:dyDescent="0.2">
      <c r="A56" s="59" t="s">
        <v>52</v>
      </c>
      <c r="B56" s="43"/>
      <c r="C56" s="56"/>
      <c r="D56" s="41">
        <f>[4]Charters!G354</f>
        <v>5698.7</v>
      </c>
      <c r="E56" s="8"/>
      <c r="F56" s="42" t="s">
        <v>27</v>
      </c>
      <c r="G56" s="8"/>
      <c r="H56" s="42"/>
    </row>
    <row r="57" spans="1:8" x14ac:dyDescent="0.2">
      <c r="A57" s="20" t="s">
        <v>37</v>
      </c>
      <c r="B57" s="43"/>
      <c r="C57" s="56"/>
      <c r="D57" s="41">
        <f>[4]Charters!E510</f>
        <v>22735</v>
      </c>
      <c r="E57" s="8"/>
      <c r="F57" s="42">
        <f>[4]Charters!E193</f>
        <v>16700</v>
      </c>
      <c r="G57" s="8"/>
      <c r="H57" s="8"/>
    </row>
    <row r="58" spans="1:8" x14ac:dyDescent="0.2">
      <c r="A58" s="20" t="s">
        <v>38</v>
      </c>
      <c r="B58" s="43"/>
      <c r="C58" s="56"/>
      <c r="D58" s="41">
        <f>[4]Charters!F510</f>
        <v>0</v>
      </c>
      <c r="E58" s="8"/>
      <c r="F58" s="42">
        <f>SUM(D55:D55)</f>
        <v>16700</v>
      </c>
      <c r="G58" s="8"/>
      <c r="H58" s="8"/>
    </row>
    <row r="59" spans="1:8" x14ac:dyDescent="0.2">
      <c r="A59" s="59" t="s">
        <v>40</v>
      </c>
      <c r="B59" s="43"/>
      <c r="C59" s="56"/>
      <c r="D59" s="41">
        <f>[4]Charters!G510</f>
        <v>0</v>
      </c>
      <c r="E59" s="8"/>
      <c r="F59" s="42">
        <f>+F57-F58</f>
        <v>0</v>
      </c>
      <c r="G59" s="8"/>
      <c r="H59" s="8"/>
    </row>
    <row r="60" spans="1:8" x14ac:dyDescent="0.2">
      <c r="A60" s="20" t="s">
        <v>41</v>
      </c>
      <c r="B60" s="43"/>
      <c r="C60" s="56"/>
      <c r="D60" s="41">
        <f>[4]Charters!C665</f>
        <v>594297</v>
      </c>
      <c r="E60" s="8"/>
      <c r="F60" s="42" t="s">
        <v>28</v>
      </c>
      <c r="G60" s="8"/>
      <c r="H60" s="8"/>
    </row>
    <row r="61" spans="1:8" x14ac:dyDescent="0.2">
      <c r="A61" s="20" t="s">
        <v>42</v>
      </c>
      <c r="B61" s="43"/>
      <c r="C61" s="56"/>
      <c r="D61" s="41">
        <f>[4]Charters!D665</f>
        <v>91726.92</v>
      </c>
      <c r="E61" s="8"/>
      <c r="F61" s="42">
        <f>[4]Charters!D510</f>
        <v>23923.89</v>
      </c>
      <c r="G61" s="8"/>
      <c r="H61" s="8"/>
    </row>
    <row r="62" spans="1:8" x14ac:dyDescent="0.2">
      <c r="A62" s="20" t="s">
        <v>44</v>
      </c>
      <c r="B62" s="43"/>
      <c r="C62" s="56"/>
      <c r="D62" s="41">
        <f>[4]Charters!E665</f>
        <v>29700</v>
      </c>
      <c r="E62" s="8"/>
      <c r="F62" s="42">
        <f>SUM(D54:D56)</f>
        <v>23923.89</v>
      </c>
      <c r="G62" s="8"/>
      <c r="H62" s="8"/>
    </row>
    <row r="63" spans="1:8" x14ac:dyDescent="0.2">
      <c r="A63" s="59" t="s">
        <v>43</v>
      </c>
      <c r="B63" s="43"/>
      <c r="C63" s="56"/>
      <c r="D63" s="41">
        <f>[4]Charters!F665</f>
        <v>0</v>
      </c>
      <c r="E63" s="8"/>
      <c r="F63" s="42">
        <f>+F61-F62</f>
        <v>0</v>
      </c>
      <c r="G63" s="8"/>
      <c r="H63" s="8"/>
    </row>
    <row r="64" spans="1:8" x14ac:dyDescent="0.2">
      <c r="A64" s="59" t="s">
        <v>45</v>
      </c>
      <c r="B64" s="43"/>
      <c r="C64" s="56"/>
      <c r="D64" s="41">
        <f>[4]Charters!C510</f>
        <v>0</v>
      </c>
      <c r="E64" s="8"/>
      <c r="F64" s="8"/>
      <c r="G64" s="8"/>
      <c r="H64" s="8"/>
    </row>
    <row r="65" spans="1:8" x14ac:dyDescent="0.2">
      <c r="A65" s="59" t="s">
        <v>46</v>
      </c>
      <c r="B65" s="43"/>
      <c r="C65" s="56"/>
      <c r="D65" s="41">
        <f>[4]Charters!C821</f>
        <v>0</v>
      </c>
      <c r="E65" s="42"/>
      <c r="F65" s="42"/>
      <c r="G65" s="42"/>
      <c r="H65" s="42" t="s">
        <v>31</v>
      </c>
    </row>
    <row r="66" spans="1:8" x14ac:dyDescent="0.2">
      <c r="A66" s="59" t="s">
        <v>51</v>
      </c>
      <c r="B66" s="43"/>
      <c r="C66" s="56"/>
      <c r="D66" s="60">
        <f>[4]Charters!D821</f>
        <v>517.45000000000005</v>
      </c>
      <c r="E66" s="42"/>
      <c r="F66" s="42"/>
      <c r="G66" s="42"/>
      <c r="H66" s="42">
        <f>[4]Charters!D1280</f>
        <v>2172572.84</v>
      </c>
    </row>
    <row r="67" spans="1:8" x14ac:dyDescent="0.2">
      <c r="A67" s="20" t="s">
        <v>47</v>
      </c>
      <c r="B67" s="43"/>
      <c r="C67" s="56"/>
      <c r="D67" s="60">
        <f>[4]Charters!E821</f>
        <v>0</v>
      </c>
      <c r="E67" s="42"/>
      <c r="F67" s="42"/>
      <c r="G67" s="42"/>
      <c r="H67" s="42">
        <f>D76</f>
        <v>2172572.84</v>
      </c>
    </row>
    <row r="68" spans="1:8" x14ac:dyDescent="0.2">
      <c r="A68" s="20" t="s">
        <v>57</v>
      </c>
      <c r="B68" s="43"/>
      <c r="C68" s="56"/>
      <c r="D68" s="60">
        <f>[4]Charters!C974</f>
        <v>13900.56</v>
      </c>
      <c r="E68" s="42"/>
      <c r="F68" s="42"/>
      <c r="G68" s="42"/>
      <c r="H68" s="42">
        <f>+H66-H67</f>
        <v>0</v>
      </c>
    </row>
    <row r="69" spans="1:8" x14ac:dyDescent="0.2">
      <c r="A69" s="59" t="s">
        <v>53</v>
      </c>
      <c r="B69" s="43"/>
      <c r="C69" s="56"/>
      <c r="D69" s="60">
        <f>[4]Charters!D974</f>
        <v>0</v>
      </c>
      <c r="E69" s="42"/>
      <c r="F69" s="42" t="s">
        <v>30</v>
      </c>
      <c r="G69" s="42"/>
      <c r="H69" s="42"/>
    </row>
    <row r="70" spans="1:8" x14ac:dyDescent="0.2">
      <c r="A70" s="59" t="s">
        <v>59</v>
      </c>
      <c r="B70" s="43"/>
      <c r="C70" s="56"/>
      <c r="D70" s="60">
        <f>[4]Charters!E974</f>
        <v>15001.84</v>
      </c>
      <c r="E70" s="42"/>
      <c r="F70" s="42"/>
      <c r="G70" s="42"/>
      <c r="H70" s="42"/>
    </row>
    <row r="71" spans="1:8" x14ac:dyDescent="0.2">
      <c r="A71" s="38" t="s">
        <v>18</v>
      </c>
      <c r="B71" s="61"/>
      <c r="C71" s="62"/>
      <c r="D71" s="87"/>
      <c r="E71" s="42"/>
      <c r="F71" s="42">
        <f>[4]Charters!C1280</f>
        <v>7001.07</v>
      </c>
      <c r="G71" s="42"/>
      <c r="H71" s="42"/>
    </row>
    <row r="72" spans="1:8" x14ac:dyDescent="0.2">
      <c r="A72" s="59" t="s">
        <v>39</v>
      </c>
      <c r="B72" s="43"/>
      <c r="C72" s="56"/>
      <c r="D72" s="41">
        <f>[4]Charters!C1127</f>
        <v>3524.26</v>
      </c>
      <c r="E72" s="42"/>
      <c r="F72" s="42">
        <f>SUM(D72:D75)</f>
        <v>7001.07</v>
      </c>
      <c r="G72" s="42"/>
      <c r="H72" s="42"/>
    </row>
    <row r="73" spans="1:8" x14ac:dyDescent="0.2">
      <c r="A73" s="59" t="s">
        <v>48</v>
      </c>
      <c r="B73" s="43"/>
      <c r="C73" s="56"/>
      <c r="D73" s="41">
        <f>[4]Charters!D1127</f>
        <v>0</v>
      </c>
      <c r="E73" s="42"/>
      <c r="F73" s="42">
        <f>+F71-F72</f>
        <v>0</v>
      </c>
      <c r="G73" s="42"/>
      <c r="H73" s="42"/>
    </row>
    <row r="74" spans="1:8" x14ac:dyDescent="0.2">
      <c r="A74" s="59" t="s">
        <v>60</v>
      </c>
      <c r="B74" s="43"/>
      <c r="C74" s="56"/>
      <c r="D74" s="41">
        <f>[4]Charters!E1127</f>
        <v>0</v>
      </c>
      <c r="E74" s="42"/>
      <c r="F74" s="42"/>
      <c r="G74" s="42"/>
      <c r="H74" s="42"/>
    </row>
    <row r="75" spans="1:8" x14ac:dyDescent="0.2">
      <c r="A75" s="59" t="s">
        <v>61</v>
      </c>
      <c r="B75" s="43"/>
      <c r="C75" s="56"/>
      <c r="D75" s="41">
        <f>[4]Charters!F1127</f>
        <v>3476.81</v>
      </c>
      <c r="E75" s="42"/>
      <c r="F75" s="42"/>
      <c r="G75" s="42"/>
      <c r="H75" s="42"/>
    </row>
    <row r="76" spans="1:8" ht="13.5" thickBot="1" x14ac:dyDescent="0.25">
      <c r="A76" s="64"/>
      <c r="B76" s="65"/>
      <c r="C76" s="66"/>
      <c r="D76" s="67">
        <f>SUM(D51:D75)</f>
        <v>2172572.84</v>
      </c>
      <c r="E76" s="42"/>
      <c r="F76" s="42"/>
      <c r="G76" s="42"/>
      <c r="H76" s="42"/>
    </row>
    <row r="77" spans="1:8" ht="13.5" thickTop="1" x14ac:dyDescent="0.2">
      <c r="A77" s="68"/>
      <c r="B77" s="43"/>
      <c r="C77" s="56"/>
      <c r="D77" s="86"/>
      <c r="E77" s="42"/>
      <c r="F77" s="42"/>
      <c r="G77" s="42"/>
      <c r="H77" s="42"/>
    </row>
    <row r="78" spans="1:8" x14ac:dyDescent="0.2">
      <c r="A78" s="38" t="s">
        <v>20</v>
      </c>
      <c r="B78" s="39"/>
      <c r="C78" s="70"/>
      <c r="D78" s="71" t="s">
        <v>21</v>
      </c>
      <c r="E78" s="42"/>
      <c r="F78" s="42"/>
      <c r="G78" s="42"/>
      <c r="H78" s="42"/>
    </row>
    <row r="79" spans="1:8" x14ac:dyDescent="0.2">
      <c r="A79" s="72" t="s">
        <v>22</v>
      </c>
      <c r="B79" s="73"/>
      <c r="C79" s="74"/>
      <c r="D79" s="41">
        <f>[5]Charters!C33</f>
        <v>774.22</v>
      </c>
      <c r="E79" s="42"/>
      <c r="F79" s="42"/>
      <c r="G79" s="42"/>
      <c r="H79" s="42"/>
    </row>
    <row r="80" spans="1:8" x14ac:dyDescent="0.2">
      <c r="A80" s="75"/>
      <c r="B80" s="61"/>
      <c r="C80" s="76"/>
      <c r="D80" s="77">
        <f>SUM(D79:D79)</f>
        <v>774.22</v>
      </c>
      <c r="E80" s="42"/>
      <c r="F80" s="42"/>
      <c r="G80" s="42"/>
      <c r="H80" s="42"/>
    </row>
    <row r="81" spans="1:8" x14ac:dyDescent="0.2">
      <c r="A81" s="78" t="s">
        <v>58</v>
      </c>
      <c r="B81" s="79"/>
      <c r="C81" s="80"/>
      <c r="D81" s="77">
        <f>D80+D76</f>
        <v>2173347.06</v>
      </c>
      <c r="E81" s="42"/>
      <c r="F81" s="42"/>
      <c r="G81" s="42"/>
      <c r="H81" s="42"/>
    </row>
    <row r="82" spans="1:8" x14ac:dyDescent="0.2">
      <c r="A82" s="84"/>
      <c r="B82" s="84"/>
      <c r="C82" s="85"/>
      <c r="D82" s="81"/>
      <c r="E82" s="42"/>
      <c r="F82" s="42"/>
      <c r="G82" s="42"/>
      <c r="H82" s="42"/>
    </row>
    <row r="83" spans="1:8" x14ac:dyDescent="0.2">
      <c r="A83" s="84"/>
      <c r="B83" s="84"/>
      <c r="C83" s="85"/>
      <c r="D83" s="81">
        <f>[5]Charters!E189</f>
        <v>2173347.06</v>
      </c>
      <c r="E83" s="42"/>
      <c r="F83" s="42"/>
      <c r="G83" s="42"/>
      <c r="H83" s="42"/>
    </row>
    <row r="84" spans="1:8" x14ac:dyDescent="0.2">
      <c r="A84" s="84"/>
      <c r="B84" s="84"/>
      <c r="C84" s="85"/>
      <c r="D84" s="81">
        <f>D81</f>
        <v>2173347.06</v>
      </c>
      <c r="E84" s="42"/>
      <c r="F84" s="42"/>
      <c r="G84" s="42"/>
      <c r="H84" s="42"/>
    </row>
    <row r="85" spans="1:8" x14ac:dyDescent="0.2">
      <c r="C85" s="83"/>
      <c r="D85" s="42">
        <f>D83-D84</f>
        <v>0</v>
      </c>
      <c r="E85" s="42"/>
      <c r="F85" s="42"/>
      <c r="G85" s="42"/>
      <c r="H85" s="42"/>
    </row>
  </sheetData>
  <mergeCells count="4">
    <mergeCell ref="A29:D29"/>
    <mergeCell ref="A27:D27"/>
    <mergeCell ref="A28:D28"/>
    <mergeCell ref="A81:C81"/>
  </mergeCells>
  <phoneticPr fontId="0" type="noConversion"/>
  <printOptions horizontalCentered="1" verticalCentered="1"/>
  <pageMargins left="0.5" right="0.5" top="0.5" bottom="0.5" header="0.25" footer="0.25"/>
  <pageSetup orientation="portrait" r:id="rId1"/>
  <headerFooter alignWithMargins="0">
    <oddHeader>&amp;R&amp;8Current as of: &amp;D</oddHeader>
    <oddFooter>&amp;L&amp;8USOE, School Finance</oddFooter>
  </headerFooter>
  <picture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>
    <pageSetUpPr fitToPage="1"/>
  </sheetPr>
  <dimension ref="A1:H86"/>
  <sheetViews>
    <sheetView showGridLines="0" topLeftCell="A31" workbookViewId="0">
      <selection activeCell="C12" sqref="C12"/>
    </sheetView>
  </sheetViews>
  <sheetFormatPr defaultColWidth="9.140625" defaultRowHeight="12.75" x14ac:dyDescent="0.2"/>
  <cols>
    <col min="1" max="1" width="31.85546875" style="82" customWidth="1"/>
    <col min="2" max="2" width="16.140625" style="82" customWidth="1"/>
    <col min="3" max="4" width="14.85546875" style="82" customWidth="1"/>
    <col min="5" max="5" width="7" style="82" customWidth="1"/>
    <col min="6" max="6" width="19.7109375" style="82" customWidth="1"/>
    <col min="7" max="7" width="5.7109375" style="82" customWidth="1"/>
    <col min="8" max="8" width="18" style="82" customWidth="1"/>
    <col min="9" max="16384" width="9.140625" style="82"/>
  </cols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"/>
      <c r="B3" s="1"/>
      <c r="C3" s="1"/>
      <c r="D3" s="1"/>
      <c r="E3" s="1"/>
      <c r="F3" s="1"/>
      <c r="G3" s="1"/>
      <c r="H3" s="1"/>
    </row>
    <row r="4" spans="1:8" x14ac:dyDescent="0.2">
      <c r="A4" s="1"/>
      <c r="B4" s="1"/>
      <c r="C4" s="1"/>
      <c r="D4" s="1"/>
      <c r="E4" s="1"/>
      <c r="F4" s="1"/>
      <c r="G4" s="1"/>
      <c r="H4" s="1"/>
    </row>
    <row r="5" spans="1:8" x14ac:dyDescent="0.2">
      <c r="A5" s="1"/>
      <c r="B5" s="1"/>
      <c r="C5" s="1"/>
      <c r="D5" s="1"/>
      <c r="E5" s="1"/>
      <c r="F5" s="1"/>
      <c r="G5" s="1"/>
      <c r="H5" s="1"/>
    </row>
    <row r="6" spans="1:8" x14ac:dyDescent="0.2">
      <c r="A6" s="1"/>
      <c r="B6" s="1"/>
      <c r="C6" s="1"/>
      <c r="D6" s="1"/>
      <c r="E6" s="1"/>
      <c r="F6" s="1"/>
      <c r="G6" s="1"/>
      <c r="H6" s="1"/>
    </row>
    <row r="7" spans="1:8" x14ac:dyDescent="0.2">
      <c r="A7" s="1"/>
      <c r="B7" s="1"/>
      <c r="C7" s="1"/>
      <c r="D7" s="1"/>
      <c r="E7" s="1"/>
      <c r="F7" s="1"/>
      <c r="G7" s="1"/>
      <c r="H7" s="1"/>
    </row>
    <row r="8" spans="1:8" x14ac:dyDescent="0.2">
      <c r="A8" s="1"/>
      <c r="B8" s="1"/>
      <c r="C8" s="1"/>
      <c r="D8" s="1"/>
      <c r="E8" s="1"/>
      <c r="F8" s="1"/>
      <c r="G8" s="1"/>
      <c r="H8" s="1"/>
    </row>
    <row r="9" spans="1:8" x14ac:dyDescent="0.2">
      <c r="A9" s="1"/>
      <c r="B9" s="1"/>
      <c r="C9" s="1"/>
      <c r="D9" s="1"/>
      <c r="E9" s="1"/>
      <c r="F9" s="1"/>
      <c r="G9" s="1"/>
      <c r="H9" s="1"/>
    </row>
    <row r="10" spans="1:8" x14ac:dyDescent="0.2">
      <c r="A10" s="1"/>
      <c r="B10" s="1"/>
      <c r="C10" s="1"/>
      <c r="D10" s="1"/>
      <c r="E10" s="1"/>
      <c r="F10" s="1"/>
      <c r="G10" s="1"/>
      <c r="H10" s="1"/>
    </row>
    <row r="11" spans="1:8" x14ac:dyDescent="0.2">
      <c r="A11" s="1"/>
      <c r="B11" s="1"/>
      <c r="C11" s="1"/>
      <c r="D11" s="1"/>
      <c r="E11" s="1"/>
      <c r="F11" s="1"/>
      <c r="G11" s="1"/>
      <c r="H11" s="1"/>
    </row>
    <row r="12" spans="1:8" x14ac:dyDescent="0.2">
      <c r="A12" s="1"/>
      <c r="B12" s="1"/>
      <c r="C12" s="1"/>
      <c r="D12" s="1"/>
      <c r="E12" s="1"/>
      <c r="F12" s="1"/>
      <c r="G12" s="1"/>
      <c r="H12" s="1"/>
    </row>
    <row r="13" spans="1:8" x14ac:dyDescent="0.2">
      <c r="A13" s="1"/>
      <c r="B13" s="1"/>
      <c r="C13" s="1"/>
      <c r="D13" s="1"/>
      <c r="E13" s="1"/>
      <c r="F13" s="1"/>
      <c r="G13" s="1"/>
      <c r="H13" s="1"/>
    </row>
    <row r="14" spans="1:8" x14ac:dyDescent="0.2">
      <c r="A14" s="1"/>
      <c r="B14" s="1"/>
      <c r="C14" s="1"/>
      <c r="D14" s="1"/>
      <c r="E14" s="1"/>
      <c r="F14" s="1"/>
      <c r="G14" s="1"/>
      <c r="H14" s="1"/>
    </row>
    <row r="15" spans="1:8" x14ac:dyDescent="0.2">
      <c r="A15" s="1"/>
      <c r="B15" s="1"/>
      <c r="C15" s="1"/>
      <c r="D15" s="1"/>
      <c r="E15" s="1"/>
      <c r="F15" s="1"/>
      <c r="G15" s="1"/>
      <c r="H15" s="1"/>
    </row>
    <row r="16" spans="1:8" x14ac:dyDescent="0.2">
      <c r="A16" s="1"/>
      <c r="B16" s="1"/>
      <c r="C16" s="1"/>
      <c r="D16" s="1"/>
      <c r="E16" s="1"/>
      <c r="F16" s="1"/>
      <c r="G16" s="1"/>
      <c r="H16" s="1"/>
    </row>
    <row r="17" spans="1:8" x14ac:dyDescent="0.2">
      <c r="A17" s="1"/>
      <c r="B17" s="1"/>
      <c r="C17" s="1"/>
      <c r="D17" s="1"/>
      <c r="E17" s="1"/>
      <c r="F17" s="1"/>
      <c r="G17" s="1"/>
      <c r="H17" s="1"/>
    </row>
    <row r="18" spans="1:8" x14ac:dyDescent="0.2">
      <c r="A18" s="1"/>
      <c r="B18" s="1"/>
      <c r="C18" s="1"/>
      <c r="D18" s="1"/>
      <c r="E18" s="1"/>
      <c r="F18" s="1"/>
      <c r="G18" s="1"/>
      <c r="H18" s="1"/>
    </row>
    <row r="19" spans="1:8" x14ac:dyDescent="0.2">
      <c r="A19" s="1"/>
      <c r="B19" s="1"/>
      <c r="C19" s="1"/>
      <c r="D19" s="1"/>
      <c r="E19" s="1"/>
      <c r="F19" s="1"/>
      <c r="G19" s="1"/>
      <c r="H19" s="1"/>
    </row>
    <row r="20" spans="1:8" x14ac:dyDescent="0.2">
      <c r="A20" s="1"/>
      <c r="B20" s="1"/>
      <c r="C20" s="1"/>
      <c r="D20" s="1"/>
      <c r="E20" s="1"/>
      <c r="F20" s="1"/>
      <c r="G20" s="1"/>
      <c r="H20" s="1"/>
    </row>
    <row r="21" spans="1:8" x14ac:dyDescent="0.2">
      <c r="A21" s="1"/>
      <c r="B21" s="1"/>
      <c r="C21" s="1"/>
      <c r="D21" s="1"/>
      <c r="E21" s="1"/>
      <c r="F21" s="1"/>
      <c r="G21" s="1"/>
      <c r="H21" s="1"/>
    </row>
    <row r="22" spans="1:8" x14ac:dyDescent="0.2">
      <c r="A22" s="1"/>
      <c r="B22" s="1"/>
      <c r="C22" s="1"/>
      <c r="D22" s="4"/>
      <c r="E22" s="1"/>
      <c r="F22" s="1"/>
      <c r="G22" s="1"/>
      <c r="H22" s="1"/>
    </row>
    <row r="23" spans="1:8" x14ac:dyDescent="0.2">
      <c r="A23" s="1"/>
      <c r="B23" s="1"/>
      <c r="C23" s="1"/>
      <c r="D23" s="1"/>
      <c r="E23" s="1"/>
      <c r="F23" s="1"/>
      <c r="G23" s="1"/>
      <c r="H23" s="1"/>
    </row>
    <row r="24" spans="1:8" x14ac:dyDescent="0.2">
      <c r="A24" s="1"/>
      <c r="B24" s="1"/>
      <c r="C24" s="1"/>
      <c r="D24" s="1"/>
      <c r="E24" s="1"/>
      <c r="F24" s="1"/>
      <c r="G24" s="1"/>
      <c r="H24" s="1"/>
    </row>
    <row r="25" spans="1:8" x14ac:dyDescent="0.2">
      <c r="A25" s="1"/>
      <c r="B25" s="1"/>
      <c r="C25" s="1"/>
      <c r="D25" s="1"/>
      <c r="E25" s="1"/>
      <c r="F25" s="1"/>
      <c r="G25" s="1"/>
      <c r="H25" s="1"/>
    </row>
    <row r="26" spans="1:8" x14ac:dyDescent="0.2">
      <c r="A26" s="1"/>
      <c r="B26" s="1"/>
      <c r="C26" s="1"/>
      <c r="D26" s="1"/>
      <c r="E26" s="1"/>
      <c r="F26" s="1"/>
      <c r="G26" s="1"/>
      <c r="H26" s="1"/>
    </row>
    <row r="27" spans="1:8" x14ac:dyDescent="0.2">
      <c r="A27" s="1"/>
      <c r="B27" s="1"/>
      <c r="C27" s="1"/>
      <c r="D27" s="1"/>
      <c r="E27" s="1"/>
      <c r="F27" s="1"/>
      <c r="G27" s="1"/>
      <c r="H27" s="1"/>
    </row>
    <row r="28" spans="1:8" x14ac:dyDescent="0.2">
      <c r="A28" s="11" t="s">
        <v>1</v>
      </c>
      <c r="B28" s="12"/>
      <c r="C28" s="12"/>
      <c r="D28" s="13"/>
      <c r="E28" s="8"/>
      <c r="F28" s="8"/>
      <c r="G28" s="8"/>
      <c r="H28" s="8"/>
    </row>
    <row r="29" spans="1:8" x14ac:dyDescent="0.2">
      <c r="A29" s="14" t="s">
        <v>15</v>
      </c>
      <c r="B29" s="15"/>
      <c r="C29" s="15"/>
      <c r="D29" s="16"/>
      <c r="E29" s="8"/>
      <c r="F29" s="8"/>
      <c r="G29" s="8"/>
      <c r="H29" s="8"/>
    </row>
    <row r="30" spans="1:8" x14ac:dyDescent="0.2">
      <c r="A30" s="17" t="s">
        <v>62</v>
      </c>
      <c r="B30" s="18"/>
      <c r="C30" s="18"/>
      <c r="D30" s="19"/>
      <c r="E30" s="8"/>
      <c r="F30" s="8"/>
      <c r="G30" s="8"/>
      <c r="H30" s="8"/>
    </row>
    <row r="31" spans="1:8" x14ac:dyDescent="0.2">
      <c r="A31" s="20"/>
      <c r="B31" s="21"/>
      <c r="C31" s="22"/>
      <c r="D31" s="23"/>
      <c r="E31" s="8"/>
      <c r="F31" s="8" t="s">
        <v>34</v>
      </c>
      <c r="G31" s="8"/>
      <c r="H31" s="8"/>
    </row>
    <row r="32" spans="1:8" ht="15.75" x14ac:dyDescent="0.25">
      <c r="A32" s="24" t="s">
        <v>2</v>
      </c>
      <c r="B32" s="25" t="str">
        <f>[1]Charters!B35</f>
        <v>Wasatch Peak Academy</v>
      </c>
      <c r="C32" s="26"/>
      <c r="D32" s="27"/>
      <c r="E32" s="8"/>
      <c r="F32" s="8"/>
      <c r="G32" s="8"/>
      <c r="H32" s="8"/>
    </row>
    <row r="33" spans="1:8" x14ac:dyDescent="0.2">
      <c r="A33" s="24"/>
      <c r="B33" s="28"/>
      <c r="C33" s="26"/>
      <c r="D33" s="27"/>
      <c r="E33" s="8"/>
      <c r="F33" s="8"/>
      <c r="G33" s="8"/>
      <c r="H33" s="8"/>
    </row>
    <row r="34" spans="1:8" x14ac:dyDescent="0.2">
      <c r="A34" s="29" t="s">
        <v>0</v>
      </c>
      <c r="B34" s="30">
        <f>[1]Charters!$E$6</f>
        <v>3184</v>
      </c>
      <c r="C34" s="26"/>
      <c r="D34" s="31"/>
      <c r="E34" s="8"/>
      <c r="F34" s="8"/>
      <c r="G34" s="8"/>
      <c r="H34" s="8"/>
    </row>
    <row r="35" spans="1:8" x14ac:dyDescent="0.2">
      <c r="A35" s="32"/>
      <c r="B35" s="6"/>
      <c r="C35" s="33"/>
      <c r="D35" s="34" t="s">
        <v>3</v>
      </c>
      <c r="E35" s="8"/>
      <c r="F35" s="8"/>
      <c r="G35" s="8"/>
      <c r="H35" s="8"/>
    </row>
    <row r="36" spans="1:8" x14ac:dyDescent="0.2">
      <c r="A36" s="29" t="s">
        <v>19</v>
      </c>
      <c r="B36" s="35" t="str">
        <f>[1]Charters!A35</f>
        <v>4B</v>
      </c>
      <c r="C36" s="36" t="s">
        <v>4</v>
      </c>
      <c r="D36" s="37" t="s">
        <v>5</v>
      </c>
      <c r="E36" s="8"/>
      <c r="F36" s="8"/>
      <c r="G36" s="8"/>
      <c r="H36" s="8"/>
    </row>
    <row r="37" spans="1:8" x14ac:dyDescent="0.2">
      <c r="A37" s="38" t="s">
        <v>6</v>
      </c>
      <c r="B37" s="39"/>
      <c r="C37" s="40"/>
      <c r="D37" s="41"/>
      <c r="E37" s="8"/>
      <c r="F37" s="8"/>
      <c r="G37" s="8"/>
      <c r="H37" s="8"/>
    </row>
    <row r="38" spans="1:8" x14ac:dyDescent="0.2">
      <c r="A38" s="38" t="s">
        <v>7</v>
      </c>
      <c r="B38" s="39"/>
      <c r="C38" s="40"/>
      <c r="D38" s="41"/>
      <c r="E38" s="8"/>
      <c r="F38" s="42" t="s">
        <v>23</v>
      </c>
      <c r="G38" s="8"/>
      <c r="H38" s="42" t="s">
        <v>26</v>
      </c>
    </row>
    <row r="39" spans="1:8" x14ac:dyDescent="0.2">
      <c r="A39" s="20" t="s">
        <v>8</v>
      </c>
      <c r="B39" s="43"/>
      <c r="C39" s="44">
        <f>[1]Charters!C495</f>
        <v>356.43099999999998</v>
      </c>
      <c r="D39" s="45">
        <f>[1]Charters!E495</f>
        <v>1134874.8899999999</v>
      </c>
      <c r="E39" s="8"/>
      <c r="F39" s="42">
        <f>[1]Charters!E650</f>
        <v>1190363.46</v>
      </c>
      <c r="G39" s="8"/>
      <c r="H39" s="42">
        <f>[2]Charters!E189</f>
        <v>1455426.8</v>
      </c>
    </row>
    <row r="40" spans="1:8" x14ac:dyDescent="0.2">
      <c r="A40" s="20" t="s">
        <v>14</v>
      </c>
      <c r="B40" s="43"/>
      <c r="C40" s="44">
        <f>[1]Charters!F495</f>
        <v>17.427</v>
      </c>
      <c r="D40" s="45">
        <f>[1]Charters!H495</f>
        <v>55488.57</v>
      </c>
      <c r="E40" s="8"/>
      <c r="F40" s="42">
        <f>SUM(D39:D41)</f>
        <v>1190363.46</v>
      </c>
      <c r="G40" s="8"/>
      <c r="H40" s="42">
        <f>D52</f>
        <v>1455426.8</v>
      </c>
    </row>
    <row r="41" spans="1:8" x14ac:dyDescent="0.2">
      <c r="A41" s="20" t="s">
        <v>32</v>
      </c>
      <c r="B41" s="43"/>
      <c r="C41" s="44">
        <f>[1]Charters!C188</f>
        <v>0</v>
      </c>
      <c r="D41" s="45">
        <f>[1]Charters!E188</f>
        <v>0</v>
      </c>
      <c r="E41" s="8"/>
      <c r="F41" s="42">
        <f>+F39-F40</f>
        <v>0</v>
      </c>
      <c r="G41" s="8"/>
      <c r="H41" s="42">
        <f>+H39-H40</f>
        <v>0</v>
      </c>
    </row>
    <row r="42" spans="1:8" x14ac:dyDescent="0.2">
      <c r="A42" s="38" t="s">
        <v>9</v>
      </c>
      <c r="B42" s="39"/>
      <c r="C42" s="46"/>
      <c r="D42" s="47"/>
      <c r="E42" s="8"/>
      <c r="F42" s="8"/>
      <c r="G42" s="8"/>
      <c r="H42" s="8"/>
    </row>
    <row r="43" spans="1:8" x14ac:dyDescent="0.2">
      <c r="A43" s="20" t="s">
        <v>10</v>
      </c>
      <c r="B43" s="43"/>
      <c r="C43" s="40">
        <f>[3]Charters!C34</f>
        <v>40.777999999999999</v>
      </c>
      <c r="D43" s="41">
        <f>[3]Charters!E34</f>
        <v>129837.44</v>
      </c>
      <c r="E43" s="8"/>
      <c r="F43" s="42" t="s">
        <v>24</v>
      </c>
      <c r="G43" s="8"/>
      <c r="H43" s="8"/>
    </row>
    <row r="44" spans="1:8" x14ac:dyDescent="0.2">
      <c r="A44" s="48" t="s">
        <v>11</v>
      </c>
      <c r="B44" s="43"/>
      <c r="C44" s="40">
        <f>[3]Charters!F34</f>
        <v>4</v>
      </c>
      <c r="D44" s="49">
        <f>[3]Charters!H34</f>
        <v>12736</v>
      </c>
      <c r="E44" s="8"/>
      <c r="F44" s="42">
        <f>[3]Charters!N345</f>
        <v>147682.56</v>
      </c>
      <c r="G44" s="8"/>
      <c r="H44" s="8"/>
    </row>
    <row r="45" spans="1:8" x14ac:dyDescent="0.2">
      <c r="A45" s="48" t="s">
        <v>12</v>
      </c>
      <c r="B45" s="43"/>
      <c r="C45" s="40">
        <f>[3]Charters!C189</f>
        <v>0</v>
      </c>
      <c r="D45" s="41">
        <f>[3]Charters!E189</f>
        <v>0</v>
      </c>
      <c r="E45" s="8"/>
      <c r="F45" s="42">
        <f>SUM(D43:D49)</f>
        <v>147682.56</v>
      </c>
      <c r="G45" s="8"/>
      <c r="H45" s="8"/>
    </row>
    <row r="46" spans="1:8" x14ac:dyDescent="0.2">
      <c r="A46" s="20" t="s">
        <v>13</v>
      </c>
      <c r="B46" s="43"/>
      <c r="C46" s="40">
        <f>[3]Charters!F189</f>
        <v>0.70899999999999996</v>
      </c>
      <c r="D46" s="41">
        <f>[3]Charters!H189</f>
        <v>2259</v>
      </c>
      <c r="E46" s="8"/>
      <c r="F46" s="42">
        <f>+F44-F45</f>
        <v>0</v>
      </c>
      <c r="G46" s="8"/>
      <c r="H46" s="8"/>
    </row>
    <row r="47" spans="1:8" x14ac:dyDescent="0.2">
      <c r="A47" s="48" t="s">
        <v>54</v>
      </c>
      <c r="B47" s="43"/>
      <c r="C47" s="40">
        <f>[3]Charters!C345</f>
        <v>0.89500000000000002</v>
      </c>
      <c r="D47" s="41">
        <f>[3]Charters!E345</f>
        <v>2850.12</v>
      </c>
      <c r="E47" s="8"/>
      <c r="F47" s="8"/>
      <c r="G47" s="8"/>
      <c r="H47" s="8"/>
    </row>
    <row r="48" spans="1:8" x14ac:dyDescent="0.2">
      <c r="A48" s="48" t="s">
        <v>55</v>
      </c>
      <c r="B48" s="43"/>
      <c r="C48" s="40">
        <f>[3]Charters!F345</f>
        <v>0</v>
      </c>
      <c r="D48" s="41">
        <f>[3]Charters!H345</f>
        <v>0</v>
      </c>
      <c r="E48" s="8"/>
      <c r="F48" s="42" t="s">
        <v>25</v>
      </c>
      <c r="G48" s="8"/>
      <c r="H48" s="8"/>
    </row>
    <row r="49" spans="1:8" x14ac:dyDescent="0.2">
      <c r="A49" s="48" t="s">
        <v>56</v>
      </c>
      <c r="B49" s="43"/>
      <c r="C49" s="40">
        <f>[3]Charters!I345</f>
        <v>0</v>
      </c>
      <c r="D49" s="41">
        <f>[3]Charters!K345</f>
        <v>0</v>
      </c>
      <c r="E49" s="8"/>
      <c r="F49" s="42">
        <f>[2]Charters!H35</f>
        <v>265063.34000000003</v>
      </c>
      <c r="G49" s="8"/>
      <c r="H49" s="8"/>
    </row>
    <row r="50" spans="1:8" x14ac:dyDescent="0.2">
      <c r="A50" s="20" t="s">
        <v>49</v>
      </c>
      <c r="B50" s="43"/>
      <c r="C50" s="40">
        <f>[3]Charters!C502</f>
        <v>0</v>
      </c>
      <c r="D50" s="41">
        <f>[3]Charters!E502</f>
        <v>0</v>
      </c>
      <c r="E50" s="8"/>
      <c r="F50" s="42">
        <f>SUM(D43:D51)</f>
        <v>265063.34000000003</v>
      </c>
      <c r="G50" s="8"/>
      <c r="H50" s="8"/>
    </row>
    <row r="51" spans="1:8" x14ac:dyDescent="0.2">
      <c r="A51" s="20" t="s">
        <v>50</v>
      </c>
      <c r="B51" s="43"/>
      <c r="C51" s="40">
        <f>[2]Charters!C35</f>
        <v>36.866</v>
      </c>
      <c r="D51" s="41">
        <f>[2]Charters!E35</f>
        <v>117380.78</v>
      </c>
      <c r="E51" s="8"/>
      <c r="F51" s="42">
        <f>+F49-F50</f>
        <v>0</v>
      </c>
      <c r="G51" s="8"/>
      <c r="H51" s="8"/>
    </row>
    <row r="52" spans="1:8" x14ac:dyDescent="0.2">
      <c r="A52" s="50"/>
      <c r="B52" s="51" t="s">
        <v>16</v>
      </c>
      <c r="C52" s="52">
        <f>SUM(C39:C51)</f>
        <v>457.10599999999999</v>
      </c>
      <c r="D52" s="53">
        <f>SUM(D39:D51)</f>
        <v>1455426.8</v>
      </c>
      <c r="E52" s="8"/>
      <c r="F52" s="8"/>
      <c r="G52" s="8"/>
      <c r="H52" s="8"/>
    </row>
    <row r="53" spans="1:8" x14ac:dyDescent="0.2">
      <c r="A53" s="54" t="s">
        <v>17</v>
      </c>
      <c r="B53" s="39"/>
      <c r="C53" s="55"/>
      <c r="D53" s="47"/>
      <c r="E53" s="8"/>
      <c r="F53" s="8"/>
      <c r="G53" s="8"/>
      <c r="H53" s="42" t="s">
        <v>29</v>
      </c>
    </row>
    <row r="54" spans="1:8" x14ac:dyDescent="0.2">
      <c r="A54" s="20" t="s">
        <v>33</v>
      </c>
      <c r="B54" s="43"/>
      <c r="C54" s="56"/>
      <c r="D54" s="57">
        <f>[4]Charters!C34</f>
        <v>4218.51</v>
      </c>
      <c r="E54" s="8"/>
      <c r="F54" s="8"/>
      <c r="G54" s="8"/>
      <c r="H54" s="42">
        <f>[4]Charters!F975</f>
        <v>2498077.19</v>
      </c>
    </row>
    <row r="55" spans="1:8" x14ac:dyDescent="0.2">
      <c r="A55" s="58" t="s">
        <v>35</v>
      </c>
      <c r="B55" s="43"/>
      <c r="C55" s="56"/>
      <c r="D55" s="41">
        <f>+[4]Charters!F355</f>
        <v>1715.49</v>
      </c>
      <c r="E55" s="8"/>
      <c r="F55" s="8"/>
      <c r="G55" s="8"/>
      <c r="H55" s="42">
        <f>SUM(D52:D71)</f>
        <v>2498077.19</v>
      </c>
    </row>
    <row r="56" spans="1:8" x14ac:dyDescent="0.2">
      <c r="A56" s="59" t="s">
        <v>36</v>
      </c>
      <c r="B56" s="43"/>
      <c r="C56" s="56"/>
      <c r="D56" s="41">
        <f>[4]Charters!E194</f>
        <v>14924</v>
      </c>
      <c r="E56" s="8"/>
      <c r="F56" s="8"/>
      <c r="G56" s="8"/>
      <c r="H56" s="42">
        <f>+H54-H55</f>
        <v>0</v>
      </c>
    </row>
    <row r="57" spans="1:8" x14ac:dyDescent="0.2">
      <c r="A57" s="59" t="s">
        <v>52</v>
      </c>
      <c r="B57" s="43"/>
      <c r="C57" s="56"/>
      <c r="D57" s="41">
        <f>[4]Charters!G355</f>
        <v>0</v>
      </c>
      <c r="E57" s="8"/>
      <c r="F57" s="42" t="s">
        <v>27</v>
      </c>
      <c r="G57" s="8"/>
      <c r="H57" s="42"/>
    </row>
    <row r="58" spans="1:8" x14ac:dyDescent="0.2">
      <c r="A58" s="20" t="s">
        <v>37</v>
      </c>
      <c r="B58" s="43"/>
      <c r="C58" s="56"/>
      <c r="D58" s="41">
        <f>[4]Charters!E511</f>
        <v>30171</v>
      </c>
      <c r="E58" s="8"/>
      <c r="F58" s="42">
        <f>[4]Charters!E194</f>
        <v>14924</v>
      </c>
      <c r="G58" s="8"/>
      <c r="H58" s="8"/>
    </row>
    <row r="59" spans="1:8" x14ac:dyDescent="0.2">
      <c r="A59" s="20" t="s">
        <v>38</v>
      </c>
      <c r="B59" s="43"/>
      <c r="C59" s="56"/>
      <c r="D59" s="41">
        <f>[4]Charters!F511</f>
        <v>0</v>
      </c>
      <c r="E59" s="8"/>
      <c r="F59" s="42">
        <f>SUM(D56:D56)</f>
        <v>14924</v>
      </c>
      <c r="G59" s="8"/>
      <c r="H59" s="8"/>
    </row>
    <row r="60" spans="1:8" x14ac:dyDescent="0.2">
      <c r="A60" s="59" t="s">
        <v>40</v>
      </c>
      <c r="B60" s="43"/>
      <c r="C60" s="56"/>
      <c r="D60" s="41">
        <f>[4]Charters!G511</f>
        <v>0</v>
      </c>
      <c r="E60" s="8"/>
      <c r="F60" s="42">
        <f>+F58-F59</f>
        <v>0</v>
      </c>
      <c r="G60" s="8"/>
      <c r="H60" s="8"/>
    </row>
    <row r="61" spans="1:8" x14ac:dyDescent="0.2">
      <c r="A61" s="20" t="s">
        <v>41</v>
      </c>
      <c r="B61" s="43"/>
      <c r="C61" s="56"/>
      <c r="D61" s="41">
        <f>[4]Charters!C666</f>
        <v>834417</v>
      </c>
      <c r="E61" s="8"/>
      <c r="F61" s="42" t="s">
        <v>28</v>
      </c>
      <c r="G61" s="8"/>
      <c r="H61" s="8"/>
    </row>
    <row r="62" spans="1:8" x14ac:dyDescent="0.2">
      <c r="A62" s="20" t="s">
        <v>42</v>
      </c>
      <c r="B62" s="43"/>
      <c r="C62" s="56"/>
      <c r="D62" s="41">
        <f>[4]Charters!D666</f>
        <v>102599.62</v>
      </c>
      <c r="E62" s="8"/>
      <c r="F62" s="42">
        <f>[4]Charters!D511</f>
        <v>16639.490000000002</v>
      </c>
      <c r="G62" s="8"/>
      <c r="H62" s="8"/>
    </row>
    <row r="63" spans="1:8" x14ac:dyDescent="0.2">
      <c r="A63" s="20" t="s">
        <v>44</v>
      </c>
      <c r="B63" s="43"/>
      <c r="C63" s="56"/>
      <c r="D63" s="41">
        <f>[4]Charters!E666</f>
        <v>41700</v>
      </c>
      <c r="E63" s="8"/>
      <c r="F63" s="42">
        <f>SUM(D55:D57)</f>
        <v>16639.490000000002</v>
      </c>
      <c r="G63" s="8"/>
      <c r="H63" s="8"/>
    </row>
    <row r="64" spans="1:8" x14ac:dyDescent="0.2">
      <c r="A64" s="59" t="s">
        <v>43</v>
      </c>
      <c r="B64" s="43"/>
      <c r="C64" s="56"/>
      <c r="D64" s="41">
        <f>[4]Charters!F666</f>
        <v>12266.06</v>
      </c>
      <c r="E64" s="8"/>
      <c r="F64" s="42">
        <f>+F62-F63</f>
        <v>0</v>
      </c>
      <c r="G64" s="8"/>
      <c r="H64" s="8"/>
    </row>
    <row r="65" spans="1:8" x14ac:dyDescent="0.2">
      <c r="A65" s="59" t="s">
        <v>45</v>
      </c>
      <c r="B65" s="43"/>
      <c r="C65" s="56"/>
      <c r="D65" s="41">
        <f>[4]Charters!C511</f>
        <v>0</v>
      </c>
      <c r="E65" s="8"/>
      <c r="F65" s="8"/>
      <c r="G65" s="8"/>
      <c r="H65" s="8"/>
    </row>
    <row r="66" spans="1:8" x14ac:dyDescent="0.2">
      <c r="A66" s="59" t="s">
        <v>46</v>
      </c>
      <c r="B66" s="43"/>
      <c r="C66" s="56"/>
      <c r="D66" s="41">
        <f>[4]Charters!C822</f>
        <v>0</v>
      </c>
      <c r="E66" s="42"/>
      <c r="F66" s="42"/>
      <c r="G66" s="42"/>
      <c r="H66" s="42" t="s">
        <v>31</v>
      </c>
    </row>
    <row r="67" spans="1:8" x14ac:dyDescent="0.2">
      <c r="A67" s="59" t="s">
        <v>51</v>
      </c>
      <c r="B67" s="43"/>
      <c r="C67" s="56"/>
      <c r="D67" s="60">
        <f>[4]Charters!D822</f>
        <v>638.71</v>
      </c>
      <c r="E67" s="42"/>
      <c r="F67" s="42"/>
      <c r="G67" s="42"/>
      <c r="H67" s="42">
        <f>[4]Charters!D1281</f>
        <v>2501959.09</v>
      </c>
    </row>
    <row r="68" spans="1:8" x14ac:dyDescent="0.2">
      <c r="A68" s="20" t="s">
        <v>47</v>
      </c>
      <c r="B68" s="43"/>
      <c r="C68" s="56"/>
      <c r="D68" s="60">
        <f>[4]Charters!E822</f>
        <v>0</v>
      </c>
      <c r="E68" s="42"/>
      <c r="F68" s="42"/>
      <c r="G68" s="42"/>
      <c r="H68" s="42">
        <f>D77</f>
        <v>2501959.09</v>
      </c>
    </row>
    <row r="69" spans="1:8" x14ac:dyDescent="0.2">
      <c r="A69" s="20" t="s">
        <v>57</v>
      </c>
      <c r="B69" s="43"/>
      <c r="C69" s="56"/>
      <c r="D69" s="60">
        <f>[4]Charters!C975</f>
        <v>0</v>
      </c>
      <c r="E69" s="42"/>
      <c r="F69" s="42"/>
      <c r="G69" s="42"/>
      <c r="H69" s="42">
        <f>+H67-H68</f>
        <v>0</v>
      </c>
    </row>
    <row r="70" spans="1:8" x14ac:dyDescent="0.2">
      <c r="A70" s="59" t="s">
        <v>53</v>
      </c>
      <c r="B70" s="43"/>
      <c r="C70" s="56"/>
      <c r="D70" s="60">
        <f>[4]Charters!D975</f>
        <v>0</v>
      </c>
      <c r="E70" s="42"/>
      <c r="F70" s="42" t="s">
        <v>30</v>
      </c>
      <c r="G70" s="42"/>
      <c r="H70" s="42"/>
    </row>
    <row r="71" spans="1:8" x14ac:dyDescent="0.2">
      <c r="A71" s="59" t="s">
        <v>59</v>
      </c>
      <c r="B71" s="43"/>
      <c r="C71" s="56"/>
      <c r="D71" s="60">
        <f>[4]Charters!E975</f>
        <v>0</v>
      </c>
      <c r="E71" s="42"/>
      <c r="F71" s="42"/>
      <c r="G71" s="42"/>
      <c r="H71" s="42"/>
    </row>
    <row r="72" spans="1:8" x14ac:dyDescent="0.2">
      <c r="A72" s="38" t="s">
        <v>18</v>
      </c>
      <c r="B72" s="61"/>
      <c r="C72" s="62"/>
      <c r="D72" s="87"/>
      <c r="E72" s="42"/>
      <c r="F72" s="42">
        <f>[4]Charters!C1281</f>
        <v>3881.9</v>
      </c>
      <c r="G72" s="42"/>
      <c r="H72" s="42"/>
    </row>
    <row r="73" spans="1:8" x14ac:dyDescent="0.2">
      <c r="A73" s="59" t="s">
        <v>39</v>
      </c>
      <c r="B73" s="43"/>
      <c r="C73" s="56"/>
      <c r="D73" s="41">
        <f>[4]Charters!C1128</f>
        <v>3881.9</v>
      </c>
      <c r="E73" s="42"/>
      <c r="F73" s="42">
        <f>SUM(D73:D76)</f>
        <v>3881.9</v>
      </c>
      <c r="G73" s="42"/>
      <c r="H73" s="42"/>
    </row>
    <row r="74" spans="1:8" x14ac:dyDescent="0.2">
      <c r="A74" s="59" t="s">
        <v>48</v>
      </c>
      <c r="B74" s="43"/>
      <c r="C74" s="56"/>
      <c r="D74" s="41">
        <f>[4]Charters!D1128</f>
        <v>0</v>
      </c>
      <c r="E74" s="42"/>
      <c r="F74" s="42">
        <f>+F72-F73</f>
        <v>0</v>
      </c>
      <c r="G74" s="42"/>
      <c r="H74" s="42"/>
    </row>
    <row r="75" spans="1:8" x14ac:dyDescent="0.2">
      <c r="A75" s="59" t="s">
        <v>60</v>
      </c>
      <c r="B75" s="43"/>
      <c r="C75" s="56"/>
      <c r="D75" s="41">
        <f>[4]Charters!E1128</f>
        <v>0</v>
      </c>
      <c r="E75" s="42"/>
      <c r="F75" s="42"/>
      <c r="G75" s="42"/>
      <c r="H75" s="42"/>
    </row>
    <row r="76" spans="1:8" x14ac:dyDescent="0.2">
      <c r="A76" s="59" t="s">
        <v>61</v>
      </c>
      <c r="B76" s="43"/>
      <c r="C76" s="56"/>
      <c r="D76" s="41">
        <f>[4]Charters!F1128</f>
        <v>0</v>
      </c>
      <c r="E76" s="42"/>
      <c r="F76" s="42"/>
      <c r="G76" s="42"/>
      <c r="H76" s="42"/>
    </row>
    <row r="77" spans="1:8" ht="13.5" thickBot="1" x14ac:dyDescent="0.25">
      <c r="A77" s="64"/>
      <c r="B77" s="65"/>
      <c r="C77" s="66"/>
      <c r="D77" s="67">
        <f>SUM(D52:D76)</f>
        <v>2501959.09</v>
      </c>
      <c r="E77" s="42"/>
      <c r="F77" s="42"/>
      <c r="G77" s="42"/>
      <c r="H77" s="42"/>
    </row>
    <row r="78" spans="1:8" ht="13.5" thickTop="1" x14ac:dyDescent="0.2">
      <c r="A78" s="68"/>
      <c r="B78" s="43"/>
      <c r="C78" s="56"/>
      <c r="D78" s="86"/>
      <c r="E78" s="42"/>
      <c r="F78" s="42"/>
      <c r="G78" s="42"/>
      <c r="H78" s="42"/>
    </row>
    <row r="79" spans="1:8" x14ac:dyDescent="0.2">
      <c r="A79" s="38" t="s">
        <v>20</v>
      </c>
      <c r="B79" s="39"/>
      <c r="C79" s="70"/>
      <c r="D79" s="71" t="s">
        <v>21</v>
      </c>
      <c r="E79" s="42"/>
      <c r="F79" s="42"/>
      <c r="G79" s="42"/>
      <c r="H79" s="42"/>
    </row>
    <row r="80" spans="1:8" x14ac:dyDescent="0.2">
      <c r="A80" s="72" t="s">
        <v>22</v>
      </c>
      <c r="B80" s="73"/>
      <c r="C80" s="74"/>
      <c r="D80" s="41">
        <f>[5]Charters!C34</f>
        <v>994.97</v>
      </c>
      <c r="E80" s="42"/>
      <c r="F80" s="42"/>
      <c r="G80" s="42"/>
      <c r="H80" s="42"/>
    </row>
    <row r="81" spans="1:8" x14ac:dyDescent="0.2">
      <c r="A81" s="75"/>
      <c r="B81" s="61"/>
      <c r="C81" s="76"/>
      <c r="D81" s="77">
        <f>SUM(D80:D80)</f>
        <v>994.97</v>
      </c>
      <c r="E81" s="42"/>
      <c r="F81" s="42"/>
      <c r="G81" s="42"/>
      <c r="H81" s="42"/>
    </row>
    <row r="82" spans="1:8" x14ac:dyDescent="0.2">
      <c r="A82" s="78" t="s">
        <v>58</v>
      </c>
      <c r="B82" s="79"/>
      <c r="C82" s="80"/>
      <c r="D82" s="77">
        <f>D81+D77</f>
        <v>2502954.06</v>
      </c>
      <c r="E82" s="42"/>
      <c r="F82" s="42"/>
      <c r="G82" s="42"/>
      <c r="H82" s="42"/>
    </row>
    <row r="83" spans="1:8" x14ac:dyDescent="0.2">
      <c r="A83" s="84"/>
      <c r="B83" s="84"/>
      <c r="C83" s="85"/>
      <c r="D83" s="81"/>
      <c r="E83" s="42"/>
      <c r="F83" s="42"/>
      <c r="G83" s="42"/>
      <c r="H83" s="42"/>
    </row>
    <row r="84" spans="1:8" x14ac:dyDescent="0.2">
      <c r="A84" s="84"/>
      <c r="B84" s="84"/>
      <c r="C84" s="85"/>
      <c r="D84" s="81">
        <f>[5]Charters!E190</f>
        <v>2502954.06</v>
      </c>
      <c r="E84" s="42"/>
      <c r="F84" s="42"/>
      <c r="G84" s="42"/>
      <c r="H84" s="42"/>
    </row>
    <row r="85" spans="1:8" x14ac:dyDescent="0.2">
      <c r="A85" s="84"/>
      <c r="B85" s="84"/>
      <c r="C85" s="85"/>
      <c r="D85" s="81">
        <f>D82</f>
        <v>2502954.06</v>
      </c>
      <c r="E85" s="42"/>
      <c r="F85" s="42"/>
      <c r="G85" s="42"/>
      <c r="H85" s="42"/>
    </row>
    <row r="86" spans="1:8" x14ac:dyDescent="0.2">
      <c r="C86" s="83"/>
      <c r="D86" s="42">
        <f>D84-D85</f>
        <v>0</v>
      </c>
      <c r="E86" s="42"/>
      <c r="F86" s="42"/>
      <c r="G86" s="42"/>
      <c r="H86" s="42"/>
    </row>
  </sheetData>
  <mergeCells count="4">
    <mergeCell ref="A30:D30"/>
    <mergeCell ref="A28:D28"/>
    <mergeCell ref="A29:D29"/>
    <mergeCell ref="A82:C82"/>
  </mergeCells>
  <phoneticPr fontId="0" type="noConversion"/>
  <printOptions horizontalCentered="1" verticalCentered="1"/>
  <pageMargins left="0.5" right="0.5" top="0.5" bottom="0.5" header="0.25" footer="0.25"/>
  <pageSetup orientation="portrait" r:id="rId1"/>
  <headerFooter alignWithMargins="0">
    <oddHeader>&amp;R&amp;8Current as of: &amp;D</oddHeader>
    <oddFooter>&amp;L&amp;8USOE, School Finance</oddFooter>
  </headerFooter>
  <picture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>
    <pageSetUpPr fitToPage="1"/>
  </sheetPr>
  <dimension ref="A1:H87"/>
  <sheetViews>
    <sheetView showGridLines="0" topLeftCell="A21" workbookViewId="0">
      <selection activeCell="C12" sqref="C12"/>
    </sheetView>
  </sheetViews>
  <sheetFormatPr defaultColWidth="9.140625" defaultRowHeight="12.75" x14ac:dyDescent="0.2"/>
  <cols>
    <col min="1" max="1" width="31.85546875" style="82" customWidth="1"/>
    <col min="2" max="2" width="16.140625" style="82" customWidth="1"/>
    <col min="3" max="4" width="14.85546875" style="82" customWidth="1"/>
    <col min="5" max="5" width="7" style="82" customWidth="1"/>
    <col min="6" max="6" width="19.7109375" style="82" customWidth="1"/>
    <col min="7" max="7" width="5.7109375" style="82" customWidth="1"/>
    <col min="8" max="8" width="18" style="82" customWidth="1"/>
    <col min="9" max="16384" width="9.140625" style="82"/>
  </cols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"/>
      <c r="B3" s="1"/>
      <c r="C3" s="1"/>
      <c r="D3" s="1"/>
      <c r="E3" s="1"/>
      <c r="F3" s="1"/>
      <c r="G3" s="1"/>
      <c r="H3" s="1"/>
    </row>
    <row r="4" spans="1:8" x14ac:dyDescent="0.2">
      <c r="A4" s="1"/>
      <c r="B4" s="1"/>
      <c r="C4" s="1"/>
      <c r="D4" s="1"/>
      <c r="E4" s="1"/>
      <c r="F4" s="1"/>
      <c r="G4" s="1"/>
      <c r="H4" s="1"/>
    </row>
    <row r="5" spans="1:8" x14ac:dyDescent="0.2">
      <c r="A5" s="1"/>
      <c r="B5" s="1"/>
      <c r="C5" s="1"/>
      <c r="D5" s="1"/>
      <c r="E5" s="1"/>
      <c r="F5" s="1"/>
      <c r="G5" s="1"/>
      <c r="H5" s="1"/>
    </row>
    <row r="6" spans="1:8" x14ac:dyDescent="0.2">
      <c r="A6" s="1"/>
      <c r="B6" s="1"/>
      <c r="C6" s="1"/>
      <c r="D6" s="1"/>
      <c r="E6" s="1"/>
      <c r="F6" s="1"/>
      <c r="G6" s="1"/>
      <c r="H6" s="1"/>
    </row>
    <row r="7" spans="1:8" x14ac:dyDescent="0.2">
      <c r="A7" s="1"/>
      <c r="B7" s="1"/>
      <c r="C7" s="1"/>
      <c r="D7" s="1"/>
      <c r="E7" s="1"/>
      <c r="F7" s="1"/>
      <c r="G7" s="1"/>
      <c r="H7" s="1"/>
    </row>
    <row r="8" spans="1:8" x14ac:dyDescent="0.2">
      <c r="A8" s="1"/>
      <c r="B8" s="1"/>
      <c r="C8" s="1"/>
      <c r="D8" s="1"/>
      <c r="E8" s="1"/>
      <c r="F8" s="1"/>
      <c r="G8" s="1"/>
      <c r="H8" s="1"/>
    </row>
    <row r="9" spans="1:8" x14ac:dyDescent="0.2">
      <c r="A9" s="1"/>
      <c r="B9" s="1"/>
      <c r="C9" s="1"/>
      <c r="D9" s="1"/>
      <c r="E9" s="1"/>
      <c r="F9" s="1"/>
      <c r="G9" s="1"/>
      <c r="H9" s="1"/>
    </row>
    <row r="10" spans="1:8" x14ac:dyDescent="0.2">
      <c r="A10" s="1"/>
      <c r="B10" s="1"/>
      <c r="C10" s="1"/>
      <c r="D10" s="1"/>
      <c r="E10" s="1"/>
      <c r="F10" s="1"/>
      <c r="G10" s="1"/>
      <c r="H10" s="1"/>
    </row>
    <row r="11" spans="1:8" x14ac:dyDescent="0.2">
      <c r="A11" s="1"/>
      <c r="B11" s="1"/>
      <c r="C11" s="1"/>
      <c r="D11" s="1"/>
      <c r="E11" s="1"/>
      <c r="F11" s="1"/>
      <c r="G11" s="1"/>
      <c r="H11" s="1"/>
    </row>
    <row r="12" spans="1:8" x14ac:dyDescent="0.2">
      <c r="A12" s="1"/>
      <c r="B12" s="1"/>
      <c r="C12" s="1"/>
      <c r="D12" s="1"/>
      <c r="E12" s="1"/>
      <c r="F12" s="1"/>
      <c r="G12" s="1"/>
      <c r="H12" s="1"/>
    </row>
    <row r="13" spans="1:8" x14ac:dyDescent="0.2">
      <c r="A13" s="1"/>
      <c r="B13" s="1"/>
      <c r="C13" s="1"/>
      <c r="D13" s="1"/>
      <c r="E13" s="1"/>
      <c r="F13" s="1"/>
      <c r="G13" s="1"/>
      <c r="H13" s="1"/>
    </row>
    <row r="14" spans="1:8" x14ac:dyDescent="0.2">
      <c r="A14" s="1"/>
      <c r="B14" s="1"/>
      <c r="C14" s="1"/>
      <c r="D14" s="1"/>
      <c r="E14" s="1"/>
      <c r="F14" s="1"/>
      <c r="G14" s="1"/>
      <c r="H14" s="1"/>
    </row>
    <row r="15" spans="1:8" x14ac:dyDescent="0.2">
      <c r="A15" s="1"/>
      <c r="B15" s="1"/>
      <c r="C15" s="1"/>
      <c r="D15" s="1"/>
      <c r="E15" s="1"/>
      <c r="F15" s="1"/>
      <c r="G15" s="1"/>
      <c r="H15" s="1"/>
    </row>
    <row r="16" spans="1:8" x14ac:dyDescent="0.2">
      <c r="A16" s="1"/>
      <c r="B16" s="1"/>
      <c r="C16" s="1"/>
      <c r="D16" s="1"/>
      <c r="E16" s="1"/>
      <c r="F16" s="1"/>
      <c r="G16" s="1"/>
      <c r="H16" s="1"/>
    </row>
    <row r="17" spans="1:8" x14ac:dyDescent="0.2">
      <c r="A17" s="1"/>
      <c r="B17" s="1"/>
      <c r="C17" s="1"/>
      <c r="D17" s="1"/>
      <c r="E17" s="1"/>
      <c r="F17" s="1"/>
      <c r="G17" s="1"/>
      <c r="H17" s="1"/>
    </row>
    <row r="18" spans="1:8" x14ac:dyDescent="0.2">
      <c r="A18" s="1"/>
      <c r="B18" s="1"/>
      <c r="C18" s="1"/>
      <c r="D18" s="1"/>
      <c r="E18" s="1"/>
      <c r="F18" s="1"/>
      <c r="G18" s="1"/>
      <c r="H18" s="1"/>
    </row>
    <row r="19" spans="1:8" x14ac:dyDescent="0.2">
      <c r="A19" s="1"/>
      <c r="B19" s="1"/>
      <c r="C19" s="1"/>
      <c r="D19" s="1"/>
      <c r="E19" s="1"/>
      <c r="F19" s="1"/>
      <c r="G19" s="1"/>
      <c r="H19" s="1"/>
    </row>
    <row r="20" spans="1:8" x14ac:dyDescent="0.2">
      <c r="A20" s="1"/>
      <c r="B20" s="1"/>
      <c r="C20" s="1"/>
      <c r="D20" s="1"/>
      <c r="E20" s="1"/>
      <c r="F20" s="1"/>
      <c r="G20" s="1"/>
      <c r="H20" s="1"/>
    </row>
    <row r="21" spans="1:8" x14ac:dyDescent="0.2">
      <c r="A21" s="1"/>
      <c r="B21" s="1"/>
      <c r="C21" s="1"/>
      <c r="D21" s="1"/>
      <c r="E21" s="1"/>
      <c r="F21" s="1"/>
      <c r="G21" s="1"/>
      <c r="H21" s="1"/>
    </row>
    <row r="22" spans="1:8" x14ac:dyDescent="0.2">
      <c r="A22" s="1"/>
      <c r="B22" s="1"/>
      <c r="C22" s="1"/>
      <c r="D22" s="4"/>
      <c r="E22" s="1"/>
      <c r="F22" s="1"/>
      <c r="G22" s="1"/>
      <c r="H22" s="1"/>
    </row>
    <row r="23" spans="1:8" x14ac:dyDescent="0.2">
      <c r="A23" s="1"/>
      <c r="B23" s="1"/>
      <c r="C23" s="1"/>
      <c r="D23" s="1"/>
      <c r="E23" s="1"/>
      <c r="F23" s="1"/>
      <c r="G23" s="1"/>
      <c r="H23" s="1"/>
    </row>
    <row r="24" spans="1:8" x14ac:dyDescent="0.2">
      <c r="A24" s="1"/>
      <c r="B24" s="1"/>
      <c r="C24" s="1"/>
      <c r="D24" s="1"/>
      <c r="E24" s="1"/>
      <c r="F24" s="1"/>
      <c r="G24" s="1"/>
      <c r="H24" s="1"/>
    </row>
    <row r="25" spans="1:8" x14ac:dyDescent="0.2">
      <c r="A25" s="1"/>
      <c r="B25" s="1"/>
      <c r="C25" s="1"/>
      <c r="D25" s="1"/>
      <c r="E25" s="1"/>
      <c r="F25" s="1"/>
      <c r="G25" s="1"/>
      <c r="H25" s="1"/>
    </row>
    <row r="26" spans="1:8" x14ac:dyDescent="0.2">
      <c r="A26" s="1"/>
      <c r="B26" s="1"/>
      <c r="C26" s="1"/>
      <c r="D26" s="1"/>
      <c r="E26" s="1"/>
      <c r="F26" s="1"/>
      <c r="G26" s="1"/>
      <c r="H26" s="1"/>
    </row>
    <row r="27" spans="1:8" x14ac:dyDescent="0.2">
      <c r="A27" s="1"/>
      <c r="B27" s="1"/>
      <c r="C27" s="1"/>
      <c r="D27" s="1"/>
      <c r="E27" s="1"/>
      <c r="F27" s="1"/>
      <c r="G27" s="1"/>
      <c r="H27" s="1"/>
    </row>
    <row r="28" spans="1:8" x14ac:dyDescent="0.2">
      <c r="A28" s="1"/>
      <c r="B28" s="1"/>
      <c r="C28" s="1"/>
      <c r="D28" s="1"/>
      <c r="E28" s="1"/>
      <c r="F28" s="1"/>
      <c r="G28" s="1"/>
      <c r="H28" s="1"/>
    </row>
    <row r="29" spans="1:8" x14ac:dyDescent="0.2">
      <c r="A29" s="11" t="s">
        <v>1</v>
      </c>
      <c r="B29" s="12"/>
      <c r="C29" s="12"/>
      <c r="D29" s="13"/>
      <c r="E29" s="8"/>
      <c r="F29" s="8"/>
      <c r="G29" s="8"/>
      <c r="H29" s="8"/>
    </row>
    <row r="30" spans="1:8" x14ac:dyDescent="0.2">
      <c r="A30" s="14" t="s">
        <v>15</v>
      </c>
      <c r="B30" s="15"/>
      <c r="C30" s="15"/>
      <c r="D30" s="16"/>
      <c r="E30" s="8"/>
      <c r="F30" s="8"/>
      <c r="G30" s="8"/>
      <c r="H30" s="8"/>
    </row>
    <row r="31" spans="1:8" x14ac:dyDescent="0.2">
      <c r="A31" s="17" t="s">
        <v>62</v>
      </c>
      <c r="B31" s="18"/>
      <c r="C31" s="18"/>
      <c r="D31" s="19"/>
      <c r="E31" s="8"/>
      <c r="F31" s="8"/>
      <c r="G31" s="8"/>
      <c r="H31" s="8"/>
    </row>
    <row r="32" spans="1:8" x14ac:dyDescent="0.2">
      <c r="A32" s="20"/>
      <c r="B32" s="21"/>
      <c r="C32" s="22"/>
      <c r="D32" s="23"/>
      <c r="E32" s="8"/>
      <c r="F32" s="8" t="s">
        <v>34</v>
      </c>
      <c r="G32" s="8"/>
      <c r="H32" s="8"/>
    </row>
    <row r="33" spans="1:8" ht="15.75" x14ac:dyDescent="0.25">
      <c r="A33" s="24" t="s">
        <v>2</v>
      </c>
      <c r="B33" s="25" t="str">
        <f>[1]Charters!B36</f>
        <v>North Star Academy</v>
      </c>
      <c r="C33" s="26"/>
      <c r="D33" s="27"/>
      <c r="E33" s="8"/>
      <c r="F33" s="8"/>
      <c r="G33" s="8"/>
      <c r="H33" s="8"/>
    </row>
    <row r="34" spans="1:8" x14ac:dyDescent="0.2">
      <c r="A34" s="24"/>
      <c r="B34" s="28"/>
      <c r="C34" s="26"/>
      <c r="D34" s="27"/>
      <c r="E34" s="8"/>
      <c r="F34" s="8"/>
      <c r="G34" s="8"/>
      <c r="H34" s="8"/>
    </row>
    <row r="35" spans="1:8" x14ac:dyDescent="0.2">
      <c r="A35" s="29" t="s">
        <v>0</v>
      </c>
      <c r="B35" s="30">
        <f>[1]Charters!$E$6</f>
        <v>3184</v>
      </c>
      <c r="C35" s="26"/>
      <c r="D35" s="31"/>
      <c r="E35" s="8"/>
      <c r="F35" s="8"/>
      <c r="G35" s="8"/>
      <c r="H35" s="8"/>
    </row>
    <row r="36" spans="1:8" x14ac:dyDescent="0.2">
      <c r="A36" s="32"/>
      <c r="B36" s="6"/>
      <c r="C36" s="33"/>
      <c r="D36" s="34" t="s">
        <v>3</v>
      </c>
      <c r="E36" s="8"/>
      <c r="F36" s="8"/>
      <c r="G36" s="8"/>
      <c r="H36" s="8"/>
    </row>
    <row r="37" spans="1:8" x14ac:dyDescent="0.2">
      <c r="A37" s="29" t="s">
        <v>19</v>
      </c>
      <c r="B37" s="35" t="str">
        <f>[1]Charters!A36</f>
        <v>5B</v>
      </c>
      <c r="C37" s="36" t="s">
        <v>4</v>
      </c>
      <c r="D37" s="37" t="s">
        <v>5</v>
      </c>
      <c r="E37" s="8"/>
      <c r="F37" s="8"/>
      <c r="G37" s="8"/>
      <c r="H37" s="8"/>
    </row>
    <row r="38" spans="1:8" x14ac:dyDescent="0.2">
      <c r="A38" s="38" t="s">
        <v>6</v>
      </c>
      <c r="B38" s="39"/>
      <c r="C38" s="40"/>
      <c r="D38" s="41"/>
      <c r="E38" s="8"/>
      <c r="F38" s="8"/>
      <c r="G38" s="8"/>
      <c r="H38" s="8"/>
    </row>
    <row r="39" spans="1:8" x14ac:dyDescent="0.2">
      <c r="A39" s="38" t="s">
        <v>7</v>
      </c>
      <c r="B39" s="39"/>
      <c r="C39" s="40"/>
      <c r="D39" s="41"/>
      <c r="E39" s="8"/>
      <c r="F39" s="42" t="s">
        <v>23</v>
      </c>
      <c r="G39" s="8"/>
      <c r="H39" s="42" t="s">
        <v>26</v>
      </c>
    </row>
    <row r="40" spans="1:8" x14ac:dyDescent="0.2">
      <c r="A40" s="20" t="s">
        <v>8</v>
      </c>
      <c r="B40" s="43"/>
      <c r="C40" s="44">
        <f>[1]Charters!C496</f>
        <v>483.89699999999999</v>
      </c>
      <c r="D40" s="45">
        <f>[1]Charters!E496</f>
        <v>1540726.63</v>
      </c>
      <c r="E40" s="8"/>
      <c r="F40" s="42">
        <f>[1]Charters!E651</f>
        <v>1653905.33</v>
      </c>
      <c r="G40" s="8"/>
      <c r="H40" s="42">
        <f>[2]Charters!E190</f>
        <v>1952360.23</v>
      </c>
    </row>
    <row r="41" spans="1:8" x14ac:dyDescent="0.2">
      <c r="A41" s="20" t="s">
        <v>14</v>
      </c>
      <c r="B41" s="43"/>
      <c r="C41" s="44">
        <f>[1]Charters!F496</f>
        <v>35.545999999999999</v>
      </c>
      <c r="D41" s="45">
        <f>[1]Charters!H496</f>
        <v>113178.7</v>
      </c>
      <c r="E41" s="8"/>
      <c r="F41" s="42">
        <f>SUM(D40:D42)</f>
        <v>1653905.33</v>
      </c>
      <c r="G41" s="8"/>
      <c r="H41" s="42">
        <f>D53</f>
        <v>1952360.23</v>
      </c>
    </row>
    <row r="42" spans="1:8" x14ac:dyDescent="0.2">
      <c r="A42" s="20" t="s">
        <v>32</v>
      </c>
      <c r="B42" s="43"/>
      <c r="C42" s="44">
        <f>[1]Charters!C189</f>
        <v>0</v>
      </c>
      <c r="D42" s="45">
        <f>[1]Charters!E189</f>
        <v>0</v>
      </c>
      <c r="E42" s="8"/>
      <c r="F42" s="42">
        <f>+F40-F41</f>
        <v>0</v>
      </c>
      <c r="G42" s="8"/>
      <c r="H42" s="42">
        <f>+H40-H41</f>
        <v>0</v>
      </c>
    </row>
    <row r="43" spans="1:8" x14ac:dyDescent="0.2">
      <c r="A43" s="38" t="s">
        <v>9</v>
      </c>
      <c r="B43" s="39"/>
      <c r="C43" s="46"/>
      <c r="D43" s="47"/>
      <c r="E43" s="8"/>
      <c r="F43" s="8"/>
      <c r="G43" s="8"/>
      <c r="H43" s="8"/>
    </row>
    <row r="44" spans="1:8" x14ac:dyDescent="0.2">
      <c r="A44" s="20" t="s">
        <v>10</v>
      </c>
      <c r="B44" s="43"/>
      <c r="C44" s="40">
        <f>[3]Charters!C35</f>
        <v>46.231999999999999</v>
      </c>
      <c r="D44" s="41">
        <f>[3]Charters!E35</f>
        <v>147203.69</v>
      </c>
      <c r="E44" s="8"/>
      <c r="F44" s="42" t="s">
        <v>24</v>
      </c>
      <c r="G44" s="8"/>
      <c r="H44" s="8"/>
    </row>
    <row r="45" spans="1:8" x14ac:dyDescent="0.2">
      <c r="A45" s="48" t="s">
        <v>11</v>
      </c>
      <c r="B45" s="43"/>
      <c r="C45" s="40">
        <f>[3]Charters!F35</f>
        <v>2</v>
      </c>
      <c r="D45" s="49">
        <f>[3]Charters!H35</f>
        <v>6368</v>
      </c>
      <c r="E45" s="8"/>
      <c r="F45" s="42">
        <f>[3]Charters!N346</f>
        <v>159729.38</v>
      </c>
      <c r="G45" s="8"/>
      <c r="H45" s="8"/>
    </row>
    <row r="46" spans="1:8" x14ac:dyDescent="0.2">
      <c r="A46" s="48" t="s">
        <v>12</v>
      </c>
      <c r="B46" s="43"/>
      <c r="C46" s="40">
        <f>[3]Charters!C190</f>
        <v>0</v>
      </c>
      <c r="D46" s="41">
        <f>[3]Charters!E190</f>
        <v>0</v>
      </c>
      <c r="E46" s="8"/>
      <c r="F46" s="42">
        <f>SUM(D44:D50)</f>
        <v>159729.38</v>
      </c>
      <c r="G46" s="8"/>
      <c r="H46" s="8"/>
    </row>
    <row r="47" spans="1:8" x14ac:dyDescent="0.2">
      <c r="A47" s="20" t="s">
        <v>13</v>
      </c>
      <c r="B47" s="43"/>
      <c r="C47" s="40">
        <f>[3]Charters!F190</f>
        <v>0.89700000000000002</v>
      </c>
      <c r="D47" s="41">
        <f>[3]Charters!H190</f>
        <v>2857.55</v>
      </c>
      <c r="E47" s="8"/>
      <c r="F47" s="42">
        <f>+F45-F46</f>
        <v>0</v>
      </c>
      <c r="G47" s="8"/>
      <c r="H47" s="8"/>
    </row>
    <row r="48" spans="1:8" x14ac:dyDescent="0.2">
      <c r="A48" s="48" t="s">
        <v>54</v>
      </c>
      <c r="B48" s="43"/>
      <c r="C48" s="40">
        <f>[3]Charters!C346</f>
        <v>1.036</v>
      </c>
      <c r="D48" s="41">
        <f>[3]Charters!E346</f>
        <v>3300.14</v>
      </c>
      <c r="E48" s="8"/>
      <c r="F48" s="8"/>
      <c r="G48" s="8"/>
      <c r="H48" s="8"/>
    </row>
    <row r="49" spans="1:8" x14ac:dyDescent="0.2">
      <c r="A49" s="48" t="s">
        <v>55</v>
      </c>
      <c r="B49" s="43"/>
      <c r="C49" s="40">
        <f>[3]Charters!F346</f>
        <v>0</v>
      </c>
      <c r="D49" s="41">
        <f>[3]Charters!H346</f>
        <v>0</v>
      </c>
      <c r="E49" s="8"/>
      <c r="F49" s="42" t="s">
        <v>25</v>
      </c>
      <c r="G49" s="8"/>
      <c r="H49" s="8"/>
    </row>
    <row r="50" spans="1:8" x14ac:dyDescent="0.2">
      <c r="A50" s="48" t="s">
        <v>56</v>
      </c>
      <c r="B50" s="43"/>
      <c r="C50" s="40">
        <f>[3]Charters!I346</f>
        <v>0</v>
      </c>
      <c r="D50" s="41">
        <f>[3]Charters!K346</f>
        <v>0</v>
      </c>
      <c r="E50" s="8"/>
      <c r="F50" s="42">
        <f>[2]Charters!H36</f>
        <v>298454.90000000002</v>
      </c>
      <c r="G50" s="8"/>
      <c r="H50" s="8"/>
    </row>
    <row r="51" spans="1:8" x14ac:dyDescent="0.2">
      <c r="A51" s="20" t="s">
        <v>49</v>
      </c>
      <c r="B51" s="43"/>
      <c r="C51" s="40">
        <f>[3]Charters!C503</f>
        <v>1.429</v>
      </c>
      <c r="D51" s="41">
        <f>[3]Charters!E503</f>
        <v>4550.01</v>
      </c>
      <c r="E51" s="8"/>
      <c r="F51" s="42">
        <f>SUM(D44:D52)</f>
        <v>298454.90000000002</v>
      </c>
      <c r="G51" s="8"/>
      <c r="H51" s="8"/>
    </row>
    <row r="52" spans="1:8" x14ac:dyDescent="0.2">
      <c r="A52" s="20" t="s">
        <v>50</v>
      </c>
      <c r="B52" s="43"/>
      <c r="C52" s="40">
        <f>[2]Charters!C36</f>
        <v>42.140999999999998</v>
      </c>
      <c r="D52" s="41">
        <f>[2]Charters!E36</f>
        <v>134175.51</v>
      </c>
      <c r="E52" s="8"/>
      <c r="F52" s="42">
        <f>+F50-F51</f>
        <v>0</v>
      </c>
      <c r="G52" s="8"/>
      <c r="H52" s="8"/>
    </row>
    <row r="53" spans="1:8" x14ac:dyDescent="0.2">
      <c r="A53" s="50"/>
      <c r="B53" s="51" t="s">
        <v>16</v>
      </c>
      <c r="C53" s="52">
        <f>SUM(C40:C52)</f>
        <v>613.178</v>
      </c>
      <c r="D53" s="53">
        <f>SUM(D40:D52)</f>
        <v>1952360.23</v>
      </c>
      <c r="E53" s="8"/>
      <c r="F53" s="8"/>
      <c r="G53" s="8"/>
      <c r="H53" s="8"/>
    </row>
    <row r="54" spans="1:8" x14ac:dyDescent="0.2">
      <c r="A54" s="54" t="s">
        <v>17</v>
      </c>
      <c r="B54" s="39"/>
      <c r="C54" s="55"/>
      <c r="D54" s="47"/>
      <c r="E54" s="8"/>
      <c r="F54" s="8"/>
      <c r="G54" s="8"/>
      <c r="H54" s="42" t="s">
        <v>29</v>
      </c>
    </row>
    <row r="55" spans="1:8" x14ac:dyDescent="0.2">
      <c r="A55" s="20" t="s">
        <v>33</v>
      </c>
      <c r="B55" s="43"/>
      <c r="C55" s="56"/>
      <c r="D55" s="57">
        <f>[4]Charters!C35</f>
        <v>5658.85</v>
      </c>
      <c r="E55" s="8"/>
      <c r="F55" s="8"/>
      <c r="G55" s="8"/>
      <c r="H55" s="42">
        <f>[4]Charters!F976</f>
        <v>3305313.65</v>
      </c>
    </row>
    <row r="56" spans="1:8" x14ac:dyDescent="0.2">
      <c r="A56" s="58" t="s">
        <v>35</v>
      </c>
      <c r="B56" s="43"/>
      <c r="C56" s="56"/>
      <c r="D56" s="41">
        <f>+[4]Charters!F356</f>
        <v>2328.9899999999998</v>
      </c>
      <c r="E56" s="8"/>
      <c r="F56" s="8"/>
      <c r="G56" s="8"/>
      <c r="H56" s="42">
        <f>SUM(D53:D72)</f>
        <v>3305313.65</v>
      </c>
    </row>
    <row r="57" spans="1:8" x14ac:dyDescent="0.2">
      <c r="A57" s="59" t="s">
        <v>36</v>
      </c>
      <c r="B57" s="43"/>
      <c r="C57" s="56"/>
      <c r="D57" s="41">
        <f>[4]Charters!E195</f>
        <v>15381</v>
      </c>
      <c r="E57" s="8"/>
      <c r="F57" s="8"/>
      <c r="G57" s="8"/>
      <c r="H57" s="42">
        <f>+H55-H56</f>
        <v>0</v>
      </c>
    </row>
    <row r="58" spans="1:8" x14ac:dyDescent="0.2">
      <c r="A58" s="59" t="s">
        <v>52</v>
      </c>
      <c r="B58" s="43"/>
      <c r="C58" s="56"/>
      <c r="D58" s="41">
        <f>[4]Charters!G356</f>
        <v>0</v>
      </c>
      <c r="E58" s="8"/>
      <c r="F58" s="42" t="s">
        <v>27</v>
      </c>
      <c r="G58" s="8"/>
      <c r="H58" s="42"/>
    </row>
    <row r="59" spans="1:8" x14ac:dyDescent="0.2">
      <c r="A59" s="20" t="s">
        <v>37</v>
      </c>
      <c r="B59" s="43"/>
      <c r="C59" s="56"/>
      <c r="D59" s="41">
        <f>[4]Charters!E512</f>
        <v>37892</v>
      </c>
      <c r="E59" s="8"/>
      <c r="F59" s="42">
        <f>[4]Charters!E195</f>
        <v>15381</v>
      </c>
      <c r="G59" s="8"/>
      <c r="H59" s="8"/>
    </row>
    <row r="60" spans="1:8" x14ac:dyDescent="0.2">
      <c r="A60" s="20" t="s">
        <v>38</v>
      </c>
      <c r="B60" s="43"/>
      <c r="C60" s="56"/>
      <c r="D60" s="41">
        <f>[4]Charters!F512</f>
        <v>0</v>
      </c>
      <c r="E60" s="8"/>
      <c r="F60" s="42">
        <f>SUM(D57:D57)</f>
        <v>15381</v>
      </c>
      <c r="G60" s="8"/>
      <c r="H60" s="8"/>
    </row>
    <row r="61" spans="1:8" x14ac:dyDescent="0.2">
      <c r="A61" s="59" t="s">
        <v>40</v>
      </c>
      <c r="B61" s="43"/>
      <c r="C61" s="56"/>
      <c r="D61" s="41">
        <f>[4]Charters!G512</f>
        <v>0</v>
      </c>
      <c r="E61" s="8"/>
      <c r="F61" s="42">
        <f>+F59-F60</f>
        <v>0</v>
      </c>
      <c r="G61" s="8"/>
      <c r="H61" s="8"/>
    </row>
    <row r="62" spans="1:8" x14ac:dyDescent="0.2">
      <c r="A62" s="20" t="s">
        <v>41</v>
      </c>
      <c r="B62" s="43"/>
      <c r="C62" s="56"/>
      <c r="D62" s="41">
        <f>[4]Charters!C667</f>
        <v>1060530</v>
      </c>
      <c r="E62" s="8"/>
      <c r="F62" s="42" t="s">
        <v>28</v>
      </c>
      <c r="G62" s="8"/>
      <c r="H62" s="8"/>
    </row>
    <row r="63" spans="1:8" x14ac:dyDescent="0.2">
      <c r="A63" s="20" t="s">
        <v>42</v>
      </c>
      <c r="B63" s="43"/>
      <c r="C63" s="56"/>
      <c r="D63" s="41">
        <f>[4]Charters!D667</f>
        <v>142883.32999999999</v>
      </c>
      <c r="E63" s="8"/>
      <c r="F63" s="42">
        <f>[4]Charters!D512</f>
        <v>17709.990000000002</v>
      </c>
      <c r="G63" s="8"/>
      <c r="H63" s="8"/>
    </row>
    <row r="64" spans="1:8" x14ac:dyDescent="0.2">
      <c r="A64" s="20" t="s">
        <v>44</v>
      </c>
      <c r="B64" s="43"/>
      <c r="C64" s="56"/>
      <c r="D64" s="41">
        <f>[4]Charters!E667</f>
        <v>53000</v>
      </c>
      <c r="E64" s="8"/>
      <c r="F64" s="42">
        <f>SUM(D56:D58)</f>
        <v>17709.990000000002</v>
      </c>
      <c r="G64" s="8"/>
      <c r="H64" s="8"/>
    </row>
    <row r="65" spans="1:8" x14ac:dyDescent="0.2">
      <c r="A65" s="59" t="s">
        <v>43</v>
      </c>
      <c r="B65" s="43"/>
      <c r="C65" s="56"/>
      <c r="D65" s="41">
        <f>[4]Charters!F667</f>
        <v>13842.77</v>
      </c>
      <c r="E65" s="8"/>
      <c r="F65" s="42">
        <f>+F63-F64</f>
        <v>0</v>
      </c>
      <c r="G65" s="8"/>
      <c r="H65" s="8"/>
    </row>
    <row r="66" spans="1:8" x14ac:dyDescent="0.2">
      <c r="A66" s="59" t="s">
        <v>45</v>
      </c>
      <c r="B66" s="43"/>
      <c r="C66" s="56"/>
      <c r="D66" s="41">
        <f>[4]Charters!C512</f>
        <v>0</v>
      </c>
      <c r="E66" s="8"/>
      <c r="F66" s="8"/>
      <c r="G66" s="8"/>
      <c r="H66" s="8"/>
    </row>
    <row r="67" spans="1:8" x14ac:dyDescent="0.2">
      <c r="A67" s="59" t="s">
        <v>46</v>
      </c>
      <c r="B67" s="43"/>
      <c r="C67" s="56"/>
      <c r="D67" s="41">
        <f>[4]Charters!C823</f>
        <v>0</v>
      </c>
      <c r="E67" s="42"/>
      <c r="F67" s="42"/>
      <c r="G67" s="42"/>
      <c r="H67" s="42" t="s">
        <v>31</v>
      </c>
    </row>
    <row r="68" spans="1:8" x14ac:dyDescent="0.2">
      <c r="A68" s="59" t="s">
        <v>51</v>
      </c>
      <c r="B68" s="43"/>
      <c r="C68" s="56"/>
      <c r="D68" s="60">
        <f>[4]Charters!D823</f>
        <v>749.48</v>
      </c>
      <c r="E68" s="42"/>
      <c r="F68" s="42"/>
      <c r="G68" s="42"/>
      <c r="H68" s="42">
        <f>[4]Charters!D1282</f>
        <v>3310703.23</v>
      </c>
    </row>
    <row r="69" spans="1:8" x14ac:dyDescent="0.2">
      <c r="A69" s="20" t="s">
        <v>47</v>
      </c>
      <c r="B69" s="43"/>
      <c r="C69" s="56"/>
      <c r="D69" s="60">
        <f>[4]Charters!E823</f>
        <v>20687</v>
      </c>
      <c r="E69" s="42"/>
      <c r="F69" s="42"/>
      <c r="G69" s="42"/>
      <c r="H69" s="42">
        <f>D78</f>
        <v>3310703.23</v>
      </c>
    </row>
    <row r="70" spans="1:8" x14ac:dyDescent="0.2">
      <c r="A70" s="20" t="s">
        <v>57</v>
      </c>
      <c r="B70" s="43"/>
      <c r="C70" s="56"/>
      <c r="D70" s="60">
        <f>[4]Charters!C976</f>
        <v>0</v>
      </c>
      <c r="E70" s="42"/>
      <c r="F70" s="42"/>
      <c r="G70" s="42"/>
      <c r="H70" s="42">
        <f>+H68-H69</f>
        <v>0</v>
      </c>
    </row>
    <row r="71" spans="1:8" x14ac:dyDescent="0.2">
      <c r="A71" s="59" t="s">
        <v>53</v>
      </c>
      <c r="B71" s="43"/>
      <c r="C71" s="56"/>
      <c r="D71" s="60">
        <f>[4]Charters!D976</f>
        <v>0</v>
      </c>
      <c r="E71" s="42"/>
      <c r="F71" s="42" t="s">
        <v>30</v>
      </c>
      <c r="G71" s="42"/>
      <c r="H71" s="42"/>
    </row>
    <row r="72" spans="1:8" x14ac:dyDescent="0.2">
      <c r="A72" s="59" t="s">
        <v>59</v>
      </c>
      <c r="B72" s="43"/>
      <c r="C72" s="56"/>
      <c r="D72" s="60">
        <f>[4]Charters!E976</f>
        <v>0</v>
      </c>
      <c r="E72" s="42"/>
      <c r="F72" s="42"/>
      <c r="G72" s="42"/>
      <c r="H72" s="42"/>
    </row>
    <row r="73" spans="1:8" x14ac:dyDescent="0.2">
      <c r="A73" s="38" t="s">
        <v>18</v>
      </c>
      <c r="B73" s="61"/>
      <c r="C73" s="62"/>
      <c r="D73" s="87"/>
      <c r="E73" s="42"/>
      <c r="F73" s="42">
        <f>[4]Charters!C1282</f>
        <v>5389.58</v>
      </c>
      <c r="G73" s="42"/>
      <c r="H73" s="42"/>
    </row>
    <row r="74" spans="1:8" x14ac:dyDescent="0.2">
      <c r="A74" s="59" t="s">
        <v>39</v>
      </c>
      <c r="B74" s="43"/>
      <c r="C74" s="56"/>
      <c r="D74" s="41">
        <f>[4]Charters!C1129</f>
        <v>5389.58</v>
      </c>
      <c r="E74" s="42"/>
      <c r="F74" s="42">
        <f>SUM(D74:D77)</f>
        <v>5389.58</v>
      </c>
      <c r="G74" s="42"/>
      <c r="H74" s="42"/>
    </row>
    <row r="75" spans="1:8" x14ac:dyDescent="0.2">
      <c r="A75" s="59" t="s">
        <v>48</v>
      </c>
      <c r="B75" s="43"/>
      <c r="C75" s="56"/>
      <c r="D75" s="41">
        <f>[4]Charters!D1129</f>
        <v>0</v>
      </c>
      <c r="E75" s="42"/>
      <c r="F75" s="42">
        <f>+F73-F74</f>
        <v>0</v>
      </c>
      <c r="G75" s="42"/>
      <c r="H75" s="42"/>
    </row>
    <row r="76" spans="1:8" x14ac:dyDescent="0.2">
      <c r="A76" s="59" t="s">
        <v>60</v>
      </c>
      <c r="B76" s="43"/>
      <c r="C76" s="56"/>
      <c r="D76" s="41">
        <f>[4]Charters!E1129</f>
        <v>0</v>
      </c>
      <c r="E76" s="42"/>
      <c r="F76" s="42"/>
      <c r="G76" s="42"/>
      <c r="H76" s="42"/>
    </row>
    <row r="77" spans="1:8" x14ac:dyDescent="0.2">
      <c r="A77" s="59" t="s">
        <v>61</v>
      </c>
      <c r="B77" s="43"/>
      <c r="C77" s="56"/>
      <c r="D77" s="41">
        <f>[4]Charters!F1129</f>
        <v>0</v>
      </c>
      <c r="E77" s="42"/>
      <c r="F77" s="42"/>
      <c r="G77" s="42"/>
      <c r="H77" s="42"/>
    </row>
    <row r="78" spans="1:8" ht="13.5" thickBot="1" x14ac:dyDescent="0.25">
      <c r="A78" s="64"/>
      <c r="B78" s="65"/>
      <c r="C78" s="66"/>
      <c r="D78" s="67">
        <f>SUM(D53:D77)</f>
        <v>3310703.23</v>
      </c>
      <c r="E78" s="42"/>
      <c r="F78" s="42"/>
      <c r="G78" s="42"/>
      <c r="H78" s="42"/>
    </row>
    <row r="79" spans="1:8" ht="13.5" thickTop="1" x14ac:dyDescent="0.2">
      <c r="A79" s="68"/>
      <c r="B79" s="43"/>
      <c r="C79" s="56"/>
      <c r="D79" s="86"/>
      <c r="E79" s="42"/>
      <c r="F79" s="42"/>
      <c r="G79" s="42"/>
      <c r="H79" s="42"/>
    </row>
    <row r="80" spans="1:8" x14ac:dyDescent="0.2">
      <c r="A80" s="38" t="s">
        <v>20</v>
      </c>
      <c r="B80" s="39"/>
      <c r="C80" s="70"/>
      <c r="D80" s="71" t="s">
        <v>21</v>
      </c>
      <c r="E80" s="42"/>
      <c r="F80" s="42"/>
      <c r="G80" s="42"/>
      <c r="H80" s="42"/>
    </row>
    <row r="81" spans="1:8" x14ac:dyDescent="0.2">
      <c r="A81" s="72" t="s">
        <v>22</v>
      </c>
      <c r="B81" s="73"/>
      <c r="C81" s="74"/>
      <c r="D81" s="41">
        <f>[5]Charters!C35</f>
        <v>1224.22</v>
      </c>
      <c r="E81" s="42"/>
      <c r="F81" s="42"/>
      <c r="G81" s="42"/>
      <c r="H81" s="42"/>
    </row>
    <row r="82" spans="1:8" x14ac:dyDescent="0.2">
      <c r="A82" s="75"/>
      <c r="B82" s="61"/>
      <c r="C82" s="76"/>
      <c r="D82" s="77">
        <f>SUM(D81:D81)</f>
        <v>1224.22</v>
      </c>
      <c r="E82" s="42"/>
      <c r="F82" s="42"/>
      <c r="G82" s="42"/>
      <c r="H82" s="42"/>
    </row>
    <row r="83" spans="1:8" x14ac:dyDescent="0.2">
      <c r="A83" s="78" t="s">
        <v>58</v>
      </c>
      <c r="B83" s="79"/>
      <c r="C83" s="80"/>
      <c r="D83" s="77">
        <f>D82+D78</f>
        <v>3311927.45</v>
      </c>
      <c r="E83" s="42"/>
      <c r="F83" s="42"/>
      <c r="G83" s="42"/>
      <c r="H83" s="42"/>
    </row>
    <row r="84" spans="1:8" x14ac:dyDescent="0.2">
      <c r="A84" s="84"/>
      <c r="B84" s="84"/>
      <c r="C84" s="85"/>
      <c r="D84" s="81"/>
      <c r="E84" s="42"/>
      <c r="F84" s="42"/>
      <c r="G84" s="42"/>
      <c r="H84" s="42"/>
    </row>
    <row r="85" spans="1:8" x14ac:dyDescent="0.2">
      <c r="A85" s="84"/>
      <c r="B85" s="84"/>
      <c r="C85" s="85"/>
      <c r="D85" s="81">
        <f>[5]Charters!E191</f>
        <v>3311927.45</v>
      </c>
      <c r="E85" s="42"/>
      <c r="F85" s="42"/>
      <c r="G85" s="42"/>
      <c r="H85" s="42"/>
    </row>
    <row r="86" spans="1:8" x14ac:dyDescent="0.2">
      <c r="A86" s="84"/>
      <c r="B86" s="84"/>
      <c r="C86" s="85"/>
      <c r="D86" s="81">
        <f>D83</f>
        <v>3311927.45</v>
      </c>
      <c r="E86" s="42"/>
      <c r="F86" s="42"/>
      <c r="G86" s="42"/>
      <c r="H86" s="42"/>
    </row>
    <row r="87" spans="1:8" x14ac:dyDescent="0.2">
      <c r="C87" s="83"/>
      <c r="D87" s="42">
        <f>D85-D86</f>
        <v>0</v>
      </c>
      <c r="E87" s="42"/>
      <c r="F87" s="42"/>
      <c r="G87" s="42"/>
      <c r="H87" s="42"/>
    </row>
  </sheetData>
  <mergeCells count="4">
    <mergeCell ref="A31:D31"/>
    <mergeCell ref="A29:D29"/>
    <mergeCell ref="A30:D30"/>
    <mergeCell ref="A83:C83"/>
  </mergeCells>
  <phoneticPr fontId="0" type="noConversion"/>
  <printOptions horizontalCentered="1" verticalCentered="1"/>
  <pageMargins left="0.5" right="0.5" top="0.5" bottom="0.5" header="0.25" footer="0.25"/>
  <pageSetup orientation="portrait" r:id="rId1"/>
  <headerFooter alignWithMargins="0">
    <oddHeader>&amp;R&amp;8Current as of: &amp;D</oddHeader>
    <oddFooter>&amp;L&amp;8USOE, School Finance</oddFooter>
  </headerFooter>
  <picture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>
    <pageSetUpPr fitToPage="1"/>
  </sheetPr>
  <dimension ref="A1:H88"/>
  <sheetViews>
    <sheetView showGridLines="0" topLeftCell="A19" workbookViewId="0">
      <selection activeCell="C12" sqref="C12"/>
    </sheetView>
  </sheetViews>
  <sheetFormatPr defaultColWidth="9.140625" defaultRowHeight="12.75" x14ac:dyDescent="0.2"/>
  <cols>
    <col min="1" max="1" width="31.85546875" style="82" customWidth="1"/>
    <col min="2" max="2" width="16.28515625" style="82" customWidth="1"/>
    <col min="3" max="4" width="14.85546875" style="82" customWidth="1"/>
    <col min="5" max="5" width="7" style="82" customWidth="1"/>
    <col min="6" max="6" width="19.7109375" style="82" customWidth="1"/>
    <col min="7" max="7" width="5.7109375" style="82" customWidth="1"/>
    <col min="8" max="8" width="18" style="82" customWidth="1"/>
    <col min="9" max="16384" width="9.140625" style="82"/>
  </cols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"/>
      <c r="B3" s="1"/>
      <c r="C3" s="1"/>
      <c r="D3" s="1"/>
      <c r="E3" s="1"/>
      <c r="F3" s="1"/>
      <c r="G3" s="1"/>
      <c r="H3" s="1"/>
    </row>
    <row r="4" spans="1:8" x14ac:dyDescent="0.2">
      <c r="A4" s="1"/>
      <c r="B4" s="1"/>
      <c r="C4" s="1"/>
      <c r="D4" s="1"/>
      <c r="E4" s="1"/>
      <c r="F4" s="1"/>
      <c r="G4" s="1"/>
      <c r="H4" s="1"/>
    </row>
    <row r="5" spans="1:8" x14ac:dyDescent="0.2">
      <c r="A5" s="1"/>
      <c r="B5" s="1"/>
      <c r="C5" s="1"/>
      <c r="D5" s="1"/>
      <c r="E5" s="1"/>
      <c r="F5" s="1"/>
      <c r="G5" s="1"/>
      <c r="H5" s="1"/>
    </row>
    <row r="6" spans="1:8" x14ac:dyDescent="0.2">
      <c r="A6" s="1"/>
      <c r="B6" s="1"/>
      <c r="C6" s="1"/>
      <c r="D6" s="1"/>
      <c r="E6" s="1"/>
      <c r="F6" s="1"/>
      <c r="G6" s="1"/>
      <c r="H6" s="1"/>
    </row>
    <row r="7" spans="1:8" x14ac:dyDescent="0.2">
      <c r="A7" s="1"/>
      <c r="B7" s="1"/>
      <c r="C7" s="1"/>
      <c r="D7" s="1"/>
      <c r="E7" s="1"/>
      <c r="F7" s="1"/>
      <c r="G7" s="1"/>
      <c r="H7" s="1"/>
    </row>
    <row r="8" spans="1:8" x14ac:dyDescent="0.2">
      <c r="A8" s="1"/>
      <c r="B8" s="1"/>
      <c r="C8" s="1"/>
      <c r="D8" s="1"/>
      <c r="E8" s="1"/>
      <c r="F8" s="1"/>
      <c r="G8" s="1"/>
      <c r="H8" s="1"/>
    </row>
    <row r="9" spans="1:8" x14ac:dyDescent="0.2">
      <c r="A9" s="1"/>
      <c r="B9" s="1"/>
      <c r="C9" s="1"/>
      <c r="D9" s="1"/>
      <c r="E9" s="1"/>
      <c r="F9" s="1"/>
      <c r="G9" s="1"/>
      <c r="H9" s="1"/>
    </row>
    <row r="10" spans="1:8" x14ac:dyDescent="0.2">
      <c r="A10" s="1"/>
      <c r="B10" s="1"/>
      <c r="C10" s="1"/>
      <c r="D10" s="1"/>
      <c r="E10" s="1"/>
      <c r="F10" s="1"/>
      <c r="G10" s="1"/>
      <c r="H10" s="1"/>
    </row>
    <row r="11" spans="1:8" x14ac:dyDescent="0.2">
      <c r="A11" s="1"/>
      <c r="B11" s="1"/>
      <c r="C11" s="1"/>
      <c r="D11" s="1"/>
      <c r="E11" s="1"/>
      <c r="F11" s="1"/>
      <c r="G11" s="1"/>
      <c r="H11" s="1"/>
    </row>
    <row r="12" spans="1:8" x14ac:dyDescent="0.2">
      <c r="A12" s="1"/>
      <c r="B12" s="1"/>
      <c r="C12" s="1"/>
      <c r="D12" s="1"/>
      <c r="E12" s="1"/>
      <c r="F12" s="1"/>
      <c r="G12" s="1"/>
      <c r="H12" s="1"/>
    </row>
    <row r="13" spans="1:8" x14ac:dyDescent="0.2">
      <c r="A13" s="1"/>
      <c r="B13" s="1"/>
      <c r="C13" s="1"/>
      <c r="D13" s="1"/>
      <c r="E13" s="1"/>
      <c r="F13" s="1"/>
      <c r="G13" s="1"/>
      <c r="H13" s="1"/>
    </row>
    <row r="14" spans="1:8" x14ac:dyDescent="0.2">
      <c r="A14" s="1"/>
      <c r="B14" s="1"/>
      <c r="C14" s="1"/>
      <c r="D14" s="1"/>
      <c r="E14" s="1"/>
      <c r="F14" s="1"/>
      <c r="G14" s="1"/>
      <c r="H14" s="1"/>
    </row>
    <row r="15" spans="1:8" x14ac:dyDescent="0.2">
      <c r="A15" s="1"/>
      <c r="B15" s="1"/>
      <c r="C15" s="1"/>
      <c r="D15" s="1"/>
      <c r="E15" s="1"/>
      <c r="F15" s="1"/>
      <c r="G15" s="1"/>
      <c r="H15" s="1"/>
    </row>
    <row r="16" spans="1:8" x14ac:dyDescent="0.2">
      <c r="A16" s="1"/>
      <c r="B16" s="1"/>
      <c r="C16" s="1"/>
      <c r="D16" s="1"/>
      <c r="E16" s="1"/>
      <c r="F16" s="1"/>
      <c r="G16" s="1"/>
      <c r="H16" s="1"/>
    </row>
    <row r="17" spans="1:8" x14ac:dyDescent="0.2">
      <c r="A17" s="1"/>
      <c r="B17" s="1"/>
      <c r="C17" s="1"/>
      <c r="D17" s="1"/>
      <c r="E17" s="1"/>
      <c r="F17" s="1"/>
      <c r="G17" s="1"/>
      <c r="H17" s="1"/>
    </row>
    <row r="18" spans="1:8" x14ac:dyDescent="0.2">
      <c r="A18" s="1"/>
      <c r="B18" s="1"/>
      <c r="C18" s="1"/>
      <c r="D18" s="1"/>
      <c r="E18" s="1"/>
      <c r="F18" s="1"/>
      <c r="G18" s="1"/>
      <c r="H18" s="1"/>
    </row>
    <row r="19" spans="1:8" x14ac:dyDescent="0.2">
      <c r="A19" s="1"/>
      <c r="B19" s="1"/>
      <c r="C19" s="1"/>
      <c r="D19" s="1"/>
      <c r="E19" s="1"/>
      <c r="F19" s="1"/>
      <c r="G19" s="1"/>
      <c r="H19" s="1"/>
    </row>
    <row r="20" spans="1:8" x14ac:dyDescent="0.2">
      <c r="A20" s="1"/>
      <c r="B20" s="1"/>
      <c r="C20" s="1"/>
      <c r="D20" s="1"/>
      <c r="E20" s="1"/>
      <c r="F20" s="1"/>
      <c r="G20" s="1"/>
      <c r="H20" s="1"/>
    </row>
    <row r="21" spans="1:8" x14ac:dyDescent="0.2">
      <c r="A21" s="1"/>
      <c r="B21" s="1"/>
      <c r="C21" s="1"/>
      <c r="D21" s="1"/>
      <c r="E21" s="1"/>
      <c r="F21" s="1"/>
      <c r="G21" s="1"/>
      <c r="H21" s="1"/>
    </row>
    <row r="22" spans="1:8" x14ac:dyDescent="0.2">
      <c r="A22" s="1"/>
      <c r="B22" s="1"/>
      <c r="C22" s="1"/>
      <c r="D22" s="4"/>
      <c r="E22" s="1"/>
      <c r="F22" s="1"/>
      <c r="G22" s="1"/>
      <c r="H22" s="1"/>
    </row>
    <row r="23" spans="1:8" x14ac:dyDescent="0.2">
      <c r="A23" s="1"/>
      <c r="B23" s="1"/>
      <c r="C23" s="1"/>
      <c r="D23" s="1"/>
      <c r="E23" s="1"/>
      <c r="F23" s="1"/>
      <c r="G23" s="1"/>
      <c r="H23" s="1"/>
    </row>
    <row r="24" spans="1:8" x14ac:dyDescent="0.2">
      <c r="A24" s="1"/>
      <c r="B24" s="1"/>
      <c r="C24" s="1"/>
      <c r="D24" s="1"/>
      <c r="E24" s="1"/>
      <c r="F24" s="1"/>
      <c r="G24" s="1"/>
      <c r="H24" s="1"/>
    </row>
    <row r="25" spans="1:8" x14ac:dyDescent="0.2">
      <c r="A25" s="1"/>
      <c r="B25" s="1"/>
      <c r="C25" s="1"/>
      <c r="D25" s="1"/>
      <c r="E25" s="1"/>
      <c r="F25" s="1"/>
      <c r="G25" s="1"/>
      <c r="H25" s="1"/>
    </row>
    <row r="26" spans="1:8" x14ac:dyDescent="0.2">
      <c r="A26" s="1"/>
      <c r="B26" s="1"/>
      <c r="C26" s="1"/>
      <c r="D26" s="1"/>
      <c r="E26" s="1"/>
      <c r="F26" s="1"/>
      <c r="G26" s="1"/>
      <c r="H26" s="1"/>
    </row>
    <row r="27" spans="1:8" x14ac:dyDescent="0.2">
      <c r="A27" s="1"/>
      <c r="B27" s="1"/>
      <c r="C27" s="1"/>
      <c r="D27" s="1"/>
      <c r="E27" s="1"/>
      <c r="F27" s="1"/>
      <c r="G27" s="1"/>
      <c r="H27" s="1"/>
    </row>
    <row r="28" spans="1:8" x14ac:dyDescent="0.2">
      <c r="A28" s="1"/>
      <c r="B28" s="1"/>
      <c r="C28" s="1"/>
      <c r="D28" s="1"/>
      <c r="E28" s="1"/>
      <c r="F28" s="1"/>
      <c r="G28" s="1"/>
      <c r="H28" s="1"/>
    </row>
    <row r="29" spans="1:8" x14ac:dyDescent="0.2">
      <c r="A29" s="1"/>
      <c r="B29" s="1"/>
      <c r="C29" s="1"/>
      <c r="D29" s="1"/>
      <c r="E29" s="1"/>
      <c r="F29" s="1"/>
      <c r="G29" s="1"/>
      <c r="H29" s="1"/>
    </row>
    <row r="30" spans="1:8" x14ac:dyDescent="0.2">
      <c r="A30" s="11" t="s">
        <v>1</v>
      </c>
      <c r="B30" s="12"/>
      <c r="C30" s="12"/>
      <c r="D30" s="13"/>
      <c r="E30" s="8"/>
      <c r="F30" s="8"/>
      <c r="G30" s="8"/>
      <c r="H30" s="8"/>
    </row>
    <row r="31" spans="1:8" x14ac:dyDescent="0.2">
      <c r="A31" s="14" t="s">
        <v>15</v>
      </c>
      <c r="B31" s="15"/>
      <c r="C31" s="15"/>
      <c r="D31" s="16"/>
      <c r="E31" s="8"/>
      <c r="F31" s="8"/>
      <c r="G31" s="8"/>
      <c r="H31" s="8"/>
    </row>
    <row r="32" spans="1:8" x14ac:dyDescent="0.2">
      <c r="A32" s="17" t="s">
        <v>62</v>
      </c>
      <c r="B32" s="18"/>
      <c r="C32" s="18"/>
      <c r="D32" s="19"/>
      <c r="E32" s="8"/>
      <c r="F32" s="8"/>
      <c r="G32" s="8"/>
      <c r="H32" s="8"/>
    </row>
    <row r="33" spans="1:8" x14ac:dyDescent="0.2">
      <c r="A33" s="20"/>
      <c r="B33" s="21"/>
      <c r="C33" s="22"/>
      <c r="D33" s="23"/>
      <c r="E33" s="8"/>
      <c r="F33" s="8" t="s">
        <v>34</v>
      </c>
      <c r="G33" s="8"/>
      <c r="H33" s="8"/>
    </row>
    <row r="34" spans="1:8" ht="15.75" x14ac:dyDescent="0.25">
      <c r="A34" s="24" t="s">
        <v>2</v>
      </c>
      <c r="B34" s="25" t="str">
        <f>[1]Charters!B37</f>
        <v>Ronald Reagan Academy</v>
      </c>
      <c r="C34" s="26"/>
      <c r="D34" s="27"/>
      <c r="E34" s="8"/>
      <c r="F34" s="8"/>
      <c r="G34" s="8"/>
      <c r="H34" s="8"/>
    </row>
    <row r="35" spans="1:8" x14ac:dyDescent="0.2">
      <c r="A35" s="24"/>
      <c r="B35" s="28"/>
      <c r="C35" s="26"/>
      <c r="D35" s="27"/>
      <c r="E35" s="8"/>
      <c r="F35" s="8"/>
      <c r="G35" s="8"/>
      <c r="H35" s="8"/>
    </row>
    <row r="36" spans="1:8" x14ac:dyDescent="0.2">
      <c r="A36" s="29" t="s">
        <v>0</v>
      </c>
      <c r="B36" s="30">
        <f>[1]Charters!$E$6</f>
        <v>3184</v>
      </c>
      <c r="C36" s="26"/>
      <c r="D36" s="31"/>
      <c r="E36" s="8"/>
      <c r="F36" s="8"/>
      <c r="G36" s="8"/>
      <c r="H36" s="8"/>
    </row>
    <row r="37" spans="1:8" x14ac:dyDescent="0.2">
      <c r="A37" s="32"/>
      <c r="B37" s="6"/>
      <c r="C37" s="33"/>
      <c r="D37" s="34" t="s">
        <v>3</v>
      </c>
      <c r="E37" s="8"/>
      <c r="F37" s="8"/>
      <c r="G37" s="8"/>
      <c r="H37" s="8"/>
    </row>
    <row r="38" spans="1:8" x14ac:dyDescent="0.2">
      <c r="A38" s="29" t="s">
        <v>19</v>
      </c>
      <c r="B38" s="35" t="str">
        <f>[1]Charters!A37</f>
        <v>7B</v>
      </c>
      <c r="C38" s="36" t="s">
        <v>4</v>
      </c>
      <c r="D38" s="37" t="s">
        <v>5</v>
      </c>
      <c r="E38" s="8"/>
      <c r="F38" s="8"/>
      <c r="G38" s="8"/>
      <c r="H38" s="8"/>
    </row>
    <row r="39" spans="1:8" x14ac:dyDescent="0.2">
      <c r="A39" s="38" t="s">
        <v>6</v>
      </c>
      <c r="B39" s="39"/>
      <c r="C39" s="40"/>
      <c r="D39" s="41"/>
      <c r="E39" s="8"/>
      <c r="F39" s="8"/>
      <c r="G39" s="8"/>
      <c r="H39" s="8"/>
    </row>
    <row r="40" spans="1:8" x14ac:dyDescent="0.2">
      <c r="A40" s="38" t="s">
        <v>7</v>
      </c>
      <c r="B40" s="39"/>
      <c r="C40" s="40"/>
      <c r="D40" s="41"/>
      <c r="E40" s="8"/>
      <c r="F40" s="42" t="s">
        <v>23</v>
      </c>
      <c r="G40" s="8"/>
      <c r="H40" s="42" t="s">
        <v>26</v>
      </c>
    </row>
    <row r="41" spans="1:8" x14ac:dyDescent="0.2">
      <c r="A41" s="20" t="s">
        <v>8</v>
      </c>
      <c r="B41" s="43"/>
      <c r="C41" s="44">
        <f>[1]Charters!C497</f>
        <v>580.33799999999997</v>
      </c>
      <c r="D41" s="45">
        <f>[1]Charters!E497</f>
        <v>1847797.33</v>
      </c>
      <c r="E41" s="8"/>
      <c r="F41" s="42">
        <f>[1]Charters!E652</f>
        <v>1963757.7</v>
      </c>
      <c r="G41" s="8"/>
      <c r="H41" s="42">
        <f>[2]Charters!E191</f>
        <v>2491487.12</v>
      </c>
    </row>
    <row r="42" spans="1:8" x14ac:dyDescent="0.2">
      <c r="A42" s="20" t="s">
        <v>14</v>
      </c>
      <c r="B42" s="43"/>
      <c r="C42" s="44">
        <f>[1]Charters!F497</f>
        <v>36.42</v>
      </c>
      <c r="D42" s="45">
        <f>[1]Charters!H497</f>
        <v>115960.37</v>
      </c>
      <c r="E42" s="8"/>
      <c r="F42" s="42">
        <f>SUM(D41:D43)</f>
        <v>1963757.7</v>
      </c>
      <c r="G42" s="8"/>
      <c r="H42" s="42">
        <f>D54</f>
        <v>2491487.12</v>
      </c>
    </row>
    <row r="43" spans="1:8" x14ac:dyDescent="0.2">
      <c r="A43" s="20" t="s">
        <v>32</v>
      </c>
      <c r="B43" s="43"/>
      <c r="C43" s="44">
        <f>[1]Charters!C190</f>
        <v>0</v>
      </c>
      <c r="D43" s="45">
        <f>[1]Charters!E190</f>
        <v>0</v>
      </c>
      <c r="E43" s="8"/>
      <c r="F43" s="42">
        <f>+F41-F42</f>
        <v>0</v>
      </c>
      <c r="G43" s="8"/>
      <c r="H43" s="42">
        <f>+H41-H42</f>
        <v>0</v>
      </c>
    </row>
    <row r="44" spans="1:8" x14ac:dyDescent="0.2">
      <c r="A44" s="38" t="s">
        <v>9</v>
      </c>
      <c r="B44" s="39"/>
      <c r="C44" s="46"/>
      <c r="D44" s="47"/>
      <c r="E44" s="8"/>
      <c r="F44" s="8"/>
      <c r="G44" s="8"/>
      <c r="H44" s="8"/>
    </row>
    <row r="45" spans="1:8" x14ac:dyDescent="0.2">
      <c r="A45" s="20" t="s">
        <v>10</v>
      </c>
      <c r="B45" s="43"/>
      <c r="C45" s="40">
        <f>[3]Charters!C36</f>
        <v>94.843999999999994</v>
      </c>
      <c r="D45" s="41">
        <f>[3]Charters!E36</f>
        <v>301983.3</v>
      </c>
      <c r="E45" s="8"/>
      <c r="F45" s="42" t="s">
        <v>24</v>
      </c>
      <c r="G45" s="8"/>
      <c r="H45" s="8"/>
    </row>
    <row r="46" spans="1:8" x14ac:dyDescent="0.2">
      <c r="A46" s="48" t="s">
        <v>11</v>
      </c>
      <c r="B46" s="43"/>
      <c r="C46" s="40">
        <f>[3]Charters!F36</f>
        <v>8.6</v>
      </c>
      <c r="D46" s="49">
        <f>[3]Charters!H36</f>
        <v>27382.400000000001</v>
      </c>
      <c r="E46" s="8"/>
      <c r="F46" s="42">
        <f>[3]Charters!N347</f>
        <v>339422.07</v>
      </c>
      <c r="G46" s="8"/>
      <c r="H46" s="8"/>
    </row>
    <row r="47" spans="1:8" x14ac:dyDescent="0.2">
      <c r="A47" s="48" t="s">
        <v>12</v>
      </c>
      <c r="B47" s="43"/>
      <c r="C47" s="40">
        <f>[3]Charters!C191</f>
        <v>0</v>
      </c>
      <c r="D47" s="41">
        <f>[3]Charters!E191</f>
        <v>0</v>
      </c>
      <c r="E47" s="8"/>
      <c r="F47" s="42">
        <f>SUM(D45:D51)</f>
        <v>339422.07</v>
      </c>
      <c r="G47" s="8"/>
      <c r="H47" s="8"/>
    </row>
    <row r="48" spans="1:8" x14ac:dyDescent="0.2">
      <c r="A48" s="20" t="s">
        <v>13</v>
      </c>
      <c r="B48" s="43"/>
      <c r="C48" s="40">
        <f>[3]Charters!F191</f>
        <v>1.085</v>
      </c>
      <c r="D48" s="41">
        <f>[3]Charters!H191</f>
        <v>3456.09</v>
      </c>
      <c r="E48" s="8"/>
      <c r="F48" s="42">
        <f>+F46-F47</f>
        <v>0</v>
      </c>
      <c r="G48" s="8"/>
      <c r="H48" s="8"/>
    </row>
    <row r="49" spans="1:8" x14ac:dyDescent="0.2">
      <c r="A49" s="48" t="s">
        <v>54</v>
      </c>
      <c r="B49" s="43"/>
      <c r="C49" s="40">
        <f>[3]Charters!C347</f>
        <v>2.073</v>
      </c>
      <c r="D49" s="41">
        <f>[3]Charters!E347</f>
        <v>6600.28</v>
      </c>
      <c r="E49" s="8"/>
      <c r="F49" s="8"/>
      <c r="G49" s="8"/>
      <c r="H49" s="8"/>
    </row>
    <row r="50" spans="1:8" x14ac:dyDescent="0.2">
      <c r="A50" s="48" t="s">
        <v>55</v>
      </c>
      <c r="B50" s="43"/>
      <c r="C50" s="40">
        <f>[3]Charters!F347</f>
        <v>0</v>
      </c>
      <c r="D50" s="41">
        <f>[3]Charters!H347</f>
        <v>0</v>
      </c>
      <c r="E50" s="8"/>
      <c r="F50" s="42" t="s">
        <v>25</v>
      </c>
      <c r="G50" s="8"/>
      <c r="H50" s="8"/>
    </row>
    <row r="51" spans="1:8" x14ac:dyDescent="0.2">
      <c r="A51" s="48" t="s">
        <v>56</v>
      </c>
      <c r="B51" s="43"/>
      <c r="C51" s="40">
        <f>[3]Charters!I347</f>
        <v>0</v>
      </c>
      <c r="D51" s="41">
        <f>[3]Charters!K347</f>
        <v>0</v>
      </c>
      <c r="E51" s="8"/>
      <c r="F51" s="42">
        <f>[2]Charters!H37</f>
        <v>527729.42000000004</v>
      </c>
      <c r="G51" s="8"/>
      <c r="H51" s="8"/>
    </row>
    <row r="52" spans="1:8" x14ac:dyDescent="0.2">
      <c r="A52" s="20" t="s">
        <v>49</v>
      </c>
      <c r="B52" s="43"/>
      <c r="C52" s="40">
        <f>[3]Charters!C504</f>
        <v>0</v>
      </c>
      <c r="D52" s="41">
        <f>[3]Charters!E504</f>
        <v>0</v>
      </c>
      <c r="E52" s="8"/>
      <c r="F52" s="42">
        <f>SUM(D45:D53)</f>
        <v>527729.42000000004</v>
      </c>
      <c r="G52" s="8"/>
      <c r="H52" s="8"/>
    </row>
    <row r="53" spans="1:8" x14ac:dyDescent="0.2">
      <c r="A53" s="20" t="s">
        <v>50</v>
      </c>
      <c r="B53" s="43"/>
      <c r="C53" s="40">
        <f>[2]Charters!C37</f>
        <v>59.142000000000003</v>
      </c>
      <c r="D53" s="41">
        <f>[2]Charters!E37</f>
        <v>188307.35</v>
      </c>
      <c r="E53" s="8"/>
      <c r="F53" s="42">
        <f>+F51-F52</f>
        <v>0</v>
      </c>
      <c r="G53" s="8"/>
      <c r="H53" s="8"/>
    </row>
    <row r="54" spans="1:8" x14ac:dyDescent="0.2">
      <c r="A54" s="50"/>
      <c r="B54" s="51" t="s">
        <v>16</v>
      </c>
      <c r="C54" s="52">
        <f>SUM(C41:C53)</f>
        <v>782.50199999999995</v>
      </c>
      <c r="D54" s="53">
        <f>SUM(D41:D53)</f>
        <v>2491487.12</v>
      </c>
      <c r="E54" s="8"/>
      <c r="F54" s="8"/>
      <c r="G54" s="8"/>
      <c r="H54" s="8"/>
    </row>
    <row r="55" spans="1:8" x14ac:dyDescent="0.2">
      <c r="A55" s="54" t="s">
        <v>17</v>
      </c>
      <c r="B55" s="39"/>
      <c r="C55" s="55"/>
      <c r="D55" s="47"/>
      <c r="E55" s="8"/>
      <c r="F55" s="8"/>
      <c r="G55" s="8"/>
      <c r="H55" s="42" t="s">
        <v>29</v>
      </c>
    </row>
    <row r="56" spans="1:8" x14ac:dyDescent="0.2">
      <c r="A56" s="20" t="s">
        <v>33</v>
      </c>
      <c r="B56" s="43"/>
      <c r="C56" s="56"/>
      <c r="D56" s="57">
        <f>[4]Charters!C36</f>
        <v>7221.5</v>
      </c>
      <c r="E56" s="8"/>
      <c r="F56" s="8"/>
      <c r="G56" s="8"/>
      <c r="H56" s="42">
        <f>[4]Charters!F977</f>
        <v>4237398.47</v>
      </c>
    </row>
    <row r="57" spans="1:8" x14ac:dyDescent="0.2">
      <c r="A57" s="58" t="s">
        <v>35</v>
      </c>
      <c r="B57" s="43"/>
      <c r="C57" s="56"/>
      <c r="D57" s="41">
        <f>+[4]Charters!F357</f>
        <v>2793.16</v>
      </c>
      <c r="E57" s="8"/>
      <c r="F57" s="8"/>
      <c r="G57" s="8"/>
      <c r="H57" s="42">
        <f>SUM(D54:D73)</f>
        <v>4237398.47</v>
      </c>
    </row>
    <row r="58" spans="1:8" x14ac:dyDescent="0.2">
      <c r="A58" s="59" t="s">
        <v>36</v>
      </c>
      <c r="B58" s="43"/>
      <c r="C58" s="56"/>
      <c r="D58" s="41">
        <f>[4]Charters!E196</f>
        <v>26896</v>
      </c>
      <c r="E58" s="8"/>
      <c r="F58" s="8"/>
      <c r="G58" s="8"/>
      <c r="H58" s="42">
        <f>+H56-H57</f>
        <v>0</v>
      </c>
    </row>
    <row r="59" spans="1:8" x14ac:dyDescent="0.2">
      <c r="A59" s="59" t="s">
        <v>52</v>
      </c>
      <c r="B59" s="43"/>
      <c r="C59" s="56"/>
      <c r="D59" s="41">
        <f>[4]Charters!G357</f>
        <v>0</v>
      </c>
      <c r="E59" s="8"/>
      <c r="F59" s="42" t="s">
        <v>27</v>
      </c>
      <c r="G59" s="8"/>
      <c r="H59" s="42"/>
    </row>
    <row r="60" spans="1:8" x14ac:dyDescent="0.2">
      <c r="A60" s="20" t="s">
        <v>37</v>
      </c>
      <c r="B60" s="43"/>
      <c r="C60" s="56"/>
      <c r="D60" s="41">
        <f>[4]Charters!E513</f>
        <v>48259</v>
      </c>
      <c r="E60" s="8"/>
      <c r="F60" s="42">
        <f>[4]Charters!E196</f>
        <v>26896</v>
      </c>
      <c r="G60" s="8"/>
      <c r="H60" s="8"/>
    </row>
    <row r="61" spans="1:8" x14ac:dyDescent="0.2">
      <c r="A61" s="20" t="s">
        <v>38</v>
      </c>
      <c r="B61" s="43"/>
      <c r="C61" s="56"/>
      <c r="D61" s="41">
        <f>[4]Charters!F513</f>
        <v>0</v>
      </c>
      <c r="E61" s="8"/>
      <c r="F61" s="42">
        <f>SUM(D58:D58)</f>
        <v>26896</v>
      </c>
      <c r="G61" s="8"/>
      <c r="H61" s="8"/>
    </row>
    <row r="62" spans="1:8" x14ac:dyDescent="0.2">
      <c r="A62" s="59" t="s">
        <v>40</v>
      </c>
      <c r="B62" s="43"/>
      <c r="C62" s="56"/>
      <c r="D62" s="41">
        <f>[4]Charters!G513</f>
        <v>0</v>
      </c>
      <c r="E62" s="8"/>
      <c r="F62" s="42">
        <f>+F60-F61</f>
        <v>0</v>
      </c>
      <c r="G62" s="8"/>
      <c r="H62" s="8"/>
    </row>
    <row r="63" spans="1:8" x14ac:dyDescent="0.2">
      <c r="A63" s="20" t="s">
        <v>41</v>
      </c>
      <c r="B63" s="43"/>
      <c r="C63" s="56"/>
      <c r="D63" s="41">
        <f>[4]Charters!C668</f>
        <v>1350675</v>
      </c>
      <c r="E63" s="8"/>
      <c r="F63" s="42" t="s">
        <v>28</v>
      </c>
      <c r="G63" s="8"/>
      <c r="H63" s="8"/>
    </row>
    <row r="64" spans="1:8" x14ac:dyDescent="0.2">
      <c r="A64" s="20" t="s">
        <v>42</v>
      </c>
      <c r="B64" s="43"/>
      <c r="C64" s="56"/>
      <c r="D64" s="41">
        <f>[4]Charters!D668</f>
        <v>190833.92000000001</v>
      </c>
      <c r="E64" s="8"/>
      <c r="F64" s="42">
        <f>[4]Charters!D513</f>
        <v>29689.16</v>
      </c>
      <c r="G64" s="8"/>
      <c r="H64" s="8"/>
    </row>
    <row r="65" spans="1:8" x14ac:dyDescent="0.2">
      <c r="A65" s="20" t="s">
        <v>44</v>
      </c>
      <c r="B65" s="43"/>
      <c r="C65" s="56"/>
      <c r="D65" s="41">
        <f>[4]Charters!E668</f>
        <v>67500</v>
      </c>
      <c r="E65" s="8"/>
      <c r="F65" s="42">
        <f>SUM(D57:D59)</f>
        <v>29689.16</v>
      </c>
      <c r="G65" s="8"/>
      <c r="H65" s="8"/>
    </row>
    <row r="66" spans="1:8" x14ac:dyDescent="0.2">
      <c r="A66" s="59" t="s">
        <v>43</v>
      </c>
      <c r="B66" s="43"/>
      <c r="C66" s="56"/>
      <c r="D66" s="41">
        <f>[4]Charters!F668</f>
        <v>22479.97</v>
      </c>
      <c r="E66" s="8"/>
      <c r="F66" s="42">
        <f>+F64-F65</f>
        <v>0</v>
      </c>
      <c r="G66" s="8"/>
      <c r="H66" s="8"/>
    </row>
    <row r="67" spans="1:8" x14ac:dyDescent="0.2">
      <c r="A67" s="59" t="s">
        <v>45</v>
      </c>
      <c r="B67" s="43"/>
      <c r="C67" s="56"/>
      <c r="D67" s="41">
        <f>[4]Charters!C513</f>
        <v>0</v>
      </c>
      <c r="E67" s="8"/>
      <c r="F67" s="8"/>
      <c r="G67" s="8"/>
      <c r="H67" s="8"/>
    </row>
    <row r="68" spans="1:8" x14ac:dyDescent="0.2">
      <c r="A68" s="59" t="s">
        <v>46</v>
      </c>
      <c r="B68" s="43"/>
      <c r="C68" s="56"/>
      <c r="D68" s="41">
        <f>[4]Charters!C824</f>
        <v>0</v>
      </c>
      <c r="E68" s="42"/>
      <c r="F68" s="42"/>
      <c r="G68" s="42"/>
      <c r="H68" s="42" t="s">
        <v>31</v>
      </c>
    </row>
    <row r="69" spans="1:8" x14ac:dyDescent="0.2">
      <c r="A69" s="59" t="s">
        <v>51</v>
      </c>
      <c r="B69" s="43"/>
      <c r="C69" s="56"/>
      <c r="D69" s="60">
        <f>[4]Charters!D824</f>
        <v>898.06</v>
      </c>
      <c r="E69" s="42"/>
      <c r="F69" s="42"/>
      <c r="G69" s="42"/>
      <c r="H69" s="42">
        <f>[4]Charters!D1283</f>
        <v>4244210.57</v>
      </c>
    </row>
    <row r="70" spans="1:8" x14ac:dyDescent="0.2">
      <c r="A70" s="20" t="s">
        <v>47</v>
      </c>
      <c r="B70" s="43"/>
      <c r="C70" s="56"/>
      <c r="D70" s="60">
        <f>[4]Charters!E824</f>
        <v>22937</v>
      </c>
      <c r="E70" s="42"/>
      <c r="F70" s="42"/>
      <c r="G70" s="42"/>
      <c r="H70" s="42">
        <f>D79</f>
        <v>4244210.57</v>
      </c>
    </row>
    <row r="71" spans="1:8" x14ac:dyDescent="0.2">
      <c r="A71" s="20" t="s">
        <v>57</v>
      </c>
      <c r="B71" s="43"/>
      <c r="C71" s="56"/>
      <c r="D71" s="60">
        <f>[4]Charters!C977</f>
        <v>5417.74</v>
      </c>
      <c r="E71" s="42"/>
      <c r="F71" s="42"/>
      <c r="G71" s="42"/>
      <c r="H71" s="42">
        <f>+H69-H70</f>
        <v>0</v>
      </c>
    </row>
    <row r="72" spans="1:8" x14ac:dyDescent="0.2">
      <c r="A72" s="59" t="s">
        <v>53</v>
      </c>
      <c r="B72" s="43"/>
      <c r="C72" s="56"/>
      <c r="D72" s="60">
        <f>[4]Charters!D977</f>
        <v>0</v>
      </c>
      <c r="E72" s="42"/>
      <c r="F72" s="42" t="s">
        <v>30</v>
      </c>
      <c r="G72" s="42"/>
      <c r="H72" s="42"/>
    </row>
    <row r="73" spans="1:8" x14ac:dyDescent="0.2">
      <c r="A73" s="59" t="s">
        <v>59</v>
      </c>
      <c r="B73" s="43"/>
      <c r="C73" s="56"/>
      <c r="D73" s="60">
        <f>[4]Charters!E977</f>
        <v>0</v>
      </c>
      <c r="E73" s="42"/>
      <c r="F73" s="42"/>
      <c r="G73" s="42"/>
      <c r="H73" s="42"/>
    </row>
    <row r="74" spans="1:8" x14ac:dyDescent="0.2">
      <c r="A74" s="38" t="s">
        <v>18</v>
      </c>
      <c r="B74" s="61"/>
      <c r="C74" s="62"/>
      <c r="D74" s="87"/>
      <c r="E74" s="42"/>
      <c r="F74" s="42">
        <f>[4]Charters!C1283</f>
        <v>6812.1</v>
      </c>
      <c r="G74" s="42"/>
      <c r="H74" s="42"/>
    </row>
    <row r="75" spans="1:8" x14ac:dyDescent="0.2">
      <c r="A75" s="59" t="s">
        <v>39</v>
      </c>
      <c r="B75" s="43"/>
      <c r="C75" s="56"/>
      <c r="D75" s="41">
        <f>[4]Charters!C1130</f>
        <v>6812.1</v>
      </c>
      <c r="E75" s="42"/>
      <c r="F75" s="42">
        <f>SUM(D75:D78)</f>
        <v>6812.1</v>
      </c>
      <c r="G75" s="42"/>
      <c r="H75" s="42"/>
    </row>
    <row r="76" spans="1:8" x14ac:dyDescent="0.2">
      <c r="A76" s="59" t="s">
        <v>48</v>
      </c>
      <c r="B76" s="43"/>
      <c r="C76" s="56"/>
      <c r="D76" s="41">
        <f>[4]Charters!D1130</f>
        <v>0</v>
      </c>
      <c r="E76" s="42"/>
      <c r="F76" s="42">
        <f>+F74-F75</f>
        <v>0</v>
      </c>
      <c r="G76" s="42"/>
      <c r="H76" s="42"/>
    </row>
    <row r="77" spans="1:8" x14ac:dyDescent="0.2">
      <c r="A77" s="59" t="s">
        <v>60</v>
      </c>
      <c r="B77" s="43"/>
      <c r="C77" s="56"/>
      <c r="D77" s="41">
        <f>[4]Charters!E1130</f>
        <v>0</v>
      </c>
      <c r="E77" s="42"/>
      <c r="F77" s="42"/>
      <c r="G77" s="42"/>
      <c r="H77" s="42"/>
    </row>
    <row r="78" spans="1:8" x14ac:dyDescent="0.2">
      <c r="A78" s="59" t="s">
        <v>61</v>
      </c>
      <c r="B78" s="43"/>
      <c r="C78" s="56"/>
      <c r="D78" s="41">
        <f>[4]Charters!F1130</f>
        <v>0</v>
      </c>
      <c r="E78" s="42"/>
      <c r="F78" s="42"/>
      <c r="G78" s="42"/>
      <c r="H78" s="42"/>
    </row>
    <row r="79" spans="1:8" ht="13.5" thickBot="1" x14ac:dyDescent="0.25">
      <c r="A79" s="64"/>
      <c r="B79" s="65"/>
      <c r="C79" s="66"/>
      <c r="D79" s="67">
        <f>SUM(D54:D78)</f>
        <v>4244210.57</v>
      </c>
      <c r="E79" s="42"/>
      <c r="F79" s="42"/>
      <c r="G79" s="42"/>
      <c r="H79" s="42"/>
    </row>
    <row r="80" spans="1:8" ht="13.5" thickTop="1" x14ac:dyDescent="0.2">
      <c r="A80" s="68"/>
      <c r="B80" s="43"/>
      <c r="C80" s="56"/>
      <c r="D80" s="86"/>
      <c r="E80" s="42"/>
      <c r="F80" s="42"/>
      <c r="G80" s="42"/>
      <c r="H80" s="42"/>
    </row>
    <row r="81" spans="1:8" x14ac:dyDescent="0.2">
      <c r="A81" s="38" t="s">
        <v>20</v>
      </c>
      <c r="B81" s="39"/>
      <c r="C81" s="70"/>
      <c r="D81" s="71" t="s">
        <v>21</v>
      </c>
      <c r="E81" s="42"/>
      <c r="F81" s="42"/>
      <c r="G81" s="42"/>
      <c r="H81" s="42"/>
    </row>
    <row r="82" spans="1:8" x14ac:dyDescent="0.2">
      <c r="A82" s="72" t="s">
        <v>22</v>
      </c>
      <c r="B82" s="73"/>
      <c r="C82" s="74"/>
      <c r="D82" s="41">
        <f>[5]Charters!C36</f>
        <v>1532</v>
      </c>
      <c r="E82" s="42"/>
      <c r="F82" s="42"/>
      <c r="G82" s="42"/>
      <c r="H82" s="42"/>
    </row>
    <row r="83" spans="1:8" x14ac:dyDescent="0.2">
      <c r="A83" s="75"/>
      <c r="B83" s="61"/>
      <c r="C83" s="76"/>
      <c r="D83" s="77">
        <f>SUM(D82:D82)</f>
        <v>1532</v>
      </c>
      <c r="E83" s="42"/>
      <c r="F83" s="42"/>
      <c r="G83" s="42"/>
      <c r="H83" s="42"/>
    </row>
    <row r="84" spans="1:8" x14ac:dyDescent="0.2">
      <c r="A84" s="78" t="s">
        <v>58</v>
      </c>
      <c r="B84" s="79"/>
      <c r="C84" s="80"/>
      <c r="D84" s="77">
        <f>D83+D79</f>
        <v>4245742.57</v>
      </c>
      <c r="E84" s="42"/>
      <c r="F84" s="42"/>
      <c r="G84" s="42"/>
      <c r="H84" s="42"/>
    </row>
    <row r="85" spans="1:8" x14ac:dyDescent="0.2">
      <c r="A85" s="84"/>
      <c r="B85" s="84"/>
      <c r="C85" s="85"/>
      <c r="D85" s="81"/>
      <c r="E85" s="42"/>
      <c r="F85" s="42"/>
      <c r="G85" s="42"/>
      <c r="H85" s="42"/>
    </row>
    <row r="86" spans="1:8" x14ac:dyDescent="0.2">
      <c r="A86" s="84"/>
      <c r="B86" s="84"/>
      <c r="C86" s="85"/>
      <c r="D86" s="81">
        <f>[5]Charters!E192</f>
        <v>4245742.57</v>
      </c>
      <c r="E86" s="42"/>
      <c r="F86" s="42"/>
      <c r="G86" s="42"/>
      <c r="H86" s="42"/>
    </row>
    <row r="87" spans="1:8" x14ac:dyDescent="0.2">
      <c r="A87" s="84"/>
      <c r="B87" s="84"/>
      <c r="C87" s="85"/>
      <c r="D87" s="81">
        <f>D84</f>
        <v>4245742.57</v>
      </c>
      <c r="E87" s="42"/>
      <c r="F87" s="42"/>
      <c r="G87" s="42"/>
      <c r="H87" s="42"/>
    </row>
    <row r="88" spans="1:8" x14ac:dyDescent="0.2">
      <c r="C88" s="83"/>
      <c r="D88" s="42">
        <f>D86-D87</f>
        <v>0</v>
      </c>
      <c r="E88" s="42"/>
      <c r="F88" s="42"/>
      <c r="G88" s="42"/>
      <c r="H88" s="42"/>
    </row>
  </sheetData>
  <mergeCells count="4">
    <mergeCell ref="A30:D30"/>
    <mergeCell ref="A31:D31"/>
    <mergeCell ref="A32:D32"/>
    <mergeCell ref="A84:C84"/>
  </mergeCells>
  <phoneticPr fontId="0" type="noConversion"/>
  <printOptions horizontalCentered="1" verticalCentered="1"/>
  <pageMargins left="0.5" right="0.5" top="0.5" bottom="0.5" header="0.25" footer="0.25"/>
  <pageSetup orientation="portrait" r:id="rId1"/>
  <headerFooter alignWithMargins="0">
    <oddHeader>&amp;R&amp;8Current as of: &amp;D</oddHeader>
    <oddFooter>&amp;L&amp;8USOE, School Finance</oddFooter>
  </headerFooter>
  <picture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>
    <pageSetUpPr fitToPage="1"/>
  </sheetPr>
  <dimension ref="A1:H89"/>
  <sheetViews>
    <sheetView showGridLines="0" topLeftCell="A29" workbookViewId="0">
      <selection activeCell="C12" sqref="C12"/>
    </sheetView>
  </sheetViews>
  <sheetFormatPr defaultColWidth="9.140625" defaultRowHeight="12.75" x14ac:dyDescent="0.2"/>
  <cols>
    <col min="1" max="1" width="31.85546875" style="82" customWidth="1"/>
    <col min="2" max="2" width="16.28515625" style="82" customWidth="1"/>
    <col min="3" max="4" width="14.85546875" style="82" customWidth="1"/>
    <col min="5" max="5" width="7" style="82" customWidth="1"/>
    <col min="6" max="6" width="19.7109375" style="82" customWidth="1"/>
    <col min="7" max="7" width="5.7109375" style="82" customWidth="1"/>
    <col min="8" max="8" width="18" style="82" customWidth="1"/>
    <col min="9" max="16384" width="9.140625" style="82"/>
  </cols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"/>
      <c r="B3" s="1"/>
      <c r="C3" s="1"/>
      <c r="D3" s="1"/>
      <c r="E3" s="1"/>
      <c r="F3" s="1"/>
      <c r="G3" s="1"/>
      <c r="H3" s="1"/>
    </row>
    <row r="4" spans="1:8" x14ac:dyDescent="0.2">
      <c r="A4" s="1"/>
      <c r="B4" s="1"/>
      <c r="C4" s="1"/>
      <c r="D4" s="1"/>
      <c r="E4" s="1"/>
      <c r="F4" s="1"/>
      <c r="G4" s="1"/>
      <c r="H4" s="1"/>
    </row>
    <row r="5" spans="1:8" x14ac:dyDescent="0.2">
      <c r="A5" s="1"/>
      <c r="B5" s="1"/>
      <c r="C5" s="1"/>
      <c r="D5" s="1"/>
      <c r="E5" s="1"/>
      <c r="F5" s="1"/>
      <c r="G5" s="1"/>
      <c r="H5" s="1"/>
    </row>
    <row r="6" spans="1:8" x14ac:dyDescent="0.2">
      <c r="A6" s="1"/>
      <c r="B6" s="1"/>
      <c r="C6" s="1"/>
      <c r="D6" s="1"/>
      <c r="E6" s="1"/>
      <c r="F6" s="1"/>
      <c r="G6" s="1"/>
      <c r="H6" s="1"/>
    </row>
    <row r="7" spans="1:8" x14ac:dyDescent="0.2">
      <c r="A7" s="1"/>
      <c r="B7" s="1"/>
      <c r="C7" s="1"/>
      <c r="D7" s="1"/>
      <c r="E7" s="1"/>
      <c r="F7" s="1"/>
      <c r="G7" s="1"/>
      <c r="H7" s="1"/>
    </row>
    <row r="8" spans="1:8" x14ac:dyDescent="0.2">
      <c r="A8" s="1"/>
      <c r="B8" s="1"/>
      <c r="C8" s="1"/>
      <c r="D8" s="1"/>
      <c r="E8" s="1"/>
      <c r="F8" s="1"/>
      <c r="G8" s="1"/>
      <c r="H8" s="1"/>
    </row>
    <row r="9" spans="1:8" x14ac:dyDescent="0.2">
      <c r="A9" s="1"/>
      <c r="B9" s="1"/>
      <c r="C9" s="1"/>
      <c r="D9" s="1"/>
      <c r="E9" s="1"/>
      <c r="F9" s="1"/>
      <c r="G9" s="1"/>
      <c r="H9" s="1"/>
    </row>
    <row r="10" spans="1:8" x14ac:dyDescent="0.2">
      <c r="A10" s="1"/>
      <c r="B10" s="1"/>
      <c r="C10" s="1"/>
      <c r="D10" s="1"/>
      <c r="E10" s="1"/>
      <c r="F10" s="1"/>
      <c r="G10" s="1"/>
      <c r="H10" s="1"/>
    </row>
    <row r="11" spans="1:8" x14ac:dyDescent="0.2">
      <c r="A11" s="1"/>
      <c r="B11" s="1"/>
      <c r="C11" s="1"/>
      <c r="D11" s="1"/>
      <c r="E11" s="1"/>
      <c r="F11" s="1"/>
      <c r="G11" s="1"/>
      <c r="H11" s="1"/>
    </row>
    <row r="12" spans="1:8" x14ac:dyDescent="0.2">
      <c r="A12" s="1"/>
      <c r="B12" s="1"/>
      <c r="C12" s="1"/>
      <c r="D12" s="1"/>
      <c r="E12" s="1"/>
      <c r="F12" s="1"/>
      <c r="G12" s="1"/>
      <c r="H12" s="1"/>
    </row>
    <row r="13" spans="1:8" x14ac:dyDescent="0.2">
      <c r="A13" s="1"/>
      <c r="B13" s="1"/>
      <c r="C13" s="1"/>
      <c r="D13" s="1"/>
      <c r="E13" s="1"/>
      <c r="F13" s="1"/>
      <c r="G13" s="1"/>
      <c r="H13" s="1"/>
    </row>
    <row r="14" spans="1:8" x14ac:dyDescent="0.2">
      <c r="A14" s="1"/>
      <c r="B14" s="1"/>
      <c r="C14" s="1"/>
      <c r="D14" s="1"/>
      <c r="E14" s="1"/>
      <c r="F14" s="1"/>
      <c r="G14" s="1"/>
      <c r="H14" s="1"/>
    </row>
    <row r="15" spans="1:8" x14ac:dyDescent="0.2">
      <c r="A15" s="1"/>
      <c r="B15" s="1"/>
      <c r="C15" s="1"/>
      <c r="D15" s="1"/>
      <c r="E15" s="1"/>
      <c r="F15" s="1"/>
      <c r="G15" s="1"/>
      <c r="H15" s="1"/>
    </row>
    <row r="16" spans="1:8" x14ac:dyDescent="0.2">
      <c r="A16" s="1"/>
      <c r="B16" s="1"/>
      <c r="C16" s="1"/>
      <c r="D16" s="1"/>
      <c r="E16" s="1"/>
      <c r="F16" s="1"/>
      <c r="G16" s="1"/>
      <c r="H16" s="1"/>
    </row>
    <row r="17" spans="1:8" x14ac:dyDescent="0.2">
      <c r="A17" s="1"/>
      <c r="B17" s="1"/>
      <c r="C17" s="1"/>
      <c r="D17" s="1"/>
      <c r="E17" s="1"/>
      <c r="F17" s="1"/>
      <c r="G17" s="1"/>
      <c r="H17" s="1"/>
    </row>
    <row r="18" spans="1:8" x14ac:dyDescent="0.2">
      <c r="A18" s="1"/>
      <c r="B18" s="1"/>
      <c r="C18" s="1"/>
      <c r="D18" s="1"/>
      <c r="E18" s="1"/>
      <c r="F18" s="1"/>
      <c r="G18" s="1"/>
      <c r="H18" s="1"/>
    </row>
    <row r="19" spans="1:8" x14ac:dyDescent="0.2">
      <c r="A19" s="1"/>
      <c r="B19" s="1"/>
      <c r="C19" s="1"/>
      <c r="D19" s="1"/>
      <c r="E19" s="1"/>
      <c r="F19" s="1"/>
      <c r="G19" s="1"/>
      <c r="H19" s="1"/>
    </row>
    <row r="20" spans="1:8" x14ac:dyDescent="0.2">
      <c r="A20" s="1"/>
      <c r="B20" s="1"/>
      <c r="C20" s="1"/>
      <c r="D20" s="1"/>
      <c r="E20" s="1"/>
      <c r="F20" s="1"/>
      <c r="G20" s="1"/>
      <c r="H20" s="1"/>
    </row>
    <row r="21" spans="1:8" x14ac:dyDescent="0.2">
      <c r="A21" s="1"/>
      <c r="B21" s="1"/>
      <c r="C21" s="1"/>
      <c r="D21" s="1"/>
      <c r="E21" s="1"/>
      <c r="F21" s="1"/>
      <c r="G21" s="1"/>
      <c r="H21" s="1"/>
    </row>
    <row r="22" spans="1:8" x14ac:dyDescent="0.2">
      <c r="A22" s="1"/>
      <c r="B22" s="1"/>
      <c r="C22" s="1"/>
      <c r="D22" s="4"/>
      <c r="E22" s="1"/>
      <c r="F22" s="1"/>
      <c r="G22" s="1"/>
      <c r="H22" s="1"/>
    </row>
    <row r="23" spans="1:8" x14ac:dyDescent="0.2">
      <c r="A23" s="1"/>
      <c r="B23" s="1"/>
      <c r="C23" s="1"/>
      <c r="D23" s="1"/>
      <c r="E23" s="1"/>
      <c r="F23" s="1"/>
      <c r="G23" s="1"/>
      <c r="H23" s="1"/>
    </row>
    <row r="24" spans="1:8" x14ac:dyDescent="0.2">
      <c r="A24" s="1"/>
      <c r="B24" s="1"/>
      <c r="C24" s="1"/>
      <c r="D24" s="1"/>
      <c r="E24" s="1"/>
      <c r="F24" s="1"/>
      <c r="G24" s="1"/>
      <c r="H24" s="1"/>
    </row>
    <row r="25" spans="1:8" x14ac:dyDescent="0.2">
      <c r="A25" s="1"/>
      <c r="B25" s="1"/>
      <c r="C25" s="1"/>
      <c r="D25" s="1"/>
      <c r="E25" s="1"/>
      <c r="F25" s="1"/>
      <c r="G25" s="1"/>
      <c r="H25" s="1"/>
    </row>
    <row r="26" spans="1:8" x14ac:dyDescent="0.2">
      <c r="A26" s="1"/>
      <c r="B26" s="1"/>
      <c r="C26" s="1"/>
      <c r="D26" s="1"/>
      <c r="E26" s="1"/>
      <c r="F26" s="1"/>
      <c r="G26" s="1"/>
      <c r="H26" s="1"/>
    </row>
    <row r="27" spans="1:8" x14ac:dyDescent="0.2">
      <c r="A27" s="1"/>
      <c r="B27" s="1"/>
      <c r="C27" s="1"/>
      <c r="D27" s="1"/>
      <c r="E27" s="1"/>
      <c r="F27" s="1"/>
      <c r="G27" s="1"/>
      <c r="H27" s="1"/>
    </row>
    <row r="28" spans="1:8" x14ac:dyDescent="0.2">
      <c r="A28" s="1"/>
      <c r="B28" s="1"/>
      <c r="C28" s="1"/>
      <c r="D28" s="1"/>
      <c r="E28" s="1"/>
      <c r="F28" s="1"/>
      <c r="G28" s="1"/>
      <c r="H28" s="1"/>
    </row>
    <row r="29" spans="1:8" x14ac:dyDescent="0.2">
      <c r="A29" s="1"/>
      <c r="B29" s="1"/>
      <c r="C29" s="1"/>
      <c r="D29" s="1"/>
      <c r="E29" s="1"/>
      <c r="F29" s="1"/>
      <c r="G29" s="1"/>
      <c r="H29" s="1"/>
    </row>
    <row r="30" spans="1:8" x14ac:dyDescent="0.2">
      <c r="A30" s="1"/>
      <c r="B30" s="1"/>
      <c r="C30" s="1"/>
      <c r="D30" s="1"/>
      <c r="E30" s="1"/>
      <c r="F30" s="1"/>
      <c r="G30" s="1"/>
      <c r="H30" s="1"/>
    </row>
    <row r="31" spans="1:8" x14ac:dyDescent="0.2">
      <c r="A31" s="11" t="s">
        <v>1</v>
      </c>
      <c r="B31" s="12"/>
      <c r="C31" s="12"/>
      <c r="D31" s="13"/>
      <c r="E31" s="8"/>
      <c r="F31" s="8"/>
      <c r="G31" s="8"/>
      <c r="H31" s="8"/>
    </row>
    <row r="32" spans="1:8" x14ac:dyDescent="0.2">
      <c r="A32" s="14" t="s">
        <v>15</v>
      </c>
      <c r="B32" s="15"/>
      <c r="C32" s="15"/>
      <c r="D32" s="16"/>
      <c r="E32" s="8"/>
      <c r="F32" s="8"/>
      <c r="G32" s="8"/>
      <c r="H32" s="8"/>
    </row>
    <row r="33" spans="1:8" x14ac:dyDescent="0.2">
      <c r="A33" s="17" t="s">
        <v>62</v>
      </c>
      <c r="B33" s="18"/>
      <c r="C33" s="18"/>
      <c r="D33" s="19"/>
      <c r="E33" s="8"/>
      <c r="F33" s="8"/>
      <c r="G33" s="8"/>
      <c r="H33" s="8"/>
    </row>
    <row r="34" spans="1:8" x14ac:dyDescent="0.2">
      <c r="A34" s="20"/>
      <c r="B34" s="21"/>
      <c r="C34" s="22"/>
      <c r="D34" s="23"/>
      <c r="E34" s="8"/>
      <c r="F34" s="8" t="s">
        <v>34</v>
      </c>
      <c r="G34" s="8"/>
      <c r="H34" s="8"/>
    </row>
    <row r="35" spans="1:8" ht="15.75" x14ac:dyDescent="0.25">
      <c r="A35" s="24" t="s">
        <v>2</v>
      </c>
      <c r="B35" s="25" t="str">
        <f>[1]Charters!B38</f>
        <v>American Leadership Academy</v>
      </c>
      <c r="C35" s="26"/>
      <c r="D35" s="27"/>
      <c r="E35" s="8"/>
      <c r="F35" s="8"/>
      <c r="G35" s="8"/>
      <c r="H35" s="8"/>
    </row>
    <row r="36" spans="1:8" x14ac:dyDescent="0.2">
      <c r="A36" s="24"/>
      <c r="B36" s="28"/>
      <c r="C36" s="26"/>
      <c r="D36" s="27"/>
      <c r="E36" s="8"/>
      <c r="F36" s="8"/>
      <c r="G36" s="8"/>
      <c r="H36" s="8"/>
    </row>
    <row r="37" spans="1:8" x14ac:dyDescent="0.2">
      <c r="A37" s="29" t="s">
        <v>0</v>
      </c>
      <c r="B37" s="30">
        <f>[1]Charters!$E$6</f>
        <v>3184</v>
      </c>
      <c r="C37" s="26"/>
      <c r="D37" s="31"/>
      <c r="E37" s="8"/>
      <c r="F37" s="8"/>
      <c r="G37" s="8"/>
      <c r="H37" s="8"/>
    </row>
    <row r="38" spans="1:8" x14ac:dyDescent="0.2">
      <c r="A38" s="32"/>
      <c r="B38" s="6"/>
      <c r="C38" s="33"/>
      <c r="D38" s="34" t="s">
        <v>3</v>
      </c>
      <c r="E38" s="8"/>
      <c r="F38" s="8"/>
      <c r="G38" s="8"/>
      <c r="H38" s="8"/>
    </row>
    <row r="39" spans="1:8" x14ac:dyDescent="0.2">
      <c r="A39" s="29" t="s">
        <v>19</v>
      </c>
      <c r="B39" s="35" t="str">
        <f>[1]Charters!A38</f>
        <v>8B</v>
      </c>
      <c r="C39" s="36" t="s">
        <v>4</v>
      </c>
      <c r="D39" s="37" t="s">
        <v>5</v>
      </c>
      <c r="E39" s="8"/>
      <c r="F39" s="8"/>
      <c r="G39" s="8"/>
      <c r="H39" s="8"/>
    </row>
    <row r="40" spans="1:8" x14ac:dyDescent="0.2">
      <c r="A40" s="38" t="s">
        <v>6</v>
      </c>
      <c r="B40" s="39"/>
      <c r="C40" s="40"/>
      <c r="D40" s="41"/>
      <c r="E40" s="8"/>
      <c r="F40" s="8"/>
      <c r="G40" s="8"/>
      <c r="H40" s="8"/>
    </row>
    <row r="41" spans="1:8" x14ac:dyDescent="0.2">
      <c r="A41" s="38" t="s">
        <v>7</v>
      </c>
      <c r="B41" s="39"/>
      <c r="C41" s="40"/>
      <c r="D41" s="41"/>
      <c r="E41" s="8"/>
      <c r="F41" s="42" t="s">
        <v>23</v>
      </c>
      <c r="G41" s="8"/>
      <c r="H41" s="42" t="s">
        <v>26</v>
      </c>
    </row>
    <row r="42" spans="1:8" x14ac:dyDescent="0.2">
      <c r="A42" s="20" t="s">
        <v>8</v>
      </c>
      <c r="B42" s="43"/>
      <c r="C42" s="44">
        <f>[1]Charters!C498</f>
        <v>1699.029</v>
      </c>
      <c r="D42" s="45">
        <f>[1]Charters!E498</f>
        <v>5409708.3899999997</v>
      </c>
      <c r="E42" s="8"/>
      <c r="F42" s="42">
        <f>[1]Charters!E653</f>
        <v>5794886.0999999996</v>
      </c>
      <c r="G42" s="8"/>
      <c r="H42" s="42">
        <f>[2]Charters!E192</f>
        <v>7418819.5599999996</v>
      </c>
    </row>
    <row r="43" spans="1:8" x14ac:dyDescent="0.2">
      <c r="A43" s="20" t="s">
        <v>14</v>
      </c>
      <c r="B43" s="43"/>
      <c r="C43" s="44">
        <f>[1]Charters!F498</f>
        <v>118.973</v>
      </c>
      <c r="D43" s="45">
        <f>[1]Charters!H498</f>
        <v>378809.71</v>
      </c>
      <c r="E43" s="8"/>
      <c r="F43" s="42">
        <f>SUM(D42:D44)</f>
        <v>5794886.0999999996</v>
      </c>
      <c r="G43" s="8"/>
      <c r="H43" s="42">
        <f>D55</f>
        <v>7418819.5599999996</v>
      </c>
    </row>
    <row r="44" spans="1:8" x14ac:dyDescent="0.2">
      <c r="A44" s="20" t="s">
        <v>32</v>
      </c>
      <c r="B44" s="43"/>
      <c r="C44" s="44">
        <f>[1]Charters!C191</f>
        <v>2</v>
      </c>
      <c r="D44" s="45">
        <f>[1]Charters!E191</f>
        <v>6368</v>
      </c>
      <c r="E44" s="8"/>
      <c r="F44" s="42">
        <f>+F42-F43</f>
        <v>0</v>
      </c>
      <c r="G44" s="8"/>
      <c r="H44" s="42">
        <f>+H42-H43</f>
        <v>0</v>
      </c>
    </row>
    <row r="45" spans="1:8" x14ac:dyDescent="0.2">
      <c r="A45" s="38" t="s">
        <v>9</v>
      </c>
      <c r="B45" s="39"/>
      <c r="C45" s="46"/>
      <c r="D45" s="47"/>
      <c r="E45" s="8"/>
      <c r="F45" s="8"/>
      <c r="G45" s="8"/>
      <c r="H45" s="8"/>
    </row>
    <row r="46" spans="1:8" x14ac:dyDescent="0.2">
      <c r="A46" s="20" t="s">
        <v>10</v>
      </c>
      <c r="B46" s="43"/>
      <c r="C46" s="40">
        <f>[3]Charters!C37</f>
        <v>269.07400000000001</v>
      </c>
      <c r="D46" s="41">
        <f>[3]Charters!E37</f>
        <v>856732.12</v>
      </c>
      <c r="E46" s="8"/>
      <c r="F46" s="42" t="s">
        <v>24</v>
      </c>
      <c r="G46" s="8"/>
      <c r="H46" s="8"/>
    </row>
    <row r="47" spans="1:8" x14ac:dyDescent="0.2">
      <c r="A47" s="48" t="s">
        <v>11</v>
      </c>
      <c r="B47" s="43"/>
      <c r="C47" s="40">
        <f>[3]Charters!F37</f>
        <v>42.47</v>
      </c>
      <c r="D47" s="49">
        <f>[3]Charters!H37</f>
        <v>135224.48000000001</v>
      </c>
      <c r="E47" s="8"/>
      <c r="F47" s="42">
        <f>[3]Charters!N348</f>
        <v>1017076.07</v>
      </c>
      <c r="G47" s="8"/>
      <c r="H47" s="8"/>
    </row>
    <row r="48" spans="1:8" x14ac:dyDescent="0.2">
      <c r="A48" s="48" t="s">
        <v>12</v>
      </c>
      <c r="B48" s="43"/>
      <c r="C48" s="40">
        <f>[3]Charters!C192</f>
        <v>0</v>
      </c>
      <c r="D48" s="41">
        <f>[3]Charters!E192</f>
        <v>0</v>
      </c>
      <c r="E48" s="8"/>
      <c r="F48" s="42">
        <f>SUM(D46:D52)</f>
        <v>1017076.07</v>
      </c>
      <c r="G48" s="8"/>
      <c r="H48" s="8"/>
    </row>
    <row r="49" spans="1:8" x14ac:dyDescent="0.2">
      <c r="A49" s="20" t="s">
        <v>13</v>
      </c>
      <c r="B49" s="43"/>
      <c r="C49" s="40">
        <f>[3]Charters!F192</f>
        <v>1.8120000000000001</v>
      </c>
      <c r="D49" s="41">
        <f>[3]Charters!H192</f>
        <v>5768.66</v>
      </c>
      <c r="E49" s="8"/>
      <c r="F49" s="42">
        <f>+F47-F48</f>
        <v>0</v>
      </c>
      <c r="G49" s="8"/>
      <c r="H49" s="8"/>
    </row>
    <row r="50" spans="1:8" x14ac:dyDescent="0.2">
      <c r="A50" s="48" t="s">
        <v>54</v>
      </c>
      <c r="B50" s="43"/>
      <c r="C50" s="40">
        <f>[3]Charters!C348</f>
        <v>6.0780000000000003</v>
      </c>
      <c r="D50" s="41">
        <f>[3]Charters!E348</f>
        <v>19350.810000000001</v>
      </c>
      <c r="E50" s="8"/>
      <c r="F50" s="8"/>
      <c r="G50" s="8"/>
      <c r="H50" s="8"/>
    </row>
    <row r="51" spans="1:8" x14ac:dyDescent="0.2">
      <c r="A51" s="48" t="s">
        <v>55</v>
      </c>
      <c r="B51" s="43"/>
      <c r="C51" s="40">
        <f>[3]Charters!F348</f>
        <v>0</v>
      </c>
      <c r="D51" s="41">
        <f>[3]Charters!H348</f>
        <v>0</v>
      </c>
      <c r="E51" s="8"/>
      <c r="F51" s="42" t="s">
        <v>25</v>
      </c>
      <c r="G51" s="8"/>
      <c r="H51" s="8"/>
    </row>
    <row r="52" spans="1:8" x14ac:dyDescent="0.2">
      <c r="A52" s="48" t="s">
        <v>56</v>
      </c>
      <c r="B52" s="43"/>
      <c r="C52" s="40">
        <f>[3]Charters!I348</f>
        <v>0</v>
      </c>
      <c r="D52" s="41">
        <f>[3]Charters!K348</f>
        <v>0</v>
      </c>
      <c r="E52" s="8"/>
      <c r="F52" s="42">
        <f>[2]Charters!H38</f>
        <v>1623933.46</v>
      </c>
      <c r="G52" s="8"/>
      <c r="H52" s="8"/>
    </row>
    <row r="53" spans="1:8" x14ac:dyDescent="0.2">
      <c r="A53" s="20" t="s">
        <v>49</v>
      </c>
      <c r="B53" s="43"/>
      <c r="C53" s="40">
        <f>[3]Charters!C505</f>
        <v>84.790999999999997</v>
      </c>
      <c r="D53" s="41">
        <f>[3]Charters!E505</f>
        <v>269973.90000000002</v>
      </c>
      <c r="E53" s="8"/>
      <c r="F53" s="42">
        <f>SUM(D46:D54)</f>
        <v>1623933.46</v>
      </c>
      <c r="G53" s="8"/>
      <c r="H53" s="8"/>
    </row>
    <row r="54" spans="1:8" x14ac:dyDescent="0.2">
      <c r="A54" s="20" t="s">
        <v>50</v>
      </c>
      <c r="B54" s="43"/>
      <c r="C54" s="40">
        <f>[2]Charters!C38</f>
        <v>105.80500000000001</v>
      </c>
      <c r="D54" s="41">
        <f>[2]Charters!E38</f>
        <v>336883.49</v>
      </c>
      <c r="E54" s="8"/>
      <c r="F54" s="42">
        <f>+F52-F53</f>
        <v>0</v>
      </c>
      <c r="G54" s="8"/>
      <c r="H54" s="8"/>
    </row>
    <row r="55" spans="1:8" x14ac:dyDescent="0.2">
      <c r="A55" s="50"/>
      <c r="B55" s="51" t="s">
        <v>16</v>
      </c>
      <c r="C55" s="52">
        <f>SUM(C42:C54)</f>
        <v>2330.0320000000002</v>
      </c>
      <c r="D55" s="53">
        <f>SUM(D42:D54)</f>
        <v>7418819.5599999996</v>
      </c>
      <c r="E55" s="8"/>
      <c r="F55" s="8"/>
      <c r="G55" s="8"/>
      <c r="H55" s="8"/>
    </row>
    <row r="56" spans="1:8" x14ac:dyDescent="0.2">
      <c r="A56" s="54" t="s">
        <v>17</v>
      </c>
      <c r="B56" s="39"/>
      <c r="C56" s="55"/>
      <c r="D56" s="47"/>
      <c r="E56" s="8"/>
      <c r="F56" s="8"/>
      <c r="G56" s="8"/>
      <c r="H56" s="42" t="s">
        <v>29</v>
      </c>
    </row>
    <row r="57" spans="1:8" x14ac:dyDescent="0.2">
      <c r="A57" s="20" t="s">
        <v>33</v>
      </c>
      <c r="B57" s="43"/>
      <c r="C57" s="56"/>
      <c r="D57" s="57">
        <f>[4]Charters!C37</f>
        <v>21484.76</v>
      </c>
      <c r="E57" s="8"/>
      <c r="F57" s="8"/>
      <c r="G57" s="8"/>
      <c r="H57" s="42">
        <f>[4]Charters!F978</f>
        <v>11952218.939999999</v>
      </c>
    </row>
    <row r="58" spans="1:8" x14ac:dyDescent="0.2">
      <c r="A58" s="58" t="s">
        <v>35</v>
      </c>
      <c r="B58" s="43"/>
      <c r="C58" s="56"/>
      <c r="D58" s="41">
        <f>+[4]Charters!F358</f>
        <v>10180.799999999999</v>
      </c>
      <c r="E58" s="8"/>
      <c r="F58" s="8"/>
      <c r="G58" s="8"/>
      <c r="H58" s="42">
        <f>SUM(D55:D74)</f>
        <v>11952218.939999999</v>
      </c>
    </row>
    <row r="59" spans="1:8" x14ac:dyDescent="0.2">
      <c r="A59" s="59" t="s">
        <v>36</v>
      </c>
      <c r="B59" s="43"/>
      <c r="C59" s="56"/>
      <c r="D59" s="41">
        <f>[4]Charters!E197</f>
        <v>64992</v>
      </c>
      <c r="E59" s="8"/>
      <c r="F59" s="8"/>
      <c r="G59" s="8"/>
      <c r="H59" s="42">
        <f>+H57-H58</f>
        <v>0</v>
      </c>
    </row>
    <row r="60" spans="1:8" x14ac:dyDescent="0.2">
      <c r="A60" s="59" t="s">
        <v>52</v>
      </c>
      <c r="B60" s="43"/>
      <c r="C60" s="56"/>
      <c r="D60" s="41">
        <f>[4]Charters!G358</f>
        <v>56576.84</v>
      </c>
      <c r="E60" s="8"/>
      <c r="F60" s="42" t="s">
        <v>27</v>
      </c>
      <c r="G60" s="8"/>
      <c r="H60" s="42"/>
    </row>
    <row r="61" spans="1:8" x14ac:dyDescent="0.2">
      <c r="A61" s="20" t="s">
        <v>37</v>
      </c>
      <c r="B61" s="43"/>
      <c r="C61" s="56"/>
      <c r="D61" s="41">
        <f>[4]Charters!E514</f>
        <v>128619</v>
      </c>
      <c r="E61" s="8"/>
      <c r="F61" s="42">
        <f>[4]Charters!E197</f>
        <v>64992</v>
      </c>
      <c r="G61" s="8"/>
      <c r="H61" s="8"/>
    </row>
    <row r="62" spans="1:8" x14ac:dyDescent="0.2">
      <c r="A62" s="20" t="s">
        <v>38</v>
      </c>
      <c r="B62" s="43"/>
      <c r="C62" s="56"/>
      <c r="D62" s="41">
        <f>[4]Charters!F514</f>
        <v>0</v>
      </c>
      <c r="E62" s="8"/>
      <c r="F62" s="42">
        <f>SUM(D59:D59)</f>
        <v>64992</v>
      </c>
      <c r="G62" s="8"/>
      <c r="H62" s="8"/>
    </row>
    <row r="63" spans="1:8" x14ac:dyDescent="0.2">
      <c r="A63" s="59" t="s">
        <v>40</v>
      </c>
      <c r="B63" s="43"/>
      <c r="C63" s="56"/>
      <c r="D63" s="41">
        <f>[4]Charters!G514</f>
        <v>0</v>
      </c>
      <c r="E63" s="8"/>
      <c r="F63" s="42">
        <f>+F61-F62</f>
        <v>0</v>
      </c>
      <c r="G63" s="8"/>
      <c r="H63" s="8"/>
    </row>
    <row r="64" spans="1:8" x14ac:dyDescent="0.2">
      <c r="A64" s="20" t="s">
        <v>41</v>
      </c>
      <c r="B64" s="43"/>
      <c r="C64" s="56"/>
      <c r="D64" s="41">
        <f>[4]Charters!C669</f>
        <v>3457728</v>
      </c>
      <c r="E64" s="8"/>
      <c r="F64" s="42" t="s">
        <v>28</v>
      </c>
      <c r="G64" s="8"/>
      <c r="H64" s="8"/>
    </row>
    <row r="65" spans="1:8" x14ac:dyDescent="0.2">
      <c r="A65" s="20" t="s">
        <v>42</v>
      </c>
      <c r="B65" s="43"/>
      <c r="C65" s="56"/>
      <c r="D65" s="41">
        <f>[4]Charters!D669</f>
        <v>463556.33</v>
      </c>
      <c r="E65" s="8"/>
      <c r="F65" s="42">
        <f>[4]Charters!D514</f>
        <v>131749.64000000001</v>
      </c>
      <c r="G65" s="8"/>
      <c r="H65" s="8"/>
    </row>
    <row r="66" spans="1:8" x14ac:dyDescent="0.2">
      <c r="A66" s="20" t="s">
        <v>44</v>
      </c>
      <c r="B66" s="43"/>
      <c r="C66" s="56"/>
      <c r="D66" s="41">
        <f>[4]Charters!E669</f>
        <v>172800</v>
      </c>
      <c r="E66" s="8"/>
      <c r="F66" s="42">
        <f>SUM(D58:D60)</f>
        <v>131749.64000000001</v>
      </c>
      <c r="G66" s="8"/>
      <c r="H66" s="8"/>
    </row>
    <row r="67" spans="1:8" x14ac:dyDescent="0.2">
      <c r="A67" s="59" t="s">
        <v>43</v>
      </c>
      <c r="B67" s="43"/>
      <c r="C67" s="56"/>
      <c r="D67" s="41">
        <f>[4]Charters!F669</f>
        <v>68048.72</v>
      </c>
      <c r="E67" s="8"/>
      <c r="F67" s="42">
        <f>+F65-F66</f>
        <v>0</v>
      </c>
      <c r="G67" s="8"/>
      <c r="H67" s="8"/>
    </row>
    <row r="68" spans="1:8" x14ac:dyDescent="0.2">
      <c r="A68" s="59" t="s">
        <v>45</v>
      </c>
      <c r="B68" s="43"/>
      <c r="C68" s="56"/>
      <c r="D68" s="41">
        <f>[4]Charters!C514</f>
        <v>0</v>
      </c>
      <c r="E68" s="8"/>
      <c r="F68" s="8"/>
      <c r="G68" s="8"/>
      <c r="H68" s="8"/>
    </row>
    <row r="69" spans="1:8" x14ac:dyDescent="0.2">
      <c r="A69" s="59" t="s">
        <v>46</v>
      </c>
      <c r="B69" s="43"/>
      <c r="C69" s="56"/>
      <c r="D69" s="41">
        <f>[4]Charters!C825</f>
        <v>10000</v>
      </c>
      <c r="E69" s="42"/>
      <c r="F69" s="42"/>
      <c r="G69" s="42"/>
      <c r="H69" s="42" t="s">
        <v>31</v>
      </c>
    </row>
    <row r="70" spans="1:8" x14ac:dyDescent="0.2">
      <c r="A70" s="59" t="s">
        <v>51</v>
      </c>
      <c r="B70" s="43"/>
      <c r="C70" s="56"/>
      <c r="D70" s="60">
        <f>[4]Charters!D825</f>
        <v>2001.88</v>
      </c>
      <c r="E70" s="42"/>
      <c r="F70" s="42"/>
      <c r="G70" s="42"/>
      <c r="H70" s="42">
        <f>[4]Charters!D1284</f>
        <v>11968972.710000001</v>
      </c>
    </row>
    <row r="71" spans="1:8" x14ac:dyDescent="0.2">
      <c r="A71" s="20" t="s">
        <v>47</v>
      </c>
      <c r="B71" s="43"/>
      <c r="C71" s="56"/>
      <c r="D71" s="60">
        <f>[4]Charters!E825</f>
        <v>0</v>
      </c>
      <c r="E71" s="42"/>
      <c r="F71" s="42"/>
      <c r="G71" s="42"/>
      <c r="H71" s="42">
        <f>D80</f>
        <v>11968972.710000001</v>
      </c>
    </row>
    <row r="72" spans="1:8" x14ac:dyDescent="0.2">
      <c r="A72" s="20" t="s">
        <v>57</v>
      </c>
      <c r="B72" s="43"/>
      <c r="C72" s="56"/>
      <c r="D72" s="60">
        <f>[4]Charters!C978</f>
        <v>27411.05</v>
      </c>
      <c r="E72" s="42"/>
      <c r="F72" s="42"/>
      <c r="G72" s="42"/>
      <c r="H72" s="42">
        <f>+H70-H71</f>
        <v>0</v>
      </c>
    </row>
    <row r="73" spans="1:8" x14ac:dyDescent="0.2">
      <c r="A73" s="59" t="s">
        <v>53</v>
      </c>
      <c r="B73" s="43"/>
      <c r="C73" s="56"/>
      <c r="D73" s="60">
        <f>[4]Charters!D978</f>
        <v>50000</v>
      </c>
      <c r="E73" s="42"/>
      <c r="F73" s="42" t="s">
        <v>30</v>
      </c>
      <c r="G73" s="42"/>
      <c r="H73" s="42"/>
    </row>
    <row r="74" spans="1:8" x14ac:dyDescent="0.2">
      <c r="A74" s="59" t="s">
        <v>59</v>
      </c>
      <c r="B74" s="43"/>
      <c r="C74" s="56"/>
      <c r="D74" s="60">
        <f>[4]Charters!E978</f>
        <v>0</v>
      </c>
      <c r="E74" s="42"/>
      <c r="F74" s="42"/>
      <c r="G74" s="42"/>
      <c r="H74" s="42"/>
    </row>
    <row r="75" spans="1:8" x14ac:dyDescent="0.2">
      <c r="A75" s="38" t="s">
        <v>18</v>
      </c>
      <c r="B75" s="61"/>
      <c r="C75" s="62"/>
      <c r="D75" s="87"/>
      <c r="E75" s="42"/>
      <c r="F75" s="42">
        <f>[4]Charters!C1284</f>
        <v>16753.77</v>
      </c>
      <c r="G75" s="42"/>
      <c r="H75" s="42"/>
    </row>
    <row r="76" spans="1:8" x14ac:dyDescent="0.2">
      <c r="A76" s="59" t="s">
        <v>39</v>
      </c>
      <c r="B76" s="43"/>
      <c r="C76" s="56"/>
      <c r="D76" s="41">
        <f>[4]Charters!C1131</f>
        <v>16753.77</v>
      </c>
      <c r="E76" s="42"/>
      <c r="F76" s="42">
        <f>SUM(D76:D79)</f>
        <v>16753.77</v>
      </c>
      <c r="G76" s="42"/>
      <c r="H76" s="42"/>
    </row>
    <row r="77" spans="1:8" x14ac:dyDescent="0.2">
      <c r="A77" s="59" t="s">
        <v>48</v>
      </c>
      <c r="B77" s="43"/>
      <c r="C77" s="56"/>
      <c r="D77" s="41">
        <f>[4]Charters!D1131</f>
        <v>0</v>
      </c>
      <c r="E77" s="42"/>
      <c r="F77" s="42">
        <f>+F75-F76</f>
        <v>0</v>
      </c>
      <c r="G77" s="42"/>
      <c r="H77" s="42"/>
    </row>
    <row r="78" spans="1:8" x14ac:dyDescent="0.2">
      <c r="A78" s="59" t="s">
        <v>60</v>
      </c>
      <c r="B78" s="43"/>
      <c r="C78" s="56"/>
      <c r="D78" s="41">
        <f>[4]Charters!E1131</f>
        <v>0</v>
      </c>
      <c r="E78" s="42"/>
      <c r="F78" s="42"/>
      <c r="G78" s="42"/>
      <c r="H78" s="42"/>
    </row>
    <row r="79" spans="1:8" x14ac:dyDescent="0.2">
      <c r="A79" s="59" t="s">
        <v>61</v>
      </c>
      <c r="B79" s="43"/>
      <c r="C79" s="56"/>
      <c r="D79" s="41">
        <f>[4]Charters!F1131</f>
        <v>0</v>
      </c>
      <c r="E79" s="42"/>
      <c r="F79" s="42"/>
      <c r="G79" s="42"/>
      <c r="H79" s="42"/>
    </row>
    <row r="80" spans="1:8" ht="13.5" thickBot="1" x14ac:dyDescent="0.25">
      <c r="A80" s="64"/>
      <c r="B80" s="65"/>
      <c r="C80" s="66"/>
      <c r="D80" s="67">
        <f>SUM(D55:D79)</f>
        <v>11968972.710000001</v>
      </c>
      <c r="E80" s="42"/>
      <c r="F80" s="42"/>
      <c r="G80" s="42"/>
      <c r="H80" s="42"/>
    </row>
    <row r="81" spans="1:8" ht="13.5" thickTop="1" x14ac:dyDescent="0.2">
      <c r="A81" s="68"/>
      <c r="B81" s="43"/>
      <c r="C81" s="56"/>
      <c r="D81" s="86"/>
      <c r="E81" s="42"/>
      <c r="F81" s="42"/>
      <c r="G81" s="42"/>
      <c r="H81" s="42"/>
    </row>
    <row r="82" spans="1:8" x14ac:dyDescent="0.2">
      <c r="A82" s="38" t="s">
        <v>20</v>
      </c>
      <c r="B82" s="39"/>
      <c r="C82" s="70"/>
      <c r="D82" s="71" t="s">
        <v>21</v>
      </c>
      <c r="E82" s="42"/>
      <c r="F82" s="42"/>
      <c r="G82" s="42"/>
      <c r="H82" s="42"/>
    </row>
    <row r="83" spans="1:8" x14ac:dyDescent="0.2">
      <c r="A83" s="72" t="s">
        <v>22</v>
      </c>
      <c r="B83" s="73"/>
      <c r="C83" s="74"/>
      <c r="D83" s="41">
        <f>[5]Charters!C37</f>
        <v>3917.87</v>
      </c>
      <c r="E83" s="42"/>
      <c r="F83" s="42"/>
      <c r="G83" s="42"/>
      <c r="H83" s="42"/>
    </row>
    <row r="84" spans="1:8" x14ac:dyDescent="0.2">
      <c r="A84" s="75"/>
      <c r="B84" s="61"/>
      <c r="C84" s="76"/>
      <c r="D84" s="77">
        <f>SUM(D83:D83)</f>
        <v>3917.87</v>
      </c>
      <c r="E84" s="42"/>
      <c r="F84" s="42"/>
      <c r="G84" s="42"/>
      <c r="H84" s="42"/>
    </row>
    <row r="85" spans="1:8" x14ac:dyDescent="0.2">
      <c r="A85" s="78" t="s">
        <v>58</v>
      </c>
      <c r="B85" s="79"/>
      <c r="C85" s="80"/>
      <c r="D85" s="77">
        <f>D84+D80</f>
        <v>11972890.58</v>
      </c>
      <c r="E85" s="42"/>
      <c r="F85" s="42"/>
      <c r="G85" s="42"/>
      <c r="H85" s="42"/>
    </row>
    <row r="86" spans="1:8" x14ac:dyDescent="0.2">
      <c r="A86" s="84"/>
      <c r="B86" s="84"/>
      <c r="C86" s="85"/>
      <c r="D86" s="81"/>
      <c r="E86" s="42"/>
      <c r="F86" s="42"/>
      <c r="G86" s="42"/>
      <c r="H86" s="42"/>
    </row>
    <row r="87" spans="1:8" x14ac:dyDescent="0.2">
      <c r="A87" s="84"/>
      <c r="B87" s="84"/>
      <c r="C87" s="85"/>
      <c r="D87" s="81">
        <f>[5]Charters!E193</f>
        <v>11972890.58</v>
      </c>
      <c r="E87" s="42"/>
      <c r="F87" s="42"/>
      <c r="G87" s="42"/>
      <c r="H87" s="42"/>
    </row>
    <row r="88" spans="1:8" x14ac:dyDescent="0.2">
      <c r="A88" s="84"/>
      <c r="B88" s="84"/>
      <c r="C88" s="85"/>
      <c r="D88" s="81">
        <f>D85</f>
        <v>11972890.58</v>
      </c>
      <c r="E88" s="42"/>
      <c r="F88" s="42"/>
      <c r="G88" s="42"/>
      <c r="H88" s="42"/>
    </row>
    <row r="89" spans="1:8" x14ac:dyDescent="0.2">
      <c r="C89" s="83"/>
      <c r="D89" s="42">
        <f>D87-D88</f>
        <v>0</v>
      </c>
      <c r="E89" s="42"/>
      <c r="F89" s="42"/>
      <c r="G89" s="42"/>
      <c r="H89" s="42"/>
    </row>
  </sheetData>
  <mergeCells count="4">
    <mergeCell ref="A31:D31"/>
    <mergeCell ref="A32:D32"/>
    <mergeCell ref="A33:D33"/>
    <mergeCell ref="A85:C85"/>
  </mergeCells>
  <phoneticPr fontId="0" type="noConversion"/>
  <printOptions horizontalCentered="1" verticalCentered="1"/>
  <pageMargins left="0.5" right="0.5" top="0.5" bottom="0.5" header="0.25" footer="0.25"/>
  <pageSetup orientation="portrait" r:id="rId1"/>
  <headerFooter alignWithMargins="0">
    <oddHeader>&amp;R&amp;8Current as of: &amp;D</oddHeader>
    <oddFooter>&amp;L&amp;8USOE, School Finance</oddFooter>
  </headerFooter>
  <picture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>
    <pageSetUpPr fitToPage="1"/>
  </sheetPr>
  <dimension ref="A1:H90"/>
  <sheetViews>
    <sheetView showGridLines="0" topLeftCell="A30" workbookViewId="0">
      <selection activeCell="C12" sqref="C12"/>
    </sheetView>
  </sheetViews>
  <sheetFormatPr defaultColWidth="9.140625" defaultRowHeight="12.75" x14ac:dyDescent="0.2"/>
  <cols>
    <col min="1" max="1" width="31.85546875" style="82" customWidth="1"/>
    <col min="2" max="2" width="16.140625" style="82" customWidth="1"/>
    <col min="3" max="4" width="14.85546875" style="82" customWidth="1"/>
    <col min="5" max="5" width="7" style="82" customWidth="1"/>
    <col min="6" max="6" width="19.7109375" style="82" customWidth="1"/>
    <col min="7" max="7" width="5.7109375" style="82" customWidth="1"/>
    <col min="8" max="8" width="18" style="82" customWidth="1"/>
    <col min="9" max="16384" width="9.140625" style="82"/>
  </cols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"/>
      <c r="B3" s="1"/>
      <c r="C3" s="1"/>
      <c r="D3" s="1"/>
      <c r="E3" s="1"/>
      <c r="F3" s="1"/>
      <c r="G3" s="1"/>
      <c r="H3" s="1"/>
    </row>
    <row r="4" spans="1:8" x14ac:dyDescent="0.2">
      <c r="A4" s="1"/>
      <c r="B4" s="1"/>
      <c r="C4" s="1"/>
      <c r="D4" s="1"/>
      <c r="E4" s="1"/>
      <c r="F4" s="1"/>
      <c r="G4" s="1"/>
      <c r="H4" s="1"/>
    </row>
    <row r="5" spans="1:8" x14ac:dyDescent="0.2">
      <c r="A5" s="1"/>
      <c r="B5" s="1"/>
      <c r="C5" s="1"/>
      <c r="D5" s="1"/>
      <c r="E5" s="1"/>
      <c r="F5" s="1"/>
      <c r="G5" s="1"/>
      <c r="H5" s="1"/>
    </row>
    <row r="6" spans="1:8" x14ac:dyDescent="0.2">
      <c r="A6" s="1"/>
      <c r="B6" s="1"/>
      <c r="C6" s="1"/>
      <c r="D6" s="1"/>
      <c r="E6" s="1"/>
      <c r="F6" s="1"/>
      <c r="G6" s="1"/>
      <c r="H6" s="1"/>
    </row>
    <row r="7" spans="1:8" x14ac:dyDescent="0.2">
      <c r="A7" s="1"/>
      <c r="B7" s="1"/>
      <c r="C7" s="1"/>
      <c r="D7" s="1"/>
      <c r="E7" s="1"/>
      <c r="F7" s="1"/>
      <c r="G7" s="1"/>
      <c r="H7" s="1"/>
    </row>
    <row r="8" spans="1:8" x14ac:dyDescent="0.2">
      <c r="A8" s="1"/>
      <c r="B8" s="1"/>
      <c r="C8" s="1"/>
      <c r="D8" s="1"/>
      <c r="E8" s="1"/>
      <c r="F8" s="1"/>
      <c r="G8" s="1"/>
      <c r="H8" s="1"/>
    </row>
    <row r="9" spans="1:8" x14ac:dyDescent="0.2">
      <c r="A9" s="1"/>
      <c r="B9" s="1"/>
      <c r="C9" s="1"/>
      <c r="D9" s="1"/>
      <c r="E9" s="1"/>
      <c r="F9" s="1"/>
      <c r="G9" s="1"/>
      <c r="H9" s="1"/>
    </row>
    <row r="10" spans="1:8" x14ac:dyDescent="0.2">
      <c r="A10" s="1"/>
      <c r="B10" s="1"/>
      <c r="C10" s="1"/>
      <c r="D10" s="1"/>
      <c r="E10" s="1"/>
      <c r="F10" s="1"/>
      <c r="G10" s="1"/>
      <c r="H10" s="1"/>
    </row>
    <row r="11" spans="1:8" x14ac:dyDescent="0.2">
      <c r="A11" s="1"/>
      <c r="B11" s="1"/>
      <c r="C11" s="1"/>
      <c r="D11" s="1"/>
      <c r="E11" s="1"/>
      <c r="F11" s="1"/>
      <c r="G11" s="1"/>
      <c r="H11" s="1"/>
    </row>
    <row r="12" spans="1:8" x14ac:dyDescent="0.2">
      <c r="A12" s="1"/>
      <c r="B12" s="1"/>
      <c r="C12" s="1"/>
      <c r="D12" s="1"/>
      <c r="E12" s="1"/>
      <c r="F12" s="1"/>
      <c r="G12" s="1"/>
      <c r="H12" s="1"/>
    </row>
    <row r="13" spans="1:8" x14ac:dyDescent="0.2">
      <c r="A13" s="1"/>
      <c r="B13" s="1"/>
      <c r="C13" s="1"/>
      <c r="D13" s="1"/>
      <c r="E13" s="1"/>
      <c r="F13" s="1"/>
      <c r="G13" s="1"/>
      <c r="H13" s="1"/>
    </row>
    <row r="14" spans="1:8" x14ac:dyDescent="0.2">
      <c r="A14" s="1"/>
      <c r="B14" s="1"/>
      <c r="C14" s="1"/>
      <c r="D14" s="1"/>
      <c r="E14" s="1"/>
      <c r="F14" s="1"/>
      <c r="G14" s="1"/>
      <c r="H14" s="1"/>
    </row>
    <row r="15" spans="1:8" x14ac:dyDescent="0.2">
      <c r="A15" s="1"/>
      <c r="B15" s="1"/>
      <c r="C15" s="1"/>
      <c r="D15" s="1"/>
      <c r="E15" s="1"/>
      <c r="F15" s="1"/>
      <c r="G15" s="1"/>
      <c r="H15" s="1"/>
    </row>
    <row r="16" spans="1:8" x14ac:dyDescent="0.2">
      <c r="A16" s="1"/>
      <c r="B16" s="1"/>
      <c r="C16" s="1"/>
      <c r="D16" s="1"/>
      <c r="E16" s="1"/>
      <c r="F16" s="1"/>
      <c r="G16" s="1"/>
      <c r="H16" s="1"/>
    </row>
    <row r="17" spans="1:8" x14ac:dyDescent="0.2">
      <c r="A17" s="1"/>
      <c r="B17" s="1"/>
      <c r="C17" s="1"/>
      <c r="D17" s="1"/>
      <c r="E17" s="1"/>
      <c r="F17" s="1"/>
      <c r="G17" s="1"/>
      <c r="H17" s="1"/>
    </row>
    <row r="18" spans="1:8" x14ac:dyDescent="0.2">
      <c r="A18" s="1"/>
      <c r="B18" s="1"/>
      <c r="C18" s="1"/>
      <c r="D18" s="1"/>
      <c r="E18" s="1"/>
      <c r="F18" s="1"/>
      <c r="G18" s="1"/>
      <c r="H18" s="1"/>
    </row>
    <row r="19" spans="1:8" x14ac:dyDescent="0.2">
      <c r="A19" s="1"/>
      <c r="B19" s="1"/>
      <c r="C19" s="1"/>
      <c r="D19" s="1"/>
      <c r="E19" s="1"/>
      <c r="F19" s="1"/>
      <c r="G19" s="1"/>
      <c r="H19" s="1"/>
    </row>
    <row r="20" spans="1:8" x14ac:dyDescent="0.2">
      <c r="A20" s="1"/>
      <c r="B20" s="1"/>
      <c r="C20" s="1"/>
      <c r="D20" s="1"/>
      <c r="E20" s="1"/>
      <c r="F20" s="1"/>
      <c r="G20" s="1"/>
      <c r="H20" s="1"/>
    </row>
    <row r="21" spans="1:8" x14ac:dyDescent="0.2">
      <c r="A21" s="1"/>
      <c r="B21" s="1"/>
      <c r="C21" s="1"/>
      <c r="D21" s="1"/>
      <c r="E21" s="1"/>
      <c r="F21" s="1"/>
      <c r="G21" s="1"/>
      <c r="H21" s="1"/>
    </row>
    <row r="22" spans="1:8" x14ac:dyDescent="0.2">
      <c r="A22" s="1"/>
      <c r="B22" s="1"/>
      <c r="C22" s="1"/>
      <c r="D22" s="4"/>
      <c r="E22" s="1"/>
      <c r="F22" s="1"/>
      <c r="G22" s="1"/>
      <c r="H22" s="1"/>
    </row>
    <row r="23" spans="1:8" x14ac:dyDescent="0.2">
      <c r="A23" s="1"/>
      <c r="B23" s="1"/>
      <c r="C23" s="1"/>
      <c r="D23" s="1"/>
      <c r="E23" s="1"/>
      <c r="F23" s="1"/>
      <c r="G23" s="1"/>
      <c r="H23" s="1"/>
    </row>
    <row r="24" spans="1:8" x14ac:dyDescent="0.2">
      <c r="A24" s="1"/>
      <c r="B24" s="1"/>
      <c r="C24" s="1"/>
      <c r="D24" s="1"/>
      <c r="E24" s="1"/>
      <c r="F24" s="1"/>
      <c r="G24" s="1"/>
      <c r="H24" s="1"/>
    </row>
    <row r="25" spans="1:8" x14ac:dyDescent="0.2">
      <c r="A25" s="1"/>
      <c r="B25" s="1"/>
      <c r="C25" s="1"/>
      <c r="D25" s="1"/>
      <c r="E25" s="1"/>
      <c r="F25" s="1"/>
      <c r="G25" s="1"/>
      <c r="H25" s="1"/>
    </row>
    <row r="26" spans="1:8" x14ac:dyDescent="0.2">
      <c r="A26" s="1"/>
      <c r="B26" s="1"/>
      <c r="C26" s="1"/>
      <c r="D26" s="1"/>
      <c r="E26" s="1"/>
      <c r="F26" s="1"/>
      <c r="G26" s="1"/>
      <c r="H26" s="1"/>
    </row>
    <row r="27" spans="1:8" x14ac:dyDescent="0.2">
      <c r="A27" s="1"/>
      <c r="B27" s="1"/>
      <c r="C27" s="1"/>
      <c r="D27" s="1"/>
      <c r="E27" s="1"/>
      <c r="F27" s="1"/>
      <c r="G27" s="1"/>
      <c r="H27" s="1"/>
    </row>
    <row r="28" spans="1:8" x14ac:dyDescent="0.2">
      <c r="A28" s="1"/>
      <c r="B28" s="1"/>
      <c r="C28" s="1"/>
      <c r="D28" s="1"/>
      <c r="E28" s="1"/>
      <c r="F28" s="1"/>
      <c r="G28" s="1"/>
      <c r="H28" s="1"/>
    </row>
    <row r="29" spans="1:8" x14ac:dyDescent="0.2">
      <c r="A29" s="1"/>
      <c r="B29" s="1"/>
      <c r="C29" s="1"/>
      <c r="D29" s="1"/>
      <c r="E29" s="1"/>
      <c r="F29" s="1"/>
      <c r="G29" s="1"/>
      <c r="H29" s="1"/>
    </row>
    <row r="30" spans="1:8" x14ac:dyDescent="0.2">
      <c r="A30" s="1"/>
      <c r="B30" s="1"/>
      <c r="C30" s="1"/>
      <c r="D30" s="1"/>
      <c r="E30" s="1"/>
      <c r="F30" s="1"/>
      <c r="G30" s="1"/>
      <c r="H30" s="1"/>
    </row>
    <row r="31" spans="1:8" x14ac:dyDescent="0.2">
      <c r="A31" s="1"/>
      <c r="B31" s="1"/>
      <c r="C31" s="1"/>
      <c r="D31" s="1"/>
      <c r="E31" s="1"/>
      <c r="F31" s="1"/>
      <c r="G31" s="1"/>
      <c r="H31" s="1"/>
    </row>
    <row r="32" spans="1:8" x14ac:dyDescent="0.2">
      <c r="A32" s="11" t="s">
        <v>1</v>
      </c>
      <c r="B32" s="12"/>
      <c r="C32" s="12"/>
      <c r="D32" s="13"/>
      <c r="E32" s="8"/>
      <c r="F32" s="8"/>
      <c r="G32" s="8"/>
      <c r="H32" s="8"/>
    </row>
    <row r="33" spans="1:8" x14ac:dyDescent="0.2">
      <c r="A33" s="14" t="s">
        <v>15</v>
      </c>
      <c r="B33" s="15"/>
      <c r="C33" s="15"/>
      <c r="D33" s="16"/>
      <c r="E33" s="8"/>
      <c r="F33" s="8"/>
      <c r="G33" s="8"/>
      <c r="H33" s="8"/>
    </row>
    <row r="34" spans="1:8" x14ac:dyDescent="0.2">
      <c r="A34" s="17" t="s">
        <v>62</v>
      </c>
      <c r="B34" s="18"/>
      <c r="C34" s="18"/>
      <c r="D34" s="19"/>
      <c r="E34" s="8"/>
      <c r="F34" s="8"/>
      <c r="G34" s="8"/>
      <c r="H34" s="8"/>
    </row>
    <row r="35" spans="1:8" x14ac:dyDescent="0.2">
      <c r="A35" s="20"/>
      <c r="B35" s="21"/>
      <c r="C35" s="22"/>
      <c r="D35" s="23"/>
      <c r="E35" s="8"/>
      <c r="F35" s="8" t="s">
        <v>34</v>
      </c>
      <c r="G35" s="8"/>
      <c r="H35" s="8"/>
    </row>
    <row r="36" spans="1:8" ht="15.75" x14ac:dyDescent="0.25">
      <c r="A36" s="24" t="s">
        <v>2</v>
      </c>
      <c r="B36" s="25" t="str">
        <f>[1]Charters!B39</f>
        <v>Navigator Pointe Academy</v>
      </c>
      <c r="C36" s="26"/>
      <c r="D36" s="27"/>
      <c r="E36" s="8"/>
      <c r="F36" s="8"/>
      <c r="G36" s="8"/>
      <c r="H36" s="8"/>
    </row>
    <row r="37" spans="1:8" x14ac:dyDescent="0.2">
      <c r="A37" s="24"/>
      <c r="B37" s="28"/>
      <c r="C37" s="26"/>
      <c r="D37" s="27"/>
      <c r="E37" s="8"/>
      <c r="F37" s="8"/>
      <c r="G37" s="8"/>
      <c r="H37" s="8"/>
    </row>
    <row r="38" spans="1:8" x14ac:dyDescent="0.2">
      <c r="A38" s="29" t="s">
        <v>0</v>
      </c>
      <c r="B38" s="30">
        <f>[1]Charters!$E$6</f>
        <v>3184</v>
      </c>
      <c r="C38" s="26"/>
      <c r="D38" s="31"/>
      <c r="E38" s="8"/>
      <c r="F38" s="8"/>
      <c r="G38" s="8"/>
      <c r="H38" s="8"/>
    </row>
    <row r="39" spans="1:8" x14ac:dyDescent="0.2">
      <c r="A39" s="32"/>
      <c r="B39" s="6"/>
      <c r="C39" s="33"/>
      <c r="D39" s="34" t="s">
        <v>3</v>
      </c>
      <c r="E39" s="8"/>
      <c r="F39" s="8"/>
      <c r="G39" s="8"/>
      <c r="H39" s="8"/>
    </row>
    <row r="40" spans="1:8" x14ac:dyDescent="0.2">
      <c r="A40" s="29" t="s">
        <v>19</v>
      </c>
      <c r="B40" s="35" t="str">
        <f>[1]Charters!A39</f>
        <v>9B</v>
      </c>
      <c r="C40" s="36" t="s">
        <v>4</v>
      </c>
      <c r="D40" s="37" t="s">
        <v>5</v>
      </c>
      <c r="E40" s="8"/>
      <c r="F40" s="8"/>
      <c r="G40" s="8"/>
      <c r="H40" s="8"/>
    </row>
    <row r="41" spans="1:8" x14ac:dyDescent="0.2">
      <c r="A41" s="38" t="s">
        <v>6</v>
      </c>
      <c r="B41" s="39"/>
      <c r="C41" s="40"/>
      <c r="D41" s="41"/>
      <c r="E41" s="8"/>
      <c r="F41" s="8"/>
      <c r="G41" s="8"/>
      <c r="H41" s="8"/>
    </row>
    <row r="42" spans="1:8" x14ac:dyDescent="0.2">
      <c r="A42" s="38" t="s">
        <v>7</v>
      </c>
      <c r="B42" s="39"/>
      <c r="C42" s="40"/>
      <c r="D42" s="41"/>
      <c r="E42" s="8"/>
      <c r="F42" s="42" t="s">
        <v>23</v>
      </c>
      <c r="G42" s="8"/>
      <c r="H42" s="42" t="s">
        <v>26</v>
      </c>
    </row>
    <row r="43" spans="1:8" x14ac:dyDescent="0.2">
      <c r="A43" s="20" t="s">
        <v>8</v>
      </c>
      <c r="B43" s="43"/>
      <c r="C43" s="44">
        <f>[1]Charters!C499</f>
        <v>439.50799999999998</v>
      </c>
      <c r="D43" s="45">
        <f>[1]Charters!E499</f>
        <v>1399393.5</v>
      </c>
      <c r="E43" s="8"/>
      <c r="F43" s="42">
        <f>[1]Charters!E654</f>
        <v>1492731.65</v>
      </c>
      <c r="G43" s="8"/>
      <c r="H43" s="42">
        <f>[2]Charters!E193</f>
        <v>1870876.92</v>
      </c>
    </row>
    <row r="44" spans="1:8" x14ac:dyDescent="0.2">
      <c r="A44" s="20" t="s">
        <v>14</v>
      </c>
      <c r="B44" s="43"/>
      <c r="C44" s="44">
        <f>[1]Charters!F499</f>
        <v>29.315000000000001</v>
      </c>
      <c r="D44" s="45">
        <f>[1]Charters!H499</f>
        <v>93338.15</v>
      </c>
      <c r="E44" s="8"/>
      <c r="F44" s="42">
        <f>SUM(D43:D45)</f>
        <v>1492731.65</v>
      </c>
      <c r="G44" s="8"/>
      <c r="H44" s="42">
        <f>D56</f>
        <v>1870876.92</v>
      </c>
    </row>
    <row r="45" spans="1:8" x14ac:dyDescent="0.2">
      <c r="A45" s="20" t="s">
        <v>32</v>
      </c>
      <c r="B45" s="43"/>
      <c r="C45" s="44">
        <f>[1]Charters!C192</f>
        <v>0</v>
      </c>
      <c r="D45" s="45">
        <f>[1]Charters!E192</f>
        <v>0</v>
      </c>
      <c r="E45" s="8"/>
      <c r="F45" s="42">
        <f>+F43-F44</f>
        <v>0</v>
      </c>
      <c r="G45" s="8"/>
      <c r="H45" s="42">
        <f>+H43-H44</f>
        <v>0</v>
      </c>
    </row>
    <row r="46" spans="1:8" x14ac:dyDescent="0.2">
      <c r="A46" s="38" t="s">
        <v>9</v>
      </c>
      <c r="B46" s="39"/>
      <c r="C46" s="46"/>
      <c r="D46" s="47"/>
      <c r="E46" s="8"/>
      <c r="F46" s="8"/>
      <c r="G46" s="8"/>
      <c r="H46" s="8"/>
    </row>
    <row r="47" spans="1:8" x14ac:dyDescent="0.2">
      <c r="A47" s="20" t="s">
        <v>10</v>
      </c>
      <c r="B47" s="43"/>
      <c r="C47" s="40">
        <f>[3]Charters!C38</f>
        <v>64.355999999999995</v>
      </c>
      <c r="D47" s="41">
        <f>[3]Charters!E38</f>
        <v>204909.7</v>
      </c>
      <c r="E47" s="8"/>
      <c r="F47" s="42" t="s">
        <v>24</v>
      </c>
      <c r="G47" s="8"/>
      <c r="H47" s="8"/>
    </row>
    <row r="48" spans="1:8" x14ac:dyDescent="0.2">
      <c r="A48" s="48" t="s">
        <v>11</v>
      </c>
      <c r="B48" s="43"/>
      <c r="C48" s="40">
        <f>[3]Charters!F38</f>
        <v>9.99</v>
      </c>
      <c r="D48" s="49">
        <f>[3]Charters!H38</f>
        <v>31808.16</v>
      </c>
      <c r="E48" s="8"/>
      <c r="F48" s="42">
        <f>[3]Charters!N349</f>
        <v>243927.07</v>
      </c>
      <c r="G48" s="8"/>
      <c r="H48" s="8"/>
    </row>
    <row r="49" spans="1:8" x14ac:dyDescent="0.2">
      <c r="A49" s="48" t="s">
        <v>12</v>
      </c>
      <c r="B49" s="43"/>
      <c r="C49" s="40">
        <f>[3]Charters!C193</f>
        <v>0</v>
      </c>
      <c r="D49" s="41">
        <f>[3]Charters!E193</f>
        <v>0</v>
      </c>
      <c r="E49" s="8"/>
      <c r="F49" s="42">
        <f>SUM(D47:D53)</f>
        <v>243927.07</v>
      </c>
      <c r="G49" s="8"/>
      <c r="H49" s="8"/>
    </row>
    <row r="50" spans="1:8" x14ac:dyDescent="0.2">
      <c r="A50" s="20" t="s">
        <v>13</v>
      </c>
      <c r="B50" s="43"/>
      <c r="C50" s="40">
        <f>[3]Charters!F193</f>
        <v>0.70899999999999996</v>
      </c>
      <c r="D50" s="41">
        <f>[3]Charters!H193</f>
        <v>2259</v>
      </c>
      <c r="E50" s="8"/>
      <c r="F50" s="42">
        <f>+F48-F49</f>
        <v>0</v>
      </c>
      <c r="G50" s="8"/>
      <c r="H50" s="8"/>
    </row>
    <row r="51" spans="1:8" x14ac:dyDescent="0.2">
      <c r="A51" s="48" t="s">
        <v>54</v>
      </c>
      <c r="B51" s="43"/>
      <c r="C51" s="40">
        <f>[3]Charters!C349</f>
        <v>1.5549999999999999</v>
      </c>
      <c r="D51" s="41">
        <f>[3]Charters!E349</f>
        <v>4950.21</v>
      </c>
      <c r="E51" s="8"/>
      <c r="F51" s="8"/>
      <c r="G51" s="8"/>
      <c r="H51" s="8"/>
    </row>
    <row r="52" spans="1:8" x14ac:dyDescent="0.2">
      <c r="A52" s="48" t="s">
        <v>55</v>
      </c>
      <c r="B52" s="43"/>
      <c r="C52" s="40">
        <f>[3]Charters!F349</f>
        <v>0</v>
      </c>
      <c r="D52" s="41">
        <f>[3]Charters!H349</f>
        <v>0</v>
      </c>
      <c r="E52" s="8"/>
      <c r="F52" s="42" t="s">
        <v>25</v>
      </c>
      <c r="G52" s="8"/>
      <c r="H52" s="8"/>
    </row>
    <row r="53" spans="1:8" x14ac:dyDescent="0.2">
      <c r="A53" s="48" t="s">
        <v>56</v>
      </c>
      <c r="B53" s="43"/>
      <c r="C53" s="40">
        <f>[3]Charters!I349</f>
        <v>0</v>
      </c>
      <c r="D53" s="41">
        <f>[3]Charters!K349</f>
        <v>0</v>
      </c>
      <c r="E53" s="8"/>
      <c r="F53" s="42">
        <f>[2]Charters!H39</f>
        <v>378145.27</v>
      </c>
      <c r="G53" s="8"/>
      <c r="H53" s="8"/>
    </row>
    <row r="54" spans="1:8" x14ac:dyDescent="0.2">
      <c r="A54" s="20" t="s">
        <v>49</v>
      </c>
      <c r="B54" s="43"/>
      <c r="C54" s="40">
        <f>[3]Charters!C506</f>
        <v>0</v>
      </c>
      <c r="D54" s="41">
        <f>[3]Charters!E506</f>
        <v>0</v>
      </c>
      <c r="E54" s="8"/>
      <c r="F54" s="42">
        <f>SUM(D47:D55)</f>
        <v>378145.27</v>
      </c>
      <c r="G54" s="8"/>
      <c r="H54" s="8"/>
    </row>
    <row r="55" spans="1:8" x14ac:dyDescent="0.2">
      <c r="A55" s="20" t="s">
        <v>50</v>
      </c>
      <c r="B55" s="43"/>
      <c r="C55" s="40">
        <f>[2]Charters!C39</f>
        <v>42.154000000000003</v>
      </c>
      <c r="D55" s="41">
        <f>[2]Charters!E39</f>
        <v>134218.20000000001</v>
      </c>
      <c r="E55" s="8"/>
      <c r="F55" s="42">
        <f>+F53-F54</f>
        <v>0</v>
      </c>
      <c r="G55" s="8"/>
      <c r="H55" s="8"/>
    </row>
    <row r="56" spans="1:8" x14ac:dyDescent="0.2">
      <c r="A56" s="50"/>
      <c r="B56" s="51" t="s">
        <v>16</v>
      </c>
      <c r="C56" s="52">
        <f>SUM(C43:C55)</f>
        <v>587.58699999999999</v>
      </c>
      <c r="D56" s="53">
        <f>SUM(D43:D55)</f>
        <v>1870876.92</v>
      </c>
      <c r="E56" s="8"/>
      <c r="F56" s="8"/>
      <c r="G56" s="8"/>
      <c r="H56" s="8"/>
    </row>
    <row r="57" spans="1:8" x14ac:dyDescent="0.2">
      <c r="A57" s="54" t="s">
        <v>17</v>
      </c>
      <c r="B57" s="39"/>
      <c r="C57" s="55"/>
      <c r="D57" s="47"/>
      <c r="E57" s="8"/>
      <c r="F57" s="8"/>
      <c r="G57" s="8"/>
      <c r="H57" s="42" t="s">
        <v>29</v>
      </c>
    </row>
    <row r="58" spans="1:8" x14ac:dyDescent="0.2">
      <c r="A58" s="20" t="s">
        <v>33</v>
      </c>
      <c r="B58" s="43"/>
      <c r="C58" s="56"/>
      <c r="D58" s="57">
        <f>[4]Charters!C38</f>
        <v>5422.68</v>
      </c>
      <c r="E58" s="8"/>
      <c r="F58" s="8"/>
      <c r="G58" s="8"/>
      <c r="H58" s="42">
        <f>[4]Charters!F979</f>
        <v>3171396.85</v>
      </c>
    </row>
    <row r="59" spans="1:8" x14ac:dyDescent="0.2">
      <c r="A59" s="58" t="s">
        <v>35</v>
      </c>
      <c r="B59" s="43"/>
      <c r="C59" s="56"/>
      <c r="D59" s="41">
        <f>+[4]Charters!F359</f>
        <v>0</v>
      </c>
      <c r="E59" s="8"/>
      <c r="F59" s="8"/>
      <c r="G59" s="8"/>
      <c r="H59" s="42">
        <f>SUM(D56:D75)</f>
        <v>3171396.85</v>
      </c>
    </row>
    <row r="60" spans="1:8" x14ac:dyDescent="0.2">
      <c r="A60" s="59" t="s">
        <v>36</v>
      </c>
      <c r="B60" s="43"/>
      <c r="C60" s="56"/>
      <c r="D60" s="41">
        <f>[4]Charters!E198</f>
        <v>17613</v>
      </c>
      <c r="E60" s="8"/>
      <c r="F60" s="8"/>
      <c r="G60" s="8"/>
      <c r="H60" s="42">
        <f>+H58-H59</f>
        <v>0</v>
      </c>
    </row>
    <row r="61" spans="1:8" x14ac:dyDescent="0.2">
      <c r="A61" s="59" t="s">
        <v>52</v>
      </c>
      <c r="B61" s="43"/>
      <c r="C61" s="56"/>
      <c r="D61" s="41">
        <f>[4]Charters!G359</f>
        <v>0</v>
      </c>
      <c r="E61" s="8"/>
      <c r="F61" s="42" t="s">
        <v>27</v>
      </c>
      <c r="G61" s="8"/>
      <c r="H61" s="42"/>
    </row>
    <row r="62" spans="1:8" x14ac:dyDescent="0.2">
      <c r="A62" s="20" t="s">
        <v>37</v>
      </c>
      <c r="B62" s="43"/>
      <c r="C62" s="56"/>
      <c r="D62" s="41">
        <f>[4]Charters!E515</f>
        <v>36534</v>
      </c>
      <c r="E62" s="8"/>
      <c r="F62" s="42">
        <f>[4]Charters!E198</f>
        <v>17613</v>
      </c>
      <c r="G62" s="8"/>
      <c r="H62" s="8"/>
    </row>
    <row r="63" spans="1:8" x14ac:dyDescent="0.2">
      <c r="A63" s="20" t="s">
        <v>38</v>
      </c>
      <c r="B63" s="43"/>
      <c r="C63" s="56"/>
      <c r="D63" s="41">
        <f>[4]Charters!F515</f>
        <v>0</v>
      </c>
      <c r="E63" s="8"/>
      <c r="F63" s="42">
        <f>SUM(D60:D60)</f>
        <v>17613</v>
      </c>
      <c r="G63" s="8"/>
      <c r="H63" s="8"/>
    </row>
    <row r="64" spans="1:8" x14ac:dyDescent="0.2">
      <c r="A64" s="59" t="s">
        <v>40</v>
      </c>
      <c r="B64" s="43"/>
      <c r="C64" s="56"/>
      <c r="D64" s="41">
        <f>[4]Charters!G515</f>
        <v>0</v>
      </c>
      <c r="E64" s="8"/>
      <c r="F64" s="42">
        <f>+F62-F63</f>
        <v>0</v>
      </c>
      <c r="G64" s="8"/>
      <c r="H64" s="8"/>
    </row>
    <row r="65" spans="1:8" x14ac:dyDescent="0.2">
      <c r="A65" s="20" t="s">
        <v>41</v>
      </c>
      <c r="B65" s="43"/>
      <c r="C65" s="56"/>
      <c r="D65" s="41">
        <f>[4]Charters!C670</f>
        <v>1024512</v>
      </c>
      <c r="E65" s="8"/>
      <c r="F65" s="42" t="s">
        <v>28</v>
      </c>
      <c r="G65" s="8"/>
      <c r="H65" s="8"/>
    </row>
    <row r="66" spans="1:8" x14ac:dyDescent="0.2">
      <c r="A66" s="20" t="s">
        <v>42</v>
      </c>
      <c r="B66" s="43"/>
      <c r="C66" s="56"/>
      <c r="D66" s="41">
        <f>[4]Charters!D670</f>
        <v>144016.17000000001</v>
      </c>
      <c r="E66" s="8"/>
      <c r="F66" s="42">
        <f>[4]Charters!D515</f>
        <v>17613</v>
      </c>
      <c r="G66" s="8"/>
      <c r="H66" s="8"/>
    </row>
    <row r="67" spans="1:8" x14ac:dyDescent="0.2">
      <c r="A67" s="20" t="s">
        <v>44</v>
      </c>
      <c r="B67" s="43"/>
      <c r="C67" s="56"/>
      <c r="D67" s="41">
        <f>[4]Charters!E670</f>
        <v>51200</v>
      </c>
      <c r="E67" s="8"/>
      <c r="F67" s="42">
        <f>SUM(D59:D61)</f>
        <v>17613</v>
      </c>
      <c r="G67" s="8"/>
      <c r="H67" s="8"/>
    </row>
    <row r="68" spans="1:8" x14ac:dyDescent="0.2">
      <c r="A68" s="59" t="s">
        <v>43</v>
      </c>
      <c r="B68" s="43"/>
      <c r="C68" s="56"/>
      <c r="D68" s="41">
        <f>[4]Charters!F670</f>
        <v>16701.64</v>
      </c>
      <c r="E68" s="8"/>
      <c r="F68" s="42">
        <f>+F66-F67</f>
        <v>0</v>
      </c>
      <c r="G68" s="8"/>
      <c r="H68" s="8"/>
    </row>
    <row r="69" spans="1:8" x14ac:dyDescent="0.2">
      <c r="A69" s="59" t="s">
        <v>45</v>
      </c>
      <c r="B69" s="43"/>
      <c r="C69" s="56"/>
      <c r="D69" s="41">
        <f>[4]Charters!C515</f>
        <v>0</v>
      </c>
      <c r="E69" s="8"/>
      <c r="F69" s="8"/>
      <c r="G69" s="8"/>
      <c r="H69" s="8"/>
    </row>
    <row r="70" spans="1:8" x14ac:dyDescent="0.2">
      <c r="A70" s="59" t="s">
        <v>46</v>
      </c>
      <c r="B70" s="43"/>
      <c r="C70" s="56"/>
      <c r="D70" s="41">
        <f>[4]Charters!C826</f>
        <v>0</v>
      </c>
      <c r="E70" s="42"/>
      <c r="F70" s="42"/>
      <c r="G70" s="42"/>
      <c r="H70" s="42" t="s">
        <v>31</v>
      </c>
    </row>
    <row r="71" spans="1:8" x14ac:dyDescent="0.2">
      <c r="A71" s="59" t="s">
        <v>51</v>
      </c>
      <c r="B71" s="43"/>
      <c r="C71" s="56"/>
      <c r="D71" s="60">
        <f>[4]Charters!D826</f>
        <v>728.03</v>
      </c>
      <c r="E71" s="42"/>
      <c r="F71" s="42"/>
      <c r="G71" s="42"/>
      <c r="H71" s="42">
        <f>[4]Charters!D1285</f>
        <v>3176660.6</v>
      </c>
    </row>
    <row r="72" spans="1:8" x14ac:dyDescent="0.2">
      <c r="A72" s="20" t="s">
        <v>47</v>
      </c>
      <c r="B72" s="43"/>
      <c r="C72" s="56"/>
      <c r="D72" s="60">
        <f>[4]Charters!E826</f>
        <v>0</v>
      </c>
      <c r="E72" s="42"/>
      <c r="F72" s="42"/>
      <c r="G72" s="42"/>
      <c r="H72" s="42">
        <f>D81</f>
        <v>3176660.6</v>
      </c>
    </row>
    <row r="73" spans="1:8" x14ac:dyDescent="0.2">
      <c r="A73" s="20" t="s">
        <v>57</v>
      </c>
      <c r="B73" s="43"/>
      <c r="C73" s="56"/>
      <c r="D73" s="60">
        <f>[4]Charters!C979</f>
        <v>3792.41</v>
      </c>
      <c r="E73" s="42"/>
      <c r="F73" s="42"/>
      <c r="G73" s="42"/>
      <c r="H73" s="42">
        <f>+H71-H72</f>
        <v>0</v>
      </c>
    </row>
    <row r="74" spans="1:8" x14ac:dyDescent="0.2">
      <c r="A74" s="59" t="s">
        <v>53</v>
      </c>
      <c r="B74" s="43"/>
      <c r="C74" s="56"/>
      <c r="D74" s="60">
        <f>[4]Charters!D979</f>
        <v>0</v>
      </c>
      <c r="E74" s="42"/>
      <c r="F74" s="42" t="s">
        <v>30</v>
      </c>
      <c r="G74" s="42"/>
      <c r="H74" s="42"/>
    </row>
    <row r="75" spans="1:8" x14ac:dyDescent="0.2">
      <c r="A75" s="59" t="s">
        <v>59</v>
      </c>
      <c r="B75" s="43"/>
      <c r="C75" s="56"/>
      <c r="D75" s="60">
        <f>[4]Charters!E979</f>
        <v>0</v>
      </c>
      <c r="E75" s="42"/>
      <c r="F75" s="42"/>
      <c r="G75" s="42"/>
      <c r="H75" s="42"/>
    </row>
    <row r="76" spans="1:8" x14ac:dyDescent="0.2">
      <c r="A76" s="38" t="s">
        <v>18</v>
      </c>
      <c r="B76" s="61"/>
      <c r="C76" s="62"/>
      <c r="D76" s="87"/>
      <c r="E76" s="42"/>
      <c r="F76" s="42">
        <f>[4]Charters!C1285</f>
        <v>5263.75</v>
      </c>
      <c r="G76" s="42"/>
      <c r="H76" s="42"/>
    </row>
    <row r="77" spans="1:8" x14ac:dyDescent="0.2">
      <c r="A77" s="59" t="s">
        <v>39</v>
      </c>
      <c r="B77" s="43"/>
      <c r="C77" s="56"/>
      <c r="D77" s="41">
        <f>[4]Charters!C1132</f>
        <v>5263.75</v>
      </c>
      <c r="E77" s="42"/>
      <c r="F77" s="42">
        <f>SUM(D77:D80)</f>
        <v>5263.75</v>
      </c>
      <c r="G77" s="42"/>
      <c r="H77" s="42"/>
    </row>
    <row r="78" spans="1:8" x14ac:dyDescent="0.2">
      <c r="A78" s="59" t="s">
        <v>48</v>
      </c>
      <c r="B78" s="43"/>
      <c r="C78" s="56"/>
      <c r="D78" s="41">
        <f>[4]Charters!D1132</f>
        <v>0</v>
      </c>
      <c r="E78" s="42"/>
      <c r="F78" s="42">
        <f>+F76-F77</f>
        <v>0</v>
      </c>
      <c r="G78" s="42"/>
      <c r="H78" s="42"/>
    </row>
    <row r="79" spans="1:8" x14ac:dyDescent="0.2">
      <c r="A79" s="59" t="s">
        <v>60</v>
      </c>
      <c r="B79" s="43"/>
      <c r="C79" s="56"/>
      <c r="D79" s="41">
        <f>[4]Charters!E1132</f>
        <v>0</v>
      </c>
      <c r="E79" s="42"/>
      <c r="F79" s="42"/>
      <c r="G79" s="42"/>
      <c r="H79" s="42"/>
    </row>
    <row r="80" spans="1:8" x14ac:dyDescent="0.2">
      <c r="A80" s="59" t="s">
        <v>61</v>
      </c>
      <c r="B80" s="43"/>
      <c r="C80" s="56"/>
      <c r="D80" s="41">
        <f>[4]Charters!F1132</f>
        <v>0</v>
      </c>
      <c r="E80" s="42"/>
      <c r="F80" s="42"/>
      <c r="G80" s="42"/>
      <c r="H80" s="42"/>
    </row>
    <row r="81" spans="1:8" ht="13.5" thickBot="1" x14ac:dyDescent="0.25">
      <c r="A81" s="64"/>
      <c r="B81" s="65"/>
      <c r="C81" s="66"/>
      <c r="D81" s="67">
        <f>SUM(D56:D80)</f>
        <v>3176660.6</v>
      </c>
      <c r="E81" s="42"/>
      <c r="F81" s="42"/>
      <c r="G81" s="42"/>
      <c r="H81" s="42"/>
    </row>
    <row r="82" spans="1:8" ht="13.5" thickTop="1" x14ac:dyDescent="0.2">
      <c r="A82" s="68"/>
      <c r="B82" s="43"/>
      <c r="C82" s="56"/>
      <c r="D82" s="86"/>
      <c r="E82" s="42"/>
      <c r="F82" s="42"/>
      <c r="G82" s="42"/>
      <c r="H82" s="42"/>
    </row>
    <row r="83" spans="1:8" x14ac:dyDescent="0.2">
      <c r="A83" s="38" t="s">
        <v>20</v>
      </c>
      <c r="B83" s="39"/>
      <c r="C83" s="70"/>
      <c r="D83" s="71" t="s">
        <v>21</v>
      </c>
      <c r="E83" s="42"/>
      <c r="F83" s="42"/>
      <c r="G83" s="42"/>
      <c r="H83" s="42"/>
    </row>
    <row r="84" spans="1:8" x14ac:dyDescent="0.2">
      <c r="A84" s="72" t="s">
        <v>22</v>
      </c>
      <c r="B84" s="73"/>
      <c r="C84" s="74"/>
      <c r="D84" s="41">
        <f>[5]Charters!C38</f>
        <v>1183.8900000000001</v>
      </c>
      <c r="E84" s="42"/>
      <c r="F84" s="42"/>
      <c r="G84" s="42"/>
      <c r="H84" s="42"/>
    </row>
    <row r="85" spans="1:8" x14ac:dyDescent="0.2">
      <c r="A85" s="75"/>
      <c r="B85" s="61"/>
      <c r="C85" s="76"/>
      <c r="D85" s="77">
        <f>SUM(D84:D84)</f>
        <v>1183.8900000000001</v>
      </c>
      <c r="E85" s="42"/>
      <c r="F85" s="42"/>
      <c r="G85" s="42"/>
      <c r="H85" s="42"/>
    </row>
    <row r="86" spans="1:8" x14ac:dyDescent="0.2">
      <c r="A86" s="78" t="s">
        <v>58</v>
      </c>
      <c r="B86" s="79"/>
      <c r="C86" s="80"/>
      <c r="D86" s="77">
        <f>D85+D81</f>
        <v>3177844.49</v>
      </c>
      <c r="E86" s="42"/>
      <c r="F86" s="42"/>
      <c r="G86" s="42"/>
      <c r="H86" s="42"/>
    </row>
    <row r="87" spans="1:8" x14ac:dyDescent="0.2">
      <c r="A87" s="84"/>
      <c r="B87" s="84"/>
      <c r="C87" s="85"/>
      <c r="D87" s="81"/>
      <c r="E87" s="42"/>
      <c r="F87" s="42"/>
      <c r="G87" s="42"/>
      <c r="H87" s="42"/>
    </row>
    <row r="88" spans="1:8" x14ac:dyDescent="0.2">
      <c r="A88" s="84"/>
      <c r="B88" s="84"/>
      <c r="C88" s="85"/>
      <c r="D88" s="81">
        <f>[5]Charters!E194</f>
        <v>3177844.49</v>
      </c>
      <c r="E88" s="42"/>
      <c r="F88" s="42"/>
      <c r="G88" s="42"/>
      <c r="H88" s="42"/>
    </row>
    <row r="89" spans="1:8" x14ac:dyDescent="0.2">
      <c r="A89" s="84"/>
      <c r="B89" s="84"/>
      <c r="C89" s="85"/>
      <c r="D89" s="81">
        <f>D86</f>
        <v>3177844.49</v>
      </c>
      <c r="E89" s="42"/>
      <c r="F89" s="42"/>
      <c r="G89" s="42"/>
      <c r="H89" s="42"/>
    </row>
    <row r="90" spans="1:8" x14ac:dyDescent="0.2">
      <c r="C90" s="83"/>
      <c r="D90" s="42">
        <f>D88-D89</f>
        <v>0</v>
      </c>
      <c r="E90" s="42"/>
      <c r="F90" s="42"/>
      <c r="G90" s="42"/>
      <c r="H90" s="42"/>
    </row>
  </sheetData>
  <mergeCells count="4">
    <mergeCell ref="A32:D32"/>
    <mergeCell ref="A33:D33"/>
    <mergeCell ref="A34:D34"/>
    <mergeCell ref="A86:C86"/>
  </mergeCells>
  <phoneticPr fontId="0" type="noConversion"/>
  <printOptions horizontalCentered="1" verticalCentered="1"/>
  <pageMargins left="0.5" right="0.5" top="0.5" bottom="0.5" header="0.25" footer="0.25"/>
  <pageSetup orientation="portrait" r:id="rId1"/>
  <headerFooter alignWithMargins="0">
    <oddHeader>&amp;R&amp;8Current as of: &amp;D</oddHeader>
    <oddFooter>&amp;L&amp;8USOE, School Finance</oddFooter>
  </headerFooter>
  <picture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>
    <pageSetUpPr fitToPage="1"/>
  </sheetPr>
  <dimension ref="A1:H91"/>
  <sheetViews>
    <sheetView showGridLines="0" topLeftCell="A28" workbookViewId="0">
      <selection activeCell="C12" sqref="C12"/>
    </sheetView>
  </sheetViews>
  <sheetFormatPr defaultColWidth="9.140625" defaultRowHeight="12.75" x14ac:dyDescent="0.2"/>
  <cols>
    <col min="1" max="1" width="31.85546875" style="82" customWidth="1"/>
    <col min="2" max="2" width="16.140625" style="82" customWidth="1"/>
    <col min="3" max="4" width="14.85546875" style="82" customWidth="1"/>
    <col min="5" max="5" width="7" style="82" customWidth="1"/>
    <col min="6" max="6" width="19.7109375" style="82" customWidth="1"/>
    <col min="7" max="7" width="5.7109375" style="82" customWidth="1"/>
    <col min="8" max="8" width="18" style="82" customWidth="1"/>
    <col min="9" max="16384" width="9.140625" style="82"/>
  </cols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"/>
      <c r="B3" s="1"/>
      <c r="C3" s="1"/>
      <c r="D3" s="1"/>
      <c r="E3" s="1"/>
      <c r="F3" s="1"/>
      <c r="G3" s="1"/>
      <c r="H3" s="1"/>
    </row>
    <row r="4" spans="1:8" x14ac:dyDescent="0.2">
      <c r="A4" s="1"/>
      <c r="B4" s="1"/>
      <c r="C4" s="1"/>
      <c r="D4" s="1"/>
      <c r="E4" s="1"/>
      <c r="F4" s="1"/>
      <c r="G4" s="1"/>
      <c r="H4" s="1"/>
    </row>
    <row r="5" spans="1:8" x14ac:dyDescent="0.2">
      <c r="A5" s="1"/>
      <c r="B5" s="1"/>
      <c r="C5" s="1"/>
      <c r="D5" s="1"/>
      <c r="E5" s="1"/>
      <c r="F5" s="1"/>
      <c r="G5" s="1"/>
      <c r="H5" s="1"/>
    </row>
    <row r="6" spans="1:8" x14ac:dyDescent="0.2">
      <c r="A6" s="1"/>
      <c r="B6" s="1"/>
      <c r="C6" s="1"/>
      <c r="D6" s="1"/>
      <c r="E6" s="1"/>
      <c r="F6" s="1"/>
      <c r="G6" s="1"/>
      <c r="H6" s="1"/>
    </row>
    <row r="7" spans="1:8" x14ac:dyDescent="0.2">
      <c r="A7" s="1"/>
      <c r="B7" s="1"/>
      <c r="C7" s="1"/>
      <c r="D7" s="1"/>
      <c r="E7" s="1"/>
      <c r="F7" s="1"/>
      <c r="G7" s="1"/>
      <c r="H7" s="1"/>
    </row>
    <row r="8" spans="1:8" x14ac:dyDescent="0.2">
      <c r="A8" s="1"/>
      <c r="B8" s="1"/>
      <c r="C8" s="1"/>
      <c r="D8" s="1"/>
      <c r="E8" s="1"/>
      <c r="F8" s="1"/>
      <c r="G8" s="1"/>
      <c r="H8" s="1"/>
    </row>
    <row r="9" spans="1:8" x14ac:dyDescent="0.2">
      <c r="A9" s="1"/>
      <c r="B9" s="1"/>
      <c r="C9" s="1"/>
      <c r="D9" s="1"/>
      <c r="E9" s="1"/>
      <c r="F9" s="1"/>
      <c r="G9" s="1"/>
      <c r="H9" s="1"/>
    </row>
    <row r="10" spans="1:8" x14ac:dyDescent="0.2">
      <c r="A10" s="1"/>
      <c r="B10" s="1"/>
      <c r="C10" s="1"/>
      <c r="D10" s="1"/>
      <c r="E10" s="1"/>
      <c r="F10" s="1"/>
      <c r="G10" s="1"/>
      <c r="H10" s="1"/>
    </row>
    <row r="11" spans="1:8" x14ac:dyDescent="0.2">
      <c r="A11" s="1"/>
      <c r="B11" s="1"/>
      <c r="C11" s="1"/>
      <c r="D11" s="1"/>
      <c r="E11" s="1"/>
      <c r="F11" s="1"/>
      <c r="G11" s="1"/>
      <c r="H11" s="1"/>
    </row>
    <row r="12" spans="1:8" x14ac:dyDescent="0.2">
      <c r="A12" s="1"/>
      <c r="B12" s="1"/>
      <c r="C12" s="1"/>
      <c r="D12" s="1"/>
      <c r="E12" s="1"/>
      <c r="F12" s="1"/>
      <c r="G12" s="1"/>
      <c r="H12" s="1"/>
    </row>
    <row r="13" spans="1:8" x14ac:dyDescent="0.2">
      <c r="A13" s="1"/>
      <c r="B13" s="1"/>
      <c r="C13" s="1"/>
      <c r="D13" s="1"/>
      <c r="E13" s="1"/>
      <c r="F13" s="1"/>
      <c r="G13" s="1"/>
      <c r="H13" s="1"/>
    </row>
    <row r="14" spans="1:8" x14ac:dyDescent="0.2">
      <c r="A14" s="1"/>
      <c r="B14" s="1"/>
      <c r="C14" s="1"/>
      <c r="D14" s="1"/>
      <c r="E14" s="1"/>
      <c r="F14" s="1"/>
      <c r="G14" s="1"/>
      <c r="H14" s="1"/>
    </row>
    <row r="15" spans="1:8" x14ac:dyDescent="0.2">
      <c r="A15" s="1"/>
      <c r="B15" s="1"/>
      <c r="C15" s="1"/>
      <c r="D15" s="1"/>
      <c r="E15" s="1"/>
      <c r="F15" s="1"/>
      <c r="G15" s="1"/>
      <c r="H15" s="1"/>
    </row>
    <row r="16" spans="1:8" x14ac:dyDescent="0.2">
      <c r="A16" s="1"/>
      <c r="B16" s="1"/>
      <c r="C16" s="1"/>
      <c r="D16" s="1"/>
      <c r="E16" s="1"/>
      <c r="F16" s="1"/>
      <c r="G16" s="1"/>
      <c r="H16" s="1"/>
    </row>
    <row r="17" spans="1:8" x14ac:dyDescent="0.2">
      <c r="A17" s="1"/>
      <c r="B17" s="1"/>
      <c r="C17" s="1"/>
      <c r="D17" s="1"/>
      <c r="E17" s="1"/>
      <c r="F17" s="1"/>
      <c r="G17" s="1"/>
      <c r="H17" s="1"/>
    </row>
    <row r="18" spans="1:8" x14ac:dyDescent="0.2">
      <c r="A18" s="1"/>
      <c r="B18" s="1"/>
      <c r="C18" s="1"/>
      <c r="D18" s="1"/>
      <c r="E18" s="1"/>
      <c r="F18" s="1"/>
      <c r="G18" s="1"/>
      <c r="H18" s="1"/>
    </row>
    <row r="19" spans="1:8" x14ac:dyDescent="0.2">
      <c r="A19" s="1"/>
      <c r="B19" s="1"/>
      <c r="C19" s="1"/>
      <c r="D19" s="1"/>
      <c r="E19" s="1"/>
      <c r="F19" s="1"/>
      <c r="G19" s="1"/>
      <c r="H19" s="1"/>
    </row>
    <row r="20" spans="1:8" x14ac:dyDescent="0.2">
      <c r="A20" s="1"/>
      <c r="B20" s="1"/>
      <c r="C20" s="1"/>
      <c r="D20" s="1"/>
      <c r="E20" s="1"/>
      <c r="F20" s="1"/>
      <c r="G20" s="1"/>
      <c r="H20" s="1"/>
    </row>
    <row r="21" spans="1:8" x14ac:dyDescent="0.2">
      <c r="A21" s="1"/>
      <c r="B21" s="1"/>
      <c r="C21" s="1"/>
      <c r="D21" s="1"/>
      <c r="E21" s="1"/>
      <c r="F21" s="1"/>
      <c r="G21" s="1"/>
      <c r="H21" s="1"/>
    </row>
    <row r="22" spans="1:8" x14ac:dyDescent="0.2">
      <c r="A22" s="1"/>
      <c r="B22" s="1"/>
      <c r="C22" s="1"/>
      <c r="D22" s="4"/>
      <c r="E22" s="1"/>
      <c r="F22" s="1"/>
      <c r="G22" s="1"/>
      <c r="H22" s="1"/>
    </row>
    <row r="23" spans="1:8" x14ac:dyDescent="0.2">
      <c r="A23" s="1"/>
      <c r="B23" s="1"/>
      <c r="C23" s="1"/>
      <c r="D23" s="1"/>
      <c r="E23" s="1"/>
      <c r="F23" s="1"/>
      <c r="G23" s="1"/>
      <c r="H23" s="1"/>
    </row>
    <row r="24" spans="1:8" x14ac:dyDescent="0.2">
      <c r="A24" s="1"/>
      <c r="B24" s="1"/>
      <c r="C24" s="1"/>
      <c r="D24" s="1"/>
      <c r="E24" s="1"/>
      <c r="F24" s="1"/>
      <c r="G24" s="1"/>
      <c r="H24" s="1"/>
    </row>
    <row r="25" spans="1:8" x14ac:dyDescent="0.2">
      <c r="A25" s="1"/>
      <c r="B25" s="1"/>
      <c r="C25" s="1"/>
      <c r="D25" s="1"/>
      <c r="E25" s="1"/>
      <c r="F25" s="1"/>
      <c r="G25" s="1"/>
      <c r="H25" s="1"/>
    </row>
    <row r="26" spans="1:8" x14ac:dyDescent="0.2">
      <c r="A26" s="1"/>
      <c r="B26" s="1"/>
      <c r="C26" s="1"/>
      <c r="D26" s="1"/>
      <c r="E26" s="1"/>
      <c r="F26" s="1"/>
      <c r="G26" s="1"/>
      <c r="H26" s="1"/>
    </row>
    <row r="27" spans="1:8" x14ac:dyDescent="0.2">
      <c r="A27" s="1"/>
      <c r="B27" s="1"/>
      <c r="C27" s="1"/>
      <c r="D27" s="1"/>
      <c r="E27" s="1"/>
      <c r="F27" s="1"/>
      <c r="G27" s="1"/>
      <c r="H27" s="1"/>
    </row>
    <row r="28" spans="1:8" x14ac:dyDescent="0.2">
      <c r="A28" s="1"/>
      <c r="B28" s="1"/>
      <c r="C28" s="1"/>
      <c r="D28" s="1"/>
      <c r="E28" s="1"/>
      <c r="F28" s="1"/>
      <c r="G28" s="1"/>
      <c r="H28" s="1"/>
    </row>
    <row r="29" spans="1:8" x14ac:dyDescent="0.2">
      <c r="A29" s="1"/>
      <c r="B29" s="1"/>
      <c r="C29" s="1"/>
      <c r="D29" s="1"/>
      <c r="E29" s="1"/>
      <c r="F29" s="1"/>
      <c r="G29" s="1"/>
      <c r="H29" s="1"/>
    </row>
    <row r="30" spans="1:8" x14ac:dyDescent="0.2">
      <c r="A30" s="1"/>
      <c r="B30" s="1"/>
      <c r="C30" s="1"/>
      <c r="D30" s="1"/>
      <c r="E30" s="1"/>
      <c r="F30" s="1"/>
      <c r="G30" s="1"/>
      <c r="H30" s="1"/>
    </row>
    <row r="31" spans="1:8" x14ac:dyDescent="0.2">
      <c r="A31" s="1"/>
      <c r="B31" s="1"/>
      <c r="C31" s="1"/>
      <c r="D31" s="1"/>
      <c r="E31" s="1"/>
      <c r="F31" s="1"/>
      <c r="G31" s="1"/>
      <c r="H31" s="1"/>
    </row>
    <row r="32" spans="1:8" x14ac:dyDescent="0.2">
      <c r="A32" s="1"/>
      <c r="B32" s="1"/>
      <c r="C32" s="1"/>
      <c r="D32" s="1"/>
      <c r="E32" s="1"/>
      <c r="F32" s="1"/>
      <c r="G32" s="1"/>
      <c r="H32" s="1"/>
    </row>
    <row r="33" spans="1:8" x14ac:dyDescent="0.2">
      <c r="A33" s="11" t="s">
        <v>1</v>
      </c>
      <c r="B33" s="12"/>
      <c r="C33" s="12"/>
      <c r="D33" s="13"/>
      <c r="E33" s="8"/>
      <c r="F33" s="8"/>
      <c r="G33" s="8"/>
      <c r="H33" s="8"/>
    </row>
    <row r="34" spans="1:8" x14ac:dyDescent="0.2">
      <c r="A34" s="14" t="s">
        <v>15</v>
      </c>
      <c r="B34" s="15"/>
      <c r="C34" s="15"/>
      <c r="D34" s="16"/>
      <c r="E34" s="8"/>
      <c r="F34" s="8"/>
      <c r="G34" s="8"/>
      <c r="H34" s="8"/>
    </row>
    <row r="35" spans="1:8" x14ac:dyDescent="0.2">
      <c r="A35" s="17" t="s">
        <v>62</v>
      </c>
      <c r="B35" s="18"/>
      <c r="C35" s="18"/>
      <c r="D35" s="19"/>
      <c r="E35" s="8"/>
      <c r="F35" s="8"/>
      <c r="G35" s="8"/>
      <c r="H35" s="8"/>
    </row>
    <row r="36" spans="1:8" x14ac:dyDescent="0.2">
      <c r="A36" s="20"/>
      <c r="B36" s="21"/>
      <c r="C36" s="22"/>
      <c r="D36" s="23"/>
      <c r="E36" s="8"/>
      <c r="F36" s="8" t="s">
        <v>34</v>
      </c>
      <c r="G36" s="8"/>
      <c r="H36" s="8"/>
    </row>
    <row r="37" spans="1:8" ht="15.75" x14ac:dyDescent="0.25">
      <c r="A37" s="24" t="s">
        <v>2</v>
      </c>
      <c r="B37" s="25" t="str">
        <f>[1]Charters!B40</f>
        <v>Odyssey Charter School</v>
      </c>
      <c r="C37" s="26"/>
      <c r="D37" s="27"/>
      <c r="E37" s="8"/>
      <c r="F37" s="8"/>
      <c r="G37" s="8"/>
      <c r="H37" s="8"/>
    </row>
    <row r="38" spans="1:8" x14ac:dyDescent="0.2">
      <c r="A38" s="24"/>
      <c r="B38" s="28"/>
      <c r="C38" s="26"/>
      <c r="D38" s="27"/>
      <c r="E38" s="8"/>
      <c r="F38" s="8"/>
      <c r="G38" s="8"/>
      <c r="H38" s="8"/>
    </row>
    <row r="39" spans="1:8" x14ac:dyDescent="0.2">
      <c r="A39" s="29" t="s">
        <v>0</v>
      </c>
      <c r="B39" s="30">
        <f>[1]Charters!$E$6</f>
        <v>3184</v>
      </c>
      <c r="C39" s="26"/>
      <c r="D39" s="31"/>
      <c r="E39" s="8"/>
      <c r="F39" s="8"/>
      <c r="G39" s="8"/>
      <c r="H39" s="8"/>
    </row>
    <row r="40" spans="1:8" x14ac:dyDescent="0.2">
      <c r="A40" s="32"/>
      <c r="B40" s="6"/>
      <c r="C40" s="33"/>
      <c r="D40" s="34" t="s">
        <v>3</v>
      </c>
      <c r="E40" s="8"/>
      <c r="F40" s="8"/>
      <c r="G40" s="8"/>
      <c r="H40" s="8"/>
    </row>
    <row r="41" spans="1:8" x14ac:dyDescent="0.2">
      <c r="A41" s="29" t="s">
        <v>19</v>
      </c>
      <c r="B41" s="35" t="str">
        <f>[1]Charters!A40</f>
        <v>1C</v>
      </c>
      <c r="C41" s="36" t="s">
        <v>4</v>
      </c>
      <c r="D41" s="37" t="s">
        <v>5</v>
      </c>
      <c r="E41" s="8"/>
      <c r="F41" s="8"/>
      <c r="G41" s="8"/>
      <c r="H41" s="8"/>
    </row>
    <row r="42" spans="1:8" x14ac:dyDescent="0.2">
      <c r="A42" s="38" t="s">
        <v>6</v>
      </c>
      <c r="B42" s="39"/>
      <c r="C42" s="40"/>
      <c r="D42" s="41"/>
      <c r="E42" s="8"/>
      <c r="F42" s="8"/>
      <c r="G42" s="8"/>
      <c r="H42" s="8"/>
    </row>
    <row r="43" spans="1:8" x14ac:dyDescent="0.2">
      <c r="A43" s="38" t="s">
        <v>7</v>
      </c>
      <c r="B43" s="39"/>
      <c r="C43" s="40"/>
      <c r="D43" s="41"/>
      <c r="E43" s="8"/>
      <c r="F43" s="42" t="s">
        <v>23</v>
      </c>
      <c r="G43" s="8"/>
      <c r="H43" s="42" t="s">
        <v>26</v>
      </c>
    </row>
    <row r="44" spans="1:8" x14ac:dyDescent="0.2">
      <c r="A44" s="20" t="s">
        <v>8</v>
      </c>
      <c r="B44" s="43"/>
      <c r="C44" s="44">
        <f>[1]Charters!C500</f>
        <v>441.23599999999999</v>
      </c>
      <c r="D44" s="45">
        <f>[1]Charters!E500</f>
        <v>1404894.89</v>
      </c>
      <c r="E44" s="8"/>
      <c r="F44" s="42">
        <f>[1]Charters!E655</f>
        <v>1506827.04</v>
      </c>
      <c r="G44" s="8"/>
      <c r="H44" s="42">
        <f>[2]Charters!E194</f>
        <v>1857219.74</v>
      </c>
    </row>
    <row r="45" spans="1:8" x14ac:dyDescent="0.2">
      <c r="A45" s="20" t="s">
        <v>14</v>
      </c>
      <c r="B45" s="43"/>
      <c r="C45" s="44">
        <f>[1]Charters!F500</f>
        <v>32.014000000000003</v>
      </c>
      <c r="D45" s="45">
        <f>[1]Charters!H500</f>
        <v>101932.15</v>
      </c>
      <c r="E45" s="8"/>
      <c r="F45" s="42">
        <f>SUM(D44:D46)</f>
        <v>1506827.04</v>
      </c>
      <c r="G45" s="8"/>
      <c r="H45" s="42">
        <f>D57</f>
        <v>1857219.74</v>
      </c>
    </row>
    <row r="46" spans="1:8" x14ac:dyDescent="0.2">
      <c r="A46" s="20" t="s">
        <v>32</v>
      </c>
      <c r="B46" s="43"/>
      <c r="C46" s="44">
        <f>[1]Charters!C193</f>
        <v>0</v>
      </c>
      <c r="D46" s="45">
        <f>[1]Charters!E193</f>
        <v>0</v>
      </c>
      <c r="E46" s="8"/>
      <c r="F46" s="42">
        <f>+F44-F45</f>
        <v>0</v>
      </c>
      <c r="G46" s="8"/>
      <c r="H46" s="42">
        <f>+H44-H45</f>
        <v>0</v>
      </c>
    </row>
    <row r="47" spans="1:8" x14ac:dyDescent="0.2">
      <c r="A47" s="38" t="s">
        <v>9</v>
      </c>
      <c r="B47" s="39"/>
      <c r="C47" s="46"/>
      <c r="D47" s="47"/>
      <c r="E47" s="8"/>
      <c r="F47" s="8"/>
      <c r="G47" s="8"/>
      <c r="H47" s="8"/>
    </row>
    <row r="48" spans="1:8" x14ac:dyDescent="0.2">
      <c r="A48" s="20" t="s">
        <v>10</v>
      </c>
      <c r="B48" s="43"/>
      <c r="C48" s="40">
        <f>[3]Charters!C39</f>
        <v>55.673000000000002</v>
      </c>
      <c r="D48" s="41">
        <f>[3]Charters!E39</f>
        <v>177261.7</v>
      </c>
      <c r="E48" s="8"/>
      <c r="F48" s="42" t="s">
        <v>24</v>
      </c>
      <c r="G48" s="8"/>
      <c r="H48" s="8"/>
    </row>
    <row r="49" spans="1:8" x14ac:dyDescent="0.2">
      <c r="A49" s="48" t="s">
        <v>11</v>
      </c>
      <c r="B49" s="43"/>
      <c r="C49" s="40">
        <f>[3]Charters!F39</f>
        <v>5</v>
      </c>
      <c r="D49" s="49">
        <f>[3]Charters!H39</f>
        <v>15920</v>
      </c>
      <c r="E49" s="8"/>
      <c r="F49" s="42">
        <f>[3]Charters!N350</f>
        <v>201465.94</v>
      </c>
      <c r="G49" s="8"/>
      <c r="H49" s="8"/>
    </row>
    <row r="50" spans="1:8" x14ac:dyDescent="0.2">
      <c r="A50" s="48" t="s">
        <v>12</v>
      </c>
      <c r="B50" s="43"/>
      <c r="C50" s="40">
        <f>[3]Charters!C194</f>
        <v>0</v>
      </c>
      <c r="D50" s="41">
        <f>[3]Charters!E194</f>
        <v>0</v>
      </c>
      <c r="E50" s="8"/>
      <c r="F50" s="42">
        <f>SUM(D48:D54)</f>
        <v>201465.94</v>
      </c>
      <c r="G50" s="8"/>
      <c r="H50" s="8"/>
    </row>
    <row r="51" spans="1:8" x14ac:dyDescent="0.2">
      <c r="A51" s="20" t="s">
        <v>13</v>
      </c>
      <c r="B51" s="43"/>
      <c r="C51" s="40">
        <f>[3]Charters!F194</f>
        <v>1</v>
      </c>
      <c r="D51" s="41">
        <f>[3]Charters!H194</f>
        <v>3184.03</v>
      </c>
      <c r="E51" s="8"/>
      <c r="F51" s="42">
        <f>+F49-F50</f>
        <v>0</v>
      </c>
      <c r="G51" s="8"/>
      <c r="H51" s="8"/>
    </row>
    <row r="52" spans="1:8" x14ac:dyDescent="0.2">
      <c r="A52" s="48" t="s">
        <v>54</v>
      </c>
      <c r="B52" s="43"/>
      <c r="C52" s="40">
        <f>[3]Charters!C350</f>
        <v>1.6020000000000001</v>
      </c>
      <c r="D52" s="41">
        <f>[3]Charters!E350</f>
        <v>5100.21</v>
      </c>
      <c r="E52" s="8"/>
      <c r="F52" s="8"/>
      <c r="G52" s="8"/>
      <c r="H52" s="8"/>
    </row>
    <row r="53" spans="1:8" x14ac:dyDescent="0.2">
      <c r="A53" s="48" t="s">
        <v>55</v>
      </c>
      <c r="B53" s="43"/>
      <c r="C53" s="40">
        <f>[3]Charters!F350</f>
        <v>0</v>
      </c>
      <c r="D53" s="41">
        <f>[3]Charters!H350</f>
        <v>0</v>
      </c>
      <c r="E53" s="8"/>
      <c r="F53" s="42" t="s">
        <v>25</v>
      </c>
      <c r="G53" s="8"/>
      <c r="H53" s="8"/>
    </row>
    <row r="54" spans="1:8" x14ac:dyDescent="0.2">
      <c r="A54" s="48" t="s">
        <v>56</v>
      </c>
      <c r="B54" s="43"/>
      <c r="C54" s="40">
        <f>[3]Charters!I350</f>
        <v>0</v>
      </c>
      <c r="D54" s="41">
        <f>[3]Charters!K350</f>
        <v>0</v>
      </c>
      <c r="E54" s="8"/>
      <c r="F54" s="42">
        <f>[2]Charters!H40</f>
        <v>350392.7</v>
      </c>
      <c r="G54" s="8"/>
      <c r="H54" s="8"/>
    </row>
    <row r="55" spans="1:8" x14ac:dyDescent="0.2">
      <c r="A55" s="20" t="s">
        <v>49</v>
      </c>
      <c r="B55" s="43"/>
      <c r="C55" s="40">
        <f>[3]Charters!C507</f>
        <v>0</v>
      </c>
      <c r="D55" s="41">
        <f>[3]Charters!E507</f>
        <v>0</v>
      </c>
      <c r="E55" s="8"/>
      <c r="F55" s="42">
        <f>SUM(D48:D56)</f>
        <v>350392.7</v>
      </c>
      <c r="G55" s="8"/>
      <c r="H55" s="8"/>
    </row>
    <row r="56" spans="1:8" x14ac:dyDescent="0.2">
      <c r="A56" s="20" t="s">
        <v>50</v>
      </c>
      <c r="B56" s="43"/>
      <c r="C56" s="40">
        <f>[2]Charters!C40</f>
        <v>46.773000000000003</v>
      </c>
      <c r="D56" s="41">
        <f>[2]Charters!E40</f>
        <v>148926.76</v>
      </c>
      <c r="E56" s="8"/>
      <c r="F56" s="42">
        <f>+F54-F55</f>
        <v>0</v>
      </c>
      <c r="G56" s="8"/>
      <c r="H56" s="8"/>
    </row>
    <row r="57" spans="1:8" x14ac:dyDescent="0.2">
      <c r="A57" s="50"/>
      <c r="B57" s="51" t="s">
        <v>16</v>
      </c>
      <c r="C57" s="52">
        <f>SUM(C44:C56)</f>
        <v>583.298</v>
      </c>
      <c r="D57" s="53">
        <f>SUM(D44:D56)</f>
        <v>1857219.74</v>
      </c>
      <c r="E57" s="8"/>
      <c r="F57" s="8"/>
      <c r="G57" s="8"/>
      <c r="H57" s="8"/>
    </row>
    <row r="58" spans="1:8" x14ac:dyDescent="0.2">
      <c r="A58" s="54" t="s">
        <v>17</v>
      </c>
      <c r="B58" s="39"/>
      <c r="C58" s="55"/>
      <c r="D58" s="47"/>
      <c r="E58" s="8"/>
      <c r="F58" s="8"/>
      <c r="G58" s="8"/>
      <c r="H58" s="42" t="s">
        <v>29</v>
      </c>
    </row>
    <row r="59" spans="1:8" x14ac:dyDescent="0.2">
      <c r="A59" s="20" t="s">
        <v>33</v>
      </c>
      <c r="B59" s="43"/>
      <c r="C59" s="56"/>
      <c r="D59" s="57">
        <f>[4]Charters!C39</f>
        <v>5383.09</v>
      </c>
      <c r="E59" s="8"/>
      <c r="F59" s="8"/>
      <c r="G59" s="8"/>
      <c r="H59" s="42">
        <f>[4]Charters!F980</f>
        <v>3057032.79</v>
      </c>
    </row>
    <row r="60" spans="1:8" x14ac:dyDescent="0.2">
      <c r="A60" s="58" t="s">
        <v>35</v>
      </c>
      <c r="B60" s="43"/>
      <c r="C60" s="56"/>
      <c r="D60" s="41">
        <f>+[4]Charters!F360</f>
        <v>2123.66</v>
      </c>
      <c r="E60" s="8"/>
      <c r="F60" s="8"/>
      <c r="G60" s="8"/>
      <c r="H60" s="42">
        <f>SUM(D57:D76)</f>
        <v>3057032.79</v>
      </c>
    </row>
    <row r="61" spans="1:8" x14ac:dyDescent="0.2">
      <c r="A61" s="59" t="s">
        <v>36</v>
      </c>
      <c r="B61" s="43"/>
      <c r="C61" s="56"/>
      <c r="D61" s="41">
        <f>[4]Charters!E199</f>
        <v>17968</v>
      </c>
      <c r="E61" s="8"/>
      <c r="F61" s="8"/>
      <c r="G61" s="8"/>
      <c r="H61" s="42">
        <f>+H59-H60</f>
        <v>0</v>
      </c>
    </row>
    <row r="62" spans="1:8" x14ac:dyDescent="0.2">
      <c r="A62" s="59" t="s">
        <v>52</v>
      </c>
      <c r="B62" s="43"/>
      <c r="C62" s="56"/>
      <c r="D62" s="41">
        <f>[4]Charters!G360</f>
        <v>0</v>
      </c>
      <c r="E62" s="8"/>
      <c r="F62" s="42" t="s">
        <v>27</v>
      </c>
      <c r="G62" s="8"/>
      <c r="H62" s="42"/>
    </row>
    <row r="63" spans="1:8" x14ac:dyDescent="0.2">
      <c r="A63" s="20" t="s">
        <v>37</v>
      </c>
      <c r="B63" s="43"/>
      <c r="C63" s="56"/>
      <c r="D63" s="41">
        <f>[4]Charters!E516</f>
        <v>38607</v>
      </c>
      <c r="E63" s="8"/>
      <c r="F63" s="42">
        <f>[4]Charters!E199</f>
        <v>17968</v>
      </c>
      <c r="G63" s="8"/>
      <c r="H63" s="8"/>
    </row>
    <row r="64" spans="1:8" x14ac:dyDescent="0.2">
      <c r="A64" s="20" t="s">
        <v>38</v>
      </c>
      <c r="B64" s="43"/>
      <c r="C64" s="56"/>
      <c r="D64" s="41">
        <f>[4]Charters!F516</f>
        <v>0</v>
      </c>
      <c r="E64" s="8"/>
      <c r="F64" s="42">
        <f>SUM(D61:D61)</f>
        <v>17968</v>
      </c>
      <c r="G64" s="8"/>
      <c r="H64" s="8"/>
    </row>
    <row r="65" spans="1:8" x14ac:dyDescent="0.2">
      <c r="A65" s="59" t="s">
        <v>40</v>
      </c>
      <c r="B65" s="43"/>
      <c r="C65" s="56"/>
      <c r="D65" s="41">
        <f>[4]Charters!G516</f>
        <v>0</v>
      </c>
      <c r="E65" s="8"/>
      <c r="F65" s="42">
        <f>+F63-F64</f>
        <v>0</v>
      </c>
      <c r="G65" s="8"/>
      <c r="H65" s="8"/>
    </row>
    <row r="66" spans="1:8" x14ac:dyDescent="0.2">
      <c r="A66" s="20" t="s">
        <v>41</v>
      </c>
      <c r="B66" s="43"/>
      <c r="C66" s="56"/>
      <c r="D66" s="41">
        <f>[4]Charters!C671</f>
        <v>960480</v>
      </c>
      <c r="E66" s="8"/>
      <c r="F66" s="42" t="s">
        <v>28</v>
      </c>
      <c r="G66" s="8"/>
      <c r="H66" s="8"/>
    </row>
    <row r="67" spans="1:8" x14ac:dyDescent="0.2">
      <c r="A67" s="20" t="s">
        <v>42</v>
      </c>
      <c r="B67" s="43"/>
      <c r="C67" s="56"/>
      <c r="D67" s="41">
        <f>[4]Charters!D671</f>
        <v>111710.98</v>
      </c>
      <c r="E67" s="8"/>
      <c r="F67" s="42">
        <f>[4]Charters!D516</f>
        <v>20091.66</v>
      </c>
      <c r="G67" s="8"/>
      <c r="H67" s="8"/>
    </row>
    <row r="68" spans="1:8" x14ac:dyDescent="0.2">
      <c r="A68" s="20" t="s">
        <v>44</v>
      </c>
      <c r="B68" s="43"/>
      <c r="C68" s="56"/>
      <c r="D68" s="41">
        <f>[4]Charters!E671</f>
        <v>48000</v>
      </c>
      <c r="E68" s="8"/>
      <c r="F68" s="42">
        <f>SUM(D60:D62)</f>
        <v>20091.66</v>
      </c>
      <c r="G68" s="8"/>
      <c r="H68" s="8"/>
    </row>
    <row r="69" spans="1:8" x14ac:dyDescent="0.2">
      <c r="A69" s="59" t="s">
        <v>43</v>
      </c>
      <c r="B69" s="43"/>
      <c r="C69" s="56"/>
      <c r="D69" s="41">
        <f>[4]Charters!F671</f>
        <v>14791.4</v>
      </c>
      <c r="E69" s="8"/>
      <c r="F69" s="42">
        <f>+F67-F68</f>
        <v>0</v>
      </c>
      <c r="G69" s="8"/>
      <c r="H69" s="8"/>
    </row>
    <row r="70" spans="1:8" x14ac:dyDescent="0.2">
      <c r="A70" s="59" t="s">
        <v>45</v>
      </c>
      <c r="B70" s="43"/>
      <c r="C70" s="56"/>
      <c r="D70" s="41">
        <f>[4]Charters!C516</f>
        <v>0</v>
      </c>
      <c r="E70" s="8"/>
      <c r="F70" s="8"/>
      <c r="G70" s="8"/>
      <c r="H70" s="8"/>
    </row>
    <row r="71" spans="1:8" x14ac:dyDescent="0.2">
      <c r="A71" s="59" t="s">
        <v>46</v>
      </c>
      <c r="B71" s="43"/>
      <c r="C71" s="56"/>
      <c r="D71" s="41">
        <f>[4]Charters!C827</f>
        <v>0</v>
      </c>
      <c r="E71" s="42"/>
      <c r="F71" s="42"/>
      <c r="G71" s="42"/>
      <c r="H71" s="42" t="s">
        <v>31</v>
      </c>
    </row>
    <row r="72" spans="1:8" x14ac:dyDescent="0.2">
      <c r="A72" s="59" t="s">
        <v>51</v>
      </c>
      <c r="B72" s="43"/>
      <c r="C72" s="56"/>
      <c r="D72" s="60">
        <f>[4]Charters!D827</f>
        <v>748.92</v>
      </c>
      <c r="E72" s="42"/>
      <c r="F72" s="42"/>
      <c r="G72" s="42"/>
      <c r="H72" s="42">
        <f>[4]Charters!D1286</f>
        <v>3061205.6</v>
      </c>
    </row>
    <row r="73" spans="1:8" x14ac:dyDescent="0.2">
      <c r="A73" s="20" t="s">
        <v>47</v>
      </c>
      <c r="B73" s="43"/>
      <c r="C73" s="56"/>
      <c r="D73" s="60">
        <f>[4]Charters!E827</f>
        <v>0</v>
      </c>
      <c r="E73" s="42"/>
      <c r="F73" s="42"/>
      <c r="G73" s="42"/>
      <c r="H73" s="42">
        <f>D82</f>
        <v>3061205.6</v>
      </c>
    </row>
    <row r="74" spans="1:8" x14ac:dyDescent="0.2">
      <c r="A74" s="20" t="s">
        <v>57</v>
      </c>
      <c r="B74" s="43"/>
      <c r="C74" s="56"/>
      <c r="D74" s="60">
        <f>[4]Charters!C980</f>
        <v>0</v>
      </c>
      <c r="E74" s="42"/>
      <c r="F74" s="42"/>
      <c r="G74" s="42"/>
      <c r="H74" s="42">
        <f>+H72-H73</f>
        <v>0</v>
      </c>
    </row>
    <row r="75" spans="1:8" x14ac:dyDescent="0.2">
      <c r="A75" s="59" t="s">
        <v>53</v>
      </c>
      <c r="B75" s="43"/>
      <c r="C75" s="56"/>
      <c r="D75" s="60">
        <f>[4]Charters!D980</f>
        <v>0</v>
      </c>
      <c r="E75" s="42"/>
      <c r="F75" s="42" t="s">
        <v>30</v>
      </c>
      <c r="G75" s="42"/>
      <c r="H75" s="42"/>
    </row>
    <row r="76" spans="1:8" x14ac:dyDescent="0.2">
      <c r="A76" s="59" t="s">
        <v>59</v>
      </c>
      <c r="B76" s="43"/>
      <c r="C76" s="56"/>
      <c r="D76" s="60">
        <f>[4]Charters!E980</f>
        <v>0</v>
      </c>
      <c r="E76" s="42"/>
      <c r="F76" s="42"/>
      <c r="G76" s="42"/>
      <c r="H76" s="42"/>
    </row>
    <row r="77" spans="1:8" x14ac:dyDescent="0.2">
      <c r="A77" s="38" t="s">
        <v>18</v>
      </c>
      <c r="B77" s="61"/>
      <c r="C77" s="62"/>
      <c r="D77" s="87"/>
      <c r="E77" s="42"/>
      <c r="F77" s="42">
        <f>[4]Charters!C1286</f>
        <v>4172.8100000000004</v>
      </c>
      <c r="G77" s="42"/>
      <c r="H77" s="42"/>
    </row>
    <row r="78" spans="1:8" x14ac:dyDescent="0.2">
      <c r="A78" s="59" t="s">
        <v>39</v>
      </c>
      <c r="B78" s="43"/>
      <c r="C78" s="56"/>
      <c r="D78" s="41">
        <f>[4]Charters!C1133</f>
        <v>4172.8100000000004</v>
      </c>
      <c r="E78" s="42"/>
      <c r="F78" s="42">
        <f>SUM(D78:D81)</f>
        <v>4172.8100000000004</v>
      </c>
      <c r="G78" s="42"/>
      <c r="H78" s="42"/>
    </row>
    <row r="79" spans="1:8" x14ac:dyDescent="0.2">
      <c r="A79" s="59" t="s">
        <v>48</v>
      </c>
      <c r="B79" s="43"/>
      <c r="C79" s="56"/>
      <c r="D79" s="41">
        <f>[4]Charters!D1133</f>
        <v>0</v>
      </c>
      <c r="E79" s="42"/>
      <c r="F79" s="42">
        <f>+F77-F78</f>
        <v>0</v>
      </c>
      <c r="G79" s="42"/>
      <c r="H79" s="42"/>
    </row>
    <row r="80" spans="1:8" x14ac:dyDescent="0.2">
      <c r="A80" s="59" t="s">
        <v>60</v>
      </c>
      <c r="B80" s="43"/>
      <c r="C80" s="56"/>
      <c r="D80" s="41">
        <f>[4]Charters!E1133</f>
        <v>0</v>
      </c>
      <c r="E80" s="42"/>
      <c r="F80" s="42"/>
      <c r="G80" s="42"/>
      <c r="H80" s="42"/>
    </row>
    <row r="81" spans="1:8" x14ac:dyDescent="0.2">
      <c r="A81" s="59" t="s">
        <v>61</v>
      </c>
      <c r="B81" s="43"/>
      <c r="C81" s="56"/>
      <c r="D81" s="41">
        <f>[4]Charters!F1133</f>
        <v>0</v>
      </c>
      <c r="E81" s="42"/>
      <c r="F81" s="42"/>
      <c r="G81" s="42"/>
      <c r="H81" s="42"/>
    </row>
    <row r="82" spans="1:8" ht="13.5" thickBot="1" x14ac:dyDescent="0.25">
      <c r="A82" s="64"/>
      <c r="B82" s="65"/>
      <c r="C82" s="66"/>
      <c r="D82" s="67">
        <f>SUM(D57:D81)</f>
        <v>3061205.6</v>
      </c>
      <c r="E82" s="42"/>
      <c r="F82" s="42"/>
      <c r="G82" s="42"/>
      <c r="H82" s="42"/>
    </row>
    <row r="83" spans="1:8" ht="13.5" thickTop="1" x14ac:dyDescent="0.2">
      <c r="A83" s="68"/>
      <c r="B83" s="43"/>
      <c r="C83" s="56"/>
      <c r="D83" s="86"/>
      <c r="E83" s="42"/>
      <c r="F83" s="42"/>
      <c r="G83" s="42"/>
      <c r="H83" s="42"/>
    </row>
    <row r="84" spans="1:8" x14ac:dyDescent="0.2">
      <c r="A84" s="38" t="s">
        <v>20</v>
      </c>
      <c r="B84" s="39"/>
      <c r="C84" s="70"/>
      <c r="D84" s="71" t="s">
        <v>21</v>
      </c>
      <c r="E84" s="42"/>
      <c r="F84" s="42"/>
      <c r="G84" s="42"/>
      <c r="H84" s="42"/>
    </row>
    <row r="85" spans="1:8" x14ac:dyDescent="0.2">
      <c r="A85" s="72" t="s">
        <v>22</v>
      </c>
      <c r="B85" s="73"/>
      <c r="C85" s="74"/>
      <c r="D85" s="41">
        <f>[5]Charters!C39</f>
        <v>1245.45</v>
      </c>
      <c r="E85" s="42"/>
      <c r="F85" s="42"/>
      <c r="G85" s="42"/>
      <c r="H85" s="42"/>
    </row>
    <row r="86" spans="1:8" x14ac:dyDescent="0.2">
      <c r="A86" s="75"/>
      <c r="B86" s="61"/>
      <c r="C86" s="76"/>
      <c r="D86" s="77">
        <f>SUM(D85:D85)</f>
        <v>1245.45</v>
      </c>
      <c r="E86" s="42"/>
      <c r="F86" s="42"/>
      <c r="G86" s="42"/>
      <c r="H86" s="42"/>
    </row>
    <row r="87" spans="1:8" x14ac:dyDescent="0.2">
      <c r="A87" s="78" t="s">
        <v>58</v>
      </c>
      <c r="B87" s="79"/>
      <c r="C87" s="80"/>
      <c r="D87" s="77">
        <f>D86+D82</f>
        <v>3062451.05</v>
      </c>
      <c r="E87" s="42"/>
      <c r="F87" s="42"/>
      <c r="G87" s="42"/>
      <c r="H87" s="42"/>
    </row>
    <row r="88" spans="1:8" x14ac:dyDescent="0.2">
      <c r="A88" s="84"/>
      <c r="B88" s="84"/>
      <c r="C88" s="85"/>
      <c r="D88" s="81"/>
      <c r="E88" s="42"/>
      <c r="F88" s="42"/>
      <c r="G88" s="42"/>
      <c r="H88" s="42"/>
    </row>
    <row r="89" spans="1:8" x14ac:dyDescent="0.2">
      <c r="A89" s="84"/>
      <c r="B89" s="84"/>
      <c r="C89" s="85"/>
      <c r="D89" s="81">
        <f>[5]Charters!E195</f>
        <v>3062451.05</v>
      </c>
      <c r="E89" s="42"/>
      <c r="F89" s="42"/>
      <c r="G89" s="42"/>
      <c r="H89" s="42"/>
    </row>
    <row r="90" spans="1:8" x14ac:dyDescent="0.2">
      <c r="A90" s="84"/>
      <c r="B90" s="84"/>
      <c r="C90" s="85"/>
      <c r="D90" s="81">
        <f>D87</f>
        <v>3062451.05</v>
      </c>
      <c r="E90" s="42"/>
      <c r="F90" s="42"/>
      <c r="G90" s="42"/>
      <c r="H90" s="42"/>
    </row>
    <row r="91" spans="1:8" x14ac:dyDescent="0.2">
      <c r="C91" s="83"/>
      <c r="D91" s="42">
        <f>D89-D90</f>
        <v>0</v>
      </c>
      <c r="E91" s="42"/>
      <c r="F91" s="42"/>
      <c r="G91" s="42"/>
      <c r="H91" s="42"/>
    </row>
  </sheetData>
  <mergeCells count="4">
    <mergeCell ref="A33:D33"/>
    <mergeCell ref="A34:D34"/>
    <mergeCell ref="A35:D35"/>
    <mergeCell ref="A87:C87"/>
  </mergeCells>
  <phoneticPr fontId="0" type="noConversion"/>
  <printOptions horizontalCentered="1" verticalCentered="1"/>
  <pageMargins left="0.5" right="0.5" top="0.5" bottom="0.5" header="0.25" footer="0.25"/>
  <pageSetup orientation="portrait" r:id="rId1"/>
  <headerFooter alignWithMargins="0">
    <oddHeader>&amp;R&amp;8Current as of: &amp;D</oddHeader>
    <oddFooter>&amp;L&amp;8USOE, School Finance</oddFooter>
  </headerFooter>
  <picture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>
    <pageSetUpPr fitToPage="1"/>
  </sheetPr>
  <dimension ref="A1:H92"/>
  <sheetViews>
    <sheetView showGridLines="0" topLeftCell="A38" workbookViewId="0">
      <selection activeCell="C12" sqref="C12"/>
    </sheetView>
  </sheetViews>
  <sheetFormatPr defaultColWidth="9.140625" defaultRowHeight="12.75" x14ac:dyDescent="0.2"/>
  <cols>
    <col min="1" max="1" width="31.85546875" style="82" customWidth="1"/>
    <col min="2" max="2" width="14.28515625" style="82" customWidth="1"/>
    <col min="3" max="4" width="14.85546875" style="82" customWidth="1"/>
    <col min="5" max="5" width="7" style="82" customWidth="1"/>
    <col min="6" max="6" width="19.7109375" style="82" customWidth="1"/>
    <col min="7" max="7" width="5.7109375" style="82" customWidth="1"/>
    <col min="8" max="8" width="18" style="82" customWidth="1"/>
    <col min="9" max="16384" width="9.140625" style="82"/>
  </cols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"/>
      <c r="B3" s="1"/>
      <c r="C3" s="1"/>
      <c r="D3" s="1"/>
      <c r="E3" s="1"/>
      <c r="F3" s="1"/>
      <c r="G3" s="1"/>
      <c r="H3" s="1"/>
    </row>
    <row r="4" spans="1:8" x14ac:dyDescent="0.2">
      <c r="A4" s="1"/>
      <c r="B4" s="1"/>
      <c r="C4" s="1"/>
      <c r="D4" s="1"/>
      <c r="E4" s="1"/>
      <c r="F4" s="1"/>
      <c r="G4" s="1"/>
      <c r="H4" s="1"/>
    </row>
    <row r="5" spans="1:8" x14ac:dyDescent="0.2">
      <c r="A5" s="1"/>
      <c r="B5" s="1"/>
      <c r="C5" s="1"/>
      <c r="D5" s="1"/>
      <c r="E5" s="1"/>
      <c r="F5" s="1"/>
      <c r="G5" s="1"/>
      <c r="H5" s="1"/>
    </row>
    <row r="6" spans="1:8" x14ac:dyDescent="0.2">
      <c r="A6" s="1"/>
      <c r="B6" s="1"/>
      <c r="C6" s="1"/>
      <c r="D6" s="1"/>
      <c r="E6" s="1"/>
      <c r="F6" s="1"/>
      <c r="G6" s="1"/>
      <c r="H6" s="1"/>
    </row>
    <row r="7" spans="1:8" x14ac:dyDescent="0.2">
      <c r="A7" s="1"/>
      <c r="B7" s="1"/>
      <c r="C7" s="1"/>
      <c r="D7" s="1"/>
      <c r="E7" s="1"/>
      <c r="F7" s="1"/>
      <c r="G7" s="1"/>
      <c r="H7" s="1"/>
    </row>
    <row r="8" spans="1:8" x14ac:dyDescent="0.2">
      <c r="A8" s="1"/>
      <c r="B8" s="1"/>
      <c r="C8" s="1"/>
      <c r="D8" s="1"/>
      <c r="E8" s="1"/>
      <c r="F8" s="1"/>
      <c r="G8" s="1"/>
      <c r="H8" s="1"/>
    </row>
    <row r="9" spans="1:8" x14ac:dyDescent="0.2">
      <c r="A9" s="1"/>
      <c r="B9" s="1"/>
      <c r="C9" s="1"/>
      <c r="D9" s="1"/>
      <c r="E9" s="1"/>
      <c r="F9" s="1"/>
      <c r="G9" s="1"/>
      <c r="H9" s="1"/>
    </row>
    <row r="10" spans="1:8" x14ac:dyDescent="0.2">
      <c r="A10" s="1"/>
      <c r="B10" s="1"/>
      <c r="C10" s="1"/>
      <c r="D10" s="1"/>
      <c r="E10" s="1"/>
      <c r="F10" s="1"/>
      <c r="G10" s="1"/>
      <c r="H10" s="1"/>
    </row>
    <row r="11" spans="1:8" x14ac:dyDescent="0.2">
      <c r="A11" s="1"/>
      <c r="B11" s="1"/>
      <c r="C11" s="1"/>
      <c r="D11" s="1"/>
      <c r="E11" s="1"/>
      <c r="F11" s="1"/>
      <c r="G11" s="1"/>
      <c r="H11" s="1"/>
    </row>
    <row r="12" spans="1:8" x14ac:dyDescent="0.2">
      <c r="A12" s="1"/>
      <c r="B12" s="1"/>
      <c r="C12" s="1"/>
      <c r="D12" s="1"/>
      <c r="E12" s="1"/>
      <c r="F12" s="1"/>
      <c r="G12" s="1"/>
      <c r="H12" s="1"/>
    </row>
    <row r="13" spans="1:8" x14ac:dyDescent="0.2">
      <c r="A13" s="1"/>
      <c r="B13" s="1"/>
      <c r="C13" s="1"/>
      <c r="D13" s="1"/>
      <c r="E13" s="1"/>
      <c r="F13" s="1"/>
      <c r="G13" s="1"/>
      <c r="H13" s="1"/>
    </row>
    <row r="14" spans="1:8" x14ac:dyDescent="0.2">
      <c r="A14" s="1"/>
      <c r="B14" s="1"/>
      <c r="C14" s="1"/>
      <c r="D14" s="1"/>
      <c r="E14" s="1"/>
      <c r="F14" s="1"/>
      <c r="G14" s="1"/>
      <c r="H14" s="1"/>
    </row>
    <row r="15" spans="1:8" x14ac:dyDescent="0.2">
      <c r="A15" s="1"/>
      <c r="B15" s="1"/>
      <c r="C15" s="1"/>
      <c r="D15" s="1"/>
      <c r="E15" s="1"/>
      <c r="F15" s="1"/>
      <c r="G15" s="1"/>
      <c r="H15" s="1"/>
    </row>
    <row r="16" spans="1:8" x14ac:dyDescent="0.2">
      <c r="A16" s="1"/>
      <c r="B16" s="1"/>
      <c r="C16" s="1"/>
      <c r="D16" s="1"/>
      <c r="E16" s="1"/>
      <c r="F16" s="1"/>
      <c r="G16" s="1"/>
      <c r="H16" s="1"/>
    </row>
    <row r="17" spans="1:8" x14ac:dyDescent="0.2">
      <c r="A17" s="1"/>
      <c r="B17" s="1"/>
      <c r="C17" s="1"/>
      <c r="D17" s="1"/>
      <c r="E17" s="1"/>
      <c r="F17" s="1"/>
      <c r="G17" s="1"/>
      <c r="H17" s="1"/>
    </row>
    <row r="18" spans="1:8" x14ac:dyDescent="0.2">
      <c r="A18" s="1"/>
      <c r="B18" s="1"/>
      <c r="C18" s="1"/>
      <c r="D18" s="1"/>
      <c r="E18" s="1"/>
      <c r="F18" s="1"/>
      <c r="G18" s="1"/>
      <c r="H18" s="1"/>
    </row>
    <row r="19" spans="1:8" x14ac:dyDescent="0.2">
      <c r="A19" s="1"/>
      <c r="B19" s="1"/>
      <c r="C19" s="1"/>
      <c r="D19" s="1"/>
      <c r="E19" s="1"/>
      <c r="F19" s="1"/>
      <c r="G19" s="1"/>
      <c r="H19" s="1"/>
    </row>
    <row r="20" spans="1:8" x14ac:dyDescent="0.2">
      <c r="A20" s="1"/>
      <c r="B20" s="1"/>
      <c r="C20" s="1"/>
      <c r="D20" s="1"/>
      <c r="E20" s="1"/>
      <c r="F20" s="1"/>
      <c r="G20" s="1"/>
      <c r="H20" s="1"/>
    </row>
    <row r="21" spans="1:8" x14ac:dyDescent="0.2">
      <c r="A21" s="1"/>
      <c r="B21" s="1"/>
      <c r="C21" s="1"/>
      <c r="D21" s="1"/>
      <c r="E21" s="1"/>
      <c r="F21" s="1"/>
      <c r="G21" s="1"/>
      <c r="H21" s="1"/>
    </row>
    <row r="22" spans="1:8" x14ac:dyDescent="0.2">
      <c r="A22" s="1"/>
      <c r="B22" s="1"/>
      <c r="C22" s="1"/>
      <c r="D22" s="4"/>
      <c r="E22" s="1"/>
      <c r="F22" s="1"/>
      <c r="G22" s="1"/>
      <c r="H22" s="1"/>
    </row>
    <row r="23" spans="1:8" x14ac:dyDescent="0.2">
      <c r="A23" s="1"/>
      <c r="B23" s="1"/>
      <c r="C23" s="1"/>
      <c r="D23" s="1"/>
      <c r="E23" s="1"/>
      <c r="F23" s="1"/>
      <c r="G23" s="1"/>
      <c r="H23" s="1"/>
    </row>
    <row r="24" spans="1:8" x14ac:dyDescent="0.2">
      <c r="A24" s="1"/>
      <c r="B24" s="1"/>
      <c r="C24" s="1"/>
      <c r="D24" s="1"/>
      <c r="E24" s="1"/>
      <c r="F24" s="1"/>
      <c r="G24" s="1"/>
      <c r="H24" s="1"/>
    </row>
    <row r="25" spans="1:8" x14ac:dyDescent="0.2">
      <c r="A25" s="1"/>
      <c r="B25" s="1"/>
      <c r="C25" s="1"/>
      <c r="D25" s="1"/>
      <c r="E25" s="1"/>
      <c r="F25" s="1"/>
      <c r="G25" s="1"/>
      <c r="H25" s="1"/>
    </row>
    <row r="26" spans="1:8" x14ac:dyDescent="0.2">
      <c r="A26" s="1"/>
      <c r="B26" s="1"/>
      <c r="C26" s="1"/>
      <c r="D26" s="1"/>
      <c r="E26" s="1"/>
      <c r="F26" s="1"/>
      <c r="G26" s="1"/>
      <c r="H26" s="1"/>
    </row>
    <row r="27" spans="1:8" x14ac:dyDescent="0.2">
      <c r="A27" s="1"/>
      <c r="B27" s="1"/>
      <c r="C27" s="1"/>
      <c r="D27" s="1"/>
      <c r="E27" s="1"/>
      <c r="F27" s="1"/>
      <c r="G27" s="1"/>
      <c r="H27" s="1"/>
    </row>
    <row r="28" spans="1:8" x14ac:dyDescent="0.2">
      <c r="A28" s="1"/>
      <c r="B28" s="1"/>
      <c r="C28" s="1"/>
      <c r="D28" s="1"/>
      <c r="E28" s="1"/>
      <c r="F28" s="1"/>
      <c r="G28" s="1"/>
      <c r="H28" s="1"/>
    </row>
    <row r="29" spans="1:8" x14ac:dyDescent="0.2">
      <c r="A29" s="1"/>
      <c r="B29" s="1"/>
      <c r="C29" s="1"/>
      <c r="D29" s="1"/>
      <c r="E29" s="1"/>
      <c r="F29" s="1"/>
      <c r="G29" s="1"/>
      <c r="H29" s="1"/>
    </row>
    <row r="30" spans="1:8" x14ac:dyDescent="0.2">
      <c r="A30" s="1"/>
      <c r="B30" s="1"/>
      <c r="C30" s="1"/>
      <c r="D30" s="1"/>
      <c r="E30" s="1"/>
      <c r="F30" s="1"/>
      <c r="G30" s="1"/>
      <c r="H30" s="1"/>
    </row>
    <row r="31" spans="1:8" x14ac:dyDescent="0.2">
      <c r="A31" s="1"/>
      <c r="B31" s="1"/>
      <c r="C31" s="1"/>
      <c r="D31" s="1"/>
      <c r="E31" s="1"/>
      <c r="F31" s="1"/>
      <c r="G31" s="1"/>
      <c r="H31" s="1"/>
    </row>
    <row r="32" spans="1:8" x14ac:dyDescent="0.2">
      <c r="A32" s="1"/>
      <c r="B32" s="1"/>
      <c r="C32" s="1"/>
      <c r="D32" s="1"/>
      <c r="E32" s="1"/>
      <c r="F32" s="1"/>
      <c r="G32" s="1"/>
      <c r="H32" s="1"/>
    </row>
    <row r="33" spans="1:8" x14ac:dyDescent="0.2">
      <c r="A33" s="1"/>
      <c r="B33" s="1"/>
      <c r="C33" s="1"/>
      <c r="D33" s="1"/>
      <c r="E33" s="1"/>
      <c r="F33" s="1"/>
      <c r="G33" s="1"/>
      <c r="H33" s="1"/>
    </row>
    <row r="34" spans="1:8" x14ac:dyDescent="0.2">
      <c r="A34" s="11" t="s">
        <v>1</v>
      </c>
      <c r="B34" s="12"/>
      <c r="C34" s="12"/>
      <c r="D34" s="13"/>
      <c r="E34" s="8"/>
      <c r="F34" s="8"/>
      <c r="G34" s="8"/>
      <c r="H34" s="8"/>
    </row>
    <row r="35" spans="1:8" x14ac:dyDescent="0.2">
      <c r="A35" s="14" t="s">
        <v>15</v>
      </c>
      <c r="B35" s="15"/>
      <c r="C35" s="15"/>
      <c r="D35" s="16"/>
      <c r="E35" s="8"/>
      <c r="F35" s="8"/>
      <c r="G35" s="8"/>
      <c r="H35" s="8"/>
    </row>
    <row r="36" spans="1:8" x14ac:dyDescent="0.2">
      <c r="A36" s="17" t="s">
        <v>62</v>
      </c>
      <c r="B36" s="18"/>
      <c r="C36" s="18"/>
      <c r="D36" s="19"/>
      <c r="E36" s="8"/>
      <c r="F36" s="8"/>
      <c r="G36" s="8"/>
      <c r="H36" s="8"/>
    </row>
    <row r="37" spans="1:8" x14ac:dyDescent="0.2">
      <c r="A37" s="20"/>
      <c r="B37" s="21"/>
      <c r="C37" s="22"/>
      <c r="D37" s="23"/>
      <c r="E37" s="8"/>
      <c r="F37" s="8" t="s">
        <v>34</v>
      </c>
      <c r="G37" s="8"/>
      <c r="H37" s="8"/>
    </row>
    <row r="38" spans="1:8" ht="15.75" x14ac:dyDescent="0.25">
      <c r="A38" s="24" t="s">
        <v>2</v>
      </c>
      <c r="B38" s="25" t="str">
        <f>[1]Charters!B41</f>
        <v>InTech Collegiate High School</v>
      </c>
      <c r="C38" s="26"/>
      <c r="D38" s="27"/>
      <c r="E38" s="8"/>
      <c r="F38" s="8"/>
      <c r="G38" s="8"/>
      <c r="H38" s="8"/>
    </row>
    <row r="39" spans="1:8" x14ac:dyDescent="0.2">
      <c r="A39" s="24"/>
      <c r="B39" s="28"/>
      <c r="C39" s="26"/>
      <c r="D39" s="27"/>
      <c r="E39" s="8"/>
      <c r="F39" s="8"/>
      <c r="G39" s="8"/>
      <c r="H39" s="8"/>
    </row>
    <row r="40" spans="1:8" x14ac:dyDescent="0.2">
      <c r="A40" s="29" t="s">
        <v>0</v>
      </c>
      <c r="B40" s="30">
        <f>[1]Charters!$E$6</f>
        <v>3184</v>
      </c>
      <c r="C40" s="26"/>
      <c r="D40" s="31"/>
      <c r="E40" s="8"/>
      <c r="F40" s="8"/>
      <c r="G40" s="8"/>
      <c r="H40" s="8"/>
    </row>
    <row r="41" spans="1:8" x14ac:dyDescent="0.2">
      <c r="A41" s="32"/>
      <c r="B41" s="6"/>
      <c r="C41" s="33"/>
      <c r="D41" s="34" t="s">
        <v>3</v>
      </c>
      <c r="E41" s="8"/>
      <c r="F41" s="8"/>
      <c r="G41" s="8"/>
      <c r="H41" s="8"/>
    </row>
    <row r="42" spans="1:8" x14ac:dyDescent="0.2">
      <c r="A42" s="29" t="s">
        <v>19</v>
      </c>
      <c r="B42" s="35" t="str">
        <f>[1]Charters!A41</f>
        <v>2C</v>
      </c>
      <c r="C42" s="36" t="s">
        <v>4</v>
      </c>
      <c r="D42" s="37" t="s">
        <v>5</v>
      </c>
      <c r="E42" s="8"/>
      <c r="F42" s="8"/>
      <c r="G42" s="8"/>
      <c r="H42" s="8"/>
    </row>
    <row r="43" spans="1:8" x14ac:dyDescent="0.2">
      <c r="A43" s="38" t="s">
        <v>6</v>
      </c>
      <c r="B43" s="39"/>
      <c r="C43" s="40"/>
      <c r="D43" s="41"/>
      <c r="E43" s="8"/>
      <c r="F43" s="8"/>
      <c r="G43" s="8"/>
      <c r="H43" s="8"/>
    </row>
    <row r="44" spans="1:8" x14ac:dyDescent="0.2">
      <c r="A44" s="38" t="s">
        <v>7</v>
      </c>
      <c r="B44" s="39"/>
      <c r="C44" s="40"/>
      <c r="D44" s="41"/>
      <c r="E44" s="8"/>
      <c r="F44" s="42" t="s">
        <v>23</v>
      </c>
      <c r="G44" s="8"/>
      <c r="H44" s="42" t="s">
        <v>26</v>
      </c>
    </row>
    <row r="45" spans="1:8" x14ac:dyDescent="0.2">
      <c r="A45" s="20" t="s">
        <v>8</v>
      </c>
      <c r="B45" s="43"/>
      <c r="C45" s="44">
        <f>[1]Charters!C501</f>
        <v>234.024</v>
      </c>
      <c r="D45" s="45">
        <f>[1]Charters!E501</f>
        <v>745133.83</v>
      </c>
      <c r="E45" s="8"/>
      <c r="F45" s="42">
        <f>[1]Charters!E656</f>
        <v>800278.01</v>
      </c>
      <c r="G45" s="8"/>
      <c r="H45" s="42">
        <f>[2]Charters!E195</f>
        <v>1027745.36</v>
      </c>
    </row>
    <row r="46" spans="1:8" x14ac:dyDescent="0.2">
      <c r="A46" s="20" t="s">
        <v>14</v>
      </c>
      <c r="B46" s="43"/>
      <c r="C46" s="44">
        <f>[1]Charters!F501</f>
        <v>17.318999999999999</v>
      </c>
      <c r="D46" s="45">
        <f>[1]Charters!H501</f>
        <v>55144.18</v>
      </c>
      <c r="E46" s="8"/>
      <c r="F46" s="42">
        <f>SUM(D45:D47)</f>
        <v>800278.01</v>
      </c>
      <c r="G46" s="8"/>
      <c r="H46" s="42">
        <f>D58</f>
        <v>1027745.36</v>
      </c>
    </row>
    <row r="47" spans="1:8" x14ac:dyDescent="0.2">
      <c r="A47" s="20" t="s">
        <v>32</v>
      </c>
      <c r="B47" s="43"/>
      <c r="C47" s="44">
        <f>[1]Charters!C194</f>
        <v>0</v>
      </c>
      <c r="D47" s="45">
        <f>[1]Charters!E194</f>
        <v>0</v>
      </c>
      <c r="E47" s="8"/>
      <c r="F47" s="42">
        <f>+F45-F46</f>
        <v>0</v>
      </c>
      <c r="G47" s="8"/>
      <c r="H47" s="42">
        <f>+H45-H46</f>
        <v>0</v>
      </c>
    </row>
    <row r="48" spans="1:8" x14ac:dyDescent="0.2">
      <c r="A48" s="38" t="s">
        <v>9</v>
      </c>
      <c r="B48" s="39"/>
      <c r="C48" s="46"/>
      <c r="D48" s="47"/>
      <c r="E48" s="8"/>
      <c r="F48" s="8"/>
      <c r="G48" s="8"/>
      <c r="H48" s="8"/>
    </row>
    <row r="49" spans="1:8" x14ac:dyDescent="0.2">
      <c r="A49" s="20" t="s">
        <v>10</v>
      </c>
      <c r="B49" s="43"/>
      <c r="C49" s="40">
        <f>[3]Charters!C40</f>
        <v>14.340999999999999</v>
      </c>
      <c r="D49" s="41">
        <f>[3]Charters!E40</f>
        <v>45662.95</v>
      </c>
      <c r="E49" s="8"/>
      <c r="F49" s="42" t="s">
        <v>24</v>
      </c>
      <c r="G49" s="8"/>
      <c r="H49" s="8"/>
    </row>
    <row r="50" spans="1:8" x14ac:dyDescent="0.2">
      <c r="A50" s="48" t="s">
        <v>11</v>
      </c>
      <c r="B50" s="43"/>
      <c r="C50" s="40">
        <f>[3]Charters!F40</f>
        <v>0</v>
      </c>
      <c r="D50" s="49">
        <f>[3]Charters!H40</f>
        <v>0</v>
      </c>
      <c r="E50" s="8"/>
      <c r="F50" s="42">
        <f>[3]Charters!N351</f>
        <v>49197</v>
      </c>
      <c r="G50" s="8"/>
      <c r="H50" s="8"/>
    </row>
    <row r="51" spans="1:8" x14ac:dyDescent="0.2">
      <c r="A51" s="48" t="s">
        <v>12</v>
      </c>
      <c r="B51" s="43"/>
      <c r="C51" s="40">
        <f>[3]Charters!C195</f>
        <v>0</v>
      </c>
      <c r="D51" s="41">
        <f>[3]Charters!E195</f>
        <v>0</v>
      </c>
      <c r="E51" s="8"/>
      <c r="F51" s="42">
        <f>SUM(D49:D55)</f>
        <v>49197</v>
      </c>
      <c r="G51" s="8"/>
      <c r="H51" s="8"/>
    </row>
    <row r="52" spans="1:8" x14ac:dyDescent="0.2">
      <c r="A52" s="20" t="s">
        <v>13</v>
      </c>
      <c r="B52" s="43"/>
      <c r="C52" s="40">
        <f>[3]Charters!F195</f>
        <v>0.70899999999999996</v>
      </c>
      <c r="D52" s="41">
        <f>[3]Charters!H195</f>
        <v>2259</v>
      </c>
      <c r="E52" s="8"/>
      <c r="F52" s="42">
        <f>+F50-F51</f>
        <v>0</v>
      </c>
      <c r="G52" s="8"/>
      <c r="H52" s="8"/>
    </row>
    <row r="53" spans="1:8" x14ac:dyDescent="0.2">
      <c r="A53" s="48" t="s">
        <v>54</v>
      </c>
      <c r="B53" s="43"/>
      <c r="C53" s="40">
        <f>[3]Charters!C351</f>
        <v>0.4</v>
      </c>
      <c r="D53" s="41">
        <f>[3]Charters!E351</f>
        <v>1275.05</v>
      </c>
      <c r="E53" s="8"/>
      <c r="F53" s="8"/>
      <c r="G53" s="8"/>
      <c r="H53" s="8"/>
    </row>
    <row r="54" spans="1:8" x14ac:dyDescent="0.2">
      <c r="A54" s="48" t="s">
        <v>55</v>
      </c>
      <c r="B54" s="43"/>
      <c r="C54" s="40">
        <f>[3]Charters!F351</f>
        <v>0</v>
      </c>
      <c r="D54" s="41">
        <f>[3]Charters!H351</f>
        <v>0</v>
      </c>
      <c r="E54" s="8"/>
      <c r="F54" s="42" t="s">
        <v>25</v>
      </c>
      <c r="G54" s="8"/>
      <c r="H54" s="8"/>
    </row>
    <row r="55" spans="1:8" x14ac:dyDescent="0.2">
      <c r="A55" s="48" t="s">
        <v>56</v>
      </c>
      <c r="B55" s="43"/>
      <c r="C55" s="40">
        <f>[3]Charters!I351</f>
        <v>0</v>
      </c>
      <c r="D55" s="41">
        <f>[3]Charters!K351</f>
        <v>0</v>
      </c>
      <c r="E55" s="8"/>
      <c r="F55" s="42">
        <f>[2]Charters!H41</f>
        <v>227467.35</v>
      </c>
      <c r="G55" s="8"/>
      <c r="H55" s="8"/>
    </row>
    <row r="56" spans="1:8" x14ac:dyDescent="0.2">
      <c r="A56" s="20" t="s">
        <v>49</v>
      </c>
      <c r="B56" s="43"/>
      <c r="C56" s="40">
        <f>[3]Charters!C508</f>
        <v>55.99</v>
      </c>
      <c r="D56" s="41">
        <f>[3]Charters!E508</f>
        <v>178270.35</v>
      </c>
      <c r="E56" s="8"/>
      <c r="F56" s="42">
        <f>SUM(D49:D57)</f>
        <v>227467.35</v>
      </c>
      <c r="G56" s="8"/>
      <c r="H56" s="8"/>
    </row>
    <row r="57" spans="1:8" x14ac:dyDescent="0.2">
      <c r="A57" s="20" t="s">
        <v>50</v>
      </c>
      <c r="B57" s="43"/>
      <c r="C57" s="40">
        <f>[2]Charters!C41</f>
        <v>0</v>
      </c>
      <c r="D57" s="41">
        <f>[2]Charters!E41</f>
        <v>0</v>
      </c>
      <c r="E57" s="8"/>
      <c r="F57" s="42">
        <f>+F55-F56</f>
        <v>0</v>
      </c>
      <c r="G57" s="8"/>
      <c r="H57" s="8"/>
    </row>
    <row r="58" spans="1:8" x14ac:dyDescent="0.2">
      <c r="A58" s="50"/>
      <c r="B58" s="51" t="s">
        <v>16</v>
      </c>
      <c r="C58" s="52">
        <f>SUM(C45:C57)</f>
        <v>322.78300000000002</v>
      </c>
      <c r="D58" s="53">
        <f>SUM(D45:D57)</f>
        <v>1027745.36</v>
      </c>
      <c r="E58" s="8"/>
      <c r="F58" s="8"/>
      <c r="G58" s="8"/>
      <c r="H58" s="8"/>
    </row>
    <row r="59" spans="1:8" x14ac:dyDescent="0.2">
      <c r="A59" s="54" t="s">
        <v>17</v>
      </c>
      <c r="B59" s="39"/>
      <c r="C59" s="55"/>
      <c r="D59" s="47"/>
      <c r="E59" s="8"/>
      <c r="F59" s="8"/>
      <c r="G59" s="8"/>
      <c r="H59" s="42" t="s">
        <v>29</v>
      </c>
    </row>
    <row r="60" spans="1:8" x14ac:dyDescent="0.2">
      <c r="A60" s="20" t="s">
        <v>33</v>
      </c>
      <c r="B60" s="43"/>
      <c r="C60" s="56"/>
      <c r="D60" s="57">
        <f>[4]Charters!C40</f>
        <v>2978.89</v>
      </c>
      <c r="E60" s="8"/>
      <c r="F60" s="8"/>
      <c r="G60" s="8"/>
      <c r="H60" s="42">
        <f>[4]Charters!F981</f>
        <v>1572673.78</v>
      </c>
    </row>
    <row r="61" spans="1:8" x14ac:dyDescent="0.2">
      <c r="A61" s="58" t="s">
        <v>35</v>
      </c>
      <c r="B61" s="43"/>
      <c r="C61" s="56"/>
      <c r="D61" s="41">
        <f>+[4]Charters!F361</f>
        <v>3682.42</v>
      </c>
      <c r="E61" s="8"/>
      <c r="F61" s="8"/>
      <c r="G61" s="8"/>
      <c r="H61" s="42">
        <f>SUM(D58:D77)</f>
        <v>1572673.78</v>
      </c>
    </row>
    <row r="62" spans="1:8" x14ac:dyDescent="0.2">
      <c r="A62" s="59" t="s">
        <v>36</v>
      </c>
      <c r="B62" s="43"/>
      <c r="C62" s="56"/>
      <c r="D62" s="41">
        <f>[4]Charters!E200</f>
        <v>10612</v>
      </c>
      <c r="E62" s="8"/>
      <c r="F62" s="8"/>
      <c r="G62" s="8"/>
      <c r="H62" s="42">
        <f>+H60-H61</f>
        <v>0</v>
      </c>
    </row>
    <row r="63" spans="1:8" x14ac:dyDescent="0.2">
      <c r="A63" s="59" t="s">
        <v>52</v>
      </c>
      <c r="B63" s="43"/>
      <c r="C63" s="56"/>
      <c r="D63" s="41">
        <f>[4]Charters!G361</f>
        <v>2174.2800000000002</v>
      </c>
      <c r="E63" s="8"/>
      <c r="F63" s="42" t="s">
        <v>27</v>
      </c>
      <c r="G63" s="8"/>
      <c r="H63" s="42"/>
    </row>
    <row r="64" spans="1:8" x14ac:dyDescent="0.2">
      <c r="A64" s="20" t="s">
        <v>37</v>
      </c>
      <c r="B64" s="43"/>
      <c r="C64" s="56"/>
      <c r="D64" s="41">
        <f>[4]Charters!E517</f>
        <v>20996</v>
      </c>
      <c r="E64" s="8"/>
      <c r="F64" s="42">
        <f>[4]Charters!E200</f>
        <v>10612</v>
      </c>
      <c r="G64" s="8"/>
      <c r="H64" s="8"/>
    </row>
    <row r="65" spans="1:8" x14ac:dyDescent="0.2">
      <c r="A65" s="20" t="s">
        <v>38</v>
      </c>
      <c r="B65" s="43"/>
      <c r="C65" s="56"/>
      <c r="D65" s="41">
        <f>[4]Charters!F517</f>
        <v>0</v>
      </c>
      <c r="E65" s="8"/>
      <c r="F65" s="42">
        <f>SUM(D62:D62)</f>
        <v>10612</v>
      </c>
      <c r="G65" s="8"/>
      <c r="H65" s="8"/>
    </row>
    <row r="66" spans="1:8" x14ac:dyDescent="0.2">
      <c r="A66" s="59" t="s">
        <v>40</v>
      </c>
      <c r="B66" s="43"/>
      <c r="C66" s="56"/>
      <c r="D66" s="41">
        <f>[4]Charters!G517</f>
        <v>0</v>
      </c>
      <c r="E66" s="8"/>
      <c r="F66" s="42">
        <f>+F64-F65</f>
        <v>0</v>
      </c>
      <c r="G66" s="8"/>
      <c r="H66" s="8"/>
    </row>
    <row r="67" spans="1:8" x14ac:dyDescent="0.2">
      <c r="A67" s="20" t="s">
        <v>41</v>
      </c>
      <c r="B67" s="43"/>
      <c r="C67" s="56"/>
      <c r="D67" s="41">
        <f>[4]Charters!C672</f>
        <v>386193</v>
      </c>
      <c r="E67" s="8"/>
      <c r="F67" s="42" t="s">
        <v>28</v>
      </c>
      <c r="G67" s="8"/>
      <c r="H67" s="8"/>
    </row>
    <row r="68" spans="1:8" x14ac:dyDescent="0.2">
      <c r="A68" s="20" t="s">
        <v>42</v>
      </c>
      <c r="B68" s="43"/>
      <c r="C68" s="56"/>
      <c r="D68" s="41">
        <f>[4]Charters!D672</f>
        <v>54661.94</v>
      </c>
      <c r="E68" s="8"/>
      <c r="F68" s="42">
        <f>[4]Charters!D517</f>
        <v>16468.7</v>
      </c>
      <c r="G68" s="8"/>
      <c r="H68" s="8"/>
    </row>
    <row r="69" spans="1:8" x14ac:dyDescent="0.2">
      <c r="A69" s="20" t="s">
        <v>44</v>
      </c>
      <c r="B69" s="43"/>
      <c r="C69" s="56"/>
      <c r="D69" s="41">
        <f>[4]Charters!E672</f>
        <v>19300</v>
      </c>
      <c r="E69" s="8"/>
      <c r="F69" s="42">
        <f>SUM(D61:D63)</f>
        <v>16468.7</v>
      </c>
      <c r="G69" s="8"/>
      <c r="H69" s="8"/>
    </row>
    <row r="70" spans="1:8" x14ac:dyDescent="0.2">
      <c r="A70" s="59" t="s">
        <v>43</v>
      </c>
      <c r="B70" s="43"/>
      <c r="C70" s="56"/>
      <c r="D70" s="41">
        <f>[4]Charters!F672</f>
        <v>0</v>
      </c>
      <c r="E70" s="8"/>
      <c r="F70" s="42">
        <f>+F68-F69</f>
        <v>0</v>
      </c>
      <c r="G70" s="8"/>
      <c r="H70" s="8"/>
    </row>
    <row r="71" spans="1:8" x14ac:dyDescent="0.2">
      <c r="A71" s="59" t="s">
        <v>45</v>
      </c>
      <c r="B71" s="43"/>
      <c r="C71" s="56"/>
      <c r="D71" s="41">
        <f>[4]Charters!C517</f>
        <v>0</v>
      </c>
      <c r="E71" s="8"/>
      <c r="F71" s="8"/>
      <c r="G71" s="8"/>
      <c r="H71" s="8"/>
    </row>
    <row r="72" spans="1:8" x14ac:dyDescent="0.2">
      <c r="A72" s="59" t="s">
        <v>46</v>
      </c>
      <c r="B72" s="43"/>
      <c r="C72" s="56"/>
      <c r="D72" s="41">
        <f>[4]Charters!C828</f>
        <v>0</v>
      </c>
      <c r="E72" s="42"/>
      <c r="F72" s="42"/>
      <c r="G72" s="42"/>
      <c r="H72" s="42" t="s">
        <v>31</v>
      </c>
    </row>
    <row r="73" spans="1:8" x14ac:dyDescent="0.2">
      <c r="A73" s="59" t="s">
        <v>51</v>
      </c>
      <c r="B73" s="43"/>
      <c r="C73" s="56"/>
      <c r="D73" s="60">
        <f>[4]Charters!D828</f>
        <v>412.74</v>
      </c>
      <c r="E73" s="42"/>
      <c r="F73" s="42"/>
      <c r="G73" s="42"/>
      <c r="H73" s="42">
        <f>[4]Charters!D1287</f>
        <v>1576808.58</v>
      </c>
    </row>
    <row r="74" spans="1:8" x14ac:dyDescent="0.2">
      <c r="A74" s="20" t="s">
        <v>47</v>
      </c>
      <c r="B74" s="43"/>
      <c r="C74" s="56"/>
      <c r="D74" s="60">
        <f>[4]Charters!E828</f>
        <v>0</v>
      </c>
      <c r="E74" s="42"/>
      <c r="F74" s="42"/>
      <c r="G74" s="42"/>
      <c r="H74" s="42">
        <f>D83</f>
        <v>1576808.57</v>
      </c>
    </row>
    <row r="75" spans="1:8" x14ac:dyDescent="0.2">
      <c r="A75" s="20" t="s">
        <v>57</v>
      </c>
      <c r="B75" s="43"/>
      <c r="C75" s="56"/>
      <c r="D75" s="60">
        <f>[4]Charters!C981</f>
        <v>5363.56</v>
      </c>
      <c r="E75" s="42"/>
      <c r="F75" s="42"/>
      <c r="G75" s="42"/>
      <c r="H75" s="42">
        <f>+H73-H74</f>
        <v>0.01</v>
      </c>
    </row>
    <row r="76" spans="1:8" x14ac:dyDescent="0.2">
      <c r="A76" s="59" t="s">
        <v>53</v>
      </c>
      <c r="B76" s="43"/>
      <c r="C76" s="56"/>
      <c r="D76" s="60">
        <f>[4]Charters!D981</f>
        <v>29260</v>
      </c>
      <c r="E76" s="42"/>
      <c r="F76" s="42" t="s">
        <v>30</v>
      </c>
      <c r="G76" s="42"/>
      <c r="H76" s="42"/>
    </row>
    <row r="77" spans="1:8" x14ac:dyDescent="0.2">
      <c r="A77" s="59" t="s">
        <v>59</v>
      </c>
      <c r="B77" s="43"/>
      <c r="C77" s="56"/>
      <c r="D77" s="60">
        <f>[4]Charters!E981</f>
        <v>9293.59</v>
      </c>
      <c r="E77" s="42"/>
      <c r="F77" s="42"/>
      <c r="G77" s="42"/>
      <c r="H77" s="42"/>
    </row>
    <row r="78" spans="1:8" x14ac:dyDescent="0.2">
      <c r="A78" s="38" t="s">
        <v>18</v>
      </c>
      <c r="B78" s="61"/>
      <c r="C78" s="62"/>
      <c r="D78" s="87"/>
      <c r="E78" s="42"/>
      <c r="F78" s="42">
        <f>[4]Charters!C1287</f>
        <v>4134.79</v>
      </c>
      <c r="G78" s="42"/>
      <c r="H78" s="42"/>
    </row>
    <row r="79" spans="1:8" x14ac:dyDescent="0.2">
      <c r="A79" s="59" t="s">
        <v>39</v>
      </c>
      <c r="B79" s="43"/>
      <c r="C79" s="56"/>
      <c r="D79" s="41">
        <f>[4]Charters!C1134</f>
        <v>1980.92</v>
      </c>
      <c r="E79" s="42"/>
      <c r="F79" s="42">
        <f>SUM(D79:D82)</f>
        <v>4134.79</v>
      </c>
      <c r="G79" s="42"/>
      <c r="H79" s="42"/>
    </row>
    <row r="80" spans="1:8" x14ac:dyDescent="0.2">
      <c r="A80" s="59" t="s">
        <v>48</v>
      </c>
      <c r="B80" s="43"/>
      <c r="C80" s="56"/>
      <c r="D80" s="41">
        <f>[4]Charters!D1134</f>
        <v>0</v>
      </c>
      <c r="E80" s="42"/>
      <c r="F80" s="42">
        <f>+F78-F79</f>
        <v>0</v>
      </c>
      <c r="G80" s="42"/>
      <c r="H80" s="42"/>
    </row>
    <row r="81" spans="1:8" x14ac:dyDescent="0.2">
      <c r="A81" s="59" t="s">
        <v>60</v>
      </c>
      <c r="B81" s="43"/>
      <c r="C81" s="56"/>
      <c r="D81" s="41">
        <f>[4]Charters!E1134</f>
        <v>0</v>
      </c>
      <c r="E81" s="42"/>
      <c r="F81" s="42"/>
      <c r="G81" s="42"/>
      <c r="H81" s="42"/>
    </row>
    <row r="82" spans="1:8" x14ac:dyDescent="0.2">
      <c r="A82" s="59" t="s">
        <v>61</v>
      </c>
      <c r="B82" s="43"/>
      <c r="C82" s="56"/>
      <c r="D82" s="41">
        <f>[4]Charters!F1134</f>
        <v>2153.87</v>
      </c>
      <c r="E82" s="42"/>
      <c r="F82" s="42"/>
      <c r="G82" s="42"/>
      <c r="H82" s="42"/>
    </row>
    <row r="83" spans="1:8" ht="13.5" thickBot="1" x14ac:dyDescent="0.25">
      <c r="A83" s="64"/>
      <c r="B83" s="65"/>
      <c r="C83" s="66"/>
      <c r="D83" s="67">
        <f>SUM(D58:D82)</f>
        <v>1576808.57</v>
      </c>
      <c r="E83" s="42"/>
      <c r="F83" s="42"/>
      <c r="G83" s="42"/>
      <c r="H83" s="42"/>
    </row>
    <row r="84" spans="1:8" ht="13.5" thickTop="1" x14ac:dyDescent="0.2">
      <c r="A84" s="68"/>
      <c r="B84" s="43"/>
      <c r="C84" s="56"/>
      <c r="D84" s="86"/>
      <c r="E84" s="42"/>
      <c r="F84" s="42"/>
      <c r="G84" s="42"/>
      <c r="H84" s="42"/>
    </row>
    <row r="85" spans="1:8" x14ac:dyDescent="0.2">
      <c r="A85" s="38" t="s">
        <v>20</v>
      </c>
      <c r="B85" s="39"/>
      <c r="C85" s="70"/>
      <c r="D85" s="71" t="s">
        <v>21</v>
      </c>
      <c r="E85" s="42"/>
      <c r="F85" s="42"/>
      <c r="G85" s="42"/>
      <c r="H85" s="42"/>
    </row>
    <row r="86" spans="1:8" x14ac:dyDescent="0.2">
      <c r="A86" s="72" t="s">
        <v>22</v>
      </c>
      <c r="B86" s="73"/>
      <c r="C86" s="74"/>
      <c r="D86" s="41">
        <f>[5]Charters!C40</f>
        <v>517.37</v>
      </c>
      <c r="E86" s="42"/>
      <c r="F86" s="42"/>
      <c r="G86" s="42"/>
      <c r="H86" s="42"/>
    </row>
    <row r="87" spans="1:8" x14ac:dyDescent="0.2">
      <c r="A87" s="75"/>
      <c r="B87" s="61"/>
      <c r="C87" s="76"/>
      <c r="D87" s="77">
        <f>SUM(D86:D86)</f>
        <v>517.37</v>
      </c>
      <c r="E87" s="42"/>
      <c r="F87" s="42"/>
      <c r="G87" s="42"/>
      <c r="H87" s="42"/>
    </row>
    <row r="88" spans="1:8" x14ac:dyDescent="0.2">
      <c r="A88" s="78" t="s">
        <v>58</v>
      </c>
      <c r="B88" s="79"/>
      <c r="C88" s="80"/>
      <c r="D88" s="77">
        <f>D87+D83</f>
        <v>1577325.94</v>
      </c>
      <c r="E88" s="42"/>
      <c r="F88" s="42"/>
      <c r="G88" s="42"/>
      <c r="H88" s="42"/>
    </row>
    <row r="89" spans="1:8" x14ac:dyDescent="0.2">
      <c r="A89" s="84"/>
      <c r="B89" s="84"/>
      <c r="C89" s="85"/>
      <c r="D89" s="81"/>
      <c r="E89" s="42"/>
      <c r="F89" s="42"/>
      <c r="G89" s="42"/>
      <c r="H89" s="42"/>
    </row>
    <row r="90" spans="1:8" x14ac:dyDescent="0.2">
      <c r="A90" s="84"/>
      <c r="B90" s="84"/>
      <c r="C90" s="85"/>
      <c r="D90" s="81">
        <f>[5]Charters!E196</f>
        <v>1577325.95</v>
      </c>
      <c r="E90" s="42"/>
      <c r="F90" s="42"/>
      <c r="G90" s="42"/>
      <c r="H90" s="42"/>
    </row>
    <row r="91" spans="1:8" x14ac:dyDescent="0.2">
      <c r="A91" s="84"/>
      <c r="B91" s="84"/>
      <c r="C91" s="85"/>
      <c r="D91" s="81">
        <f>D88</f>
        <v>1577325.94</v>
      </c>
      <c r="E91" s="42"/>
      <c r="F91" s="42"/>
      <c r="G91" s="42"/>
      <c r="H91" s="42"/>
    </row>
    <row r="92" spans="1:8" x14ac:dyDescent="0.2">
      <c r="C92" s="83"/>
      <c r="D92" s="42">
        <f>D90-D91</f>
        <v>0.01</v>
      </c>
      <c r="E92" s="42"/>
      <c r="F92" s="42"/>
      <c r="G92" s="42"/>
      <c r="H92" s="42"/>
    </row>
  </sheetData>
  <mergeCells count="4">
    <mergeCell ref="A34:D34"/>
    <mergeCell ref="A35:D35"/>
    <mergeCell ref="A36:D36"/>
    <mergeCell ref="A88:C88"/>
  </mergeCells>
  <phoneticPr fontId="1" type="noConversion"/>
  <printOptions horizontalCentered="1" verticalCentered="1"/>
  <pageMargins left="0.5" right="0.5" top="0.5" bottom="0.5" header="0.25" footer="0.25"/>
  <pageSetup orientation="portrait" verticalDpi="1200" r:id="rId1"/>
  <headerFooter alignWithMargins="0">
    <oddHeader>&amp;R&amp;8Current as of: &amp;D</oddHeader>
    <oddFooter>&amp;L&amp;8USOE, School Finance</oddFooter>
  </headerFooter>
  <picture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>
    <pageSetUpPr fitToPage="1"/>
  </sheetPr>
  <dimension ref="A1:H93"/>
  <sheetViews>
    <sheetView showGridLines="0" topLeftCell="A33" workbookViewId="0">
      <selection activeCell="C12" sqref="C12"/>
    </sheetView>
  </sheetViews>
  <sheetFormatPr defaultColWidth="9.140625" defaultRowHeight="12.75" x14ac:dyDescent="0.2"/>
  <cols>
    <col min="1" max="1" width="31.85546875" style="82" customWidth="1"/>
    <col min="2" max="2" width="16.140625" style="82" customWidth="1"/>
    <col min="3" max="4" width="14.85546875" style="82" customWidth="1"/>
    <col min="5" max="5" width="7" style="82" customWidth="1"/>
    <col min="6" max="6" width="19.7109375" style="82" customWidth="1"/>
    <col min="7" max="7" width="5.7109375" style="82" customWidth="1"/>
    <col min="8" max="8" width="18" style="82" customWidth="1"/>
    <col min="9" max="16384" width="9.140625" style="82"/>
  </cols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"/>
      <c r="B3" s="1"/>
      <c r="C3" s="1"/>
      <c r="D3" s="1"/>
      <c r="E3" s="1"/>
      <c r="F3" s="1"/>
      <c r="G3" s="1"/>
      <c r="H3" s="1"/>
    </row>
    <row r="4" spans="1:8" x14ac:dyDescent="0.2">
      <c r="A4" s="1"/>
      <c r="B4" s="1"/>
      <c r="C4" s="1"/>
      <c r="D4" s="1"/>
      <c r="E4" s="1"/>
      <c r="F4" s="1"/>
      <c r="G4" s="1"/>
      <c r="H4" s="1"/>
    </row>
    <row r="5" spans="1:8" x14ac:dyDescent="0.2">
      <c r="A5" s="1"/>
      <c r="B5" s="1"/>
      <c r="C5" s="1"/>
      <c r="D5" s="1"/>
      <c r="E5" s="1"/>
      <c r="F5" s="1"/>
      <c r="G5" s="1"/>
      <c r="H5" s="1"/>
    </row>
    <row r="6" spans="1:8" x14ac:dyDescent="0.2">
      <c r="A6" s="1"/>
      <c r="B6" s="1"/>
      <c r="C6" s="1"/>
      <c r="D6" s="1"/>
      <c r="E6" s="1"/>
      <c r="F6" s="1"/>
      <c r="G6" s="1"/>
      <c r="H6" s="1"/>
    </row>
    <row r="7" spans="1:8" x14ac:dyDescent="0.2">
      <c r="A7" s="1"/>
      <c r="B7" s="1"/>
      <c r="C7" s="1"/>
      <c r="D7" s="1"/>
      <c r="E7" s="1"/>
      <c r="F7" s="1"/>
      <c r="G7" s="1"/>
      <c r="H7" s="1"/>
    </row>
    <row r="8" spans="1:8" x14ac:dyDescent="0.2">
      <c r="A8" s="1"/>
      <c r="B8" s="1"/>
      <c r="C8" s="1"/>
      <c r="D8" s="1"/>
      <c r="E8" s="1"/>
      <c r="F8" s="1"/>
      <c r="G8" s="1"/>
      <c r="H8" s="1"/>
    </row>
    <row r="9" spans="1:8" x14ac:dyDescent="0.2">
      <c r="A9" s="1"/>
      <c r="B9" s="1"/>
      <c r="C9" s="1"/>
      <c r="D9" s="1"/>
      <c r="E9" s="1"/>
      <c r="F9" s="1"/>
      <c r="G9" s="1"/>
      <c r="H9" s="1"/>
    </row>
    <row r="10" spans="1:8" x14ac:dyDescent="0.2">
      <c r="A10" s="1"/>
      <c r="B10" s="1"/>
      <c r="C10" s="1"/>
      <c r="D10" s="1"/>
      <c r="E10" s="1"/>
      <c r="F10" s="1"/>
      <c r="G10" s="1"/>
      <c r="H10" s="1"/>
    </row>
    <row r="11" spans="1:8" x14ac:dyDescent="0.2">
      <c r="A11" s="1"/>
      <c r="B11" s="1"/>
      <c r="C11" s="1"/>
      <c r="D11" s="1"/>
      <c r="E11" s="1"/>
      <c r="F11" s="1"/>
      <c r="G11" s="1"/>
      <c r="H11" s="1"/>
    </row>
    <row r="12" spans="1:8" x14ac:dyDescent="0.2">
      <c r="A12" s="1"/>
      <c r="B12" s="1"/>
      <c r="C12" s="1"/>
      <c r="D12" s="1"/>
      <c r="E12" s="1"/>
      <c r="F12" s="1"/>
      <c r="G12" s="1"/>
      <c r="H12" s="1"/>
    </row>
    <row r="13" spans="1:8" x14ac:dyDescent="0.2">
      <c r="A13" s="1"/>
      <c r="B13" s="1"/>
      <c r="C13" s="1"/>
      <c r="D13" s="1"/>
      <c r="E13" s="1"/>
      <c r="F13" s="1"/>
      <c r="G13" s="1"/>
      <c r="H13" s="1"/>
    </row>
    <row r="14" spans="1:8" x14ac:dyDescent="0.2">
      <c r="A14" s="1"/>
      <c r="B14" s="1"/>
      <c r="C14" s="1"/>
      <c r="D14" s="1"/>
      <c r="E14" s="1"/>
      <c r="F14" s="1"/>
      <c r="G14" s="1"/>
      <c r="H14" s="1"/>
    </row>
    <row r="15" spans="1:8" x14ac:dyDescent="0.2">
      <c r="A15" s="1"/>
      <c r="B15" s="1"/>
      <c r="C15" s="1"/>
      <c r="D15" s="1"/>
      <c r="E15" s="1"/>
      <c r="F15" s="1"/>
      <c r="G15" s="1"/>
      <c r="H15" s="1"/>
    </row>
    <row r="16" spans="1:8" x14ac:dyDescent="0.2">
      <c r="A16" s="1"/>
      <c r="B16" s="1"/>
      <c r="C16" s="1"/>
      <c r="D16" s="1"/>
      <c r="E16" s="1"/>
      <c r="F16" s="1"/>
      <c r="G16" s="1"/>
      <c r="H16" s="1"/>
    </row>
    <row r="17" spans="1:8" x14ac:dyDescent="0.2">
      <c r="A17" s="1"/>
      <c r="B17" s="1"/>
      <c r="C17" s="1"/>
      <c r="D17" s="1"/>
      <c r="E17" s="1"/>
      <c r="F17" s="1"/>
      <c r="G17" s="1"/>
      <c r="H17" s="1"/>
    </row>
    <row r="18" spans="1:8" x14ac:dyDescent="0.2">
      <c r="A18" s="1"/>
      <c r="B18" s="1"/>
      <c r="C18" s="1"/>
      <c r="D18" s="1"/>
      <c r="E18" s="1"/>
      <c r="F18" s="1"/>
      <c r="G18" s="1"/>
      <c r="H18" s="1"/>
    </row>
    <row r="19" spans="1:8" x14ac:dyDescent="0.2">
      <c r="A19" s="1"/>
      <c r="B19" s="1"/>
      <c r="C19" s="1"/>
      <c r="D19" s="1"/>
      <c r="E19" s="1"/>
      <c r="F19" s="1"/>
      <c r="G19" s="1"/>
      <c r="H19" s="1"/>
    </row>
    <row r="20" spans="1:8" x14ac:dyDescent="0.2">
      <c r="A20" s="1"/>
      <c r="B20" s="1"/>
      <c r="C20" s="1"/>
      <c r="D20" s="1"/>
      <c r="E20" s="1"/>
      <c r="F20" s="1"/>
      <c r="G20" s="1"/>
      <c r="H20" s="1"/>
    </row>
    <row r="21" spans="1:8" x14ac:dyDescent="0.2">
      <c r="A21" s="1"/>
      <c r="B21" s="1"/>
      <c r="C21" s="1"/>
      <c r="D21" s="1"/>
      <c r="E21" s="1"/>
      <c r="F21" s="1"/>
      <c r="G21" s="1"/>
      <c r="H21" s="1"/>
    </row>
    <row r="22" spans="1:8" x14ac:dyDescent="0.2">
      <c r="A22" s="1"/>
      <c r="B22" s="1"/>
      <c r="C22" s="1"/>
      <c r="D22" s="4"/>
      <c r="E22" s="1"/>
      <c r="F22" s="1"/>
      <c r="G22" s="1"/>
      <c r="H22" s="1"/>
    </row>
    <row r="23" spans="1:8" x14ac:dyDescent="0.2">
      <c r="A23" s="1"/>
      <c r="B23" s="1"/>
      <c r="C23" s="1"/>
      <c r="D23" s="1"/>
      <c r="E23" s="1"/>
      <c r="F23" s="1"/>
      <c r="G23" s="1"/>
      <c r="H23" s="1"/>
    </row>
    <row r="24" spans="1:8" x14ac:dyDescent="0.2">
      <c r="A24" s="1"/>
      <c r="B24" s="1"/>
      <c r="C24" s="1"/>
      <c r="D24" s="1"/>
      <c r="E24" s="1"/>
      <c r="F24" s="1"/>
      <c r="G24" s="1"/>
      <c r="H24" s="1"/>
    </row>
    <row r="25" spans="1:8" x14ac:dyDescent="0.2">
      <c r="A25" s="1"/>
      <c r="B25" s="1"/>
      <c r="C25" s="1"/>
      <c r="D25" s="1"/>
      <c r="E25" s="1"/>
      <c r="F25" s="1"/>
      <c r="G25" s="1"/>
      <c r="H25" s="1"/>
    </row>
    <row r="26" spans="1:8" x14ac:dyDescent="0.2">
      <c r="A26" s="1"/>
      <c r="B26" s="1"/>
      <c r="C26" s="1"/>
      <c r="D26" s="1"/>
      <c r="E26" s="1"/>
      <c r="F26" s="1"/>
      <c r="G26" s="1"/>
      <c r="H26" s="1"/>
    </row>
    <row r="27" spans="1:8" x14ac:dyDescent="0.2">
      <c r="A27" s="1"/>
      <c r="B27" s="1"/>
      <c r="C27" s="1"/>
      <c r="D27" s="1"/>
      <c r="E27" s="1"/>
      <c r="F27" s="1"/>
      <c r="G27" s="1"/>
      <c r="H27" s="1"/>
    </row>
    <row r="28" spans="1:8" x14ac:dyDescent="0.2">
      <c r="A28" s="1"/>
      <c r="B28" s="1"/>
      <c r="C28" s="1"/>
      <c r="D28" s="1"/>
      <c r="E28" s="1"/>
      <c r="F28" s="1"/>
      <c r="G28" s="1"/>
      <c r="H28" s="1"/>
    </row>
    <row r="29" spans="1:8" x14ac:dyDescent="0.2">
      <c r="A29" s="1"/>
      <c r="B29" s="1"/>
      <c r="C29" s="1"/>
      <c r="D29" s="1"/>
      <c r="E29" s="1"/>
      <c r="F29" s="1"/>
      <c r="G29" s="1"/>
      <c r="H29" s="1"/>
    </row>
    <row r="30" spans="1:8" x14ac:dyDescent="0.2">
      <c r="A30" s="1"/>
      <c r="B30" s="1"/>
      <c r="C30" s="1"/>
      <c r="D30" s="1"/>
      <c r="E30" s="1"/>
      <c r="F30" s="1"/>
      <c r="G30" s="1"/>
      <c r="H30" s="1"/>
    </row>
    <row r="31" spans="1:8" x14ac:dyDescent="0.2">
      <c r="A31" s="1"/>
      <c r="B31" s="1"/>
      <c r="C31" s="1"/>
      <c r="D31" s="1"/>
      <c r="E31" s="1"/>
      <c r="F31" s="1"/>
      <c r="G31" s="1"/>
      <c r="H31" s="1"/>
    </row>
    <row r="32" spans="1:8" x14ac:dyDescent="0.2">
      <c r="A32" s="1"/>
      <c r="B32" s="1"/>
      <c r="C32" s="1"/>
      <c r="D32" s="1"/>
      <c r="E32" s="1"/>
      <c r="F32" s="1"/>
      <c r="G32" s="1"/>
      <c r="H32" s="1"/>
    </row>
    <row r="33" spans="1:8" x14ac:dyDescent="0.2">
      <c r="A33" s="1"/>
      <c r="B33" s="1"/>
      <c r="C33" s="1"/>
      <c r="D33" s="1"/>
      <c r="E33" s="1"/>
      <c r="F33" s="1"/>
      <c r="G33" s="1"/>
      <c r="H33" s="1"/>
    </row>
    <row r="34" spans="1:8" x14ac:dyDescent="0.2">
      <c r="A34" s="1"/>
      <c r="B34" s="1"/>
      <c r="C34" s="1"/>
      <c r="D34" s="1"/>
      <c r="E34" s="1"/>
      <c r="F34" s="1"/>
      <c r="G34" s="1"/>
      <c r="H34" s="1"/>
    </row>
    <row r="35" spans="1:8" x14ac:dyDescent="0.2">
      <c r="A35" s="11" t="s">
        <v>1</v>
      </c>
      <c r="B35" s="12"/>
      <c r="C35" s="12"/>
      <c r="D35" s="13"/>
      <c r="E35" s="8"/>
      <c r="F35" s="8"/>
      <c r="G35" s="8"/>
      <c r="H35" s="8"/>
    </row>
    <row r="36" spans="1:8" x14ac:dyDescent="0.2">
      <c r="A36" s="14" t="s">
        <v>15</v>
      </c>
      <c r="B36" s="15"/>
      <c r="C36" s="15"/>
      <c r="D36" s="16"/>
      <c r="E36" s="8"/>
      <c r="F36" s="8"/>
      <c r="G36" s="8"/>
      <c r="H36" s="8"/>
    </row>
    <row r="37" spans="1:8" x14ac:dyDescent="0.2">
      <c r="A37" s="17" t="s">
        <v>62</v>
      </c>
      <c r="B37" s="18"/>
      <c r="C37" s="18"/>
      <c r="D37" s="19"/>
      <c r="E37" s="8"/>
      <c r="F37" s="8"/>
      <c r="G37" s="8"/>
      <c r="H37" s="8"/>
    </row>
    <row r="38" spans="1:8" x14ac:dyDescent="0.2">
      <c r="A38" s="20"/>
      <c r="B38" s="21"/>
      <c r="C38" s="22"/>
      <c r="D38" s="23"/>
      <c r="E38" s="8"/>
      <c r="F38" s="8" t="s">
        <v>34</v>
      </c>
      <c r="G38" s="8"/>
      <c r="H38" s="8"/>
    </row>
    <row r="39" spans="1:8" ht="15.75" x14ac:dyDescent="0.25">
      <c r="A39" s="24" t="s">
        <v>2</v>
      </c>
      <c r="B39" s="25" t="str">
        <f>[1]Charters!B42</f>
        <v>Entheos Academy</v>
      </c>
      <c r="C39" s="26"/>
      <c r="D39" s="27"/>
      <c r="E39" s="8"/>
      <c r="F39" s="8"/>
      <c r="G39" s="8"/>
      <c r="H39" s="8"/>
    </row>
    <row r="40" spans="1:8" x14ac:dyDescent="0.2">
      <c r="A40" s="24"/>
      <c r="B40" s="28"/>
      <c r="C40" s="26"/>
      <c r="D40" s="27"/>
      <c r="E40" s="8"/>
      <c r="F40" s="8"/>
      <c r="G40" s="8"/>
      <c r="H40" s="8"/>
    </row>
    <row r="41" spans="1:8" x14ac:dyDescent="0.2">
      <c r="A41" s="29" t="s">
        <v>0</v>
      </c>
      <c r="B41" s="30">
        <f>[1]Charters!$E$6</f>
        <v>3184</v>
      </c>
      <c r="C41" s="26"/>
      <c r="D41" s="31"/>
      <c r="E41" s="8"/>
      <c r="F41" s="8"/>
      <c r="G41" s="8"/>
      <c r="H41" s="8"/>
    </row>
    <row r="42" spans="1:8" x14ac:dyDescent="0.2">
      <c r="A42" s="32"/>
      <c r="B42" s="6"/>
      <c r="C42" s="33"/>
      <c r="D42" s="34" t="s">
        <v>3</v>
      </c>
      <c r="E42" s="8"/>
      <c r="F42" s="8"/>
      <c r="G42" s="8"/>
      <c r="H42" s="8"/>
    </row>
    <row r="43" spans="1:8" x14ac:dyDescent="0.2">
      <c r="A43" s="29" t="s">
        <v>19</v>
      </c>
      <c r="B43" s="35" t="str">
        <f>[1]Charters!A42</f>
        <v>3C</v>
      </c>
      <c r="C43" s="36" t="s">
        <v>4</v>
      </c>
      <c r="D43" s="37" t="s">
        <v>5</v>
      </c>
      <c r="E43" s="8"/>
      <c r="F43" s="8"/>
      <c r="G43" s="8"/>
      <c r="H43" s="8"/>
    </row>
    <row r="44" spans="1:8" x14ac:dyDescent="0.2">
      <c r="A44" s="38" t="s">
        <v>6</v>
      </c>
      <c r="B44" s="39"/>
      <c r="C44" s="40"/>
      <c r="D44" s="41"/>
      <c r="E44" s="8"/>
      <c r="F44" s="8"/>
      <c r="G44" s="8"/>
      <c r="H44" s="8"/>
    </row>
    <row r="45" spans="1:8" x14ac:dyDescent="0.2">
      <c r="A45" s="38" t="s">
        <v>7</v>
      </c>
      <c r="B45" s="39"/>
      <c r="C45" s="40"/>
      <c r="D45" s="41"/>
      <c r="E45" s="8"/>
      <c r="F45" s="42" t="s">
        <v>23</v>
      </c>
      <c r="G45" s="8"/>
      <c r="H45" s="42" t="s">
        <v>26</v>
      </c>
    </row>
    <row r="46" spans="1:8" x14ac:dyDescent="0.2">
      <c r="A46" s="20" t="s">
        <v>8</v>
      </c>
      <c r="B46" s="43"/>
      <c r="C46" s="44">
        <f>[1]Charters!C502</f>
        <v>898.98099999999999</v>
      </c>
      <c r="D46" s="45">
        <f>[1]Charters!E502</f>
        <v>2862356.32</v>
      </c>
      <c r="E46" s="8"/>
      <c r="F46" s="42">
        <f>[1]Charters!E657</f>
        <v>3037191.91</v>
      </c>
      <c r="G46" s="8"/>
      <c r="H46" s="42">
        <f>[2]Charters!E196</f>
        <v>3968301.93</v>
      </c>
    </row>
    <row r="47" spans="1:8" x14ac:dyDescent="0.2">
      <c r="A47" s="20" t="s">
        <v>14</v>
      </c>
      <c r="B47" s="43"/>
      <c r="C47" s="44">
        <f>[1]Charters!F502</f>
        <v>54.911000000000001</v>
      </c>
      <c r="D47" s="45">
        <f>[1]Charters!H502</f>
        <v>174835.59</v>
      </c>
      <c r="E47" s="8"/>
      <c r="F47" s="42">
        <f>SUM(D46:D48)</f>
        <v>3037191.91</v>
      </c>
      <c r="G47" s="8"/>
      <c r="H47" s="42">
        <f>D59</f>
        <v>3968301.93</v>
      </c>
    </row>
    <row r="48" spans="1:8" x14ac:dyDescent="0.2">
      <c r="A48" s="20" t="s">
        <v>32</v>
      </c>
      <c r="B48" s="43"/>
      <c r="C48" s="44">
        <f>[1]Charters!C195</f>
        <v>0</v>
      </c>
      <c r="D48" s="45">
        <f>[1]Charters!E195</f>
        <v>0</v>
      </c>
      <c r="E48" s="8"/>
      <c r="F48" s="42">
        <f>+F46-F47</f>
        <v>0</v>
      </c>
      <c r="G48" s="8"/>
      <c r="H48" s="42">
        <f>+H46-H47</f>
        <v>0</v>
      </c>
    </row>
    <row r="49" spans="1:8" x14ac:dyDescent="0.2">
      <c r="A49" s="38" t="s">
        <v>9</v>
      </c>
      <c r="B49" s="39"/>
      <c r="C49" s="46"/>
      <c r="D49" s="47"/>
      <c r="E49" s="8"/>
      <c r="F49" s="8"/>
      <c r="G49" s="8"/>
      <c r="H49" s="8"/>
    </row>
    <row r="50" spans="1:8" x14ac:dyDescent="0.2">
      <c r="A50" s="20" t="s">
        <v>10</v>
      </c>
      <c r="B50" s="43"/>
      <c r="C50" s="40">
        <f>[3]Charters!C41</f>
        <v>195.77799999999999</v>
      </c>
      <c r="D50" s="41">
        <f>[3]Charters!E41</f>
        <v>623356.93999999994</v>
      </c>
      <c r="E50" s="8"/>
      <c r="F50" s="42" t="s">
        <v>24</v>
      </c>
      <c r="G50" s="8"/>
      <c r="H50" s="8"/>
    </row>
    <row r="51" spans="1:8" x14ac:dyDescent="0.2">
      <c r="A51" s="48" t="s">
        <v>11</v>
      </c>
      <c r="B51" s="43"/>
      <c r="C51" s="40">
        <f>[3]Charters!F41</f>
        <v>4.26</v>
      </c>
      <c r="D51" s="49">
        <f>[3]Charters!H41</f>
        <v>13563.84</v>
      </c>
      <c r="E51" s="8"/>
      <c r="F51" s="42">
        <f>[3]Charters!N352</f>
        <v>647505.13</v>
      </c>
      <c r="G51" s="8"/>
      <c r="H51" s="8"/>
    </row>
    <row r="52" spans="1:8" x14ac:dyDescent="0.2">
      <c r="A52" s="48" t="s">
        <v>12</v>
      </c>
      <c r="B52" s="43"/>
      <c r="C52" s="40">
        <f>[3]Charters!C196</f>
        <v>0</v>
      </c>
      <c r="D52" s="41">
        <f>[3]Charters!E196</f>
        <v>0</v>
      </c>
      <c r="E52" s="8"/>
      <c r="F52" s="42">
        <f>SUM(D50:D56)</f>
        <v>647505.13</v>
      </c>
      <c r="G52" s="8"/>
      <c r="H52" s="8"/>
    </row>
    <row r="53" spans="1:8" x14ac:dyDescent="0.2">
      <c r="A53" s="20" t="s">
        <v>13</v>
      </c>
      <c r="B53" s="43"/>
      <c r="C53" s="40">
        <f>[3]Charters!F196</f>
        <v>0.70899999999999996</v>
      </c>
      <c r="D53" s="41">
        <f>[3]Charters!H196</f>
        <v>2259</v>
      </c>
      <c r="E53" s="8"/>
      <c r="F53" s="42">
        <f>+F51-F52</f>
        <v>0</v>
      </c>
      <c r="G53" s="8"/>
      <c r="H53" s="8"/>
    </row>
    <row r="54" spans="1:8" x14ac:dyDescent="0.2">
      <c r="A54" s="48" t="s">
        <v>54</v>
      </c>
      <c r="B54" s="43"/>
      <c r="C54" s="40">
        <f>[3]Charters!C352</f>
        <v>2.6150000000000002</v>
      </c>
      <c r="D54" s="41">
        <f>[3]Charters!E352</f>
        <v>8325.35</v>
      </c>
      <c r="E54" s="8"/>
      <c r="F54" s="8"/>
      <c r="G54" s="8"/>
      <c r="H54" s="8"/>
    </row>
    <row r="55" spans="1:8" x14ac:dyDescent="0.2">
      <c r="A55" s="48" t="s">
        <v>55</v>
      </c>
      <c r="B55" s="43"/>
      <c r="C55" s="40">
        <f>[3]Charters!F352</f>
        <v>0</v>
      </c>
      <c r="D55" s="41">
        <f>[3]Charters!H352</f>
        <v>0</v>
      </c>
      <c r="E55" s="8"/>
      <c r="F55" s="42" t="s">
        <v>25</v>
      </c>
      <c r="G55" s="8"/>
      <c r="H55" s="8"/>
    </row>
    <row r="56" spans="1:8" x14ac:dyDescent="0.2">
      <c r="A56" s="48" t="s">
        <v>56</v>
      </c>
      <c r="B56" s="43"/>
      <c r="C56" s="40">
        <f>[3]Charters!I352</f>
        <v>0</v>
      </c>
      <c r="D56" s="41">
        <f>[3]Charters!K352</f>
        <v>0</v>
      </c>
      <c r="E56" s="8"/>
      <c r="F56" s="42">
        <f>[2]Charters!H42</f>
        <v>931110.02</v>
      </c>
      <c r="G56" s="8"/>
      <c r="H56" s="8"/>
    </row>
    <row r="57" spans="1:8" x14ac:dyDescent="0.2">
      <c r="A57" s="20" t="s">
        <v>49</v>
      </c>
      <c r="B57" s="43"/>
      <c r="C57" s="40">
        <f>[3]Charters!C509</f>
        <v>2.8519999999999999</v>
      </c>
      <c r="D57" s="41">
        <f>[3]Charters!E509</f>
        <v>9080.86</v>
      </c>
      <c r="E57" s="8"/>
      <c r="F57" s="42">
        <f>SUM(D50:D58)</f>
        <v>931110.02</v>
      </c>
      <c r="G57" s="8"/>
      <c r="H57" s="8"/>
    </row>
    <row r="58" spans="1:8" x14ac:dyDescent="0.2">
      <c r="A58" s="20" t="s">
        <v>50</v>
      </c>
      <c r="B58" s="43"/>
      <c r="C58" s="40">
        <f>[2]Charters!C42</f>
        <v>86.22</v>
      </c>
      <c r="D58" s="41">
        <f>[2]Charters!E42</f>
        <v>274524.03000000003</v>
      </c>
      <c r="E58" s="8"/>
      <c r="F58" s="42">
        <f>+F56-F57</f>
        <v>0</v>
      </c>
      <c r="G58" s="8"/>
      <c r="H58" s="8"/>
    </row>
    <row r="59" spans="1:8" x14ac:dyDescent="0.2">
      <c r="A59" s="50"/>
      <c r="B59" s="51" t="s">
        <v>16</v>
      </c>
      <c r="C59" s="52">
        <f>SUM(C46:C58)</f>
        <v>1246.326</v>
      </c>
      <c r="D59" s="53">
        <f>SUM(D46:D58)</f>
        <v>3968301.93</v>
      </c>
      <c r="E59" s="8"/>
      <c r="F59" s="8"/>
      <c r="G59" s="8"/>
      <c r="H59" s="8"/>
    </row>
    <row r="60" spans="1:8" x14ac:dyDescent="0.2">
      <c r="A60" s="54" t="s">
        <v>17</v>
      </c>
      <c r="B60" s="39"/>
      <c r="C60" s="55"/>
      <c r="D60" s="47"/>
      <c r="E60" s="8"/>
      <c r="F60" s="8"/>
      <c r="G60" s="8"/>
      <c r="H60" s="42" t="s">
        <v>29</v>
      </c>
    </row>
    <row r="61" spans="1:8" x14ac:dyDescent="0.2">
      <c r="A61" s="20" t="s">
        <v>33</v>
      </c>
      <c r="B61" s="43"/>
      <c r="C61" s="56"/>
      <c r="D61" s="57">
        <f>[4]Charters!C41</f>
        <v>11502</v>
      </c>
      <c r="E61" s="8"/>
      <c r="F61" s="8"/>
      <c r="G61" s="8"/>
      <c r="H61" s="42">
        <f>[4]Charters!F982</f>
        <v>6608189.5300000003</v>
      </c>
    </row>
    <row r="62" spans="1:8" x14ac:dyDescent="0.2">
      <c r="A62" s="58" t="s">
        <v>35</v>
      </c>
      <c r="B62" s="43"/>
      <c r="C62" s="56"/>
      <c r="D62" s="41">
        <f>+[4]Charters!F362</f>
        <v>4326.78</v>
      </c>
      <c r="E62" s="8"/>
      <c r="F62" s="8"/>
      <c r="G62" s="8"/>
      <c r="H62" s="42">
        <f>SUM(D59:D78)</f>
        <v>6608189.5300000003</v>
      </c>
    </row>
    <row r="63" spans="1:8" x14ac:dyDescent="0.2">
      <c r="A63" s="59" t="s">
        <v>36</v>
      </c>
      <c r="B63" s="43"/>
      <c r="C63" s="56"/>
      <c r="D63" s="41">
        <f>[4]Charters!E201</f>
        <v>47339</v>
      </c>
      <c r="E63" s="8"/>
      <c r="F63" s="8"/>
      <c r="G63" s="8"/>
      <c r="H63" s="42">
        <f>+H61-H62</f>
        <v>0</v>
      </c>
    </row>
    <row r="64" spans="1:8" x14ac:dyDescent="0.2">
      <c r="A64" s="59" t="s">
        <v>52</v>
      </c>
      <c r="B64" s="43"/>
      <c r="C64" s="56"/>
      <c r="D64" s="41">
        <f>[4]Charters!G362</f>
        <v>0</v>
      </c>
      <c r="E64" s="8"/>
      <c r="F64" s="42" t="s">
        <v>27</v>
      </c>
      <c r="G64" s="8"/>
      <c r="H64" s="42"/>
    </row>
    <row r="65" spans="1:8" x14ac:dyDescent="0.2">
      <c r="A65" s="20" t="s">
        <v>37</v>
      </c>
      <c r="B65" s="43"/>
      <c r="C65" s="56"/>
      <c r="D65" s="41">
        <f>[4]Charters!E518</f>
        <v>73210</v>
      </c>
      <c r="E65" s="8"/>
      <c r="F65" s="42">
        <f>[4]Charters!E201</f>
        <v>47339</v>
      </c>
      <c r="G65" s="8"/>
      <c r="H65" s="8"/>
    </row>
    <row r="66" spans="1:8" x14ac:dyDescent="0.2">
      <c r="A66" s="20" t="s">
        <v>38</v>
      </c>
      <c r="B66" s="43"/>
      <c r="C66" s="56"/>
      <c r="D66" s="41">
        <f>[4]Charters!F518</f>
        <v>0</v>
      </c>
      <c r="E66" s="8"/>
      <c r="F66" s="42">
        <f>SUM(D63:D63)</f>
        <v>47339</v>
      </c>
      <c r="G66" s="8"/>
      <c r="H66" s="8"/>
    </row>
    <row r="67" spans="1:8" x14ac:dyDescent="0.2">
      <c r="A67" s="59" t="s">
        <v>40</v>
      </c>
      <c r="B67" s="43"/>
      <c r="C67" s="56"/>
      <c r="D67" s="41">
        <f>[4]Charters!G518</f>
        <v>0</v>
      </c>
      <c r="E67" s="8"/>
      <c r="F67" s="42">
        <f>+F65-F66</f>
        <v>0</v>
      </c>
      <c r="G67" s="8"/>
      <c r="H67" s="8"/>
    </row>
    <row r="68" spans="1:8" x14ac:dyDescent="0.2">
      <c r="A68" s="20" t="s">
        <v>41</v>
      </c>
      <c r="B68" s="43"/>
      <c r="C68" s="56"/>
      <c r="D68" s="41">
        <f>[4]Charters!C673</f>
        <v>2077038</v>
      </c>
      <c r="E68" s="8"/>
      <c r="F68" s="42" t="s">
        <v>28</v>
      </c>
      <c r="G68" s="8"/>
      <c r="H68" s="8"/>
    </row>
    <row r="69" spans="1:8" x14ac:dyDescent="0.2">
      <c r="A69" s="20" t="s">
        <v>42</v>
      </c>
      <c r="B69" s="43"/>
      <c r="C69" s="56"/>
      <c r="D69" s="41">
        <f>[4]Charters!D673</f>
        <v>258513.54</v>
      </c>
      <c r="E69" s="8"/>
      <c r="F69" s="42">
        <f>[4]Charters!D518</f>
        <v>71665.78</v>
      </c>
      <c r="G69" s="8"/>
      <c r="H69" s="8"/>
    </row>
    <row r="70" spans="1:8" x14ac:dyDescent="0.2">
      <c r="A70" s="20" t="s">
        <v>44</v>
      </c>
      <c r="B70" s="43"/>
      <c r="C70" s="56"/>
      <c r="D70" s="41">
        <f>[4]Charters!E673</f>
        <v>103800</v>
      </c>
      <c r="E70" s="8"/>
      <c r="F70" s="42">
        <f>SUM(D62:D64)</f>
        <v>51665.78</v>
      </c>
      <c r="G70" s="8"/>
      <c r="H70" s="8"/>
    </row>
    <row r="71" spans="1:8" x14ac:dyDescent="0.2">
      <c r="A71" s="59" t="s">
        <v>43</v>
      </c>
      <c r="B71" s="43"/>
      <c r="C71" s="56"/>
      <c r="D71" s="41">
        <f>[4]Charters!F673</f>
        <v>42709.64</v>
      </c>
      <c r="E71" s="8"/>
      <c r="F71" s="42">
        <f>+F69-F70</f>
        <v>20000</v>
      </c>
      <c r="G71" s="8"/>
      <c r="H71" s="8"/>
    </row>
    <row r="72" spans="1:8" x14ac:dyDescent="0.2">
      <c r="A72" s="59" t="s">
        <v>45</v>
      </c>
      <c r="B72" s="43"/>
      <c r="C72" s="56"/>
      <c r="D72" s="41">
        <f>[4]Charters!C518</f>
        <v>20000</v>
      </c>
      <c r="E72" s="8"/>
      <c r="F72" s="8"/>
      <c r="G72" s="8"/>
      <c r="H72" s="8"/>
    </row>
    <row r="73" spans="1:8" x14ac:dyDescent="0.2">
      <c r="A73" s="59" t="s">
        <v>46</v>
      </c>
      <c r="B73" s="43"/>
      <c r="C73" s="56"/>
      <c r="D73" s="41">
        <f>[4]Charters!C829</f>
        <v>0</v>
      </c>
      <c r="E73" s="42"/>
      <c r="F73" s="42"/>
      <c r="G73" s="42"/>
      <c r="H73" s="42" t="s">
        <v>31</v>
      </c>
    </row>
    <row r="74" spans="1:8" x14ac:dyDescent="0.2">
      <c r="A74" s="59" t="s">
        <v>51</v>
      </c>
      <c r="B74" s="43"/>
      <c r="C74" s="56"/>
      <c r="D74" s="60">
        <f>[4]Charters!D829</f>
        <v>1448.64</v>
      </c>
      <c r="E74" s="42"/>
      <c r="F74" s="42"/>
      <c r="G74" s="42"/>
      <c r="H74" s="42">
        <f>[4]Charters!D1288</f>
        <v>6617806.6200000001</v>
      </c>
    </row>
    <row r="75" spans="1:8" x14ac:dyDescent="0.2">
      <c r="A75" s="20" t="s">
        <v>47</v>
      </c>
      <c r="B75" s="43"/>
      <c r="C75" s="56"/>
      <c r="D75" s="60">
        <f>[4]Charters!E829</f>
        <v>0</v>
      </c>
      <c r="E75" s="42"/>
      <c r="F75" s="42"/>
      <c r="G75" s="42"/>
      <c r="H75" s="42">
        <f>D84</f>
        <v>6617806.6200000001</v>
      </c>
    </row>
    <row r="76" spans="1:8" x14ac:dyDescent="0.2">
      <c r="A76" s="20" t="s">
        <v>57</v>
      </c>
      <c r="B76" s="43"/>
      <c r="C76" s="56"/>
      <c r="D76" s="60">
        <f>[4]Charters!C982</f>
        <v>0</v>
      </c>
      <c r="E76" s="42"/>
      <c r="F76" s="42"/>
      <c r="G76" s="42"/>
      <c r="H76" s="42">
        <f>+H74-H75</f>
        <v>0</v>
      </c>
    </row>
    <row r="77" spans="1:8" x14ac:dyDescent="0.2">
      <c r="A77" s="59" t="s">
        <v>53</v>
      </c>
      <c r="B77" s="43"/>
      <c r="C77" s="56"/>
      <c r="D77" s="60">
        <f>[4]Charters!D982</f>
        <v>0</v>
      </c>
      <c r="E77" s="42"/>
      <c r="F77" s="42" t="s">
        <v>30</v>
      </c>
      <c r="G77" s="42"/>
      <c r="H77" s="42"/>
    </row>
    <row r="78" spans="1:8" x14ac:dyDescent="0.2">
      <c r="A78" s="59" t="s">
        <v>59</v>
      </c>
      <c r="B78" s="43"/>
      <c r="C78" s="56"/>
      <c r="D78" s="60">
        <f>[4]Charters!E982</f>
        <v>0</v>
      </c>
      <c r="E78" s="42"/>
      <c r="F78" s="42"/>
      <c r="G78" s="42"/>
      <c r="H78" s="42"/>
    </row>
    <row r="79" spans="1:8" x14ac:dyDescent="0.2">
      <c r="A79" s="38" t="s">
        <v>18</v>
      </c>
      <c r="B79" s="61"/>
      <c r="C79" s="62"/>
      <c r="D79" s="87"/>
      <c r="E79" s="42"/>
      <c r="F79" s="42">
        <f>[4]Charters!C1288</f>
        <v>9617.09</v>
      </c>
      <c r="G79" s="42"/>
      <c r="H79" s="42"/>
    </row>
    <row r="80" spans="1:8" x14ac:dyDescent="0.2">
      <c r="A80" s="59" t="s">
        <v>39</v>
      </c>
      <c r="B80" s="43"/>
      <c r="C80" s="56"/>
      <c r="D80" s="41">
        <f>[4]Charters!C1135</f>
        <v>9617.09</v>
      </c>
      <c r="E80" s="42"/>
      <c r="F80" s="42">
        <f>SUM(D80:D83)</f>
        <v>9617.09</v>
      </c>
      <c r="G80" s="42"/>
      <c r="H80" s="42"/>
    </row>
    <row r="81" spans="1:8" x14ac:dyDescent="0.2">
      <c r="A81" s="59" t="s">
        <v>48</v>
      </c>
      <c r="B81" s="43"/>
      <c r="C81" s="56"/>
      <c r="D81" s="41">
        <f>[4]Charters!D1135</f>
        <v>0</v>
      </c>
      <c r="E81" s="42"/>
      <c r="F81" s="42">
        <f>+F79-F80</f>
        <v>0</v>
      </c>
      <c r="G81" s="42"/>
      <c r="H81" s="42"/>
    </row>
    <row r="82" spans="1:8" x14ac:dyDescent="0.2">
      <c r="A82" s="59" t="s">
        <v>60</v>
      </c>
      <c r="B82" s="43"/>
      <c r="C82" s="56"/>
      <c r="D82" s="41">
        <f>[4]Charters!E1135</f>
        <v>0</v>
      </c>
      <c r="E82" s="42"/>
      <c r="F82" s="42"/>
      <c r="G82" s="42"/>
      <c r="H82" s="42"/>
    </row>
    <row r="83" spans="1:8" x14ac:dyDescent="0.2">
      <c r="A83" s="59" t="s">
        <v>61</v>
      </c>
      <c r="B83" s="43"/>
      <c r="C83" s="56"/>
      <c r="D83" s="41">
        <f>[4]Charters!F1135</f>
        <v>0</v>
      </c>
      <c r="E83" s="42"/>
      <c r="F83" s="42"/>
      <c r="G83" s="42"/>
      <c r="H83" s="42"/>
    </row>
    <row r="84" spans="1:8" ht="13.5" thickBot="1" x14ac:dyDescent="0.25">
      <c r="A84" s="64"/>
      <c r="B84" s="65"/>
      <c r="C84" s="66"/>
      <c r="D84" s="67">
        <f>SUM(D59:D83)</f>
        <v>6617806.6200000001</v>
      </c>
      <c r="E84" s="42"/>
      <c r="F84" s="42"/>
      <c r="G84" s="42"/>
      <c r="H84" s="42"/>
    </row>
    <row r="85" spans="1:8" ht="13.5" thickTop="1" x14ac:dyDescent="0.2">
      <c r="A85" s="68"/>
      <c r="B85" s="43"/>
      <c r="C85" s="56"/>
      <c r="D85" s="86"/>
      <c r="E85" s="42"/>
      <c r="F85" s="42"/>
      <c r="G85" s="42"/>
      <c r="H85" s="42"/>
    </row>
    <row r="86" spans="1:8" x14ac:dyDescent="0.2">
      <c r="A86" s="38" t="s">
        <v>20</v>
      </c>
      <c r="B86" s="39"/>
      <c r="C86" s="70"/>
      <c r="D86" s="71" t="s">
        <v>21</v>
      </c>
      <c r="E86" s="42"/>
      <c r="F86" s="42"/>
      <c r="G86" s="42"/>
      <c r="H86" s="42"/>
    </row>
    <row r="87" spans="1:8" x14ac:dyDescent="0.2">
      <c r="A87" s="72" t="s">
        <v>22</v>
      </c>
      <c r="B87" s="73"/>
      <c r="C87" s="74"/>
      <c r="D87" s="41">
        <f>[5]Charters!C41</f>
        <v>2272.81</v>
      </c>
      <c r="E87" s="42"/>
      <c r="F87" s="42"/>
      <c r="G87" s="42"/>
      <c r="H87" s="42"/>
    </row>
    <row r="88" spans="1:8" x14ac:dyDescent="0.2">
      <c r="A88" s="75"/>
      <c r="B88" s="61"/>
      <c r="C88" s="76"/>
      <c r="D88" s="77">
        <f>SUM(D87:D87)</f>
        <v>2272.81</v>
      </c>
      <c r="E88" s="42"/>
      <c r="F88" s="42"/>
      <c r="G88" s="42"/>
      <c r="H88" s="42"/>
    </row>
    <row r="89" spans="1:8" x14ac:dyDescent="0.2">
      <c r="A89" s="78" t="s">
        <v>58</v>
      </c>
      <c r="B89" s="79"/>
      <c r="C89" s="80"/>
      <c r="D89" s="77">
        <f>D88+D84</f>
        <v>6620079.4299999997</v>
      </c>
      <c r="E89" s="42"/>
      <c r="F89" s="42"/>
      <c r="G89" s="42"/>
      <c r="H89" s="42"/>
    </row>
    <row r="90" spans="1:8" x14ac:dyDescent="0.2">
      <c r="A90" s="84"/>
      <c r="B90" s="84"/>
      <c r="C90" s="85"/>
      <c r="D90" s="81"/>
      <c r="E90" s="42"/>
      <c r="F90" s="42"/>
      <c r="G90" s="42"/>
      <c r="H90" s="42"/>
    </row>
    <row r="91" spans="1:8" x14ac:dyDescent="0.2">
      <c r="A91" s="84"/>
      <c r="B91" s="84"/>
      <c r="C91" s="85"/>
      <c r="D91" s="81">
        <f>[5]Charters!E197</f>
        <v>6620079.4299999997</v>
      </c>
      <c r="E91" s="42"/>
      <c r="F91" s="42"/>
      <c r="G91" s="42"/>
      <c r="H91" s="42"/>
    </row>
    <row r="92" spans="1:8" x14ac:dyDescent="0.2">
      <c r="A92" s="84"/>
      <c r="B92" s="84"/>
      <c r="C92" s="85"/>
      <c r="D92" s="81">
        <f>D89</f>
        <v>6620079.4299999997</v>
      </c>
      <c r="E92" s="42"/>
      <c r="F92" s="42"/>
      <c r="G92" s="42"/>
      <c r="H92" s="42"/>
    </row>
    <row r="93" spans="1:8" x14ac:dyDescent="0.2">
      <c r="C93" s="83"/>
      <c r="D93" s="42">
        <f>D91-D92</f>
        <v>0</v>
      </c>
      <c r="E93" s="42"/>
      <c r="F93" s="42"/>
      <c r="G93" s="42"/>
      <c r="H93" s="42"/>
    </row>
  </sheetData>
  <mergeCells count="4">
    <mergeCell ref="A35:D35"/>
    <mergeCell ref="A36:D36"/>
    <mergeCell ref="A37:D37"/>
    <mergeCell ref="A89:C89"/>
  </mergeCells>
  <phoneticPr fontId="1" type="noConversion"/>
  <printOptions horizontalCentered="1" verticalCentered="1"/>
  <pageMargins left="0.5" right="0.5" top="0.5" bottom="0.5" header="0.25" footer="0.25"/>
  <pageSetup orientation="portrait" verticalDpi="1200" r:id="rId1"/>
  <headerFooter alignWithMargins="0">
    <oddHeader>&amp;R&amp;8Current as of: &amp;D</oddHeader>
    <oddFooter>&amp;L&amp;8USOE, School Finance</oddFooter>
  </headerFooter>
  <picture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>
    <pageSetUpPr fitToPage="1"/>
  </sheetPr>
  <dimension ref="A1:H94"/>
  <sheetViews>
    <sheetView showGridLines="0" topLeftCell="A25" workbookViewId="0">
      <selection activeCell="C12" sqref="C12"/>
    </sheetView>
  </sheetViews>
  <sheetFormatPr defaultColWidth="9.140625" defaultRowHeight="12.75" x14ac:dyDescent="0.2"/>
  <cols>
    <col min="1" max="1" width="31.85546875" style="82" customWidth="1"/>
    <col min="2" max="2" width="16.28515625" style="82" customWidth="1"/>
    <col min="3" max="4" width="14.85546875" style="82" customWidth="1"/>
    <col min="5" max="5" width="7" style="82" customWidth="1"/>
    <col min="6" max="6" width="19.7109375" style="82" customWidth="1"/>
    <col min="7" max="7" width="5.7109375" style="82" customWidth="1"/>
    <col min="8" max="8" width="18" style="82" customWidth="1"/>
    <col min="9" max="16384" width="9.140625" style="82"/>
  </cols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"/>
      <c r="B3" s="1"/>
      <c r="C3" s="1"/>
      <c r="D3" s="1"/>
      <c r="E3" s="1"/>
      <c r="F3" s="1"/>
      <c r="G3" s="1"/>
      <c r="H3" s="1"/>
    </row>
    <row r="4" spans="1:8" x14ac:dyDescent="0.2">
      <c r="A4" s="1"/>
      <c r="B4" s="1"/>
      <c r="C4" s="1"/>
      <c r="D4" s="1"/>
      <c r="E4" s="1"/>
      <c r="F4" s="1"/>
      <c r="G4" s="1"/>
      <c r="H4" s="1"/>
    </row>
    <row r="5" spans="1:8" x14ac:dyDescent="0.2">
      <c r="A5" s="1"/>
      <c r="B5" s="1"/>
      <c r="C5" s="1"/>
      <c r="D5" s="1"/>
      <c r="E5" s="1"/>
      <c r="F5" s="1"/>
      <c r="G5" s="1"/>
      <c r="H5" s="1"/>
    </row>
    <row r="6" spans="1:8" x14ac:dyDescent="0.2">
      <c r="A6" s="1"/>
      <c r="B6" s="1"/>
      <c r="C6" s="1"/>
      <c r="D6" s="1"/>
      <c r="E6" s="1"/>
      <c r="F6" s="1"/>
      <c r="G6" s="1"/>
      <c r="H6" s="1"/>
    </row>
    <row r="7" spans="1:8" x14ac:dyDescent="0.2">
      <c r="A7" s="1"/>
      <c r="B7" s="1"/>
      <c r="C7" s="1"/>
      <c r="D7" s="1"/>
      <c r="E7" s="1"/>
      <c r="F7" s="1"/>
      <c r="G7" s="1"/>
      <c r="H7" s="1"/>
    </row>
    <row r="8" spans="1:8" x14ac:dyDescent="0.2">
      <c r="A8" s="1"/>
      <c r="B8" s="1"/>
      <c r="C8" s="1"/>
      <c r="D8" s="1"/>
      <c r="E8" s="1"/>
      <c r="F8" s="1"/>
      <c r="G8" s="1"/>
      <c r="H8" s="1"/>
    </row>
    <row r="9" spans="1:8" x14ac:dyDescent="0.2">
      <c r="A9" s="1"/>
      <c r="B9" s="1"/>
      <c r="C9" s="1"/>
      <c r="D9" s="1"/>
      <c r="E9" s="1"/>
      <c r="F9" s="1"/>
      <c r="G9" s="1"/>
      <c r="H9" s="1"/>
    </row>
    <row r="10" spans="1:8" x14ac:dyDescent="0.2">
      <c r="A10" s="1"/>
      <c r="B10" s="1"/>
      <c r="C10" s="1"/>
      <c r="D10" s="1"/>
      <c r="E10" s="1"/>
      <c r="F10" s="1"/>
      <c r="G10" s="1"/>
      <c r="H10" s="1"/>
    </row>
    <row r="11" spans="1:8" x14ac:dyDescent="0.2">
      <c r="A11" s="1"/>
      <c r="B11" s="1"/>
      <c r="C11" s="1"/>
      <c r="D11" s="1"/>
      <c r="E11" s="1"/>
      <c r="F11" s="1"/>
      <c r="G11" s="1"/>
      <c r="H11" s="1"/>
    </row>
    <row r="12" spans="1:8" x14ac:dyDescent="0.2">
      <c r="A12" s="1"/>
      <c r="B12" s="1"/>
      <c r="C12" s="1"/>
      <c r="D12" s="1"/>
      <c r="E12" s="1"/>
      <c r="F12" s="1"/>
      <c r="G12" s="1"/>
      <c r="H12" s="1"/>
    </row>
    <row r="13" spans="1:8" x14ac:dyDescent="0.2">
      <c r="A13" s="1"/>
      <c r="B13" s="1"/>
      <c r="C13" s="1"/>
      <c r="D13" s="1"/>
      <c r="E13" s="1"/>
      <c r="F13" s="1"/>
      <c r="G13" s="1"/>
      <c r="H13" s="1"/>
    </row>
    <row r="14" spans="1:8" x14ac:dyDescent="0.2">
      <c r="A14" s="1"/>
      <c r="B14" s="1"/>
      <c r="C14" s="1"/>
      <c r="D14" s="1"/>
      <c r="E14" s="1"/>
      <c r="F14" s="1"/>
      <c r="G14" s="1"/>
      <c r="H14" s="1"/>
    </row>
    <row r="15" spans="1:8" x14ac:dyDescent="0.2">
      <c r="A15" s="1"/>
      <c r="B15" s="1"/>
      <c r="C15" s="1"/>
      <c r="D15" s="1"/>
      <c r="E15" s="1"/>
      <c r="F15" s="1"/>
      <c r="G15" s="1"/>
      <c r="H15" s="1"/>
    </row>
    <row r="16" spans="1:8" x14ac:dyDescent="0.2">
      <c r="A16" s="1"/>
      <c r="B16" s="1"/>
      <c r="C16" s="1"/>
      <c r="D16" s="1"/>
      <c r="E16" s="1"/>
      <c r="F16" s="1"/>
      <c r="G16" s="1"/>
      <c r="H16" s="1"/>
    </row>
    <row r="17" spans="1:8" x14ac:dyDescent="0.2">
      <c r="A17" s="1"/>
      <c r="B17" s="1"/>
      <c r="C17" s="1"/>
      <c r="D17" s="1"/>
      <c r="E17" s="1"/>
      <c r="F17" s="1"/>
      <c r="G17" s="1"/>
      <c r="H17" s="1"/>
    </row>
    <row r="18" spans="1:8" x14ac:dyDescent="0.2">
      <c r="A18" s="1"/>
      <c r="B18" s="1"/>
      <c r="C18" s="1"/>
      <c r="D18" s="1"/>
      <c r="E18" s="1"/>
      <c r="F18" s="1"/>
      <c r="G18" s="1"/>
      <c r="H18" s="1"/>
    </row>
    <row r="19" spans="1:8" x14ac:dyDescent="0.2">
      <c r="A19" s="1"/>
      <c r="B19" s="1"/>
      <c r="C19" s="1"/>
      <c r="D19" s="1"/>
      <c r="E19" s="1"/>
      <c r="F19" s="1"/>
      <c r="G19" s="1"/>
      <c r="H19" s="1"/>
    </row>
    <row r="20" spans="1:8" x14ac:dyDescent="0.2">
      <c r="A20" s="1"/>
      <c r="B20" s="1"/>
      <c r="C20" s="1"/>
      <c r="D20" s="1"/>
      <c r="E20" s="1"/>
      <c r="F20" s="1"/>
      <c r="G20" s="1"/>
      <c r="H20" s="1"/>
    </row>
    <row r="21" spans="1:8" x14ac:dyDescent="0.2">
      <c r="A21" s="1"/>
      <c r="B21" s="1"/>
      <c r="C21" s="1"/>
      <c r="D21" s="1"/>
      <c r="E21" s="1"/>
      <c r="F21" s="1"/>
      <c r="G21" s="1"/>
      <c r="H21" s="1"/>
    </row>
    <row r="22" spans="1:8" x14ac:dyDescent="0.2">
      <c r="A22" s="1"/>
      <c r="B22" s="1"/>
      <c r="C22" s="1"/>
      <c r="D22" s="4"/>
      <c r="E22" s="1"/>
      <c r="F22" s="1"/>
      <c r="G22" s="1"/>
      <c r="H22" s="1"/>
    </row>
    <row r="23" spans="1:8" x14ac:dyDescent="0.2">
      <c r="A23" s="1"/>
      <c r="B23" s="1"/>
      <c r="C23" s="1"/>
      <c r="D23" s="1"/>
      <c r="E23" s="1"/>
      <c r="F23" s="1"/>
      <c r="G23" s="1"/>
      <c r="H23" s="1"/>
    </row>
    <row r="24" spans="1:8" x14ac:dyDescent="0.2">
      <c r="A24" s="1"/>
      <c r="B24" s="1"/>
      <c r="C24" s="1"/>
      <c r="D24" s="1"/>
      <c r="E24" s="1"/>
      <c r="F24" s="1"/>
      <c r="G24" s="1"/>
      <c r="H24" s="1"/>
    </row>
    <row r="25" spans="1:8" x14ac:dyDescent="0.2">
      <c r="A25" s="1"/>
      <c r="B25" s="1"/>
      <c r="C25" s="1"/>
      <c r="D25" s="1"/>
      <c r="E25" s="1"/>
      <c r="F25" s="1"/>
      <c r="G25" s="1"/>
      <c r="H25" s="1"/>
    </row>
    <row r="26" spans="1:8" x14ac:dyDescent="0.2">
      <c r="A26" s="1"/>
      <c r="B26" s="1"/>
      <c r="C26" s="1"/>
      <c r="D26" s="1"/>
      <c r="E26" s="1"/>
      <c r="F26" s="1"/>
      <c r="G26" s="1"/>
      <c r="H26" s="1"/>
    </row>
    <row r="27" spans="1:8" x14ac:dyDescent="0.2">
      <c r="A27" s="1"/>
      <c r="B27" s="1"/>
      <c r="C27" s="1"/>
      <c r="D27" s="1"/>
      <c r="E27" s="1"/>
      <c r="F27" s="1"/>
      <c r="G27" s="1"/>
      <c r="H27" s="1"/>
    </row>
    <row r="28" spans="1:8" x14ac:dyDescent="0.2">
      <c r="A28" s="1"/>
      <c r="B28" s="1"/>
      <c r="C28" s="1"/>
      <c r="D28" s="1"/>
      <c r="E28" s="1"/>
      <c r="F28" s="1"/>
      <c r="G28" s="1"/>
      <c r="H28" s="1"/>
    </row>
    <row r="29" spans="1:8" x14ac:dyDescent="0.2">
      <c r="A29" s="1"/>
      <c r="B29" s="1"/>
      <c r="C29" s="1"/>
      <c r="D29" s="1"/>
      <c r="E29" s="1"/>
      <c r="F29" s="1"/>
      <c r="G29" s="1"/>
      <c r="H29" s="1"/>
    </row>
    <row r="30" spans="1:8" x14ac:dyDescent="0.2">
      <c r="A30" s="1"/>
      <c r="B30" s="1"/>
      <c r="C30" s="1"/>
      <c r="D30" s="1"/>
      <c r="E30" s="1"/>
      <c r="F30" s="1"/>
      <c r="G30" s="1"/>
      <c r="H30" s="1"/>
    </row>
    <row r="31" spans="1:8" x14ac:dyDescent="0.2">
      <c r="A31" s="1"/>
      <c r="B31" s="1"/>
      <c r="C31" s="1"/>
      <c r="D31" s="1"/>
      <c r="E31" s="1"/>
      <c r="F31" s="1"/>
      <c r="G31" s="1"/>
      <c r="H31" s="1"/>
    </row>
    <row r="32" spans="1:8" x14ac:dyDescent="0.2">
      <c r="A32" s="1"/>
      <c r="B32" s="1"/>
      <c r="C32" s="1"/>
      <c r="D32" s="1"/>
      <c r="E32" s="1"/>
      <c r="F32" s="1"/>
      <c r="G32" s="1"/>
      <c r="H32" s="1"/>
    </row>
    <row r="33" spans="1:8" x14ac:dyDescent="0.2">
      <c r="A33" s="1"/>
      <c r="B33" s="1"/>
      <c r="C33" s="1"/>
      <c r="D33" s="1"/>
      <c r="E33" s="1"/>
      <c r="F33" s="1"/>
      <c r="G33" s="1"/>
      <c r="H33" s="1"/>
    </row>
    <row r="34" spans="1:8" x14ac:dyDescent="0.2">
      <c r="A34" s="1"/>
      <c r="B34" s="1"/>
      <c r="C34" s="1"/>
      <c r="D34" s="1"/>
      <c r="E34" s="1"/>
      <c r="F34" s="1"/>
      <c r="G34" s="1"/>
      <c r="H34" s="1"/>
    </row>
    <row r="35" spans="1:8" x14ac:dyDescent="0.2">
      <c r="A35" s="1"/>
      <c r="B35" s="1"/>
      <c r="C35" s="1"/>
      <c r="D35" s="1"/>
      <c r="E35" s="1"/>
      <c r="F35" s="1"/>
      <c r="G35" s="1"/>
      <c r="H35" s="1"/>
    </row>
    <row r="36" spans="1:8" x14ac:dyDescent="0.2">
      <c r="A36" s="11" t="s">
        <v>1</v>
      </c>
      <c r="B36" s="12"/>
      <c r="C36" s="12"/>
      <c r="D36" s="13"/>
      <c r="E36" s="8"/>
      <c r="F36" s="8"/>
      <c r="G36" s="8"/>
      <c r="H36" s="8"/>
    </row>
    <row r="37" spans="1:8" x14ac:dyDescent="0.2">
      <c r="A37" s="14" t="s">
        <v>15</v>
      </c>
      <c r="B37" s="15"/>
      <c r="C37" s="15"/>
      <c r="D37" s="16"/>
      <c r="E37" s="8"/>
      <c r="F37" s="8"/>
      <c r="G37" s="8"/>
      <c r="H37" s="8"/>
    </row>
    <row r="38" spans="1:8" x14ac:dyDescent="0.2">
      <c r="A38" s="17" t="s">
        <v>62</v>
      </c>
      <c r="B38" s="18"/>
      <c r="C38" s="18"/>
      <c r="D38" s="19"/>
      <c r="E38" s="8"/>
      <c r="F38" s="8"/>
      <c r="G38" s="8"/>
      <c r="H38" s="8"/>
    </row>
    <row r="39" spans="1:8" x14ac:dyDescent="0.2">
      <c r="A39" s="20"/>
      <c r="B39" s="21"/>
      <c r="C39" s="22"/>
      <c r="D39" s="23"/>
      <c r="E39" s="8"/>
      <c r="F39" s="8" t="s">
        <v>34</v>
      </c>
      <c r="G39" s="8"/>
      <c r="H39" s="8"/>
    </row>
    <row r="40" spans="1:8" ht="15.75" x14ac:dyDescent="0.25">
      <c r="A40" s="24" t="s">
        <v>2</v>
      </c>
      <c r="B40" s="25" t="str">
        <f>[1]Charters!B43</f>
        <v>Lakeview Academy</v>
      </c>
      <c r="C40" s="26"/>
      <c r="D40" s="27"/>
      <c r="E40" s="8"/>
      <c r="F40" s="8"/>
      <c r="G40" s="8"/>
      <c r="H40" s="8"/>
    </row>
    <row r="41" spans="1:8" x14ac:dyDescent="0.2">
      <c r="A41" s="24"/>
      <c r="B41" s="28"/>
      <c r="C41" s="26"/>
      <c r="D41" s="27"/>
      <c r="E41" s="8"/>
      <c r="F41" s="8"/>
      <c r="G41" s="8"/>
      <c r="H41" s="8"/>
    </row>
    <row r="42" spans="1:8" x14ac:dyDescent="0.2">
      <c r="A42" s="29" t="s">
        <v>0</v>
      </c>
      <c r="B42" s="30">
        <f>[1]Charters!$E$6</f>
        <v>3184</v>
      </c>
      <c r="C42" s="26"/>
      <c r="D42" s="31"/>
      <c r="E42" s="8"/>
      <c r="F42" s="8"/>
      <c r="G42" s="8"/>
      <c r="H42" s="8"/>
    </row>
    <row r="43" spans="1:8" x14ac:dyDescent="0.2">
      <c r="A43" s="32"/>
      <c r="B43" s="6"/>
      <c r="C43" s="33"/>
      <c r="D43" s="34" t="s">
        <v>3</v>
      </c>
      <c r="E43" s="8"/>
      <c r="F43" s="8"/>
      <c r="G43" s="8"/>
      <c r="H43" s="8"/>
    </row>
    <row r="44" spans="1:8" x14ac:dyDescent="0.2">
      <c r="A44" s="29" t="s">
        <v>19</v>
      </c>
      <c r="B44" s="35" t="str">
        <f>[1]Charters!A43</f>
        <v>4C</v>
      </c>
      <c r="C44" s="36" t="s">
        <v>4</v>
      </c>
      <c r="D44" s="37" t="s">
        <v>5</v>
      </c>
      <c r="E44" s="8"/>
      <c r="F44" s="8"/>
      <c r="G44" s="8"/>
      <c r="H44" s="8"/>
    </row>
    <row r="45" spans="1:8" x14ac:dyDescent="0.2">
      <c r="A45" s="38" t="s">
        <v>6</v>
      </c>
      <c r="B45" s="39"/>
      <c r="C45" s="40"/>
      <c r="D45" s="41"/>
      <c r="E45" s="8"/>
      <c r="F45" s="8"/>
      <c r="G45" s="8"/>
      <c r="H45" s="8"/>
    </row>
    <row r="46" spans="1:8" x14ac:dyDescent="0.2">
      <c r="A46" s="38" t="s">
        <v>7</v>
      </c>
      <c r="B46" s="39"/>
      <c r="C46" s="40"/>
      <c r="D46" s="41"/>
      <c r="E46" s="8"/>
      <c r="F46" s="42" t="s">
        <v>23</v>
      </c>
      <c r="G46" s="8"/>
      <c r="H46" s="42" t="s">
        <v>26</v>
      </c>
    </row>
    <row r="47" spans="1:8" x14ac:dyDescent="0.2">
      <c r="A47" s="20" t="s">
        <v>8</v>
      </c>
      <c r="B47" s="43"/>
      <c r="C47" s="44">
        <f>[1]Charters!C503</f>
        <v>907.31500000000005</v>
      </c>
      <c r="D47" s="45">
        <f>[1]Charters!E503</f>
        <v>2888892.34</v>
      </c>
      <c r="E47" s="8"/>
      <c r="F47" s="42">
        <f>[1]Charters!E658</f>
        <v>3066963.66</v>
      </c>
      <c r="G47" s="8"/>
      <c r="H47" s="42">
        <f>[2]Charters!E197</f>
        <v>3691430.74</v>
      </c>
    </row>
    <row r="48" spans="1:8" x14ac:dyDescent="0.2">
      <c r="A48" s="20" t="s">
        <v>14</v>
      </c>
      <c r="B48" s="43"/>
      <c r="C48" s="44">
        <f>[1]Charters!F503</f>
        <v>55.927</v>
      </c>
      <c r="D48" s="45">
        <f>[1]Charters!H503</f>
        <v>178071.32</v>
      </c>
      <c r="E48" s="8"/>
      <c r="F48" s="42">
        <f>SUM(D47:D49)</f>
        <v>3066963.66</v>
      </c>
      <c r="G48" s="8"/>
      <c r="H48" s="42">
        <f>D60</f>
        <v>3691430.74</v>
      </c>
    </row>
    <row r="49" spans="1:8" x14ac:dyDescent="0.2">
      <c r="A49" s="20" t="s">
        <v>32</v>
      </c>
      <c r="B49" s="43"/>
      <c r="C49" s="44">
        <f>[1]Charters!C196</f>
        <v>0</v>
      </c>
      <c r="D49" s="45">
        <f>[1]Charters!E196</f>
        <v>0</v>
      </c>
      <c r="E49" s="8"/>
      <c r="F49" s="42">
        <f>+F47-F48</f>
        <v>0</v>
      </c>
      <c r="G49" s="8"/>
      <c r="H49" s="42">
        <f>+H47-H48</f>
        <v>0</v>
      </c>
    </row>
    <row r="50" spans="1:8" x14ac:dyDescent="0.2">
      <c r="A50" s="38" t="s">
        <v>9</v>
      </c>
      <c r="B50" s="39"/>
      <c r="C50" s="46"/>
      <c r="D50" s="47"/>
      <c r="E50" s="8"/>
      <c r="F50" s="8"/>
      <c r="G50" s="8"/>
      <c r="H50" s="8"/>
    </row>
    <row r="51" spans="1:8" x14ac:dyDescent="0.2">
      <c r="A51" s="20" t="s">
        <v>10</v>
      </c>
      <c r="B51" s="43"/>
      <c r="C51" s="40">
        <f>[3]Charters!C42</f>
        <v>104.145</v>
      </c>
      <c r="D51" s="41">
        <f>[3]Charters!E42</f>
        <v>331597.21000000002</v>
      </c>
      <c r="E51" s="8"/>
      <c r="F51" s="42" t="s">
        <v>24</v>
      </c>
      <c r="G51" s="8"/>
      <c r="H51" s="8"/>
    </row>
    <row r="52" spans="1:8" x14ac:dyDescent="0.2">
      <c r="A52" s="48" t="s">
        <v>11</v>
      </c>
      <c r="B52" s="43"/>
      <c r="C52" s="40">
        <f>[3]Charters!F42</f>
        <v>5.94</v>
      </c>
      <c r="D52" s="49">
        <f>[3]Charters!H42</f>
        <v>18912.96</v>
      </c>
      <c r="E52" s="8"/>
      <c r="F52" s="42">
        <f>[3]Charters!N353</f>
        <v>359769.08</v>
      </c>
      <c r="G52" s="8"/>
      <c r="H52" s="8"/>
    </row>
    <row r="53" spans="1:8" x14ac:dyDescent="0.2">
      <c r="A53" s="48" t="s">
        <v>12</v>
      </c>
      <c r="B53" s="43"/>
      <c r="C53" s="40">
        <f>[3]Charters!C197</f>
        <v>0</v>
      </c>
      <c r="D53" s="41">
        <f>[3]Charters!E197</f>
        <v>0</v>
      </c>
      <c r="E53" s="8"/>
      <c r="F53" s="42">
        <f>SUM(D51:D57)</f>
        <v>359769.08</v>
      </c>
      <c r="G53" s="8"/>
      <c r="H53" s="8"/>
    </row>
    <row r="54" spans="1:8" x14ac:dyDescent="0.2">
      <c r="A54" s="20" t="s">
        <v>13</v>
      </c>
      <c r="B54" s="43"/>
      <c r="C54" s="40">
        <f>[3]Charters!F197</f>
        <v>1.0469999999999999</v>
      </c>
      <c r="D54" s="41">
        <f>[3]Charters!H197</f>
        <v>3333.66</v>
      </c>
      <c r="E54" s="8"/>
      <c r="F54" s="42">
        <f>+F52-F53</f>
        <v>0</v>
      </c>
      <c r="G54" s="8"/>
      <c r="H54" s="8"/>
    </row>
    <row r="55" spans="1:8" x14ac:dyDescent="0.2">
      <c r="A55" s="48" t="s">
        <v>54</v>
      </c>
      <c r="B55" s="43"/>
      <c r="C55" s="40">
        <f>[3]Charters!C353</f>
        <v>1.861</v>
      </c>
      <c r="D55" s="41">
        <f>[3]Charters!E353</f>
        <v>5925.25</v>
      </c>
      <c r="E55" s="8"/>
      <c r="F55" s="8"/>
      <c r="G55" s="8"/>
      <c r="H55" s="8"/>
    </row>
    <row r="56" spans="1:8" x14ac:dyDescent="0.2">
      <c r="A56" s="48" t="s">
        <v>55</v>
      </c>
      <c r="B56" s="43"/>
      <c r="C56" s="40">
        <f>[3]Charters!F353</f>
        <v>0</v>
      </c>
      <c r="D56" s="41">
        <f>[3]Charters!H353</f>
        <v>0</v>
      </c>
      <c r="E56" s="8"/>
      <c r="F56" s="42" t="s">
        <v>25</v>
      </c>
      <c r="G56" s="8"/>
      <c r="H56" s="8"/>
    </row>
    <row r="57" spans="1:8" x14ac:dyDescent="0.2">
      <c r="A57" s="48" t="s">
        <v>56</v>
      </c>
      <c r="B57" s="43"/>
      <c r="C57" s="40">
        <f>[3]Charters!I353</f>
        <v>0</v>
      </c>
      <c r="D57" s="41">
        <f>[3]Charters!K353</f>
        <v>0</v>
      </c>
      <c r="E57" s="8"/>
      <c r="F57" s="42">
        <f>[2]Charters!H43</f>
        <v>624467.07999999996</v>
      </c>
      <c r="G57" s="8"/>
      <c r="H57" s="8"/>
    </row>
    <row r="58" spans="1:8" x14ac:dyDescent="0.2">
      <c r="A58" s="20" t="s">
        <v>49</v>
      </c>
      <c r="B58" s="43"/>
      <c r="C58" s="40">
        <f>[3]Charters!C510</f>
        <v>1.583</v>
      </c>
      <c r="D58" s="41">
        <f>[3]Charters!E510</f>
        <v>5041.1499999999996</v>
      </c>
      <c r="E58" s="8"/>
      <c r="F58" s="42">
        <f>SUM(D51:D59)</f>
        <v>624467.07999999996</v>
      </c>
      <c r="G58" s="8"/>
      <c r="H58" s="8"/>
    </row>
    <row r="59" spans="1:8" x14ac:dyDescent="0.2">
      <c r="A59" s="20" t="s">
        <v>50</v>
      </c>
      <c r="B59" s="43"/>
      <c r="C59" s="40">
        <f>[2]Charters!C43</f>
        <v>81.551000000000002</v>
      </c>
      <c r="D59" s="41">
        <f>[2]Charters!E43</f>
        <v>259656.85</v>
      </c>
      <c r="E59" s="8"/>
      <c r="F59" s="42">
        <f>+F57-F58</f>
        <v>0</v>
      </c>
      <c r="G59" s="8"/>
      <c r="H59" s="8"/>
    </row>
    <row r="60" spans="1:8" x14ac:dyDescent="0.2">
      <c r="A60" s="50"/>
      <c r="B60" s="51" t="s">
        <v>16</v>
      </c>
      <c r="C60" s="52">
        <f>SUM(C47:C59)</f>
        <v>1159.3689999999999</v>
      </c>
      <c r="D60" s="53">
        <f>SUM(D47:D59)</f>
        <v>3691430.74</v>
      </c>
      <c r="E60" s="8"/>
      <c r="F60" s="8"/>
      <c r="G60" s="8"/>
      <c r="H60" s="8"/>
    </row>
    <row r="61" spans="1:8" x14ac:dyDescent="0.2">
      <c r="A61" s="54" t="s">
        <v>17</v>
      </c>
      <c r="B61" s="39"/>
      <c r="C61" s="55"/>
      <c r="D61" s="47"/>
      <c r="E61" s="8"/>
      <c r="F61" s="8"/>
      <c r="G61" s="8"/>
      <c r="H61" s="42" t="s">
        <v>29</v>
      </c>
    </row>
    <row r="62" spans="1:8" x14ac:dyDescent="0.2">
      <c r="A62" s="20" t="s">
        <v>33</v>
      </c>
      <c r="B62" s="43"/>
      <c r="C62" s="56"/>
      <c r="D62" s="57">
        <f>[4]Charters!C42</f>
        <v>10699.49</v>
      </c>
      <c r="E62" s="8"/>
      <c r="F62" s="8"/>
      <c r="G62" s="8"/>
      <c r="H62" s="42">
        <f>[4]Charters!F983</f>
        <v>6211447.96</v>
      </c>
    </row>
    <row r="63" spans="1:8" x14ac:dyDescent="0.2">
      <c r="A63" s="58" t="s">
        <v>35</v>
      </c>
      <c r="B63" s="43"/>
      <c r="C63" s="56"/>
      <c r="D63" s="41">
        <f>+[4]Charters!F363</f>
        <v>4366.8900000000003</v>
      </c>
      <c r="E63" s="8"/>
      <c r="F63" s="8"/>
      <c r="G63" s="8"/>
      <c r="H63" s="42">
        <f>SUM(D60:D79)</f>
        <v>6211447.96</v>
      </c>
    </row>
    <row r="64" spans="1:8" x14ac:dyDescent="0.2">
      <c r="A64" s="59" t="s">
        <v>36</v>
      </c>
      <c r="B64" s="43"/>
      <c r="C64" s="56"/>
      <c r="D64" s="41">
        <f>[4]Charters!E202</f>
        <v>32476</v>
      </c>
      <c r="E64" s="8"/>
      <c r="F64" s="8"/>
      <c r="G64" s="8"/>
      <c r="H64" s="42">
        <f>+H62-H63</f>
        <v>0</v>
      </c>
    </row>
    <row r="65" spans="1:8" x14ac:dyDescent="0.2">
      <c r="A65" s="59" t="s">
        <v>52</v>
      </c>
      <c r="B65" s="43"/>
      <c r="C65" s="56"/>
      <c r="D65" s="41">
        <f>[4]Charters!G363</f>
        <v>0</v>
      </c>
      <c r="E65" s="8"/>
      <c r="F65" s="42" t="s">
        <v>27</v>
      </c>
      <c r="G65" s="8"/>
      <c r="H65" s="42"/>
    </row>
    <row r="66" spans="1:8" x14ac:dyDescent="0.2">
      <c r="A66" s="20" t="s">
        <v>37</v>
      </c>
      <c r="B66" s="43"/>
      <c r="C66" s="56"/>
      <c r="D66" s="41">
        <f>[4]Charters!E519</f>
        <v>71566</v>
      </c>
      <c r="E66" s="8"/>
      <c r="F66" s="42">
        <f>[4]Charters!E202</f>
        <v>32476</v>
      </c>
      <c r="G66" s="8"/>
      <c r="H66" s="8"/>
    </row>
    <row r="67" spans="1:8" x14ac:dyDescent="0.2">
      <c r="A67" s="20" t="s">
        <v>38</v>
      </c>
      <c r="B67" s="43"/>
      <c r="C67" s="56"/>
      <c r="D67" s="41">
        <f>[4]Charters!F519</f>
        <v>2170</v>
      </c>
      <c r="E67" s="8"/>
      <c r="F67" s="42">
        <f>SUM(D64:D64)</f>
        <v>32476</v>
      </c>
      <c r="G67" s="8"/>
      <c r="H67" s="8"/>
    </row>
    <row r="68" spans="1:8" x14ac:dyDescent="0.2">
      <c r="A68" s="59" t="s">
        <v>40</v>
      </c>
      <c r="B68" s="43"/>
      <c r="C68" s="56"/>
      <c r="D68" s="41">
        <f>[4]Charters!G519</f>
        <v>0</v>
      </c>
      <c r="E68" s="8"/>
      <c r="F68" s="42">
        <f>+F66-F67</f>
        <v>0</v>
      </c>
      <c r="G68" s="8"/>
      <c r="H68" s="8"/>
    </row>
    <row r="69" spans="1:8" x14ac:dyDescent="0.2">
      <c r="A69" s="20" t="s">
        <v>41</v>
      </c>
      <c r="B69" s="43"/>
      <c r="C69" s="56"/>
      <c r="D69" s="41">
        <f>[4]Charters!C674</f>
        <v>2037018</v>
      </c>
      <c r="E69" s="8"/>
      <c r="F69" s="42" t="s">
        <v>28</v>
      </c>
      <c r="G69" s="8"/>
      <c r="H69" s="8"/>
    </row>
    <row r="70" spans="1:8" x14ac:dyDescent="0.2">
      <c r="A70" s="20" t="s">
        <v>42</v>
      </c>
      <c r="B70" s="43"/>
      <c r="C70" s="56"/>
      <c r="D70" s="41">
        <f>[4]Charters!D674</f>
        <v>221364.86</v>
      </c>
      <c r="E70" s="8"/>
      <c r="F70" s="42">
        <f>[4]Charters!D519</f>
        <v>36842.89</v>
      </c>
      <c r="G70" s="8"/>
      <c r="H70" s="8"/>
    </row>
    <row r="71" spans="1:8" x14ac:dyDescent="0.2">
      <c r="A71" s="20" t="s">
        <v>44</v>
      </c>
      <c r="B71" s="43"/>
      <c r="C71" s="56"/>
      <c r="D71" s="41">
        <f>[4]Charters!E674</f>
        <v>101800</v>
      </c>
      <c r="E71" s="8"/>
      <c r="F71" s="42">
        <f>SUM(D63:D65)</f>
        <v>36842.89</v>
      </c>
      <c r="G71" s="8"/>
      <c r="H71" s="8"/>
    </row>
    <row r="72" spans="1:8" x14ac:dyDescent="0.2">
      <c r="A72" s="59" t="s">
        <v>43</v>
      </c>
      <c r="B72" s="43"/>
      <c r="C72" s="56"/>
      <c r="D72" s="41">
        <f>[4]Charters!F674</f>
        <v>29219.73</v>
      </c>
      <c r="E72" s="8"/>
      <c r="F72" s="42">
        <f>+F70-F71</f>
        <v>0</v>
      </c>
      <c r="G72" s="8"/>
      <c r="H72" s="8"/>
    </row>
    <row r="73" spans="1:8" x14ac:dyDescent="0.2">
      <c r="A73" s="59" t="s">
        <v>45</v>
      </c>
      <c r="B73" s="43"/>
      <c r="C73" s="56"/>
      <c r="D73" s="41">
        <f>[4]Charters!C519</f>
        <v>0</v>
      </c>
      <c r="E73" s="8"/>
      <c r="F73" s="8"/>
      <c r="G73" s="8"/>
      <c r="H73" s="8"/>
    </row>
    <row r="74" spans="1:8" x14ac:dyDescent="0.2">
      <c r="A74" s="59" t="s">
        <v>46</v>
      </c>
      <c r="B74" s="43"/>
      <c r="C74" s="56"/>
      <c r="D74" s="41">
        <f>[4]Charters!C830</f>
        <v>0</v>
      </c>
      <c r="E74" s="42"/>
      <c r="F74" s="42"/>
      <c r="G74" s="42"/>
      <c r="H74" s="42" t="s">
        <v>31</v>
      </c>
    </row>
    <row r="75" spans="1:8" x14ac:dyDescent="0.2">
      <c r="A75" s="59" t="s">
        <v>51</v>
      </c>
      <c r="B75" s="43"/>
      <c r="C75" s="56"/>
      <c r="D75" s="60">
        <f>[4]Charters!D830</f>
        <v>1209.6400000000001</v>
      </c>
      <c r="E75" s="42"/>
      <c r="F75" s="42"/>
      <c r="G75" s="42"/>
      <c r="H75" s="42">
        <f>[4]Charters!D1289</f>
        <v>6219752.71</v>
      </c>
    </row>
    <row r="76" spans="1:8" x14ac:dyDescent="0.2">
      <c r="A76" s="20" t="s">
        <v>47</v>
      </c>
      <c r="B76" s="43"/>
      <c r="C76" s="56"/>
      <c r="D76" s="60">
        <f>[4]Charters!E830</f>
        <v>0</v>
      </c>
      <c r="E76" s="42"/>
      <c r="F76" s="42"/>
      <c r="G76" s="42"/>
      <c r="H76" s="42">
        <f>D85</f>
        <v>6219752.71</v>
      </c>
    </row>
    <row r="77" spans="1:8" x14ac:dyDescent="0.2">
      <c r="A77" s="20" t="s">
        <v>57</v>
      </c>
      <c r="B77" s="43"/>
      <c r="C77" s="56"/>
      <c r="D77" s="60">
        <f>[4]Charters!C983</f>
        <v>8126.61</v>
      </c>
      <c r="E77" s="42"/>
      <c r="F77" s="42"/>
      <c r="G77" s="42"/>
      <c r="H77" s="42">
        <f>+H75-H76</f>
        <v>0</v>
      </c>
    </row>
    <row r="78" spans="1:8" x14ac:dyDescent="0.2">
      <c r="A78" s="59" t="s">
        <v>53</v>
      </c>
      <c r="B78" s="43"/>
      <c r="C78" s="56"/>
      <c r="D78" s="60">
        <f>[4]Charters!D983</f>
        <v>0</v>
      </c>
      <c r="E78" s="42"/>
      <c r="F78" s="42" t="s">
        <v>30</v>
      </c>
      <c r="G78" s="42"/>
      <c r="H78" s="42"/>
    </row>
    <row r="79" spans="1:8" x14ac:dyDescent="0.2">
      <c r="A79" s="59" t="s">
        <v>59</v>
      </c>
      <c r="B79" s="43"/>
      <c r="C79" s="56"/>
      <c r="D79" s="60">
        <f>[4]Charters!E983</f>
        <v>0</v>
      </c>
      <c r="E79" s="42"/>
      <c r="F79" s="42"/>
      <c r="G79" s="42"/>
      <c r="H79" s="42"/>
    </row>
    <row r="80" spans="1:8" x14ac:dyDescent="0.2">
      <c r="A80" s="38" t="s">
        <v>18</v>
      </c>
      <c r="B80" s="61"/>
      <c r="C80" s="62"/>
      <c r="D80" s="87"/>
      <c r="E80" s="42"/>
      <c r="F80" s="42">
        <f>[4]Charters!C1289</f>
        <v>8304.75</v>
      </c>
      <c r="G80" s="42"/>
      <c r="H80" s="42"/>
    </row>
    <row r="81" spans="1:8" x14ac:dyDescent="0.2">
      <c r="A81" s="59" t="s">
        <v>39</v>
      </c>
      <c r="B81" s="43"/>
      <c r="C81" s="56"/>
      <c r="D81" s="41">
        <f>[4]Charters!C1136</f>
        <v>8304.75</v>
      </c>
      <c r="E81" s="42"/>
      <c r="F81" s="42">
        <f>SUM(D81:D84)</f>
        <v>8304.75</v>
      </c>
      <c r="G81" s="42"/>
      <c r="H81" s="42"/>
    </row>
    <row r="82" spans="1:8" x14ac:dyDescent="0.2">
      <c r="A82" s="59" t="s">
        <v>48</v>
      </c>
      <c r="B82" s="43"/>
      <c r="C82" s="56"/>
      <c r="D82" s="41">
        <f>[4]Charters!D1136</f>
        <v>0</v>
      </c>
      <c r="E82" s="42"/>
      <c r="F82" s="42">
        <f>+F80-F81</f>
        <v>0</v>
      </c>
      <c r="G82" s="42"/>
      <c r="H82" s="42"/>
    </row>
    <row r="83" spans="1:8" x14ac:dyDescent="0.2">
      <c r="A83" s="59" t="s">
        <v>60</v>
      </c>
      <c r="B83" s="43"/>
      <c r="C83" s="56"/>
      <c r="D83" s="41">
        <f>[4]Charters!E1136</f>
        <v>0</v>
      </c>
      <c r="E83" s="42"/>
      <c r="F83" s="42"/>
      <c r="G83" s="42"/>
      <c r="H83" s="42"/>
    </row>
    <row r="84" spans="1:8" x14ac:dyDescent="0.2">
      <c r="A84" s="59" t="s">
        <v>61</v>
      </c>
      <c r="B84" s="43"/>
      <c r="C84" s="56"/>
      <c r="D84" s="41">
        <f>[4]Charters!F1136</f>
        <v>0</v>
      </c>
      <c r="E84" s="42"/>
      <c r="F84" s="42"/>
      <c r="G84" s="42"/>
      <c r="H84" s="42"/>
    </row>
    <row r="85" spans="1:8" ht="13.5" thickBot="1" x14ac:dyDescent="0.25">
      <c r="A85" s="64"/>
      <c r="B85" s="65"/>
      <c r="C85" s="66"/>
      <c r="D85" s="67">
        <f>SUM(D60:D84)</f>
        <v>6219752.71</v>
      </c>
      <c r="E85" s="42"/>
      <c r="F85" s="42"/>
      <c r="G85" s="42"/>
      <c r="H85" s="42"/>
    </row>
    <row r="86" spans="1:8" ht="13.5" thickTop="1" x14ac:dyDescent="0.2">
      <c r="A86" s="68"/>
      <c r="B86" s="43"/>
      <c r="C86" s="56"/>
      <c r="D86" s="86"/>
      <c r="E86" s="42"/>
      <c r="F86" s="42"/>
      <c r="G86" s="42"/>
      <c r="H86" s="42"/>
    </row>
    <row r="87" spans="1:8" x14ac:dyDescent="0.2">
      <c r="A87" s="38" t="s">
        <v>20</v>
      </c>
      <c r="B87" s="39"/>
      <c r="C87" s="70"/>
      <c r="D87" s="71" t="s">
        <v>21</v>
      </c>
      <c r="E87" s="42"/>
      <c r="F87" s="42"/>
      <c r="G87" s="42"/>
      <c r="H87" s="42"/>
    </row>
    <row r="88" spans="1:8" x14ac:dyDescent="0.2">
      <c r="A88" s="72" t="s">
        <v>22</v>
      </c>
      <c r="B88" s="73"/>
      <c r="C88" s="74"/>
      <c r="D88" s="41">
        <f>[5]Charters!C42</f>
        <v>2223.9899999999998</v>
      </c>
      <c r="E88" s="42"/>
      <c r="F88" s="42"/>
      <c r="G88" s="42"/>
      <c r="H88" s="42"/>
    </row>
    <row r="89" spans="1:8" x14ac:dyDescent="0.2">
      <c r="A89" s="75"/>
      <c r="B89" s="61"/>
      <c r="C89" s="76"/>
      <c r="D89" s="77">
        <f>SUM(D88:D88)</f>
        <v>2223.9899999999998</v>
      </c>
      <c r="E89" s="42"/>
      <c r="F89" s="42"/>
      <c r="G89" s="42"/>
      <c r="H89" s="42"/>
    </row>
    <row r="90" spans="1:8" x14ac:dyDescent="0.2">
      <c r="A90" s="78" t="s">
        <v>58</v>
      </c>
      <c r="B90" s="79"/>
      <c r="C90" s="80"/>
      <c r="D90" s="77">
        <f>D89+D85</f>
        <v>6221976.7000000002</v>
      </c>
      <c r="E90" s="42"/>
      <c r="F90" s="42"/>
      <c r="G90" s="42"/>
      <c r="H90" s="42"/>
    </row>
    <row r="91" spans="1:8" x14ac:dyDescent="0.2">
      <c r="A91" s="84"/>
      <c r="B91" s="84"/>
      <c r="C91" s="85"/>
      <c r="D91" s="81"/>
      <c r="E91" s="42"/>
      <c r="F91" s="42"/>
      <c r="G91" s="42"/>
      <c r="H91" s="42"/>
    </row>
    <row r="92" spans="1:8" x14ac:dyDescent="0.2">
      <c r="A92" s="84"/>
      <c r="B92" s="84"/>
      <c r="C92" s="85"/>
      <c r="D92" s="81">
        <f>[5]Charters!E198</f>
        <v>6221976.7000000002</v>
      </c>
      <c r="E92" s="42"/>
      <c r="F92" s="42"/>
      <c r="G92" s="42"/>
      <c r="H92" s="42"/>
    </row>
    <row r="93" spans="1:8" x14ac:dyDescent="0.2">
      <c r="A93" s="84"/>
      <c r="B93" s="84"/>
      <c r="C93" s="85"/>
      <c r="D93" s="81">
        <f>D90</f>
        <v>6221976.7000000002</v>
      </c>
      <c r="E93" s="42"/>
      <c r="F93" s="42"/>
      <c r="G93" s="42"/>
      <c r="H93" s="42"/>
    </row>
    <row r="94" spans="1:8" x14ac:dyDescent="0.2">
      <c r="C94" s="83"/>
      <c r="D94" s="42">
        <f>D92-D93</f>
        <v>0</v>
      </c>
      <c r="E94" s="42"/>
      <c r="F94" s="42"/>
      <c r="G94" s="42"/>
      <c r="H94" s="42"/>
    </row>
  </sheetData>
  <mergeCells count="4">
    <mergeCell ref="A36:D36"/>
    <mergeCell ref="A37:D37"/>
    <mergeCell ref="A38:D38"/>
    <mergeCell ref="A90:C90"/>
  </mergeCells>
  <phoneticPr fontId="1" type="noConversion"/>
  <printOptions horizontalCentered="1" verticalCentered="1"/>
  <pageMargins left="0.5" right="0.5" top="0.5" bottom="0.5" header="0.25" footer="0.25"/>
  <pageSetup orientation="portrait" verticalDpi="1200" r:id="rId1"/>
  <headerFooter alignWithMargins="0">
    <oddHeader>&amp;R&amp;8Current as of: &amp;D</oddHeader>
    <oddFooter>&amp;L&amp;8USOE, School Finance</oddFooter>
  </headerFooter>
  <picture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>
    <pageSetUpPr fitToPage="1"/>
  </sheetPr>
  <dimension ref="A1:H95"/>
  <sheetViews>
    <sheetView showGridLines="0" topLeftCell="A35" workbookViewId="0">
      <selection activeCell="C12" sqref="C12"/>
    </sheetView>
  </sheetViews>
  <sheetFormatPr defaultColWidth="9.140625" defaultRowHeight="12.75" x14ac:dyDescent="0.2"/>
  <cols>
    <col min="1" max="1" width="31.85546875" style="82" customWidth="1"/>
    <col min="2" max="2" width="16.140625" style="82" customWidth="1"/>
    <col min="3" max="4" width="14.85546875" style="82" customWidth="1"/>
    <col min="5" max="5" width="7" style="82" customWidth="1"/>
    <col min="6" max="6" width="19.7109375" style="82" customWidth="1"/>
    <col min="7" max="7" width="5.7109375" style="82" customWidth="1"/>
    <col min="8" max="8" width="18" style="82" customWidth="1"/>
    <col min="9" max="16384" width="9.140625" style="82"/>
  </cols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"/>
      <c r="B3" s="1"/>
      <c r="C3" s="1"/>
      <c r="D3" s="1"/>
      <c r="E3" s="1"/>
      <c r="F3" s="1"/>
      <c r="G3" s="1"/>
      <c r="H3" s="1"/>
    </row>
    <row r="4" spans="1:8" x14ac:dyDescent="0.2">
      <c r="A4" s="1"/>
      <c r="B4" s="1"/>
      <c r="C4" s="1"/>
      <c r="D4" s="1"/>
      <c r="E4" s="1"/>
      <c r="F4" s="1"/>
      <c r="G4" s="1"/>
      <c r="H4" s="1"/>
    </row>
    <row r="5" spans="1:8" x14ac:dyDescent="0.2">
      <c r="A5" s="1"/>
      <c r="B5" s="1"/>
      <c r="C5" s="1"/>
      <c r="D5" s="1"/>
      <c r="E5" s="1"/>
      <c r="F5" s="1"/>
      <c r="G5" s="1"/>
      <c r="H5" s="1"/>
    </row>
    <row r="6" spans="1:8" x14ac:dyDescent="0.2">
      <c r="A6" s="1"/>
      <c r="B6" s="1"/>
      <c r="C6" s="1"/>
      <c r="D6" s="1"/>
      <c r="E6" s="1"/>
      <c r="F6" s="1"/>
      <c r="G6" s="1"/>
      <c r="H6" s="1"/>
    </row>
    <row r="7" spans="1:8" x14ac:dyDescent="0.2">
      <c r="A7" s="1"/>
      <c r="B7" s="1"/>
      <c r="C7" s="1"/>
      <c r="D7" s="1"/>
      <c r="E7" s="1"/>
      <c r="F7" s="1"/>
      <c r="G7" s="1"/>
      <c r="H7" s="1"/>
    </row>
    <row r="8" spans="1:8" x14ac:dyDescent="0.2">
      <c r="A8" s="1"/>
      <c r="B8" s="1"/>
      <c r="C8" s="1"/>
      <c r="D8" s="1"/>
      <c r="E8" s="1"/>
      <c r="F8" s="1"/>
      <c r="G8" s="1"/>
      <c r="H8" s="1"/>
    </row>
    <row r="9" spans="1:8" x14ac:dyDescent="0.2">
      <c r="A9" s="1"/>
      <c r="B9" s="1"/>
      <c r="C9" s="1"/>
      <c r="D9" s="1"/>
      <c r="E9" s="1"/>
      <c r="F9" s="1"/>
      <c r="G9" s="1"/>
      <c r="H9" s="1"/>
    </row>
    <row r="10" spans="1:8" x14ac:dyDescent="0.2">
      <c r="A10" s="1"/>
      <c r="B10" s="1"/>
      <c r="C10" s="1"/>
      <c r="D10" s="1"/>
      <c r="E10" s="1"/>
      <c r="F10" s="1"/>
      <c r="G10" s="1"/>
      <c r="H10" s="1"/>
    </row>
    <row r="11" spans="1:8" x14ac:dyDescent="0.2">
      <c r="A11" s="1"/>
      <c r="B11" s="1"/>
      <c r="C11" s="1"/>
      <c r="D11" s="1"/>
      <c r="E11" s="1"/>
      <c r="F11" s="1"/>
      <c r="G11" s="1"/>
      <c r="H11" s="1"/>
    </row>
    <row r="12" spans="1:8" x14ac:dyDescent="0.2">
      <c r="A12" s="1"/>
      <c r="B12" s="1"/>
      <c r="C12" s="1"/>
      <c r="D12" s="1"/>
      <c r="E12" s="1"/>
      <c r="F12" s="1"/>
      <c r="G12" s="1"/>
      <c r="H12" s="1"/>
    </row>
    <row r="13" spans="1:8" x14ac:dyDescent="0.2">
      <c r="A13" s="1"/>
      <c r="B13" s="1"/>
      <c r="C13" s="1"/>
      <c r="D13" s="1"/>
      <c r="E13" s="1"/>
      <c r="F13" s="1"/>
      <c r="G13" s="1"/>
      <c r="H13" s="1"/>
    </row>
    <row r="14" spans="1:8" x14ac:dyDescent="0.2">
      <c r="A14" s="1"/>
      <c r="B14" s="1"/>
      <c r="C14" s="1"/>
      <c r="D14" s="1"/>
      <c r="E14" s="1"/>
      <c r="F14" s="1"/>
      <c r="G14" s="1"/>
      <c r="H14" s="1"/>
    </row>
    <row r="15" spans="1:8" x14ac:dyDescent="0.2">
      <c r="A15" s="1"/>
      <c r="B15" s="1"/>
      <c r="C15" s="1"/>
      <c r="D15" s="1"/>
      <c r="E15" s="1"/>
      <c r="F15" s="1"/>
      <c r="G15" s="1"/>
      <c r="H15" s="1"/>
    </row>
    <row r="16" spans="1:8" x14ac:dyDescent="0.2">
      <c r="A16" s="1"/>
      <c r="B16" s="1"/>
      <c r="C16" s="1"/>
      <c r="D16" s="1"/>
      <c r="E16" s="1"/>
      <c r="F16" s="1"/>
      <c r="G16" s="1"/>
      <c r="H16" s="1"/>
    </row>
    <row r="17" spans="1:8" x14ac:dyDescent="0.2">
      <c r="A17" s="1"/>
      <c r="B17" s="1"/>
      <c r="C17" s="1"/>
      <c r="D17" s="1"/>
      <c r="E17" s="1"/>
      <c r="F17" s="1"/>
      <c r="G17" s="1"/>
      <c r="H17" s="1"/>
    </row>
    <row r="18" spans="1:8" x14ac:dyDescent="0.2">
      <c r="A18" s="1"/>
      <c r="B18" s="1"/>
      <c r="C18" s="1"/>
      <c r="D18" s="1"/>
      <c r="E18" s="1"/>
      <c r="F18" s="1"/>
      <c r="G18" s="1"/>
      <c r="H18" s="1"/>
    </row>
    <row r="19" spans="1:8" x14ac:dyDescent="0.2">
      <c r="A19" s="1"/>
      <c r="B19" s="1"/>
      <c r="C19" s="1"/>
      <c r="D19" s="1"/>
      <c r="E19" s="1"/>
      <c r="F19" s="1"/>
      <c r="G19" s="1"/>
      <c r="H19" s="1"/>
    </row>
    <row r="20" spans="1:8" x14ac:dyDescent="0.2">
      <c r="A20" s="1"/>
      <c r="B20" s="1"/>
      <c r="C20" s="1"/>
      <c r="D20" s="1"/>
      <c r="E20" s="1"/>
      <c r="F20" s="1"/>
      <c r="G20" s="1"/>
      <c r="H20" s="1"/>
    </row>
    <row r="21" spans="1:8" x14ac:dyDescent="0.2">
      <c r="A21" s="1"/>
      <c r="B21" s="1"/>
      <c r="C21" s="1"/>
      <c r="D21" s="1"/>
      <c r="E21" s="1"/>
      <c r="F21" s="1"/>
      <c r="G21" s="1"/>
      <c r="H21" s="1"/>
    </row>
    <row r="22" spans="1:8" x14ac:dyDescent="0.2">
      <c r="A22" s="1"/>
      <c r="B22" s="1"/>
      <c r="C22" s="1"/>
      <c r="D22" s="4"/>
      <c r="E22" s="1"/>
      <c r="F22" s="1"/>
      <c r="G22" s="1"/>
      <c r="H22" s="1"/>
    </row>
    <row r="23" spans="1:8" x14ac:dyDescent="0.2">
      <c r="A23" s="1"/>
      <c r="B23" s="1"/>
      <c r="C23" s="1"/>
      <c r="D23" s="1"/>
      <c r="E23" s="1"/>
      <c r="F23" s="1"/>
      <c r="G23" s="1"/>
      <c r="H23" s="1"/>
    </row>
    <row r="24" spans="1:8" x14ac:dyDescent="0.2">
      <c r="A24" s="1"/>
      <c r="B24" s="1"/>
      <c r="C24" s="1"/>
      <c r="D24" s="1"/>
      <c r="E24" s="1"/>
      <c r="F24" s="1"/>
      <c r="G24" s="1"/>
      <c r="H24" s="1"/>
    </row>
    <row r="25" spans="1:8" x14ac:dyDescent="0.2">
      <c r="A25" s="1"/>
      <c r="B25" s="1"/>
      <c r="C25" s="1"/>
      <c r="D25" s="1"/>
      <c r="E25" s="1"/>
      <c r="F25" s="1"/>
      <c r="G25" s="1"/>
      <c r="H25" s="1"/>
    </row>
    <row r="26" spans="1:8" x14ac:dyDescent="0.2">
      <c r="A26" s="1"/>
      <c r="B26" s="1"/>
      <c r="C26" s="1"/>
      <c r="D26" s="1"/>
      <c r="E26" s="1"/>
      <c r="F26" s="1"/>
      <c r="G26" s="1"/>
      <c r="H26" s="1"/>
    </row>
    <row r="27" spans="1:8" x14ac:dyDescent="0.2">
      <c r="A27" s="1"/>
      <c r="B27" s="1"/>
      <c r="C27" s="1"/>
      <c r="D27" s="1"/>
      <c r="E27" s="1"/>
      <c r="F27" s="1"/>
      <c r="G27" s="1"/>
      <c r="H27" s="1"/>
    </row>
    <row r="28" spans="1:8" x14ac:dyDescent="0.2">
      <c r="A28" s="1"/>
      <c r="B28" s="1"/>
      <c r="C28" s="1"/>
      <c r="D28" s="1"/>
      <c r="E28" s="1"/>
      <c r="F28" s="1"/>
      <c r="G28" s="1"/>
      <c r="H28" s="1"/>
    </row>
    <row r="29" spans="1:8" x14ac:dyDescent="0.2">
      <c r="A29" s="1"/>
      <c r="B29" s="1"/>
      <c r="C29" s="1"/>
      <c r="D29" s="1"/>
      <c r="E29" s="1"/>
      <c r="F29" s="1"/>
      <c r="G29" s="1"/>
      <c r="H29" s="1"/>
    </row>
    <row r="30" spans="1:8" x14ac:dyDescent="0.2">
      <c r="A30" s="1"/>
      <c r="B30" s="1"/>
      <c r="C30" s="1"/>
      <c r="D30" s="1"/>
      <c r="E30" s="1"/>
      <c r="F30" s="1"/>
      <c r="G30" s="1"/>
      <c r="H30" s="1"/>
    </row>
    <row r="31" spans="1:8" x14ac:dyDescent="0.2">
      <c r="A31" s="1"/>
      <c r="B31" s="1"/>
      <c r="C31" s="1"/>
      <c r="D31" s="1"/>
      <c r="E31" s="1"/>
      <c r="F31" s="1"/>
      <c r="G31" s="1"/>
      <c r="H31" s="1"/>
    </row>
    <row r="32" spans="1:8" x14ac:dyDescent="0.2">
      <c r="A32" s="1"/>
      <c r="B32" s="1"/>
      <c r="C32" s="1"/>
      <c r="D32" s="1"/>
      <c r="E32" s="1"/>
      <c r="F32" s="1"/>
      <c r="G32" s="1"/>
      <c r="H32" s="1"/>
    </row>
    <row r="33" spans="1:8" x14ac:dyDescent="0.2">
      <c r="A33" s="1"/>
      <c r="B33" s="1"/>
      <c r="C33" s="1"/>
      <c r="D33" s="1"/>
      <c r="E33" s="1"/>
      <c r="F33" s="1"/>
      <c r="G33" s="1"/>
      <c r="H33" s="1"/>
    </row>
    <row r="34" spans="1:8" x14ac:dyDescent="0.2">
      <c r="A34" s="1"/>
      <c r="B34" s="1"/>
      <c r="C34" s="1"/>
      <c r="D34" s="1"/>
      <c r="E34" s="1"/>
      <c r="F34" s="1"/>
      <c r="G34" s="1"/>
      <c r="H34" s="1"/>
    </row>
    <row r="35" spans="1:8" x14ac:dyDescent="0.2">
      <c r="A35" s="1"/>
      <c r="B35" s="1"/>
      <c r="C35" s="1"/>
      <c r="D35" s="1"/>
      <c r="E35" s="1"/>
      <c r="F35" s="1"/>
      <c r="G35" s="1"/>
      <c r="H35" s="1"/>
    </row>
    <row r="36" spans="1:8" x14ac:dyDescent="0.2">
      <c r="A36" s="1"/>
      <c r="B36" s="1"/>
      <c r="C36" s="1"/>
      <c r="D36" s="1"/>
      <c r="E36" s="1"/>
      <c r="F36" s="1"/>
      <c r="G36" s="1"/>
      <c r="H36" s="1"/>
    </row>
    <row r="37" spans="1:8" x14ac:dyDescent="0.2">
      <c r="A37" s="11" t="s">
        <v>1</v>
      </c>
      <c r="B37" s="12"/>
      <c r="C37" s="12"/>
      <c r="D37" s="13"/>
      <c r="E37" s="8"/>
      <c r="F37" s="8"/>
      <c r="G37" s="8"/>
      <c r="H37" s="8"/>
    </row>
    <row r="38" spans="1:8" x14ac:dyDescent="0.2">
      <c r="A38" s="14" t="s">
        <v>15</v>
      </c>
      <c r="B38" s="15"/>
      <c r="C38" s="15"/>
      <c r="D38" s="16"/>
      <c r="E38" s="8"/>
      <c r="F38" s="8"/>
      <c r="G38" s="8"/>
      <c r="H38" s="8"/>
    </row>
    <row r="39" spans="1:8" x14ac:dyDescent="0.2">
      <c r="A39" s="17" t="s">
        <v>62</v>
      </c>
      <c r="B39" s="18"/>
      <c r="C39" s="18"/>
      <c r="D39" s="19"/>
      <c r="E39" s="8"/>
      <c r="F39" s="8"/>
      <c r="G39" s="8"/>
      <c r="H39" s="8"/>
    </row>
    <row r="40" spans="1:8" x14ac:dyDescent="0.2">
      <c r="A40" s="20"/>
      <c r="B40" s="21"/>
      <c r="C40" s="22"/>
      <c r="D40" s="23"/>
      <c r="E40" s="8"/>
      <c r="F40" s="8" t="s">
        <v>34</v>
      </c>
      <c r="G40" s="8"/>
      <c r="H40" s="8"/>
    </row>
    <row r="41" spans="1:8" ht="15.75" x14ac:dyDescent="0.25">
      <c r="A41" s="24" t="s">
        <v>2</v>
      </c>
      <c r="B41" s="25" t="str">
        <f>[1]Charters!B44</f>
        <v>Legacy Preparatory Academy</v>
      </c>
      <c r="C41" s="26"/>
      <c r="D41" s="27"/>
      <c r="E41" s="8"/>
      <c r="F41" s="8"/>
      <c r="G41" s="8"/>
      <c r="H41" s="8"/>
    </row>
    <row r="42" spans="1:8" x14ac:dyDescent="0.2">
      <c r="A42" s="24"/>
      <c r="B42" s="28"/>
      <c r="C42" s="26"/>
      <c r="D42" s="27"/>
      <c r="E42" s="8"/>
      <c r="F42" s="8"/>
      <c r="G42" s="8"/>
      <c r="H42" s="8"/>
    </row>
    <row r="43" spans="1:8" x14ac:dyDescent="0.2">
      <c r="A43" s="29" t="s">
        <v>0</v>
      </c>
      <c r="B43" s="30">
        <f>[1]Charters!$E$6</f>
        <v>3184</v>
      </c>
      <c r="C43" s="26"/>
      <c r="D43" s="31"/>
      <c r="E43" s="8"/>
      <c r="F43" s="8"/>
      <c r="G43" s="8"/>
      <c r="H43" s="8"/>
    </row>
    <row r="44" spans="1:8" x14ac:dyDescent="0.2">
      <c r="A44" s="32"/>
      <c r="B44" s="6"/>
      <c r="C44" s="33"/>
      <c r="D44" s="34" t="s">
        <v>3</v>
      </c>
      <c r="E44" s="8"/>
      <c r="F44" s="8"/>
      <c r="G44" s="8"/>
      <c r="H44" s="8"/>
    </row>
    <row r="45" spans="1:8" x14ac:dyDescent="0.2">
      <c r="A45" s="29" t="s">
        <v>19</v>
      </c>
      <c r="B45" s="35" t="str">
        <f>[1]Charters!A44</f>
        <v>5C</v>
      </c>
      <c r="C45" s="36" t="s">
        <v>4</v>
      </c>
      <c r="D45" s="37" t="s">
        <v>5</v>
      </c>
      <c r="E45" s="8"/>
      <c r="F45" s="8"/>
      <c r="G45" s="8"/>
      <c r="H45" s="8"/>
    </row>
    <row r="46" spans="1:8" x14ac:dyDescent="0.2">
      <c r="A46" s="38" t="s">
        <v>6</v>
      </c>
      <c r="B46" s="39"/>
      <c r="C46" s="40"/>
      <c r="D46" s="41"/>
      <c r="E46" s="8"/>
      <c r="F46" s="8"/>
      <c r="G46" s="8"/>
      <c r="H46" s="8"/>
    </row>
    <row r="47" spans="1:8" x14ac:dyDescent="0.2">
      <c r="A47" s="38" t="s">
        <v>7</v>
      </c>
      <c r="B47" s="39"/>
      <c r="C47" s="40"/>
      <c r="D47" s="41"/>
      <c r="E47" s="8"/>
      <c r="F47" s="42" t="s">
        <v>23</v>
      </c>
      <c r="G47" s="8"/>
      <c r="H47" s="42" t="s">
        <v>26</v>
      </c>
    </row>
    <row r="48" spans="1:8" x14ac:dyDescent="0.2">
      <c r="A48" s="20" t="s">
        <v>8</v>
      </c>
      <c r="B48" s="43"/>
      <c r="C48" s="44">
        <f>[1]Charters!C504</f>
        <v>999.51700000000005</v>
      </c>
      <c r="D48" s="45">
        <f>[1]Charters!E504</f>
        <v>3182460.79</v>
      </c>
      <c r="E48" s="8"/>
      <c r="F48" s="42">
        <f>[1]Charters!E659</f>
        <v>3341962.54</v>
      </c>
      <c r="G48" s="8"/>
      <c r="H48" s="42">
        <f>[2]Charters!E198</f>
        <v>4143417.41</v>
      </c>
    </row>
    <row r="49" spans="1:8" x14ac:dyDescent="0.2">
      <c r="A49" s="20" t="s">
        <v>14</v>
      </c>
      <c r="B49" s="43"/>
      <c r="C49" s="44">
        <f>[1]Charters!F504</f>
        <v>50.094999999999999</v>
      </c>
      <c r="D49" s="45">
        <f>[1]Charters!H504</f>
        <v>159501.75</v>
      </c>
      <c r="E49" s="8"/>
      <c r="F49" s="42">
        <f>SUM(D48:D50)</f>
        <v>3341962.54</v>
      </c>
      <c r="G49" s="8"/>
      <c r="H49" s="42">
        <f>D61</f>
        <v>4143417.41</v>
      </c>
    </row>
    <row r="50" spans="1:8" x14ac:dyDescent="0.2">
      <c r="A50" s="20" t="s">
        <v>32</v>
      </c>
      <c r="B50" s="43"/>
      <c r="C50" s="44">
        <f>[1]Charters!C197</f>
        <v>0</v>
      </c>
      <c r="D50" s="45">
        <f>[1]Charters!E197</f>
        <v>0</v>
      </c>
      <c r="E50" s="8"/>
      <c r="F50" s="42">
        <f>+F48-F49</f>
        <v>0</v>
      </c>
      <c r="G50" s="8"/>
      <c r="H50" s="42">
        <f>+H48-H49</f>
        <v>0</v>
      </c>
    </row>
    <row r="51" spans="1:8" x14ac:dyDescent="0.2">
      <c r="A51" s="38" t="s">
        <v>9</v>
      </c>
      <c r="B51" s="39"/>
      <c r="C51" s="46"/>
      <c r="D51" s="47"/>
      <c r="E51" s="8"/>
      <c r="F51" s="8"/>
      <c r="G51" s="8"/>
      <c r="H51" s="8"/>
    </row>
    <row r="52" spans="1:8" x14ac:dyDescent="0.2">
      <c r="A52" s="20" t="s">
        <v>10</v>
      </c>
      <c r="B52" s="43"/>
      <c r="C52" s="40">
        <f>[3]Charters!C43</f>
        <v>153.09399999999999</v>
      </c>
      <c r="D52" s="41">
        <f>[3]Charters!E43</f>
        <v>487451.3</v>
      </c>
      <c r="E52" s="8"/>
      <c r="F52" s="42" t="s">
        <v>24</v>
      </c>
      <c r="G52" s="8"/>
      <c r="H52" s="8"/>
    </row>
    <row r="53" spans="1:8" x14ac:dyDescent="0.2">
      <c r="A53" s="48" t="s">
        <v>11</v>
      </c>
      <c r="B53" s="43"/>
      <c r="C53" s="40">
        <f>[3]Charters!F43</f>
        <v>3.43</v>
      </c>
      <c r="D53" s="49">
        <f>[3]Charters!H43</f>
        <v>10921.12</v>
      </c>
      <c r="E53" s="8"/>
      <c r="F53" s="42">
        <f>[3]Charters!N354</f>
        <v>507231.7</v>
      </c>
      <c r="G53" s="8"/>
      <c r="H53" s="8"/>
    </row>
    <row r="54" spans="1:8" x14ac:dyDescent="0.2">
      <c r="A54" s="48" t="s">
        <v>12</v>
      </c>
      <c r="B54" s="43"/>
      <c r="C54" s="40">
        <f>[3]Charters!C198</f>
        <v>0</v>
      </c>
      <c r="D54" s="41">
        <f>[3]Charters!E198</f>
        <v>0</v>
      </c>
      <c r="E54" s="8"/>
      <c r="F54" s="42">
        <f>SUM(D52:D58)</f>
        <v>507231.7</v>
      </c>
      <c r="G54" s="8"/>
      <c r="H54" s="8"/>
    </row>
    <row r="55" spans="1:8" x14ac:dyDescent="0.2">
      <c r="A55" s="20" t="s">
        <v>13</v>
      </c>
      <c r="B55" s="43"/>
      <c r="C55" s="40">
        <f>[3]Charters!F198</f>
        <v>0.70899999999999996</v>
      </c>
      <c r="D55" s="41">
        <f>[3]Charters!H198</f>
        <v>2259</v>
      </c>
      <c r="E55" s="8"/>
      <c r="F55" s="42">
        <f>+F53-F54</f>
        <v>0</v>
      </c>
      <c r="G55" s="8"/>
      <c r="H55" s="8"/>
    </row>
    <row r="56" spans="1:8" x14ac:dyDescent="0.2">
      <c r="A56" s="48" t="s">
        <v>54</v>
      </c>
      <c r="B56" s="43"/>
      <c r="C56" s="40">
        <f>[3]Charters!C354</f>
        <v>2.073</v>
      </c>
      <c r="D56" s="41">
        <f>[3]Charters!E354</f>
        <v>6600.28</v>
      </c>
      <c r="E56" s="8"/>
      <c r="F56" s="8"/>
      <c r="G56" s="8"/>
      <c r="H56" s="8"/>
    </row>
    <row r="57" spans="1:8" x14ac:dyDescent="0.2">
      <c r="A57" s="48" t="s">
        <v>55</v>
      </c>
      <c r="B57" s="43"/>
      <c r="C57" s="40">
        <f>[3]Charters!F354</f>
        <v>0</v>
      </c>
      <c r="D57" s="41">
        <f>[3]Charters!H354</f>
        <v>0</v>
      </c>
      <c r="E57" s="8"/>
      <c r="F57" s="42" t="s">
        <v>25</v>
      </c>
      <c r="G57" s="8"/>
      <c r="H57" s="8"/>
    </row>
    <row r="58" spans="1:8" x14ac:dyDescent="0.2">
      <c r="A58" s="48" t="s">
        <v>56</v>
      </c>
      <c r="B58" s="43"/>
      <c r="C58" s="40">
        <f>[3]Charters!I354</f>
        <v>0</v>
      </c>
      <c r="D58" s="41">
        <f>[3]Charters!K354</f>
        <v>0</v>
      </c>
      <c r="E58" s="8"/>
      <c r="F58" s="42">
        <f>[2]Charters!H44</f>
        <v>801454.87</v>
      </c>
      <c r="G58" s="8"/>
      <c r="H58" s="8"/>
    </row>
    <row r="59" spans="1:8" x14ac:dyDescent="0.2">
      <c r="A59" s="20" t="s">
        <v>49</v>
      </c>
      <c r="B59" s="43"/>
      <c r="C59" s="40">
        <f>[3]Charters!C511</f>
        <v>1.556</v>
      </c>
      <c r="D59" s="41">
        <f>[3]Charters!E511</f>
        <v>4953.05</v>
      </c>
      <c r="E59" s="8"/>
      <c r="F59" s="42">
        <f>SUM(D52:D60)</f>
        <v>801454.87</v>
      </c>
      <c r="G59" s="8"/>
      <c r="H59" s="8"/>
    </row>
    <row r="60" spans="1:8" x14ac:dyDescent="0.2">
      <c r="A60" s="20" t="s">
        <v>50</v>
      </c>
      <c r="B60" s="43"/>
      <c r="C60" s="40">
        <f>[2]Charters!C44</f>
        <v>90.850999999999999</v>
      </c>
      <c r="D60" s="41">
        <f>[2]Charters!E44</f>
        <v>289270.12</v>
      </c>
      <c r="E60" s="8"/>
      <c r="F60" s="42">
        <f>+F58-F59</f>
        <v>0</v>
      </c>
      <c r="G60" s="8"/>
      <c r="H60" s="8"/>
    </row>
    <row r="61" spans="1:8" x14ac:dyDescent="0.2">
      <c r="A61" s="50"/>
      <c r="B61" s="51" t="s">
        <v>16</v>
      </c>
      <c r="C61" s="52">
        <f>SUM(C48:C60)</f>
        <v>1301.325</v>
      </c>
      <c r="D61" s="53">
        <f>SUM(D48:D60)</f>
        <v>4143417.41</v>
      </c>
      <c r="E61" s="8"/>
      <c r="F61" s="8"/>
      <c r="G61" s="8"/>
      <c r="H61" s="8"/>
    </row>
    <row r="62" spans="1:8" x14ac:dyDescent="0.2">
      <c r="A62" s="54" t="s">
        <v>17</v>
      </c>
      <c r="B62" s="39"/>
      <c r="C62" s="55"/>
      <c r="D62" s="47"/>
      <c r="E62" s="8"/>
      <c r="F62" s="8"/>
      <c r="G62" s="8"/>
      <c r="H62" s="42" t="s">
        <v>29</v>
      </c>
    </row>
    <row r="63" spans="1:8" x14ac:dyDescent="0.2">
      <c r="A63" s="20" t="s">
        <v>33</v>
      </c>
      <c r="B63" s="43"/>
      <c r="C63" s="56"/>
      <c r="D63" s="57">
        <f>[4]Charters!C43</f>
        <v>12009.57</v>
      </c>
      <c r="E63" s="8"/>
      <c r="F63" s="8"/>
      <c r="G63" s="8"/>
      <c r="H63" s="42">
        <f>[4]Charters!F984</f>
        <v>6962132.1399999997</v>
      </c>
    </row>
    <row r="64" spans="1:8" x14ac:dyDescent="0.2">
      <c r="A64" s="58" t="s">
        <v>35</v>
      </c>
      <c r="B64" s="43"/>
      <c r="C64" s="56"/>
      <c r="D64" s="41">
        <f>+[4]Charters!F364</f>
        <v>4810.66</v>
      </c>
      <c r="E64" s="8"/>
      <c r="F64" s="8"/>
      <c r="G64" s="8"/>
      <c r="H64" s="42">
        <f>SUM(D61:D80)</f>
        <v>6962132.1399999997</v>
      </c>
    </row>
    <row r="65" spans="1:8" x14ac:dyDescent="0.2">
      <c r="A65" s="59" t="s">
        <v>36</v>
      </c>
      <c r="B65" s="43"/>
      <c r="C65" s="56"/>
      <c r="D65" s="41">
        <f>[4]Charters!E203</f>
        <v>31208</v>
      </c>
      <c r="E65" s="8"/>
      <c r="F65" s="8"/>
      <c r="G65" s="8"/>
      <c r="H65" s="42">
        <f>+H63-H64</f>
        <v>0</v>
      </c>
    </row>
    <row r="66" spans="1:8" x14ac:dyDescent="0.2">
      <c r="A66" s="59" t="s">
        <v>52</v>
      </c>
      <c r="B66" s="43"/>
      <c r="C66" s="56"/>
      <c r="D66" s="41">
        <f>[4]Charters!G364</f>
        <v>0</v>
      </c>
      <c r="E66" s="8"/>
      <c r="F66" s="42" t="s">
        <v>27</v>
      </c>
      <c r="G66" s="8"/>
      <c r="H66" s="42"/>
    </row>
    <row r="67" spans="1:8" x14ac:dyDescent="0.2">
      <c r="A67" s="20" t="s">
        <v>37</v>
      </c>
      <c r="B67" s="43"/>
      <c r="C67" s="56"/>
      <c r="D67" s="41">
        <f>[4]Charters!E520</f>
        <v>76070</v>
      </c>
      <c r="E67" s="8"/>
      <c r="F67" s="42">
        <f>[4]Charters!E203</f>
        <v>31208</v>
      </c>
      <c r="G67" s="8"/>
      <c r="H67" s="8"/>
    </row>
    <row r="68" spans="1:8" x14ac:dyDescent="0.2">
      <c r="A68" s="20" t="s">
        <v>38</v>
      </c>
      <c r="B68" s="43"/>
      <c r="C68" s="56"/>
      <c r="D68" s="41">
        <f>[4]Charters!F520</f>
        <v>0</v>
      </c>
      <c r="E68" s="8"/>
      <c r="F68" s="42">
        <f>SUM(D65:D65)</f>
        <v>31208</v>
      </c>
      <c r="G68" s="8"/>
      <c r="H68" s="8"/>
    </row>
    <row r="69" spans="1:8" x14ac:dyDescent="0.2">
      <c r="A69" s="59" t="s">
        <v>40</v>
      </c>
      <c r="B69" s="43"/>
      <c r="C69" s="56"/>
      <c r="D69" s="41">
        <f>[4]Charters!G520</f>
        <v>0</v>
      </c>
      <c r="E69" s="8"/>
      <c r="F69" s="42">
        <f>+F67-F68</f>
        <v>0</v>
      </c>
      <c r="G69" s="8"/>
      <c r="H69" s="8"/>
    </row>
    <row r="70" spans="1:8" x14ac:dyDescent="0.2">
      <c r="A70" s="20" t="s">
        <v>41</v>
      </c>
      <c r="B70" s="43"/>
      <c r="C70" s="56"/>
      <c r="D70" s="41">
        <f>[4]Charters!C675</f>
        <v>2221110</v>
      </c>
      <c r="E70" s="8"/>
      <c r="F70" s="42" t="s">
        <v>28</v>
      </c>
      <c r="G70" s="8"/>
      <c r="H70" s="8"/>
    </row>
    <row r="71" spans="1:8" x14ac:dyDescent="0.2">
      <c r="A71" s="20" t="s">
        <v>42</v>
      </c>
      <c r="B71" s="43"/>
      <c r="C71" s="56"/>
      <c r="D71" s="41">
        <f>[4]Charters!D675</f>
        <v>281592.40000000002</v>
      </c>
      <c r="E71" s="8"/>
      <c r="F71" s="42">
        <f>[4]Charters!D520</f>
        <v>36018.660000000003</v>
      </c>
      <c r="G71" s="8"/>
      <c r="H71" s="8"/>
    </row>
    <row r="72" spans="1:8" x14ac:dyDescent="0.2">
      <c r="A72" s="20" t="s">
        <v>44</v>
      </c>
      <c r="B72" s="43"/>
      <c r="C72" s="56"/>
      <c r="D72" s="41">
        <f>[4]Charters!E675</f>
        <v>111000</v>
      </c>
      <c r="E72" s="8"/>
      <c r="F72" s="42">
        <f>SUM(D64:D66)</f>
        <v>36018.660000000003</v>
      </c>
      <c r="G72" s="8"/>
      <c r="H72" s="8"/>
    </row>
    <row r="73" spans="1:8" x14ac:dyDescent="0.2">
      <c r="A73" s="59" t="s">
        <v>43</v>
      </c>
      <c r="B73" s="43"/>
      <c r="C73" s="56"/>
      <c r="D73" s="41">
        <f>[4]Charters!F675</f>
        <v>31625.55</v>
      </c>
      <c r="E73" s="8"/>
      <c r="F73" s="42">
        <f>+F71-F72</f>
        <v>0</v>
      </c>
      <c r="G73" s="8"/>
      <c r="H73" s="8"/>
    </row>
    <row r="74" spans="1:8" x14ac:dyDescent="0.2">
      <c r="A74" s="59" t="s">
        <v>45</v>
      </c>
      <c r="B74" s="43"/>
      <c r="C74" s="56"/>
      <c r="D74" s="41">
        <f>[4]Charters!C520</f>
        <v>0</v>
      </c>
      <c r="E74" s="8"/>
      <c r="F74" s="8"/>
      <c r="G74" s="8"/>
      <c r="H74" s="8"/>
    </row>
    <row r="75" spans="1:8" x14ac:dyDescent="0.2">
      <c r="A75" s="59" t="s">
        <v>46</v>
      </c>
      <c r="B75" s="43"/>
      <c r="C75" s="56"/>
      <c r="D75" s="41">
        <f>[4]Charters!C831</f>
        <v>0</v>
      </c>
      <c r="E75" s="42"/>
      <c r="F75" s="42"/>
      <c r="G75" s="42"/>
      <c r="H75" s="42" t="s">
        <v>31</v>
      </c>
    </row>
    <row r="76" spans="1:8" x14ac:dyDescent="0.2">
      <c r="A76" s="59" t="s">
        <v>51</v>
      </c>
      <c r="B76" s="43"/>
      <c r="C76" s="56"/>
      <c r="D76" s="60">
        <f>[4]Charters!D831</f>
        <v>1287.94</v>
      </c>
      <c r="E76" s="42"/>
      <c r="F76" s="42"/>
      <c r="G76" s="42"/>
      <c r="H76" s="42">
        <f>[4]Charters!D1290</f>
        <v>6972238.0899999999</v>
      </c>
    </row>
    <row r="77" spans="1:8" x14ac:dyDescent="0.2">
      <c r="A77" s="20" t="s">
        <v>47</v>
      </c>
      <c r="B77" s="43"/>
      <c r="C77" s="56"/>
      <c r="D77" s="60">
        <f>[4]Charters!E831</f>
        <v>0</v>
      </c>
      <c r="E77" s="42"/>
      <c r="F77" s="42"/>
      <c r="G77" s="42"/>
      <c r="H77" s="42">
        <f>D86</f>
        <v>6972238.0899999999</v>
      </c>
    </row>
    <row r="78" spans="1:8" x14ac:dyDescent="0.2">
      <c r="A78" s="20" t="s">
        <v>57</v>
      </c>
      <c r="B78" s="43"/>
      <c r="C78" s="56"/>
      <c r="D78" s="60">
        <f>[4]Charters!C984</f>
        <v>8126.61</v>
      </c>
      <c r="E78" s="42"/>
      <c r="F78" s="42"/>
      <c r="G78" s="42"/>
      <c r="H78" s="42">
        <f>+H76-H77</f>
        <v>0</v>
      </c>
    </row>
    <row r="79" spans="1:8" x14ac:dyDescent="0.2">
      <c r="A79" s="59" t="s">
        <v>53</v>
      </c>
      <c r="B79" s="43"/>
      <c r="C79" s="56"/>
      <c r="D79" s="60">
        <f>[4]Charters!D984</f>
        <v>39874</v>
      </c>
      <c r="E79" s="42"/>
      <c r="F79" s="42" t="s">
        <v>30</v>
      </c>
      <c r="G79" s="42"/>
      <c r="H79" s="42"/>
    </row>
    <row r="80" spans="1:8" x14ac:dyDescent="0.2">
      <c r="A80" s="59" t="s">
        <v>59</v>
      </c>
      <c r="B80" s="43"/>
      <c r="C80" s="56"/>
      <c r="D80" s="60">
        <f>[4]Charters!E984</f>
        <v>0</v>
      </c>
      <c r="E80" s="42"/>
      <c r="F80" s="42"/>
      <c r="G80" s="42"/>
      <c r="H80" s="42"/>
    </row>
    <row r="81" spans="1:8" x14ac:dyDescent="0.2">
      <c r="A81" s="38" t="s">
        <v>18</v>
      </c>
      <c r="B81" s="61"/>
      <c r="C81" s="62"/>
      <c r="D81" s="87"/>
      <c r="E81" s="42"/>
      <c r="F81" s="42">
        <f>[4]Charters!C1290</f>
        <v>10105.950000000001</v>
      </c>
      <c r="G81" s="42"/>
      <c r="H81" s="42"/>
    </row>
    <row r="82" spans="1:8" x14ac:dyDescent="0.2">
      <c r="A82" s="59" t="s">
        <v>39</v>
      </c>
      <c r="B82" s="43"/>
      <c r="C82" s="56"/>
      <c r="D82" s="41">
        <f>[4]Charters!C1137</f>
        <v>10105.950000000001</v>
      </c>
      <c r="E82" s="42"/>
      <c r="F82" s="42">
        <f>SUM(D82:D85)</f>
        <v>10105.950000000001</v>
      </c>
      <c r="G82" s="42"/>
      <c r="H82" s="42"/>
    </row>
    <row r="83" spans="1:8" x14ac:dyDescent="0.2">
      <c r="A83" s="59" t="s">
        <v>48</v>
      </c>
      <c r="B83" s="43"/>
      <c r="C83" s="56"/>
      <c r="D83" s="41">
        <f>[4]Charters!D1137</f>
        <v>0</v>
      </c>
      <c r="E83" s="42"/>
      <c r="F83" s="42">
        <f>+F81-F82</f>
        <v>0</v>
      </c>
      <c r="G83" s="42"/>
      <c r="H83" s="42"/>
    </row>
    <row r="84" spans="1:8" x14ac:dyDescent="0.2">
      <c r="A84" s="59" t="s">
        <v>60</v>
      </c>
      <c r="B84" s="43"/>
      <c r="C84" s="56"/>
      <c r="D84" s="41">
        <f>[4]Charters!E1137</f>
        <v>0</v>
      </c>
      <c r="E84" s="42"/>
      <c r="F84" s="42"/>
      <c r="G84" s="42"/>
      <c r="H84" s="42"/>
    </row>
    <row r="85" spans="1:8" x14ac:dyDescent="0.2">
      <c r="A85" s="59" t="s">
        <v>61</v>
      </c>
      <c r="B85" s="43"/>
      <c r="C85" s="56"/>
      <c r="D85" s="41">
        <f>[4]Charters!F1137</f>
        <v>0</v>
      </c>
      <c r="E85" s="42"/>
      <c r="F85" s="42"/>
      <c r="G85" s="42"/>
      <c r="H85" s="42"/>
    </row>
    <row r="86" spans="1:8" ht="13.5" thickBot="1" x14ac:dyDescent="0.25">
      <c r="A86" s="64"/>
      <c r="B86" s="65"/>
      <c r="C86" s="66"/>
      <c r="D86" s="67">
        <f>SUM(D61:D85)</f>
        <v>6972238.0899999999</v>
      </c>
      <c r="E86" s="42"/>
      <c r="F86" s="42"/>
      <c r="G86" s="42"/>
      <c r="H86" s="42"/>
    </row>
    <row r="87" spans="1:8" ht="13.5" thickTop="1" x14ac:dyDescent="0.2">
      <c r="A87" s="68"/>
      <c r="B87" s="43"/>
      <c r="C87" s="56"/>
      <c r="D87" s="86"/>
      <c r="E87" s="42"/>
      <c r="F87" s="42"/>
      <c r="G87" s="42"/>
      <c r="H87" s="42"/>
    </row>
    <row r="88" spans="1:8" x14ac:dyDescent="0.2">
      <c r="A88" s="38" t="s">
        <v>20</v>
      </c>
      <c r="B88" s="39"/>
      <c r="C88" s="70"/>
      <c r="D88" s="71" t="s">
        <v>21</v>
      </c>
      <c r="E88" s="42"/>
      <c r="F88" s="42"/>
      <c r="G88" s="42"/>
      <c r="H88" s="42"/>
    </row>
    <row r="89" spans="1:8" x14ac:dyDescent="0.2">
      <c r="A89" s="72" t="s">
        <v>22</v>
      </c>
      <c r="B89" s="73"/>
      <c r="C89" s="74"/>
      <c r="D89" s="41">
        <f>[5]Charters!C43</f>
        <v>2357.7199999999998</v>
      </c>
      <c r="E89" s="42"/>
      <c r="F89" s="42"/>
      <c r="G89" s="42"/>
      <c r="H89" s="42"/>
    </row>
    <row r="90" spans="1:8" x14ac:dyDescent="0.2">
      <c r="A90" s="75"/>
      <c r="B90" s="61"/>
      <c r="C90" s="76"/>
      <c r="D90" s="77">
        <f>SUM(D89:D89)</f>
        <v>2357.7199999999998</v>
      </c>
      <c r="E90" s="42"/>
      <c r="F90" s="42"/>
      <c r="G90" s="42"/>
      <c r="H90" s="42"/>
    </row>
    <row r="91" spans="1:8" x14ac:dyDescent="0.2">
      <c r="A91" s="78" t="s">
        <v>58</v>
      </c>
      <c r="B91" s="79"/>
      <c r="C91" s="80"/>
      <c r="D91" s="77">
        <f>D90+D86</f>
        <v>6974595.8099999996</v>
      </c>
      <c r="E91" s="42"/>
      <c r="F91" s="42"/>
      <c r="G91" s="42"/>
      <c r="H91" s="42"/>
    </row>
    <row r="92" spans="1:8" x14ac:dyDescent="0.2">
      <c r="A92" s="84"/>
      <c r="B92" s="84"/>
      <c r="C92" s="85"/>
      <c r="D92" s="81"/>
      <c r="E92" s="42"/>
      <c r="F92" s="42"/>
      <c r="G92" s="42"/>
      <c r="H92" s="42"/>
    </row>
    <row r="93" spans="1:8" x14ac:dyDescent="0.2">
      <c r="A93" s="84"/>
      <c r="B93" s="84"/>
      <c r="C93" s="85"/>
      <c r="D93" s="81">
        <f>[5]Charters!E199</f>
        <v>6974595.8099999996</v>
      </c>
      <c r="E93" s="42"/>
      <c r="F93" s="42"/>
      <c r="G93" s="42"/>
      <c r="H93" s="42"/>
    </row>
    <row r="94" spans="1:8" x14ac:dyDescent="0.2">
      <c r="A94" s="84"/>
      <c r="B94" s="84"/>
      <c r="C94" s="85"/>
      <c r="D94" s="81">
        <f>D91</f>
        <v>6974595.8099999996</v>
      </c>
      <c r="E94" s="42"/>
      <c r="F94" s="42"/>
      <c r="G94" s="42"/>
      <c r="H94" s="42"/>
    </row>
    <row r="95" spans="1:8" x14ac:dyDescent="0.2">
      <c r="C95" s="83"/>
      <c r="D95" s="42">
        <f>D93-D94</f>
        <v>0</v>
      </c>
      <c r="E95" s="42"/>
      <c r="F95" s="42"/>
      <c r="G95" s="42"/>
      <c r="H95" s="42"/>
    </row>
  </sheetData>
  <mergeCells count="4">
    <mergeCell ref="A37:D37"/>
    <mergeCell ref="A38:D38"/>
    <mergeCell ref="A39:D39"/>
    <mergeCell ref="A91:C91"/>
  </mergeCells>
  <phoneticPr fontId="1" type="noConversion"/>
  <printOptions horizontalCentered="1" verticalCentered="1"/>
  <pageMargins left="0.5" right="0.5" top="0.5" bottom="0.5" header="0.25" footer="0.25"/>
  <pageSetup orientation="portrait" verticalDpi="1200" r:id="rId1"/>
  <headerFooter alignWithMargins="0">
    <oddHeader>&amp;R&amp;8Current as of: &amp;D</oddHeader>
    <oddFooter>&amp;L&amp;8USOE, School Finance</oddFooter>
  </headerFooter>
  <picture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>
    <pageSetUpPr fitToPage="1"/>
  </sheetPr>
  <dimension ref="A1:H96"/>
  <sheetViews>
    <sheetView showGridLines="0" topLeftCell="A40" workbookViewId="0">
      <selection activeCell="C12" sqref="C12"/>
    </sheetView>
  </sheetViews>
  <sheetFormatPr defaultColWidth="9.140625" defaultRowHeight="12.75" x14ac:dyDescent="0.2"/>
  <cols>
    <col min="1" max="1" width="31.85546875" style="82" customWidth="1"/>
    <col min="2" max="2" width="16.28515625" style="82" customWidth="1"/>
    <col min="3" max="4" width="14.85546875" style="82" customWidth="1"/>
    <col min="5" max="5" width="7" style="82" customWidth="1"/>
    <col min="6" max="6" width="19.7109375" style="82" customWidth="1"/>
    <col min="7" max="7" width="5.7109375" style="82" customWidth="1"/>
    <col min="8" max="8" width="18" style="82" customWidth="1"/>
    <col min="9" max="16384" width="9.140625" style="82"/>
  </cols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"/>
      <c r="B3" s="1"/>
      <c r="C3" s="1"/>
      <c r="D3" s="1"/>
      <c r="E3" s="1"/>
      <c r="F3" s="1"/>
      <c r="G3" s="1"/>
      <c r="H3" s="1"/>
    </row>
    <row r="4" spans="1:8" x14ac:dyDescent="0.2">
      <c r="A4" s="1"/>
      <c r="B4" s="1"/>
      <c r="C4" s="1"/>
      <c r="D4" s="1"/>
      <c r="E4" s="1"/>
      <c r="F4" s="1"/>
      <c r="G4" s="1"/>
      <c r="H4" s="1"/>
    </row>
    <row r="5" spans="1:8" x14ac:dyDescent="0.2">
      <c r="A5" s="1"/>
      <c r="B5" s="1"/>
      <c r="C5" s="1"/>
      <c r="D5" s="1"/>
      <c r="E5" s="1"/>
      <c r="F5" s="1"/>
      <c r="G5" s="1"/>
      <c r="H5" s="1"/>
    </row>
    <row r="6" spans="1:8" x14ac:dyDescent="0.2">
      <c r="A6" s="1"/>
      <c r="B6" s="1"/>
      <c r="C6" s="1"/>
      <c r="D6" s="1"/>
      <c r="E6" s="1"/>
      <c r="F6" s="1"/>
      <c r="G6" s="1"/>
      <c r="H6" s="1"/>
    </row>
    <row r="7" spans="1:8" x14ac:dyDescent="0.2">
      <c r="A7" s="1"/>
      <c r="B7" s="1"/>
      <c r="C7" s="1"/>
      <c r="D7" s="1"/>
      <c r="E7" s="1"/>
      <c r="F7" s="1"/>
      <c r="G7" s="1"/>
      <c r="H7" s="1"/>
    </row>
    <row r="8" spans="1:8" x14ac:dyDescent="0.2">
      <c r="A8" s="1"/>
      <c r="B8" s="1"/>
      <c r="C8" s="1"/>
      <c r="D8" s="1"/>
      <c r="E8" s="1"/>
      <c r="F8" s="1"/>
      <c r="G8" s="1"/>
      <c r="H8" s="1"/>
    </row>
    <row r="9" spans="1:8" x14ac:dyDescent="0.2">
      <c r="A9" s="1"/>
      <c r="B9" s="1"/>
      <c r="C9" s="1"/>
      <c r="D9" s="1"/>
      <c r="E9" s="1"/>
      <c r="F9" s="1"/>
      <c r="G9" s="1"/>
      <c r="H9" s="1"/>
    </row>
    <row r="10" spans="1:8" x14ac:dyDescent="0.2">
      <c r="A10" s="1"/>
      <c r="B10" s="1"/>
      <c r="C10" s="1"/>
      <c r="D10" s="1"/>
      <c r="E10" s="1"/>
      <c r="F10" s="1"/>
      <c r="G10" s="1"/>
      <c r="H10" s="1"/>
    </row>
    <row r="11" spans="1:8" x14ac:dyDescent="0.2">
      <c r="A11" s="1"/>
      <c r="B11" s="1"/>
      <c r="C11" s="1"/>
      <c r="D11" s="1"/>
      <c r="E11" s="1"/>
      <c r="F11" s="1"/>
      <c r="G11" s="1"/>
      <c r="H11" s="1"/>
    </row>
    <row r="12" spans="1:8" x14ac:dyDescent="0.2">
      <c r="A12" s="1"/>
      <c r="B12" s="1"/>
      <c r="C12" s="1"/>
      <c r="D12" s="1"/>
      <c r="E12" s="1"/>
      <c r="F12" s="1"/>
      <c r="G12" s="1"/>
      <c r="H12" s="1"/>
    </row>
    <row r="13" spans="1:8" x14ac:dyDescent="0.2">
      <c r="A13" s="1"/>
      <c r="B13" s="1"/>
      <c r="C13" s="1"/>
      <c r="D13" s="1"/>
      <c r="E13" s="1"/>
      <c r="F13" s="1"/>
      <c r="G13" s="1"/>
      <c r="H13" s="1"/>
    </row>
    <row r="14" spans="1:8" x14ac:dyDescent="0.2">
      <c r="A14" s="1"/>
      <c r="B14" s="1"/>
      <c r="C14" s="1"/>
      <c r="D14" s="1"/>
      <c r="E14" s="1"/>
      <c r="F14" s="1"/>
      <c r="G14" s="1"/>
      <c r="H14" s="1"/>
    </row>
    <row r="15" spans="1:8" x14ac:dyDescent="0.2">
      <c r="A15" s="1"/>
      <c r="B15" s="1"/>
      <c r="C15" s="1"/>
      <c r="D15" s="1"/>
      <c r="E15" s="1"/>
      <c r="F15" s="1"/>
      <c r="G15" s="1"/>
      <c r="H15" s="1"/>
    </row>
    <row r="16" spans="1:8" x14ac:dyDescent="0.2">
      <c r="A16" s="1"/>
      <c r="B16" s="1"/>
      <c r="C16" s="1"/>
      <c r="D16" s="1"/>
      <c r="E16" s="1"/>
      <c r="F16" s="1"/>
      <c r="G16" s="1"/>
      <c r="H16" s="1"/>
    </row>
    <row r="17" spans="1:8" x14ac:dyDescent="0.2">
      <c r="A17" s="1"/>
      <c r="B17" s="1"/>
      <c r="C17" s="1"/>
      <c r="D17" s="1"/>
      <c r="E17" s="1"/>
      <c r="F17" s="1"/>
      <c r="G17" s="1"/>
      <c r="H17" s="1"/>
    </row>
    <row r="18" spans="1:8" x14ac:dyDescent="0.2">
      <c r="A18" s="1"/>
      <c r="B18" s="1"/>
      <c r="C18" s="1"/>
      <c r="D18" s="1"/>
      <c r="E18" s="1"/>
      <c r="F18" s="1"/>
      <c r="G18" s="1"/>
      <c r="H18" s="1"/>
    </row>
    <row r="19" spans="1:8" x14ac:dyDescent="0.2">
      <c r="A19" s="1"/>
      <c r="B19" s="1"/>
      <c r="C19" s="1"/>
      <c r="D19" s="1"/>
      <c r="E19" s="1"/>
      <c r="F19" s="1"/>
      <c r="G19" s="1"/>
      <c r="H19" s="1"/>
    </row>
    <row r="20" spans="1:8" x14ac:dyDescent="0.2">
      <c r="A20" s="1"/>
      <c r="B20" s="1"/>
      <c r="C20" s="1"/>
      <c r="D20" s="1"/>
      <c r="E20" s="1"/>
      <c r="F20" s="1"/>
      <c r="G20" s="1"/>
      <c r="H20" s="1"/>
    </row>
    <row r="21" spans="1:8" x14ac:dyDescent="0.2">
      <c r="A21" s="1"/>
      <c r="B21" s="1"/>
      <c r="C21" s="1"/>
      <c r="D21" s="1"/>
      <c r="E21" s="1"/>
      <c r="F21" s="1"/>
      <c r="G21" s="1"/>
      <c r="H21" s="1"/>
    </row>
    <row r="22" spans="1:8" x14ac:dyDescent="0.2">
      <c r="A22" s="1"/>
      <c r="B22" s="1"/>
      <c r="C22" s="1"/>
      <c r="D22" s="4"/>
      <c r="E22" s="1"/>
      <c r="F22" s="1"/>
      <c r="G22" s="1"/>
      <c r="H22" s="1"/>
    </row>
    <row r="23" spans="1:8" x14ac:dyDescent="0.2">
      <c r="A23" s="1"/>
      <c r="B23" s="1"/>
      <c r="C23" s="1"/>
      <c r="D23" s="1"/>
      <c r="E23" s="1"/>
      <c r="F23" s="1"/>
      <c r="G23" s="1"/>
      <c r="H23" s="1"/>
    </row>
    <row r="24" spans="1:8" x14ac:dyDescent="0.2">
      <c r="A24" s="1"/>
      <c r="B24" s="1"/>
      <c r="C24" s="1"/>
      <c r="D24" s="1"/>
      <c r="E24" s="1"/>
      <c r="F24" s="1"/>
      <c r="G24" s="1"/>
      <c r="H24" s="1"/>
    </row>
    <row r="25" spans="1:8" x14ac:dyDescent="0.2">
      <c r="A25" s="1"/>
      <c r="B25" s="1"/>
      <c r="C25" s="1"/>
      <c r="D25" s="1"/>
      <c r="E25" s="1"/>
      <c r="F25" s="1"/>
      <c r="G25" s="1"/>
      <c r="H25" s="1"/>
    </row>
    <row r="26" spans="1:8" x14ac:dyDescent="0.2">
      <c r="A26" s="1"/>
      <c r="B26" s="1"/>
      <c r="C26" s="1"/>
      <c r="D26" s="1"/>
      <c r="E26" s="1"/>
      <c r="F26" s="1"/>
      <c r="G26" s="1"/>
      <c r="H26" s="1"/>
    </row>
    <row r="27" spans="1:8" x14ac:dyDescent="0.2">
      <c r="A27" s="1"/>
      <c r="B27" s="1"/>
      <c r="C27" s="1"/>
      <c r="D27" s="1"/>
      <c r="E27" s="1"/>
      <c r="F27" s="1"/>
      <c r="G27" s="1"/>
      <c r="H27" s="1"/>
    </row>
    <row r="28" spans="1:8" x14ac:dyDescent="0.2">
      <c r="A28" s="1"/>
      <c r="B28" s="1"/>
      <c r="C28" s="1"/>
      <c r="D28" s="1"/>
      <c r="E28" s="1"/>
      <c r="F28" s="1"/>
      <c r="G28" s="1"/>
      <c r="H28" s="1"/>
    </row>
    <row r="29" spans="1:8" x14ac:dyDescent="0.2">
      <c r="A29" s="1"/>
      <c r="B29" s="1"/>
      <c r="C29" s="1"/>
      <c r="D29" s="1"/>
      <c r="E29" s="1"/>
      <c r="F29" s="1"/>
      <c r="G29" s="1"/>
      <c r="H29" s="1"/>
    </row>
    <row r="30" spans="1:8" x14ac:dyDescent="0.2">
      <c r="A30" s="1"/>
      <c r="B30" s="1"/>
      <c r="C30" s="1"/>
      <c r="D30" s="1"/>
      <c r="E30" s="1"/>
      <c r="F30" s="1"/>
      <c r="G30" s="1"/>
      <c r="H30" s="1"/>
    </row>
    <row r="31" spans="1:8" x14ac:dyDescent="0.2">
      <c r="A31" s="1"/>
      <c r="B31" s="1"/>
      <c r="C31" s="1"/>
      <c r="D31" s="1"/>
      <c r="E31" s="1"/>
      <c r="F31" s="1"/>
      <c r="G31" s="1"/>
      <c r="H31" s="1"/>
    </row>
    <row r="32" spans="1:8" x14ac:dyDescent="0.2">
      <c r="A32" s="1"/>
      <c r="B32" s="1"/>
      <c r="C32" s="1"/>
      <c r="D32" s="1"/>
      <c r="E32" s="1"/>
      <c r="F32" s="1"/>
      <c r="G32" s="1"/>
      <c r="H32" s="1"/>
    </row>
    <row r="33" spans="1:8" x14ac:dyDescent="0.2">
      <c r="A33" s="1"/>
      <c r="B33" s="1"/>
      <c r="C33" s="1"/>
      <c r="D33" s="1"/>
      <c r="E33" s="1"/>
      <c r="F33" s="1"/>
      <c r="G33" s="1"/>
      <c r="H33" s="1"/>
    </row>
    <row r="34" spans="1:8" x14ac:dyDescent="0.2">
      <c r="A34" s="1"/>
      <c r="B34" s="1"/>
      <c r="C34" s="1"/>
      <c r="D34" s="1"/>
      <c r="E34" s="1"/>
      <c r="F34" s="1"/>
      <c r="G34" s="1"/>
      <c r="H34" s="1"/>
    </row>
    <row r="35" spans="1:8" x14ac:dyDescent="0.2">
      <c r="A35" s="1"/>
      <c r="B35" s="1"/>
      <c r="C35" s="1"/>
      <c r="D35" s="1"/>
      <c r="E35" s="1"/>
      <c r="F35" s="1"/>
      <c r="G35" s="1"/>
      <c r="H35" s="1"/>
    </row>
    <row r="36" spans="1:8" x14ac:dyDescent="0.2">
      <c r="A36" s="1"/>
      <c r="B36" s="1"/>
      <c r="C36" s="1"/>
      <c r="D36" s="1"/>
      <c r="E36" s="1"/>
      <c r="F36" s="1"/>
      <c r="G36" s="1"/>
      <c r="H36" s="1"/>
    </row>
    <row r="37" spans="1:8" x14ac:dyDescent="0.2">
      <c r="A37" s="1"/>
      <c r="B37" s="1"/>
      <c r="C37" s="1"/>
      <c r="D37" s="1"/>
      <c r="E37" s="1"/>
      <c r="F37" s="1"/>
      <c r="G37" s="1"/>
      <c r="H37" s="1"/>
    </row>
    <row r="38" spans="1:8" x14ac:dyDescent="0.2">
      <c r="A38" s="11" t="s">
        <v>1</v>
      </c>
      <c r="B38" s="12"/>
      <c r="C38" s="12"/>
      <c r="D38" s="13"/>
      <c r="E38" s="8"/>
      <c r="F38" s="8"/>
      <c r="G38" s="8"/>
      <c r="H38" s="8"/>
    </row>
    <row r="39" spans="1:8" x14ac:dyDescent="0.2">
      <c r="A39" s="14" t="s">
        <v>15</v>
      </c>
      <c r="B39" s="15"/>
      <c r="C39" s="15"/>
      <c r="D39" s="16"/>
      <c r="E39" s="8"/>
      <c r="F39" s="8"/>
      <c r="G39" s="8"/>
      <c r="H39" s="8"/>
    </row>
    <row r="40" spans="1:8" x14ac:dyDescent="0.2">
      <c r="A40" s="17" t="s">
        <v>62</v>
      </c>
      <c r="B40" s="18"/>
      <c r="C40" s="18"/>
      <c r="D40" s="19"/>
      <c r="E40" s="8"/>
      <c r="F40" s="8"/>
      <c r="G40" s="8"/>
      <c r="H40" s="8"/>
    </row>
    <row r="41" spans="1:8" x14ac:dyDescent="0.2">
      <c r="A41" s="20"/>
      <c r="B41" s="21"/>
      <c r="C41" s="22"/>
      <c r="D41" s="23"/>
      <c r="E41" s="8"/>
      <c r="F41" s="8" t="s">
        <v>34</v>
      </c>
      <c r="G41" s="8"/>
      <c r="H41" s="8"/>
    </row>
    <row r="42" spans="1:8" ht="15.75" x14ac:dyDescent="0.25">
      <c r="A42" s="24" t="s">
        <v>2</v>
      </c>
      <c r="B42" s="25" t="str">
        <f>[1]Charters!B45</f>
        <v>Monticello Academy</v>
      </c>
      <c r="C42" s="26"/>
      <c r="D42" s="27"/>
      <c r="E42" s="8"/>
      <c r="F42" s="8"/>
      <c r="G42" s="8"/>
      <c r="H42" s="8"/>
    </row>
    <row r="43" spans="1:8" x14ac:dyDescent="0.2">
      <c r="A43" s="24"/>
      <c r="B43" s="28"/>
      <c r="C43" s="26"/>
      <c r="D43" s="27"/>
      <c r="E43" s="8"/>
      <c r="F43" s="8"/>
      <c r="G43" s="8"/>
      <c r="H43" s="8"/>
    </row>
    <row r="44" spans="1:8" x14ac:dyDescent="0.2">
      <c r="A44" s="29" t="s">
        <v>0</v>
      </c>
      <c r="B44" s="30">
        <f>[1]Charters!$E$6</f>
        <v>3184</v>
      </c>
      <c r="C44" s="26"/>
      <c r="D44" s="31"/>
      <c r="E44" s="8"/>
      <c r="F44" s="8"/>
      <c r="G44" s="8"/>
      <c r="H44" s="8"/>
    </row>
    <row r="45" spans="1:8" x14ac:dyDescent="0.2">
      <c r="A45" s="32"/>
      <c r="B45" s="6"/>
      <c r="C45" s="33"/>
      <c r="D45" s="34" t="s">
        <v>3</v>
      </c>
      <c r="E45" s="8"/>
      <c r="F45" s="8"/>
      <c r="G45" s="8"/>
      <c r="H45" s="8"/>
    </row>
    <row r="46" spans="1:8" x14ac:dyDescent="0.2">
      <c r="A46" s="29" t="s">
        <v>19</v>
      </c>
      <c r="B46" s="35" t="str">
        <f>[1]Charters!A45</f>
        <v>7C</v>
      </c>
      <c r="C46" s="36" t="s">
        <v>4</v>
      </c>
      <c r="D46" s="37" t="s">
        <v>5</v>
      </c>
      <c r="E46" s="8"/>
      <c r="F46" s="8"/>
      <c r="G46" s="8"/>
      <c r="H46" s="8"/>
    </row>
    <row r="47" spans="1:8" x14ac:dyDescent="0.2">
      <c r="A47" s="38" t="s">
        <v>6</v>
      </c>
      <c r="B47" s="39"/>
      <c r="C47" s="40"/>
      <c r="D47" s="41"/>
      <c r="E47" s="8"/>
      <c r="F47" s="8"/>
      <c r="G47" s="8"/>
      <c r="H47" s="8"/>
    </row>
    <row r="48" spans="1:8" x14ac:dyDescent="0.2">
      <c r="A48" s="38" t="s">
        <v>7</v>
      </c>
      <c r="B48" s="39"/>
      <c r="C48" s="40"/>
      <c r="D48" s="41"/>
      <c r="E48" s="8"/>
      <c r="F48" s="42" t="s">
        <v>23</v>
      </c>
      <c r="G48" s="8"/>
      <c r="H48" s="42" t="s">
        <v>26</v>
      </c>
    </row>
    <row r="49" spans="1:8" x14ac:dyDescent="0.2">
      <c r="A49" s="20" t="s">
        <v>8</v>
      </c>
      <c r="B49" s="43"/>
      <c r="C49" s="44">
        <f>[1]Charters!C505</f>
        <v>676.495</v>
      </c>
      <c r="D49" s="45">
        <f>[1]Charters!E505</f>
        <v>2153959.15</v>
      </c>
      <c r="E49" s="8"/>
      <c r="F49" s="42">
        <f>[1]Charters!E660</f>
        <v>2281686.77</v>
      </c>
      <c r="G49" s="8"/>
      <c r="H49" s="42">
        <f>[2]Charters!E199</f>
        <v>2691398.34</v>
      </c>
    </row>
    <row r="50" spans="1:8" x14ac:dyDescent="0.2">
      <c r="A50" s="20" t="s">
        <v>14</v>
      </c>
      <c r="B50" s="43"/>
      <c r="C50" s="44">
        <f>[1]Charters!F505</f>
        <v>40.115000000000002</v>
      </c>
      <c r="D50" s="45">
        <f>[1]Charters!H505</f>
        <v>127727.62</v>
      </c>
      <c r="E50" s="8"/>
      <c r="F50" s="42">
        <f>SUM(D49:D51)</f>
        <v>2281686.77</v>
      </c>
      <c r="G50" s="8"/>
      <c r="H50" s="42">
        <f>D62</f>
        <v>2691398.34</v>
      </c>
    </row>
    <row r="51" spans="1:8" x14ac:dyDescent="0.2">
      <c r="A51" s="20" t="s">
        <v>32</v>
      </c>
      <c r="B51" s="43"/>
      <c r="C51" s="44">
        <f>[1]Charters!C198</f>
        <v>0</v>
      </c>
      <c r="D51" s="45">
        <f>[1]Charters!E198</f>
        <v>0</v>
      </c>
      <c r="E51" s="8"/>
      <c r="F51" s="42">
        <f>+F49-F50</f>
        <v>0</v>
      </c>
      <c r="G51" s="8"/>
      <c r="H51" s="42">
        <f>+H49-H50</f>
        <v>0</v>
      </c>
    </row>
    <row r="52" spans="1:8" x14ac:dyDescent="0.2">
      <c r="A52" s="38" t="s">
        <v>9</v>
      </c>
      <c r="B52" s="39"/>
      <c r="C52" s="46"/>
      <c r="D52" s="47"/>
      <c r="E52" s="8"/>
      <c r="F52" s="8"/>
      <c r="G52" s="8"/>
      <c r="H52" s="8"/>
    </row>
    <row r="53" spans="1:8" x14ac:dyDescent="0.2">
      <c r="A53" s="20" t="s">
        <v>10</v>
      </c>
      <c r="B53" s="43"/>
      <c r="C53" s="40">
        <f>[3]Charters!C44</f>
        <v>54.234999999999999</v>
      </c>
      <c r="D53" s="41">
        <f>[3]Charters!E44</f>
        <v>172683.63</v>
      </c>
      <c r="E53" s="8"/>
      <c r="F53" s="42" t="s">
        <v>24</v>
      </c>
      <c r="G53" s="8"/>
      <c r="H53" s="8"/>
    </row>
    <row r="54" spans="1:8" x14ac:dyDescent="0.2">
      <c r="A54" s="48" t="s">
        <v>11</v>
      </c>
      <c r="B54" s="43"/>
      <c r="C54" s="40">
        <f>[3]Charters!F44</f>
        <v>3.98</v>
      </c>
      <c r="D54" s="49">
        <f>[3]Charters!H44</f>
        <v>12672.32</v>
      </c>
      <c r="E54" s="8"/>
      <c r="F54" s="42">
        <f>[3]Charters!N355</f>
        <v>190840.08</v>
      </c>
      <c r="G54" s="8"/>
      <c r="H54" s="8"/>
    </row>
    <row r="55" spans="1:8" x14ac:dyDescent="0.2">
      <c r="A55" s="48" t="s">
        <v>12</v>
      </c>
      <c r="B55" s="43"/>
      <c r="C55" s="40">
        <f>[3]Charters!C199</f>
        <v>0</v>
      </c>
      <c r="D55" s="41">
        <f>[3]Charters!E199</f>
        <v>0</v>
      </c>
      <c r="E55" s="8"/>
      <c r="F55" s="42">
        <f>SUM(D53:D59)</f>
        <v>190840.08</v>
      </c>
      <c r="G55" s="8"/>
      <c r="H55" s="8"/>
    </row>
    <row r="56" spans="1:8" x14ac:dyDescent="0.2">
      <c r="A56" s="20" t="s">
        <v>13</v>
      </c>
      <c r="B56" s="43"/>
      <c r="C56" s="40">
        <f>[3]Charters!F199</f>
        <v>0.70899999999999996</v>
      </c>
      <c r="D56" s="41">
        <f>[3]Charters!H199</f>
        <v>2259</v>
      </c>
      <c r="E56" s="8"/>
      <c r="F56" s="42">
        <f>+F54-F55</f>
        <v>0</v>
      </c>
      <c r="G56" s="8"/>
      <c r="H56" s="8"/>
    </row>
    <row r="57" spans="1:8" x14ac:dyDescent="0.2">
      <c r="A57" s="48" t="s">
        <v>54</v>
      </c>
      <c r="B57" s="43"/>
      <c r="C57" s="40">
        <f>[3]Charters!C355</f>
        <v>1.0129999999999999</v>
      </c>
      <c r="D57" s="41">
        <f>[3]Charters!E355</f>
        <v>3225.13</v>
      </c>
      <c r="E57" s="8"/>
      <c r="F57" s="8"/>
      <c r="G57" s="8"/>
      <c r="H57" s="8"/>
    </row>
    <row r="58" spans="1:8" x14ac:dyDescent="0.2">
      <c r="A58" s="48" t="s">
        <v>55</v>
      </c>
      <c r="B58" s="43"/>
      <c r="C58" s="40">
        <f>[3]Charters!F355</f>
        <v>0</v>
      </c>
      <c r="D58" s="41">
        <f>[3]Charters!H355</f>
        <v>0</v>
      </c>
      <c r="E58" s="8"/>
      <c r="F58" s="42" t="s">
        <v>25</v>
      </c>
      <c r="G58" s="8"/>
      <c r="H58" s="8"/>
    </row>
    <row r="59" spans="1:8" x14ac:dyDescent="0.2">
      <c r="A59" s="48" t="s">
        <v>56</v>
      </c>
      <c r="B59" s="43"/>
      <c r="C59" s="40">
        <f>[3]Charters!I355</f>
        <v>0</v>
      </c>
      <c r="D59" s="41">
        <f>[3]Charters!K355</f>
        <v>0</v>
      </c>
      <c r="E59" s="8"/>
      <c r="F59" s="42">
        <f>[2]Charters!H45</f>
        <v>409711.57</v>
      </c>
      <c r="G59" s="8"/>
      <c r="H59" s="8"/>
    </row>
    <row r="60" spans="1:8" x14ac:dyDescent="0.2">
      <c r="A60" s="20" t="s">
        <v>49</v>
      </c>
      <c r="B60" s="43"/>
      <c r="C60" s="40">
        <f>[3]Charters!C512</f>
        <v>7.7969999999999997</v>
      </c>
      <c r="D60" s="41">
        <f>[3]Charters!E512</f>
        <v>24825.37</v>
      </c>
      <c r="E60" s="8"/>
      <c r="F60" s="42">
        <f>SUM(D53:D61)</f>
        <v>409711.57</v>
      </c>
      <c r="G60" s="8"/>
      <c r="H60" s="8"/>
    </row>
    <row r="61" spans="1:8" x14ac:dyDescent="0.2">
      <c r="A61" s="20" t="s">
        <v>50</v>
      </c>
      <c r="B61" s="43"/>
      <c r="C61" s="40">
        <f>[2]Charters!C45</f>
        <v>60.944000000000003</v>
      </c>
      <c r="D61" s="41">
        <f>[2]Charters!E45</f>
        <v>194046.12</v>
      </c>
      <c r="E61" s="8"/>
      <c r="F61" s="42">
        <f>+F59-F60</f>
        <v>0</v>
      </c>
      <c r="G61" s="8"/>
      <c r="H61" s="8"/>
    </row>
    <row r="62" spans="1:8" x14ac:dyDescent="0.2">
      <c r="A62" s="50"/>
      <c r="B62" s="51" t="s">
        <v>16</v>
      </c>
      <c r="C62" s="52">
        <f>SUM(C49:C61)</f>
        <v>845.28800000000001</v>
      </c>
      <c r="D62" s="53">
        <f>SUM(D49:D61)</f>
        <v>2691398.34</v>
      </c>
      <c r="E62" s="8"/>
      <c r="F62" s="8"/>
      <c r="G62" s="8"/>
      <c r="H62" s="8"/>
    </row>
    <row r="63" spans="1:8" x14ac:dyDescent="0.2">
      <c r="A63" s="54" t="s">
        <v>17</v>
      </c>
      <c r="B63" s="39"/>
      <c r="C63" s="55"/>
      <c r="D63" s="47"/>
      <c r="E63" s="8"/>
      <c r="F63" s="8"/>
      <c r="G63" s="8"/>
      <c r="H63" s="42" t="s">
        <v>29</v>
      </c>
    </row>
    <row r="64" spans="1:8" x14ac:dyDescent="0.2">
      <c r="A64" s="20" t="s">
        <v>33</v>
      </c>
      <c r="B64" s="43"/>
      <c r="C64" s="56"/>
      <c r="D64" s="57">
        <f>[4]Charters!C44</f>
        <v>7800.93</v>
      </c>
      <c r="E64" s="8"/>
      <c r="F64" s="8"/>
      <c r="G64" s="8"/>
      <c r="H64" s="42">
        <f>[4]Charters!F985</f>
        <v>4698819.7699999996</v>
      </c>
    </row>
    <row r="65" spans="1:8" x14ac:dyDescent="0.2">
      <c r="A65" s="58" t="s">
        <v>35</v>
      </c>
      <c r="B65" s="43"/>
      <c r="C65" s="56"/>
      <c r="D65" s="41">
        <f>+[4]Charters!F365</f>
        <v>3255.96</v>
      </c>
      <c r="E65" s="8"/>
      <c r="F65" s="8"/>
      <c r="G65" s="8"/>
      <c r="H65" s="42">
        <f>SUM(D62:D81)</f>
        <v>4698819.7699999996</v>
      </c>
    </row>
    <row r="66" spans="1:8" x14ac:dyDescent="0.2">
      <c r="A66" s="59" t="s">
        <v>36</v>
      </c>
      <c r="B66" s="43"/>
      <c r="C66" s="56"/>
      <c r="D66" s="41">
        <f>[4]Charters!E204</f>
        <v>32222</v>
      </c>
      <c r="E66" s="8"/>
      <c r="F66" s="8"/>
      <c r="G66" s="8"/>
      <c r="H66" s="42">
        <f>+H64-H65</f>
        <v>0</v>
      </c>
    </row>
    <row r="67" spans="1:8" x14ac:dyDescent="0.2">
      <c r="A67" s="59" t="s">
        <v>52</v>
      </c>
      <c r="B67" s="43"/>
      <c r="C67" s="56"/>
      <c r="D67" s="41">
        <f>[4]Charters!G365</f>
        <v>0</v>
      </c>
      <c r="E67" s="8"/>
      <c r="F67" s="42" t="s">
        <v>27</v>
      </c>
      <c r="G67" s="8"/>
      <c r="H67" s="42"/>
    </row>
    <row r="68" spans="1:8" x14ac:dyDescent="0.2">
      <c r="A68" s="20" t="s">
        <v>37</v>
      </c>
      <c r="B68" s="43"/>
      <c r="C68" s="56"/>
      <c r="D68" s="41">
        <f>[4]Charters!E521</f>
        <v>53263</v>
      </c>
      <c r="E68" s="8"/>
      <c r="F68" s="42">
        <f>[4]Charters!E204</f>
        <v>32222</v>
      </c>
      <c r="G68" s="8"/>
      <c r="H68" s="8"/>
    </row>
    <row r="69" spans="1:8" x14ac:dyDescent="0.2">
      <c r="A69" s="20" t="s">
        <v>38</v>
      </c>
      <c r="B69" s="43"/>
      <c r="C69" s="56"/>
      <c r="D69" s="41">
        <f>[4]Charters!F521</f>
        <v>0</v>
      </c>
      <c r="E69" s="8"/>
      <c r="F69" s="42">
        <f>SUM(D66:D66)</f>
        <v>32222</v>
      </c>
      <c r="G69" s="8"/>
      <c r="H69" s="8"/>
    </row>
    <row r="70" spans="1:8" x14ac:dyDescent="0.2">
      <c r="A70" s="59" t="s">
        <v>40</v>
      </c>
      <c r="B70" s="43"/>
      <c r="C70" s="56"/>
      <c r="D70" s="41">
        <f>[4]Charters!G521</f>
        <v>18701</v>
      </c>
      <c r="E70" s="8"/>
      <c r="F70" s="42">
        <f>+F68-F69</f>
        <v>0</v>
      </c>
      <c r="G70" s="8"/>
      <c r="H70" s="8"/>
    </row>
    <row r="71" spans="1:8" x14ac:dyDescent="0.2">
      <c r="A71" s="20" t="s">
        <v>41</v>
      </c>
      <c r="B71" s="43"/>
      <c r="C71" s="56"/>
      <c r="D71" s="41">
        <f>[4]Charters!C676</f>
        <v>1526763</v>
      </c>
      <c r="E71" s="8"/>
      <c r="F71" s="42" t="s">
        <v>28</v>
      </c>
      <c r="G71" s="8"/>
      <c r="H71" s="8"/>
    </row>
    <row r="72" spans="1:8" x14ac:dyDescent="0.2">
      <c r="A72" s="20" t="s">
        <v>42</v>
      </c>
      <c r="B72" s="43"/>
      <c r="C72" s="56"/>
      <c r="D72" s="41">
        <f>[4]Charters!D676</f>
        <v>192945.88</v>
      </c>
      <c r="E72" s="8"/>
      <c r="F72" s="42">
        <f>[4]Charters!D521</f>
        <v>35477.96</v>
      </c>
      <c r="G72" s="8"/>
      <c r="H72" s="8"/>
    </row>
    <row r="73" spans="1:8" x14ac:dyDescent="0.2">
      <c r="A73" s="20" t="s">
        <v>44</v>
      </c>
      <c r="B73" s="43"/>
      <c r="C73" s="56"/>
      <c r="D73" s="41">
        <f>[4]Charters!E676</f>
        <v>76300</v>
      </c>
      <c r="E73" s="8"/>
      <c r="F73" s="42">
        <f>SUM(D65:D67)</f>
        <v>35477.96</v>
      </c>
      <c r="G73" s="8"/>
      <c r="H73" s="8"/>
    </row>
    <row r="74" spans="1:8" x14ac:dyDescent="0.2">
      <c r="A74" s="59" t="s">
        <v>43</v>
      </c>
      <c r="B74" s="43"/>
      <c r="C74" s="56"/>
      <c r="D74" s="41">
        <f>[4]Charters!F676</f>
        <v>26301.86</v>
      </c>
      <c r="E74" s="8"/>
      <c r="F74" s="42">
        <f>+F72-F73</f>
        <v>0</v>
      </c>
      <c r="G74" s="8"/>
      <c r="H74" s="8"/>
    </row>
    <row r="75" spans="1:8" x14ac:dyDescent="0.2">
      <c r="A75" s="59" t="s">
        <v>45</v>
      </c>
      <c r="B75" s="43"/>
      <c r="C75" s="56"/>
      <c r="D75" s="41">
        <f>[4]Charters!C521</f>
        <v>0</v>
      </c>
      <c r="E75" s="8"/>
      <c r="F75" s="8"/>
      <c r="G75" s="8"/>
      <c r="H75" s="8"/>
    </row>
    <row r="76" spans="1:8" x14ac:dyDescent="0.2">
      <c r="A76" s="59" t="s">
        <v>46</v>
      </c>
      <c r="B76" s="43"/>
      <c r="C76" s="56"/>
      <c r="D76" s="41">
        <f>[4]Charters!C832</f>
        <v>0</v>
      </c>
      <c r="E76" s="42"/>
      <c r="F76" s="42"/>
      <c r="G76" s="42"/>
      <c r="H76" s="42" t="s">
        <v>31</v>
      </c>
    </row>
    <row r="77" spans="1:8" x14ac:dyDescent="0.2">
      <c r="A77" s="59" t="s">
        <v>51</v>
      </c>
      <c r="B77" s="43"/>
      <c r="C77" s="56"/>
      <c r="D77" s="60">
        <f>[4]Charters!D832</f>
        <v>954.63</v>
      </c>
      <c r="E77" s="42"/>
      <c r="F77" s="42"/>
      <c r="G77" s="42"/>
      <c r="H77" s="42">
        <f>[4]Charters!D1291</f>
        <v>4714033.6900000004</v>
      </c>
    </row>
    <row r="78" spans="1:8" x14ac:dyDescent="0.2">
      <c r="A78" s="20" t="s">
        <v>47</v>
      </c>
      <c r="B78" s="43"/>
      <c r="C78" s="56"/>
      <c r="D78" s="60">
        <f>[4]Charters!E832</f>
        <v>0</v>
      </c>
      <c r="E78" s="42"/>
      <c r="F78" s="42"/>
      <c r="G78" s="42"/>
      <c r="H78" s="42">
        <f>D87</f>
        <v>4714033.6900000004</v>
      </c>
    </row>
    <row r="79" spans="1:8" x14ac:dyDescent="0.2">
      <c r="A79" s="20" t="s">
        <v>57</v>
      </c>
      <c r="B79" s="43"/>
      <c r="C79" s="56"/>
      <c r="D79" s="60">
        <f>[4]Charters!C985</f>
        <v>3467.35</v>
      </c>
      <c r="E79" s="42"/>
      <c r="F79" s="42"/>
      <c r="G79" s="42"/>
      <c r="H79" s="42">
        <f>+H77-H78</f>
        <v>0</v>
      </c>
    </row>
    <row r="80" spans="1:8" x14ac:dyDescent="0.2">
      <c r="A80" s="59" t="s">
        <v>53</v>
      </c>
      <c r="B80" s="43"/>
      <c r="C80" s="56"/>
      <c r="D80" s="60">
        <f>[4]Charters!D985</f>
        <v>30300</v>
      </c>
      <c r="E80" s="42"/>
      <c r="F80" s="42" t="s">
        <v>30</v>
      </c>
      <c r="G80" s="42"/>
      <c r="H80" s="42"/>
    </row>
    <row r="81" spans="1:8" x14ac:dyDescent="0.2">
      <c r="A81" s="59" t="s">
        <v>59</v>
      </c>
      <c r="B81" s="43"/>
      <c r="C81" s="56"/>
      <c r="D81" s="60">
        <f>[4]Charters!E985</f>
        <v>35145.82</v>
      </c>
      <c r="E81" s="42"/>
      <c r="F81" s="42"/>
      <c r="G81" s="42"/>
      <c r="H81" s="42"/>
    </row>
    <row r="82" spans="1:8" x14ac:dyDescent="0.2">
      <c r="A82" s="38" t="s">
        <v>18</v>
      </c>
      <c r="B82" s="61"/>
      <c r="C82" s="62"/>
      <c r="D82" s="87"/>
      <c r="E82" s="42"/>
      <c r="F82" s="42">
        <f>[4]Charters!C1291</f>
        <v>15213.92</v>
      </c>
      <c r="G82" s="42"/>
      <c r="H82" s="42"/>
    </row>
    <row r="83" spans="1:8" x14ac:dyDescent="0.2">
      <c r="A83" s="59" t="s">
        <v>39</v>
      </c>
      <c r="B83" s="43"/>
      <c r="C83" s="56"/>
      <c r="D83" s="41">
        <f>[4]Charters!C1138</f>
        <v>7068.56</v>
      </c>
      <c r="E83" s="42"/>
      <c r="F83" s="42">
        <f>SUM(D83:D86)</f>
        <v>15213.92</v>
      </c>
      <c r="G83" s="42"/>
      <c r="H83" s="42"/>
    </row>
    <row r="84" spans="1:8" x14ac:dyDescent="0.2">
      <c r="A84" s="59" t="s">
        <v>48</v>
      </c>
      <c r="B84" s="43"/>
      <c r="C84" s="56"/>
      <c r="D84" s="41">
        <f>[4]Charters!D1138</f>
        <v>0</v>
      </c>
      <c r="E84" s="42"/>
      <c r="F84" s="42">
        <f>+F82-F83</f>
        <v>0</v>
      </c>
      <c r="G84" s="42"/>
      <c r="H84" s="42"/>
    </row>
    <row r="85" spans="1:8" x14ac:dyDescent="0.2">
      <c r="A85" s="59" t="s">
        <v>60</v>
      </c>
      <c r="B85" s="43"/>
      <c r="C85" s="56"/>
      <c r="D85" s="41">
        <f>[4]Charters!E1138</f>
        <v>0</v>
      </c>
      <c r="E85" s="42"/>
      <c r="F85" s="42"/>
      <c r="G85" s="42"/>
      <c r="H85" s="42"/>
    </row>
    <row r="86" spans="1:8" x14ac:dyDescent="0.2">
      <c r="A86" s="59" t="s">
        <v>61</v>
      </c>
      <c r="B86" s="43"/>
      <c r="C86" s="56"/>
      <c r="D86" s="41">
        <f>[4]Charters!F1138</f>
        <v>8145.36</v>
      </c>
      <c r="E86" s="42"/>
      <c r="F86" s="42"/>
      <c r="G86" s="42"/>
      <c r="H86" s="42"/>
    </row>
    <row r="87" spans="1:8" ht="13.5" thickBot="1" x14ac:dyDescent="0.25">
      <c r="A87" s="64"/>
      <c r="B87" s="65"/>
      <c r="C87" s="66"/>
      <c r="D87" s="67">
        <f>SUM(D62:D86)</f>
        <v>4714033.6900000004</v>
      </c>
      <c r="E87" s="42"/>
      <c r="F87" s="42"/>
      <c r="G87" s="42"/>
      <c r="H87" s="42"/>
    </row>
    <row r="88" spans="1:8" ht="13.5" thickTop="1" x14ac:dyDescent="0.2">
      <c r="A88" s="68"/>
      <c r="B88" s="43"/>
      <c r="C88" s="56"/>
      <c r="D88" s="86"/>
      <c r="E88" s="42"/>
      <c r="F88" s="42"/>
      <c r="G88" s="42"/>
      <c r="H88" s="42"/>
    </row>
    <row r="89" spans="1:8" x14ac:dyDescent="0.2">
      <c r="A89" s="38" t="s">
        <v>20</v>
      </c>
      <c r="B89" s="39"/>
      <c r="C89" s="70"/>
      <c r="D89" s="71" t="s">
        <v>21</v>
      </c>
      <c r="E89" s="42"/>
      <c r="F89" s="42"/>
      <c r="G89" s="42"/>
      <c r="H89" s="42"/>
    </row>
    <row r="90" spans="1:8" x14ac:dyDescent="0.2">
      <c r="A90" s="72" t="s">
        <v>22</v>
      </c>
      <c r="B90" s="73"/>
      <c r="C90" s="74"/>
      <c r="D90" s="41">
        <f>[5]Charters!C44</f>
        <v>1680.59</v>
      </c>
      <c r="E90" s="42"/>
      <c r="F90" s="42"/>
      <c r="G90" s="42"/>
      <c r="H90" s="42"/>
    </row>
    <row r="91" spans="1:8" x14ac:dyDescent="0.2">
      <c r="A91" s="75"/>
      <c r="B91" s="61"/>
      <c r="C91" s="76"/>
      <c r="D91" s="77">
        <f>SUM(D90:D90)</f>
        <v>1680.59</v>
      </c>
      <c r="E91" s="42"/>
      <c r="F91" s="42"/>
      <c r="G91" s="42"/>
      <c r="H91" s="42"/>
    </row>
    <row r="92" spans="1:8" x14ac:dyDescent="0.2">
      <c r="A92" s="78" t="s">
        <v>58</v>
      </c>
      <c r="B92" s="79"/>
      <c r="C92" s="80"/>
      <c r="D92" s="77">
        <f>D91+D87</f>
        <v>4715714.28</v>
      </c>
      <c r="E92" s="42"/>
      <c r="F92" s="42"/>
      <c r="G92" s="42"/>
      <c r="H92" s="42"/>
    </row>
    <row r="93" spans="1:8" x14ac:dyDescent="0.2">
      <c r="A93" s="84"/>
      <c r="B93" s="84"/>
      <c r="C93" s="85"/>
      <c r="D93" s="81"/>
      <c r="E93" s="42"/>
      <c r="F93" s="42"/>
      <c r="G93" s="42"/>
      <c r="H93" s="42"/>
    </row>
    <row r="94" spans="1:8" x14ac:dyDescent="0.2">
      <c r="A94" s="84"/>
      <c r="B94" s="84"/>
      <c r="C94" s="85"/>
      <c r="D94" s="81">
        <f>[5]Charters!E200</f>
        <v>4715714.28</v>
      </c>
      <c r="E94" s="42"/>
      <c r="F94" s="42"/>
      <c r="G94" s="42"/>
      <c r="H94" s="42"/>
    </row>
    <row r="95" spans="1:8" x14ac:dyDescent="0.2">
      <c r="A95" s="84"/>
      <c r="B95" s="84"/>
      <c r="C95" s="85"/>
      <c r="D95" s="81">
        <f>D92</f>
        <v>4715714.28</v>
      </c>
      <c r="E95" s="42"/>
      <c r="F95" s="42"/>
      <c r="G95" s="42"/>
      <c r="H95" s="42"/>
    </row>
    <row r="96" spans="1:8" x14ac:dyDescent="0.2">
      <c r="C96" s="83"/>
      <c r="D96" s="42">
        <f>D94-D95</f>
        <v>0</v>
      </c>
      <c r="E96" s="42"/>
      <c r="F96" s="42"/>
      <c r="G96" s="42"/>
      <c r="H96" s="42"/>
    </row>
  </sheetData>
  <mergeCells count="4">
    <mergeCell ref="A38:D38"/>
    <mergeCell ref="A92:C92"/>
    <mergeCell ref="A39:D39"/>
    <mergeCell ref="A40:D40"/>
  </mergeCells>
  <phoneticPr fontId="1" type="noConversion"/>
  <printOptions horizontalCentered="1" verticalCentered="1"/>
  <pageMargins left="0.5" right="0.5" top="0.5" bottom="0.5" header="0.25" footer="0.25"/>
  <pageSetup orientation="portrait" verticalDpi="1200" r:id="rId1"/>
  <headerFooter alignWithMargins="0">
    <oddHeader>&amp;R&amp;8Current as of: &amp;D</oddHeader>
    <oddFooter>&amp;L&amp;8USOE, School Finance</oddFooter>
  </headerFooter>
  <picture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>
    <pageSetUpPr fitToPage="1"/>
  </sheetPr>
  <dimension ref="A1:H98"/>
  <sheetViews>
    <sheetView showGridLines="0" topLeftCell="A37" workbookViewId="0">
      <selection activeCell="C12" sqref="C12"/>
    </sheetView>
  </sheetViews>
  <sheetFormatPr defaultColWidth="9.140625" defaultRowHeight="12.75" x14ac:dyDescent="0.2"/>
  <cols>
    <col min="1" max="1" width="31.85546875" style="82" customWidth="1"/>
    <col min="2" max="2" width="16.140625" style="82" customWidth="1"/>
    <col min="3" max="4" width="14.85546875" style="82" customWidth="1"/>
    <col min="5" max="5" width="7" style="82" customWidth="1"/>
    <col min="6" max="6" width="19.7109375" style="82" customWidth="1"/>
    <col min="7" max="7" width="5.7109375" style="82" customWidth="1"/>
    <col min="8" max="8" width="18" style="82" customWidth="1"/>
    <col min="9" max="16384" width="9.140625" style="82"/>
  </cols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"/>
      <c r="B3" s="1"/>
      <c r="C3" s="1"/>
      <c r="D3" s="1"/>
      <c r="E3" s="1"/>
      <c r="F3" s="1"/>
      <c r="G3" s="1"/>
      <c r="H3" s="1"/>
    </row>
    <row r="4" spans="1:8" x14ac:dyDescent="0.2">
      <c r="A4" s="1"/>
      <c r="B4" s="1"/>
      <c r="C4" s="1"/>
      <c r="D4" s="1"/>
      <c r="E4" s="1"/>
      <c r="F4" s="1"/>
      <c r="G4" s="1"/>
      <c r="H4" s="1"/>
    </row>
    <row r="5" spans="1:8" x14ac:dyDescent="0.2">
      <c r="A5" s="1"/>
      <c r="B5" s="1"/>
      <c r="C5" s="1"/>
      <c r="D5" s="1"/>
      <c r="E5" s="1"/>
      <c r="F5" s="1"/>
      <c r="G5" s="1"/>
      <c r="H5" s="1"/>
    </row>
    <row r="6" spans="1:8" x14ac:dyDescent="0.2">
      <c r="A6" s="1"/>
      <c r="B6" s="1"/>
      <c r="C6" s="1"/>
      <c r="D6" s="1"/>
      <c r="E6" s="1"/>
      <c r="F6" s="1"/>
      <c r="G6" s="1"/>
      <c r="H6" s="1"/>
    </row>
    <row r="7" spans="1:8" x14ac:dyDescent="0.2">
      <c r="A7" s="1"/>
      <c r="B7" s="1"/>
      <c r="C7" s="1"/>
      <c r="D7" s="1"/>
      <c r="E7" s="1"/>
      <c r="F7" s="1"/>
      <c r="G7" s="1"/>
      <c r="H7" s="1"/>
    </row>
    <row r="8" spans="1:8" x14ac:dyDescent="0.2">
      <c r="A8" s="1"/>
      <c r="B8" s="1"/>
      <c r="C8" s="1"/>
      <c r="D8" s="1"/>
      <c r="E8" s="1"/>
      <c r="F8" s="1"/>
      <c r="G8" s="1"/>
      <c r="H8" s="1"/>
    </row>
    <row r="9" spans="1:8" x14ac:dyDescent="0.2">
      <c r="A9" s="1"/>
      <c r="B9" s="1"/>
      <c r="C9" s="1"/>
      <c r="D9" s="1"/>
      <c r="E9" s="1"/>
      <c r="F9" s="1"/>
      <c r="G9" s="1"/>
      <c r="H9" s="1"/>
    </row>
    <row r="10" spans="1:8" x14ac:dyDescent="0.2">
      <c r="A10" s="1"/>
      <c r="B10" s="1"/>
      <c r="C10" s="1"/>
      <c r="D10" s="1"/>
      <c r="E10" s="1"/>
      <c r="F10" s="1"/>
      <c r="G10" s="1"/>
      <c r="H10" s="1"/>
    </row>
    <row r="11" spans="1:8" x14ac:dyDescent="0.2">
      <c r="A11" s="1"/>
      <c r="B11" s="1"/>
      <c r="C11" s="1"/>
      <c r="D11" s="1"/>
      <c r="E11" s="1"/>
      <c r="F11" s="1"/>
      <c r="G11" s="1"/>
      <c r="H11" s="1"/>
    </row>
    <row r="12" spans="1:8" x14ac:dyDescent="0.2">
      <c r="A12" s="1"/>
      <c r="B12" s="1"/>
      <c r="C12" s="1"/>
      <c r="D12" s="1"/>
      <c r="E12" s="1"/>
      <c r="F12" s="1"/>
      <c r="G12" s="1"/>
      <c r="H12" s="1"/>
    </row>
    <row r="13" spans="1:8" x14ac:dyDescent="0.2">
      <c r="A13" s="1"/>
      <c r="B13" s="1"/>
      <c r="C13" s="1"/>
      <c r="D13" s="1"/>
      <c r="E13" s="1"/>
      <c r="F13" s="1"/>
      <c r="G13" s="1"/>
      <c r="H13" s="1"/>
    </row>
    <row r="14" spans="1:8" x14ac:dyDescent="0.2">
      <c r="A14" s="1"/>
      <c r="B14" s="1"/>
      <c r="C14" s="1"/>
      <c r="D14" s="1"/>
      <c r="E14" s="1"/>
      <c r="F14" s="1"/>
      <c r="G14" s="1"/>
      <c r="H14" s="1"/>
    </row>
    <row r="15" spans="1:8" x14ac:dyDescent="0.2">
      <c r="A15" s="1"/>
      <c r="B15" s="1"/>
      <c r="C15" s="1"/>
      <c r="D15" s="1"/>
      <c r="E15" s="1"/>
      <c r="F15" s="1"/>
      <c r="G15" s="1"/>
      <c r="H15" s="1"/>
    </row>
    <row r="16" spans="1:8" x14ac:dyDescent="0.2">
      <c r="A16" s="1"/>
      <c r="B16" s="1"/>
      <c r="C16" s="1"/>
      <c r="D16" s="1"/>
      <c r="E16" s="1"/>
      <c r="F16" s="1"/>
      <c r="G16" s="1"/>
      <c r="H16" s="1"/>
    </row>
    <row r="17" spans="1:8" x14ac:dyDescent="0.2">
      <c r="A17" s="1"/>
      <c r="B17" s="1"/>
      <c r="C17" s="1"/>
      <c r="D17" s="1"/>
      <c r="E17" s="1"/>
      <c r="F17" s="1"/>
      <c r="G17" s="1"/>
      <c r="H17" s="1"/>
    </row>
    <row r="18" spans="1:8" x14ac:dyDescent="0.2">
      <c r="A18" s="1"/>
      <c r="B18" s="1"/>
      <c r="C18" s="1"/>
      <c r="D18" s="1"/>
      <c r="E18" s="1"/>
      <c r="F18" s="1"/>
      <c r="G18" s="1"/>
      <c r="H18" s="1"/>
    </row>
    <row r="19" spans="1:8" x14ac:dyDescent="0.2">
      <c r="A19" s="1"/>
      <c r="B19" s="1"/>
      <c r="C19" s="1"/>
      <c r="D19" s="1"/>
      <c r="E19" s="1"/>
      <c r="F19" s="1"/>
      <c r="G19" s="1"/>
      <c r="H19" s="1"/>
    </row>
    <row r="20" spans="1:8" x14ac:dyDescent="0.2">
      <c r="A20" s="1"/>
      <c r="B20" s="1"/>
      <c r="C20" s="1"/>
      <c r="D20" s="1"/>
      <c r="E20" s="1"/>
      <c r="F20" s="1"/>
      <c r="G20" s="1"/>
      <c r="H20" s="1"/>
    </row>
    <row r="21" spans="1:8" x14ac:dyDescent="0.2">
      <c r="A21" s="1"/>
      <c r="B21" s="1"/>
      <c r="C21" s="1"/>
      <c r="D21" s="1"/>
      <c r="E21" s="1"/>
      <c r="F21" s="1"/>
      <c r="G21" s="1"/>
      <c r="H21" s="1"/>
    </row>
    <row r="22" spans="1:8" x14ac:dyDescent="0.2">
      <c r="A22" s="1"/>
      <c r="B22" s="1"/>
      <c r="C22" s="1"/>
      <c r="D22" s="4"/>
      <c r="E22" s="1"/>
      <c r="F22" s="1"/>
      <c r="G22" s="1"/>
      <c r="H22" s="1"/>
    </row>
    <row r="23" spans="1:8" x14ac:dyDescent="0.2">
      <c r="A23" s="1"/>
      <c r="B23" s="1"/>
      <c r="C23" s="1"/>
      <c r="D23" s="1"/>
      <c r="E23" s="1"/>
      <c r="F23" s="1"/>
      <c r="G23" s="1"/>
      <c r="H23" s="1"/>
    </row>
    <row r="24" spans="1:8" x14ac:dyDescent="0.2">
      <c r="A24" s="1"/>
      <c r="B24" s="1"/>
      <c r="C24" s="1"/>
      <c r="D24" s="1"/>
      <c r="E24" s="1"/>
      <c r="F24" s="1"/>
      <c r="G24" s="1"/>
      <c r="H24" s="1"/>
    </row>
    <row r="25" spans="1:8" x14ac:dyDescent="0.2">
      <c r="A25" s="1"/>
      <c r="B25" s="1"/>
      <c r="C25" s="1"/>
      <c r="D25" s="1"/>
      <c r="E25" s="1"/>
      <c r="F25" s="1"/>
      <c r="G25" s="1"/>
      <c r="H25" s="1"/>
    </row>
    <row r="26" spans="1:8" x14ac:dyDescent="0.2">
      <c r="A26" s="1"/>
      <c r="B26" s="1"/>
      <c r="C26" s="1"/>
      <c r="D26" s="1"/>
      <c r="E26" s="1"/>
      <c r="F26" s="1"/>
      <c r="G26" s="1"/>
      <c r="H26" s="1"/>
    </row>
    <row r="27" spans="1:8" x14ac:dyDescent="0.2">
      <c r="A27" s="1"/>
      <c r="B27" s="1"/>
      <c r="C27" s="1"/>
      <c r="D27" s="1"/>
      <c r="E27" s="1"/>
      <c r="F27" s="1"/>
      <c r="G27" s="1"/>
      <c r="H27" s="1"/>
    </row>
    <row r="28" spans="1:8" x14ac:dyDescent="0.2">
      <c r="A28" s="1"/>
      <c r="B28" s="1"/>
      <c r="C28" s="1"/>
      <c r="D28" s="1"/>
      <c r="E28" s="1"/>
      <c r="F28" s="1"/>
      <c r="G28" s="1"/>
      <c r="H28" s="1"/>
    </row>
    <row r="29" spans="1:8" x14ac:dyDescent="0.2">
      <c r="A29" s="1"/>
      <c r="B29" s="1"/>
      <c r="C29" s="1"/>
      <c r="D29" s="1"/>
      <c r="E29" s="1"/>
      <c r="F29" s="1"/>
      <c r="G29" s="1"/>
      <c r="H29" s="1"/>
    </row>
    <row r="30" spans="1:8" x14ac:dyDescent="0.2">
      <c r="A30" s="1"/>
      <c r="B30" s="1"/>
      <c r="C30" s="1"/>
      <c r="D30" s="1"/>
      <c r="E30" s="1"/>
      <c r="F30" s="1"/>
      <c r="G30" s="1"/>
      <c r="H30" s="1"/>
    </row>
    <row r="31" spans="1:8" x14ac:dyDescent="0.2">
      <c r="A31" s="1"/>
      <c r="B31" s="1"/>
      <c r="C31" s="1"/>
      <c r="D31" s="1"/>
      <c r="E31" s="1"/>
      <c r="F31" s="1"/>
      <c r="G31" s="1"/>
      <c r="H31" s="1"/>
    </row>
    <row r="32" spans="1:8" x14ac:dyDescent="0.2">
      <c r="A32" s="1"/>
      <c r="B32" s="1"/>
      <c r="C32" s="1"/>
      <c r="D32" s="1"/>
      <c r="E32" s="1"/>
      <c r="F32" s="1"/>
      <c r="G32" s="1"/>
      <c r="H32" s="1"/>
    </row>
    <row r="33" spans="1:8" x14ac:dyDescent="0.2">
      <c r="A33" s="1"/>
      <c r="B33" s="1"/>
      <c r="C33" s="1"/>
      <c r="D33" s="1"/>
      <c r="E33" s="1"/>
      <c r="F33" s="1"/>
      <c r="G33" s="1"/>
      <c r="H33" s="1"/>
    </row>
    <row r="34" spans="1:8" x14ac:dyDescent="0.2">
      <c r="A34" s="1"/>
      <c r="B34" s="1"/>
      <c r="C34" s="1"/>
      <c r="D34" s="1"/>
      <c r="E34" s="1"/>
      <c r="F34" s="1"/>
      <c r="G34" s="1"/>
      <c r="H34" s="1"/>
    </row>
    <row r="35" spans="1:8" x14ac:dyDescent="0.2">
      <c r="A35" s="1"/>
      <c r="B35" s="1"/>
      <c r="C35" s="1"/>
      <c r="D35" s="1"/>
      <c r="E35" s="1"/>
      <c r="F35" s="1"/>
      <c r="G35" s="1"/>
      <c r="H35" s="1"/>
    </row>
    <row r="36" spans="1:8" x14ac:dyDescent="0.2">
      <c r="A36" s="1"/>
      <c r="B36" s="1"/>
      <c r="C36" s="1"/>
      <c r="D36" s="1"/>
      <c r="E36" s="1"/>
      <c r="F36" s="1"/>
      <c r="G36" s="1"/>
      <c r="H36" s="1"/>
    </row>
    <row r="37" spans="1:8" x14ac:dyDescent="0.2">
      <c r="A37" s="1"/>
      <c r="B37" s="1"/>
      <c r="C37" s="1"/>
      <c r="D37" s="1"/>
      <c r="E37" s="1"/>
      <c r="F37" s="1"/>
      <c r="G37" s="1"/>
      <c r="H37" s="1"/>
    </row>
    <row r="38" spans="1:8" x14ac:dyDescent="0.2">
      <c r="A38" s="1"/>
      <c r="B38" s="1"/>
      <c r="C38" s="1"/>
      <c r="D38" s="1"/>
      <c r="E38" s="1"/>
      <c r="F38" s="1"/>
      <c r="G38" s="1"/>
      <c r="H38" s="1"/>
    </row>
    <row r="39" spans="1:8" x14ac:dyDescent="0.2">
      <c r="A39" s="11" t="s">
        <v>1</v>
      </c>
      <c r="B39" s="12"/>
      <c r="C39" s="12"/>
      <c r="D39" s="13"/>
      <c r="E39" s="8"/>
      <c r="F39" s="8"/>
      <c r="G39" s="8"/>
      <c r="H39" s="8"/>
    </row>
    <row r="40" spans="1:8" x14ac:dyDescent="0.2">
      <c r="A40" s="14" t="s">
        <v>15</v>
      </c>
      <c r="B40" s="15"/>
      <c r="C40" s="15"/>
      <c r="D40" s="16"/>
      <c r="E40" s="8"/>
      <c r="F40" s="8"/>
      <c r="G40" s="8"/>
      <c r="H40" s="8"/>
    </row>
    <row r="41" spans="1:8" x14ac:dyDescent="0.2">
      <c r="A41" s="17" t="s">
        <v>62</v>
      </c>
      <c r="B41" s="18"/>
      <c r="C41" s="18"/>
      <c r="D41" s="19"/>
      <c r="E41" s="8"/>
      <c r="F41" s="8"/>
      <c r="G41" s="8"/>
      <c r="H41" s="8"/>
    </row>
    <row r="42" spans="1:8" x14ac:dyDescent="0.2">
      <c r="A42" s="20"/>
      <c r="B42" s="21"/>
      <c r="C42" s="22"/>
      <c r="D42" s="23"/>
      <c r="E42" s="8"/>
      <c r="F42" s="8" t="s">
        <v>34</v>
      </c>
      <c r="G42" s="8"/>
      <c r="H42" s="8"/>
    </row>
    <row r="43" spans="1:8" ht="15.75" x14ac:dyDescent="0.25">
      <c r="A43" s="24" t="s">
        <v>2</v>
      </c>
      <c r="B43" s="25" t="str">
        <f>[1]Charters!B46</f>
        <v>Mountainville Academy</v>
      </c>
      <c r="C43" s="26"/>
      <c r="D43" s="27"/>
      <c r="E43" s="8"/>
      <c r="F43" s="8"/>
      <c r="G43" s="8"/>
      <c r="H43" s="8"/>
    </row>
    <row r="44" spans="1:8" x14ac:dyDescent="0.2">
      <c r="A44" s="24"/>
      <c r="B44" s="28"/>
      <c r="C44" s="26"/>
      <c r="D44" s="27"/>
      <c r="E44" s="8"/>
      <c r="F44" s="8"/>
      <c r="G44" s="8"/>
      <c r="H44" s="8"/>
    </row>
    <row r="45" spans="1:8" x14ac:dyDescent="0.2">
      <c r="A45" s="29" t="s">
        <v>0</v>
      </c>
      <c r="B45" s="30">
        <f>[1]Charters!$E$6</f>
        <v>3184</v>
      </c>
      <c r="C45" s="26"/>
      <c r="D45" s="31"/>
      <c r="E45" s="8"/>
      <c r="F45" s="8"/>
      <c r="G45" s="8"/>
      <c r="H45" s="8"/>
    </row>
    <row r="46" spans="1:8" x14ac:dyDescent="0.2">
      <c r="A46" s="32"/>
      <c r="B46" s="6"/>
      <c r="C46" s="33"/>
      <c r="D46" s="34" t="s">
        <v>3</v>
      </c>
      <c r="E46" s="8"/>
      <c r="F46" s="8"/>
      <c r="G46" s="8"/>
      <c r="H46" s="8"/>
    </row>
    <row r="47" spans="1:8" x14ac:dyDescent="0.2">
      <c r="A47" s="29" t="s">
        <v>19</v>
      </c>
      <c r="B47" s="35" t="str">
        <f>[1]Charters!A46</f>
        <v>8C</v>
      </c>
      <c r="C47" s="36" t="s">
        <v>4</v>
      </c>
      <c r="D47" s="37" t="s">
        <v>5</v>
      </c>
      <c r="E47" s="8"/>
      <c r="F47" s="8"/>
      <c r="G47" s="8"/>
      <c r="H47" s="8"/>
    </row>
    <row r="48" spans="1:8" x14ac:dyDescent="0.2">
      <c r="A48" s="38" t="s">
        <v>6</v>
      </c>
      <c r="B48" s="39"/>
      <c r="C48" s="40"/>
      <c r="D48" s="41"/>
      <c r="E48" s="8"/>
      <c r="F48" s="8"/>
      <c r="G48" s="8"/>
      <c r="H48" s="8"/>
    </row>
    <row r="49" spans="1:8" x14ac:dyDescent="0.2">
      <c r="A49" s="38" t="s">
        <v>7</v>
      </c>
      <c r="B49" s="39"/>
      <c r="C49" s="40"/>
      <c r="D49" s="41"/>
      <c r="E49" s="8"/>
      <c r="F49" s="42" t="s">
        <v>23</v>
      </c>
      <c r="G49" s="8"/>
      <c r="H49" s="42" t="s">
        <v>26</v>
      </c>
    </row>
    <row r="50" spans="1:8" x14ac:dyDescent="0.2">
      <c r="A50" s="20" t="s">
        <v>8</v>
      </c>
      <c r="B50" s="43"/>
      <c r="C50" s="44">
        <f>[1]Charters!C506</f>
        <v>667.50900000000001</v>
      </c>
      <c r="D50" s="45">
        <f>[1]Charters!E506</f>
        <v>2125349.54</v>
      </c>
      <c r="E50" s="8"/>
      <c r="F50" s="42">
        <f>[1]Charters!E661</f>
        <v>2259943.6800000002</v>
      </c>
      <c r="G50" s="8"/>
      <c r="H50" s="42">
        <f>[2]Charters!E200</f>
        <v>2738606.84</v>
      </c>
    </row>
    <row r="51" spans="1:8" x14ac:dyDescent="0.2">
      <c r="A51" s="20" t="s">
        <v>14</v>
      </c>
      <c r="B51" s="43"/>
      <c r="C51" s="44">
        <f>[1]Charters!F506</f>
        <v>42.271999999999998</v>
      </c>
      <c r="D51" s="45">
        <f>[1]Charters!H506</f>
        <v>134594.14000000001</v>
      </c>
      <c r="E51" s="8"/>
      <c r="F51" s="42">
        <f>SUM(D50:D52)</f>
        <v>2259943.6800000002</v>
      </c>
      <c r="G51" s="8"/>
      <c r="H51" s="42">
        <f>D63</f>
        <v>2738606.84</v>
      </c>
    </row>
    <row r="52" spans="1:8" x14ac:dyDescent="0.2">
      <c r="A52" s="20" t="s">
        <v>32</v>
      </c>
      <c r="B52" s="43"/>
      <c r="C52" s="44">
        <f>[1]Charters!C199</f>
        <v>0</v>
      </c>
      <c r="D52" s="45">
        <f>[1]Charters!E199</f>
        <v>0</v>
      </c>
      <c r="E52" s="8"/>
      <c r="F52" s="42">
        <f>+F50-F51</f>
        <v>0</v>
      </c>
      <c r="G52" s="8"/>
      <c r="H52" s="42">
        <f>+H50-H51</f>
        <v>0</v>
      </c>
    </row>
    <row r="53" spans="1:8" x14ac:dyDescent="0.2">
      <c r="A53" s="38" t="s">
        <v>9</v>
      </c>
      <c r="B53" s="39"/>
      <c r="C53" s="46"/>
      <c r="D53" s="47"/>
      <c r="E53" s="8"/>
      <c r="F53" s="8"/>
      <c r="G53" s="8"/>
      <c r="H53" s="8"/>
    </row>
    <row r="54" spans="1:8" x14ac:dyDescent="0.2">
      <c r="A54" s="20" t="s">
        <v>10</v>
      </c>
      <c r="B54" s="43"/>
      <c r="C54" s="40">
        <f>[3]Charters!C45</f>
        <v>75.018000000000001</v>
      </c>
      <c r="D54" s="41">
        <f>[3]Charters!E45</f>
        <v>238858.19</v>
      </c>
      <c r="E54" s="8"/>
      <c r="F54" s="42" t="s">
        <v>24</v>
      </c>
      <c r="G54" s="8"/>
      <c r="H54" s="8"/>
    </row>
    <row r="55" spans="1:8" x14ac:dyDescent="0.2">
      <c r="A55" s="48" t="s">
        <v>11</v>
      </c>
      <c r="B55" s="43"/>
      <c r="C55" s="40">
        <f>[3]Charters!F45</f>
        <v>5.93</v>
      </c>
      <c r="D55" s="49">
        <f>[3]Charters!H45</f>
        <v>18881.12</v>
      </c>
      <c r="E55" s="8"/>
      <c r="F55" s="42">
        <f>[3]Charters!N356</f>
        <v>267656.90999999997</v>
      </c>
      <c r="G55" s="8"/>
      <c r="H55" s="8"/>
    </row>
    <row r="56" spans="1:8" x14ac:dyDescent="0.2">
      <c r="A56" s="48" t="s">
        <v>12</v>
      </c>
      <c r="B56" s="43"/>
      <c r="C56" s="40">
        <f>[3]Charters!C200</f>
        <v>0</v>
      </c>
      <c r="D56" s="41">
        <f>[3]Charters!E200</f>
        <v>0</v>
      </c>
      <c r="E56" s="8"/>
      <c r="F56" s="42">
        <f>SUM(D54:D60)</f>
        <v>267656.90999999997</v>
      </c>
      <c r="G56" s="8"/>
      <c r="H56" s="8"/>
    </row>
    <row r="57" spans="1:8" x14ac:dyDescent="0.2">
      <c r="A57" s="20" t="s">
        <v>13</v>
      </c>
      <c r="B57" s="43"/>
      <c r="C57" s="40">
        <f>[3]Charters!F200</f>
        <v>1.0209999999999999</v>
      </c>
      <c r="D57" s="41">
        <f>[3]Charters!H200</f>
        <v>3252.04</v>
      </c>
      <c r="E57" s="8"/>
      <c r="F57" s="42">
        <f>+F55-F56</f>
        <v>0</v>
      </c>
      <c r="G57" s="8"/>
      <c r="H57" s="8"/>
    </row>
    <row r="58" spans="1:8" x14ac:dyDescent="0.2">
      <c r="A58" s="48" t="s">
        <v>54</v>
      </c>
      <c r="B58" s="43"/>
      <c r="C58" s="40">
        <f>[3]Charters!C356</f>
        <v>1.72</v>
      </c>
      <c r="D58" s="41">
        <f>[3]Charters!E356</f>
        <v>5475.23</v>
      </c>
      <c r="E58" s="8"/>
      <c r="F58" s="8"/>
      <c r="G58" s="8"/>
      <c r="H58" s="8"/>
    </row>
    <row r="59" spans="1:8" x14ac:dyDescent="0.2">
      <c r="A59" s="48" t="s">
        <v>55</v>
      </c>
      <c r="B59" s="43"/>
      <c r="C59" s="40">
        <f>[3]Charters!F356</f>
        <v>0</v>
      </c>
      <c r="D59" s="41">
        <f>[3]Charters!H356</f>
        <v>0</v>
      </c>
      <c r="E59" s="8"/>
      <c r="F59" s="42" t="s">
        <v>25</v>
      </c>
      <c r="G59" s="8"/>
      <c r="H59" s="8"/>
    </row>
    <row r="60" spans="1:8" x14ac:dyDescent="0.2">
      <c r="A60" s="48" t="s">
        <v>56</v>
      </c>
      <c r="B60" s="43"/>
      <c r="C60" s="40">
        <f>[3]Charters!I356</f>
        <v>0.374</v>
      </c>
      <c r="D60" s="41">
        <f>[3]Charters!K356</f>
        <v>1190.33</v>
      </c>
      <c r="E60" s="8"/>
      <c r="F60" s="42">
        <f>[2]Charters!H46</f>
        <v>478663.16</v>
      </c>
      <c r="G60" s="8"/>
      <c r="H60" s="8"/>
    </row>
    <row r="61" spans="1:8" x14ac:dyDescent="0.2">
      <c r="A61" s="20" t="s">
        <v>49</v>
      </c>
      <c r="B61" s="43"/>
      <c r="C61" s="40">
        <f>[3]Charters!C513</f>
        <v>1.4139999999999999</v>
      </c>
      <c r="D61" s="41">
        <f>[3]Charters!E513</f>
        <v>4501.18</v>
      </c>
      <c r="E61" s="8"/>
      <c r="F61" s="42">
        <f>SUM(D54:D62)</f>
        <v>478663.16</v>
      </c>
      <c r="G61" s="8"/>
      <c r="H61" s="8"/>
    </row>
    <row r="62" spans="1:8" x14ac:dyDescent="0.2">
      <c r="A62" s="20" t="s">
        <v>50</v>
      </c>
      <c r="B62" s="43"/>
      <c r="C62" s="40">
        <f>[2]Charters!C46</f>
        <v>64.856999999999999</v>
      </c>
      <c r="D62" s="41">
        <f>[2]Charters!E46</f>
        <v>206505.07</v>
      </c>
      <c r="E62" s="8"/>
      <c r="F62" s="42">
        <f>+F60-F61</f>
        <v>0</v>
      </c>
      <c r="G62" s="8"/>
      <c r="H62" s="8"/>
    </row>
    <row r="63" spans="1:8" x14ac:dyDescent="0.2">
      <c r="A63" s="50"/>
      <c r="B63" s="51" t="s">
        <v>16</v>
      </c>
      <c r="C63" s="52">
        <f>SUM(C50:C62)</f>
        <v>860.11500000000001</v>
      </c>
      <c r="D63" s="53">
        <f>SUM(D50:D62)</f>
        <v>2738606.84</v>
      </c>
      <c r="E63" s="8"/>
      <c r="F63" s="8"/>
      <c r="G63" s="8"/>
      <c r="H63" s="8"/>
    </row>
    <row r="64" spans="1:8" x14ac:dyDescent="0.2">
      <c r="A64" s="54" t="s">
        <v>17</v>
      </c>
      <c r="B64" s="39"/>
      <c r="C64" s="55"/>
      <c r="D64" s="47"/>
      <c r="E64" s="8"/>
      <c r="F64" s="8"/>
      <c r="G64" s="8"/>
      <c r="H64" s="42" t="s">
        <v>29</v>
      </c>
    </row>
    <row r="65" spans="1:8" x14ac:dyDescent="0.2">
      <c r="A65" s="20" t="s">
        <v>33</v>
      </c>
      <c r="B65" s="43"/>
      <c r="C65" s="56"/>
      <c r="D65" s="57">
        <f>[4]Charters!C45</f>
        <v>7937.77</v>
      </c>
      <c r="E65" s="8"/>
      <c r="F65" s="8"/>
      <c r="G65" s="8"/>
      <c r="H65" s="42">
        <f>[4]Charters!F986</f>
        <v>4661263.74</v>
      </c>
    </row>
    <row r="66" spans="1:8" x14ac:dyDescent="0.2">
      <c r="A66" s="58" t="s">
        <v>35</v>
      </c>
      <c r="B66" s="43"/>
      <c r="C66" s="56"/>
      <c r="D66" s="41">
        <f>+[4]Charters!F366</f>
        <v>3212.71</v>
      </c>
      <c r="E66" s="8"/>
      <c r="F66" s="8"/>
      <c r="G66" s="8"/>
      <c r="H66" s="42">
        <f>SUM(D63:D82)</f>
        <v>4661263.74</v>
      </c>
    </row>
    <row r="67" spans="1:8" x14ac:dyDescent="0.2">
      <c r="A67" s="59" t="s">
        <v>36</v>
      </c>
      <c r="B67" s="43"/>
      <c r="C67" s="56"/>
      <c r="D67" s="41">
        <f>[4]Charters!E205</f>
        <v>23446</v>
      </c>
      <c r="E67" s="8"/>
      <c r="F67" s="8"/>
      <c r="G67" s="8"/>
      <c r="H67" s="42">
        <f>+H65-H66</f>
        <v>0</v>
      </c>
    </row>
    <row r="68" spans="1:8" x14ac:dyDescent="0.2">
      <c r="A68" s="59" t="s">
        <v>52</v>
      </c>
      <c r="B68" s="43"/>
      <c r="C68" s="56"/>
      <c r="D68" s="41">
        <f>[4]Charters!G366</f>
        <v>0</v>
      </c>
      <c r="E68" s="8"/>
      <c r="F68" s="42" t="s">
        <v>27</v>
      </c>
      <c r="G68" s="8"/>
      <c r="H68" s="42"/>
    </row>
    <row r="69" spans="1:8" x14ac:dyDescent="0.2">
      <c r="A69" s="20" t="s">
        <v>37</v>
      </c>
      <c r="B69" s="43"/>
      <c r="C69" s="56"/>
      <c r="D69" s="41">
        <f>[4]Charters!E522</f>
        <v>54836</v>
      </c>
      <c r="E69" s="8"/>
      <c r="F69" s="42">
        <f>[4]Charters!E205</f>
        <v>23446</v>
      </c>
      <c r="G69" s="8"/>
      <c r="H69" s="8"/>
    </row>
    <row r="70" spans="1:8" x14ac:dyDescent="0.2">
      <c r="A70" s="20" t="s">
        <v>38</v>
      </c>
      <c r="B70" s="43"/>
      <c r="C70" s="56"/>
      <c r="D70" s="41">
        <f>[4]Charters!F522</f>
        <v>0</v>
      </c>
      <c r="E70" s="8"/>
      <c r="F70" s="42">
        <f>SUM(D67:D67)</f>
        <v>23446</v>
      </c>
      <c r="G70" s="8"/>
      <c r="H70" s="8"/>
    </row>
    <row r="71" spans="1:8" x14ac:dyDescent="0.2">
      <c r="A71" s="59" t="s">
        <v>40</v>
      </c>
      <c r="B71" s="43"/>
      <c r="C71" s="56"/>
      <c r="D71" s="41">
        <f>[4]Charters!G522</f>
        <v>0</v>
      </c>
      <c r="E71" s="8"/>
      <c r="F71" s="42">
        <f>+F69-F70</f>
        <v>0</v>
      </c>
      <c r="G71" s="8"/>
      <c r="H71" s="8"/>
    </row>
    <row r="72" spans="1:8" x14ac:dyDescent="0.2">
      <c r="A72" s="20" t="s">
        <v>41</v>
      </c>
      <c r="B72" s="43"/>
      <c r="C72" s="56"/>
      <c r="D72" s="41">
        <f>[4]Charters!C677</f>
        <v>1518759</v>
      </c>
      <c r="E72" s="8"/>
      <c r="F72" s="42" t="s">
        <v>28</v>
      </c>
      <c r="G72" s="8"/>
      <c r="H72" s="8"/>
    </row>
    <row r="73" spans="1:8" x14ac:dyDescent="0.2">
      <c r="A73" s="20" t="s">
        <v>42</v>
      </c>
      <c r="B73" s="43"/>
      <c r="C73" s="56"/>
      <c r="D73" s="41">
        <f>[4]Charters!D677</f>
        <v>164884.48000000001</v>
      </c>
      <c r="E73" s="8"/>
      <c r="F73" s="42">
        <f>[4]Charters!D522</f>
        <v>26658.71</v>
      </c>
      <c r="G73" s="8"/>
      <c r="H73" s="8"/>
    </row>
    <row r="74" spans="1:8" x14ac:dyDescent="0.2">
      <c r="A74" s="20" t="s">
        <v>44</v>
      </c>
      <c r="B74" s="43"/>
      <c r="C74" s="56"/>
      <c r="D74" s="41">
        <f>[4]Charters!E677</f>
        <v>75900</v>
      </c>
      <c r="E74" s="8"/>
      <c r="F74" s="42">
        <f>SUM(D66:D68)</f>
        <v>26658.71</v>
      </c>
      <c r="G74" s="8"/>
      <c r="H74" s="8"/>
    </row>
    <row r="75" spans="1:8" x14ac:dyDescent="0.2">
      <c r="A75" s="59" t="s">
        <v>43</v>
      </c>
      <c r="B75" s="43"/>
      <c r="C75" s="56"/>
      <c r="D75" s="41">
        <f>[4]Charters!F677</f>
        <v>19340.509999999998</v>
      </c>
      <c r="E75" s="8"/>
      <c r="F75" s="42">
        <f>+F73-F74</f>
        <v>0</v>
      </c>
      <c r="G75" s="8"/>
      <c r="H75" s="8"/>
    </row>
    <row r="76" spans="1:8" x14ac:dyDescent="0.2">
      <c r="A76" s="59" t="s">
        <v>45</v>
      </c>
      <c r="B76" s="43"/>
      <c r="C76" s="56"/>
      <c r="D76" s="41">
        <f>[4]Charters!C522</f>
        <v>0</v>
      </c>
      <c r="E76" s="8"/>
      <c r="F76" s="8"/>
      <c r="G76" s="8"/>
      <c r="H76" s="8"/>
    </row>
    <row r="77" spans="1:8" x14ac:dyDescent="0.2">
      <c r="A77" s="59" t="s">
        <v>46</v>
      </c>
      <c r="B77" s="43"/>
      <c r="C77" s="56"/>
      <c r="D77" s="41">
        <f>[4]Charters!C833</f>
        <v>0</v>
      </c>
      <c r="E77" s="8"/>
      <c r="F77" s="8"/>
      <c r="G77" s="8"/>
      <c r="H77" s="42" t="s">
        <v>31</v>
      </c>
    </row>
    <row r="78" spans="1:8" x14ac:dyDescent="0.2">
      <c r="A78" s="59" t="s">
        <v>51</v>
      </c>
      <c r="B78" s="43"/>
      <c r="C78" s="56"/>
      <c r="D78" s="60">
        <f>[4]Charters!D833</f>
        <v>980.54</v>
      </c>
      <c r="E78" s="42"/>
      <c r="F78" s="42"/>
      <c r="G78" s="42"/>
      <c r="H78" s="42">
        <f>[4]Charters!D1292</f>
        <v>4676501.75</v>
      </c>
    </row>
    <row r="79" spans="1:8" x14ac:dyDescent="0.2">
      <c r="A79" s="20" t="s">
        <v>47</v>
      </c>
      <c r="B79" s="43"/>
      <c r="C79" s="56"/>
      <c r="D79" s="60">
        <f>[4]Charters!E833</f>
        <v>0</v>
      </c>
      <c r="E79" s="42"/>
      <c r="F79" s="42"/>
      <c r="G79" s="42"/>
      <c r="H79" s="42">
        <f>D88</f>
        <v>4676501.75</v>
      </c>
    </row>
    <row r="80" spans="1:8" x14ac:dyDescent="0.2">
      <c r="A80" s="20" t="s">
        <v>57</v>
      </c>
      <c r="B80" s="43"/>
      <c r="C80" s="56"/>
      <c r="D80" s="60">
        <f>[4]Charters!C986</f>
        <v>9535.2099999999991</v>
      </c>
      <c r="E80" s="42"/>
      <c r="F80" s="42"/>
      <c r="G80" s="42"/>
      <c r="H80" s="42">
        <f>+H78-H79</f>
        <v>0</v>
      </c>
    </row>
    <row r="81" spans="1:8" x14ac:dyDescent="0.2">
      <c r="A81" s="59" t="s">
        <v>53</v>
      </c>
      <c r="B81" s="43"/>
      <c r="C81" s="56"/>
      <c r="D81" s="60">
        <f>[4]Charters!D986</f>
        <v>7641</v>
      </c>
      <c r="E81" s="42"/>
      <c r="F81" s="42" t="s">
        <v>30</v>
      </c>
      <c r="G81" s="42"/>
      <c r="H81" s="42"/>
    </row>
    <row r="82" spans="1:8" x14ac:dyDescent="0.2">
      <c r="A82" s="59" t="s">
        <v>59</v>
      </c>
      <c r="B82" s="43"/>
      <c r="C82" s="56"/>
      <c r="D82" s="60">
        <f>[4]Charters!E986</f>
        <v>36183.68</v>
      </c>
      <c r="E82" s="42"/>
      <c r="F82" s="42"/>
      <c r="G82" s="42"/>
      <c r="H82" s="42"/>
    </row>
    <row r="83" spans="1:8" x14ac:dyDescent="0.2">
      <c r="A83" s="38" t="s">
        <v>18</v>
      </c>
      <c r="B83" s="61"/>
      <c r="C83" s="62"/>
      <c r="D83" s="87"/>
      <c r="E83" s="42"/>
      <c r="F83" s="42">
        <f>[4]Charters!C1292</f>
        <v>15238.01</v>
      </c>
      <c r="G83" s="42"/>
      <c r="H83" s="42"/>
    </row>
    <row r="84" spans="1:8" x14ac:dyDescent="0.2">
      <c r="A84" s="59" t="s">
        <v>39</v>
      </c>
      <c r="B84" s="43"/>
      <c r="C84" s="56"/>
      <c r="D84" s="41">
        <f>[4]Charters!C1139</f>
        <v>5910.4</v>
      </c>
      <c r="E84" s="42"/>
      <c r="F84" s="42">
        <f>SUM(D84:D87)</f>
        <v>15238.01</v>
      </c>
      <c r="G84" s="42"/>
      <c r="H84" s="42"/>
    </row>
    <row r="85" spans="1:8" x14ac:dyDescent="0.2">
      <c r="A85" s="59" t="s">
        <v>48</v>
      </c>
      <c r="B85" s="43"/>
      <c r="C85" s="56"/>
      <c r="D85" s="41">
        <f>[4]Charters!D1139</f>
        <v>941.72</v>
      </c>
      <c r="E85" s="42"/>
      <c r="F85" s="42">
        <f>+F83-F84</f>
        <v>0</v>
      </c>
      <c r="G85" s="42"/>
      <c r="H85" s="42"/>
    </row>
    <row r="86" spans="1:8" x14ac:dyDescent="0.2">
      <c r="A86" s="59" t="s">
        <v>60</v>
      </c>
      <c r="B86" s="43"/>
      <c r="C86" s="56"/>
      <c r="D86" s="41">
        <f>[4]Charters!E1139</f>
        <v>0</v>
      </c>
      <c r="E86" s="42"/>
      <c r="F86" s="42"/>
      <c r="G86" s="42"/>
      <c r="H86" s="42"/>
    </row>
    <row r="87" spans="1:8" x14ac:dyDescent="0.2">
      <c r="A87" s="59" t="s">
        <v>61</v>
      </c>
      <c r="B87" s="43"/>
      <c r="C87" s="56"/>
      <c r="D87" s="41">
        <f>[4]Charters!F1139</f>
        <v>8385.89</v>
      </c>
      <c r="E87" s="42"/>
      <c r="F87" s="42"/>
      <c r="G87" s="42"/>
      <c r="H87" s="42"/>
    </row>
    <row r="88" spans="1:8" ht="13.5" thickBot="1" x14ac:dyDescent="0.25">
      <c r="A88" s="64"/>
      <c r="B88" s="65"/>
      <c r="C88" s="66"/>
      <c r="D88" s="67">
        <f>SUM(D63:D87)</f>
        <v>4676501.75</v>
      </c>
      <c r="E88" s="42"/>
      <c r="F88" s="42"/>
      <c r="G88" s="42"/>
      <c r="H88" s="42"/>
    </row>
    <row r="89" spans="1:8" ht="13.5" thickTop="1" x14ac:dyDescent="0.2">
      <c r="A89" s="68"/>
      <c r="B89" s="43"/>
      <c r="C89" s="56"/>
      <c r="D89" s="86"/>
      <c r="E89" s="42"/>
      <c r="F89" s="42"/>
      <c r="G89" s="42"/>
      <c r="H89" s="42"/>
    </row>
    <row r="90" spans="1:8" x14ac:dyDescent="0.2">
      <c r="A90" s="38" t="s">
        <v>20</v>
      </c>
      <c r="B90" s="39"/>
      <c r="C90" s="70"/>
      <c r="D90" s="71" t="s">
        <v>21</v>
      </c>
      <c r="E90" s="42"/>
      <c r="F90" s="42"/>
      <c r="G90" s="42"/>
      <c r="H90" s="42"/>
    </row>
    <row r="91" spans="1:8" x14ac:dyDescent="0.2">
      <c r="A91" s="72" t="s">
        <v>22</v>
      </c>
      <c r="B91" s="73"/>
      <c r="C91" s="74"/>
      <c r="D91" s="41">
        <f>[5]Charters!C45</f>
        <v>1727.29</v>
      </c>
      <c r="E91" s="42"/>
      <c r="F91" s="42"/>
      <c r="G91" s="42"/>
      <c r="H91" s="42"/>
    </row>
    <row r="92" spans="1:8" x14ac:dyDescent="0.2">
      <c r="A92" s="75"/>
      <c r="B92" s="61"/>
      <c r="C92" s="76"/>
      <c r="D92" s="77">
        <f>SUM(D91:D91)</f>
        <v>1727.29</v>
      </c>
      <c r="E92" s="42"/>
      <c r="F92" s="42"/>
      <c r="G92" s="42"/>
      <c r="H92" s="42"/>
    </row>
    <row r="93" spans="1:8" x14ac:dyDescent="0.2">
      <c r="A93" s="78" t="s">
        <v>58</v>
      </c>
      <c r="B93" s="79"/>
      <c r="C93" s="80"/>
      <c r="D93" s="77">
        <f>D92+D88</f>
        <v>4678229.04</v>
      </c>
      <c r="E93" s="42"/>
      <c r="F93" s="42"/>
      <c r="G93" s="42"/>
      <c r="H93" s="42"/>
    </row>
    <row r="94" spans="1:8" x14ac:dyDescent="0.2">
      <c r="A94" s="84"/>
      <c r="B94" s="84"/>
      <c r="C94" s="85"/>
      <c r="D94" s="81"/>
      <c r="E94" s="42"/>
      <c r="F94" s="42"/>
      <c r="G94" s="42"/>
      <c r="H94" s="42"/>
    </row>
    <row r="95" spans="1:8" x14ac:dyDescent="0.2">
      <c r="A95" s="84"/>
      <c r="B95" s="84"/>
      <c r="C95" s="85"/>
      <c r="D95" s="81">
        <f>[5]Charters!E201</f>
        <v>4678229.04</v>
      </c>
      <c r="E95" s="42"/>
      <c r="F95" s="42"/>
      <c r="G95" s="42"/>
      <c r="H95" s="42"/>
    </row>
    <row r="96" spans="1:8" x14ac:dyDescent="0.2">
      <c r="A96" s="84"/>
      <c r="B96" s="84"/>
      <c r="C96" s="85"/>
      <c r="D96" s="81">
        <f>D93</f>
        <v>4678229.04</v>
      </c>
      <c r="E96" s="42"/>
      <c r="F96" s="42"/>
      <c r="G96" s="42"/>
      <c r="H96" s="42"/>
    </row>
    <row r="97" spans="3:8" x14ac:dyDescent="0.2">
      <c r="C97" s="83"/>
      <c r="D97" s="42">
        <f>D95-D96</f>
        <v>0</v>
      </c>
      <c r="E97" s="42"/>
      <c r="F97" s="42"/>
      <c r="G97" s="42"/>
      <c r="H97" s="42"/>
    </row>
    <row r="98" spans="3:8" x14ac:dyDescent="0.2">
      <c r="C98" s="83"/>
      <c r="D98" s="42">
        <f>D96-D97</f>
        <v>4678229.04</v>
      </c>
      <c r="E98" s="42"/>
      <c r="F98" s="42"/>
      <c r="G98" s="42"/>
      <c r="H98" s="42"/>
    </row>
  </sheetData>
  <mergeCells count="4">
    <mergeCell ref="A39:D39"/>
    <mergeCell ref="A93:C93"/>
    <mergeCell ref="A40:D40"/>
    <mergeCell ref="A41:D41"/>
  </mergeCells>
  <phoneticPr fontId="1" type="noConversion"/>
  <printOptions horizontalCentered="1" verticalCentered="1"/>
  <pageMargins left="0.5" right="0.5" top="0.5" bottom="0.5" header="0.25" footer="0.25"/>
  <pageSetup orientation="portrait" verticalDpi="1200" r:id="rId1"/>
  <headerFooter alignWithMargins="0">
    <oddHeader>&amp;R&amp;8Current as of: &amp;D</oddHeader>
    <oddFooter>&amp;L&amp;8USOE, School Finance</oddFooter>
  </headerFooter>
  <picture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>
    <pageSetUpPr fitToPage="1"/>
  </sheetPr>
  <dimension ref="A1:H99"/>
  <sheetViews>
    <sheetView showGridLines="0" topLeftCell="A36" workbookViewId="0">
      <selection activeCell="C12" sqref="C12"/>
    </sheetView>
  </sheetViews>
  <sheetFormatPr defaultColWidth="9.140625" defaultRowHeight="12.75" x14ac:dyDescent="0.2"/>
  <cols>
    <col min="1" max="1" width="31.85546875" style="82" customWidth="1"/>
    <col min="2" max="2" width="16.140625" style="82" customWidth="1"/>
    <col min="3" max="4" width="14.85546875" style="82" customWidth="1"/>
    <col min="5" max="5" width="7" style="82" customWidth="1"/>
    <col min="6" max="6" width="19.7109375" style="82" customWidth="1"/>
    <col min="7" max="7" width="5.7109375" style="82" customWidth="1"/>
    <col min="8" max="8" width="18" style="82" customWidth="1"/>
    <col min="9" max="16384" width="9.140625" style="82"/>
  </cols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"/>
      <c r="B3" s="1"/>
      <c r="C3" s="1"/>
      <c r="D3" s="1"/>
      <c r="E3" s="1"/>
      <c r="F3" s="1"/>
      <c r="G3" s="1"/>
      <c r="H3" s="1"/>
    </row>
    <row r="4" spans="1:8" x14ac:dyDescent="0.2">
      <c r="A4" s="1"/>
      <c r="B4" s="1"/>
      <c r="C4" s="1"/>
      <c r="D4" s="1"/>
      <c r="E4" s="1"/>
      <c r="F4" s="1"/>
      <c r="G4" s="1"/>
      <c r="H4" s="1"/>
    </row>
    <row r="5" spans="1:8" x14ac:dyDescent="0.2">
      <c r="A5" s="1"/>
      <c r="B5" s="1"/>
      <c r="C5" s="1"/>
      <c r="D5" s="1"/>
      <c r="E5" s="1"/>
      <c r="F5" s="1"/>
      <c r="G5" s="1"/>
      <c r="H5" s="1"/>
    </row>
    <row r="6" spans="1:8" x14ac:dyDescent="0.2">
      <c r="A6" s="1"/>
      <c r="B6" s="1"/>
      <c r="C6" s="1"/>
      <c r="D6" s="1"/>
      <c r="E6" s="1"/>
      <c r="F6" s="1"/>
      <c r="G6" s="1"/>
      <c r="H6" s="1"/>
    </row>
    <row r="7" spans="1:8" x14ac:dyDescent="0.2">
      <c r="A7" s="1"/>
      <c r="B7" s="1"/>
      <c r="C7" s="1"/>
      <c r="D7" s="1"/>
      <c r="E7" s="1"/>
      <c r="F7" s="1"/>
      <c r="G7" s="1"/>
      <c r="H7" s="1"/>
    </row>
    <row r="8" spans="1:8" x14ac:dyDescent="0.2">
      <c r="A8" s="1"/>
      <c r="B8" s="1"/>
      <c r="C8" s="1"/>
      <c r="D8" s="1"/>
      <c r="E8" s="1"/>
      <c r="F8" s="1"/>
      <c r="G8" s="1"/>
      <c r="H8" s="1"/>
    </row>
    <row r="9" spans="1:8" x14ac:dyDescent="0.2">
      <c r="A9" s="1"/>
      <c r="B9" s="1"/>
      <c r="C9" s="1"/>
      <c r="D9" s="1"/>
      <c r="E9" s="1"/>
      <c r="F9" s="1"/>
      <c r="G9" s="1"/>
      <c r="H9" s="1"/>
    </row>
    <row r="10" spans="1:8" x14ac:dyDescent="0.2">
      <c r="A10" s="1"/>
      <c r="B10" s="1"/>
      <c r="C10" s="1"/>
      <c r="D10" s="1"/>
      <c r="E10" s="1"/>
      <c r="F10" s="1"/>
      <c r="G10" s="1"/>
      <c r="H10" s="1"/>
    </row>
    <row r="11" spans="1:8" x14ac:dyDescent="0.2">
      <c r="A11" s="1"/>
      <c r="B11" s="1"/>
      <c r="C11" s="1"/>
      <c r="D11" s="1"/>
      <c r="E11" s="1"/>
      <c r="F11" s="1"/>
      <c r="G11" s="1"/>
      <c r="H11" s="1"/>
    </row>
    <row r="12" spans="1:8" x14ac:dyDescent="0.2">
      <c r="A12" s="1"/>
      <c r="B12" s="1"/>
      <c r="C12" s="1"/>
      <c r="D12" s="1"/>
      <c r="E12" s="1"/>
      <c r="F12" s="1"/>
      <c r="G12" s="1"/>
      <c r="H12" s="1"/>
    </row>
    <row r="13" spans="1:8" x14ac:dyDescent="0.2">
      <c r="A13" s="1"/>
      <c r="B13" s="1"/>
      <c r="C13" s="1"/>
      <c r="D13" s="1"/>
      <c r="E13" s="1"/>
      <c r="F13" s="1"/>
      <c r="G13" s="1"/>
      <c r="H13" s="1"/>
    </row>
    <row r="14" spans="1:8" x14ac:dyDescent="0.2">
      <c r="A14" s="1"/>
      <c r="B14" s="1"/>
      <c r="C14" s="1"/>
      <c r="D14" s="1"/>
      <c r="E14" s="1"/>
      <c r="F14" s="1"/>
      <c r="G14" s="1"/>
      <c r="H14" s="1"/>
    </row>
    <row r="15" spans="1:8" x14ac:dyDescent="0.2">
      <c r="A15" s="1"/>
      <c r="B15" s="1"/>
      <c r="C15" s="1"/>
      <c r="D15" s="1"/>
      <c r="E15" s="1"/>
      <c r="F15" s="1"/>
      <c r="G15" s="1"/>
      <c r="H15" s="1"/>
    </row>
    <row r="16" spans="1:8" x14ac:dyDescent="0.2">
      <c r="A16" s="1"/>
      <c r="B16" s="1"/>
      <c r="C16" s="1"/>
      <c r="D16" s="1"/>
      <c r="E16" s="1"/>
      <c r="F16" s="1"/>
      <c r="G16" s="1"/>
      <c r="H16" s="1"/>
    </row>
    <row r="17" spans="1:8" x14ac:dyDescent="0.2">
      <c r="A17" s="1"/>
      <c r="B17" s="1"/>
      <c r="C17" s="1"/>
      <c r="D17" s="1"/>
      <c r="E17" s="1"/>
      <c r="F17" s="1"/>
      <c r="G17" s="1"/>
      <c r="H17" s="1"/>
    </row>
    <row r="18" spans="1:8" x14ac:dyDescent="0.2">
      <c r="A18" s="1"/>
      <c r="B18" s="1"/>
      <c r="C18" s="1"/>
      <c r="D18" s="1"/>
      <c r="E18" s="1"/>
      <c r="F18" s="1"/>
      <c r="G18" s="1"/>
      <c r="H18" s="1"/>
    </row>
    <row r="19" spans="1:8" x14ac:dyDescent="0.2">
      <c r="A19" s="1"/>
      <c r="B19" s="1"/>
      <c r="C19" s="1"/>
      <c r="D19" s="1"/>
      <c r="E19" s="1"/>
      <c r="F19" s="1"/>
      <c r="G19" s="1"/>
      <c r="H19" s="1"/>
    </row>
    <row r="20" spans="1:8" x14ac:dyDescent="0.2">
      <c r="A20" s="1"/>
      <c r="B20" s="1"/>
      <c r="C20" s="1"/>
      <c r="D20" s="1"/>
      <c r="E20" s="1"/>
      <c r="F20" s="1"/>
      <c r="G20" s="1"/>
      <c r="H20" s="1"/>
    </row>
    <row r="21" spans="1:8" x14ac:dyDescent="0.2">
      <c r="A21" s="1"/>
      <c r="B21" s="1"/>
      <c r="C21" s="1"/>
      <c r="D21" s="1"/>
      <c r="E21" s="1"/>
      <c r="F21" s="1"/>
      <c r="G21" s="1"/>
      <c r="H21" s="1"/>
    </row>
    <row r="22" spans="1:8" x14ac:dyDescent="0.2">
      <c r="A22" s="1"/>
      <c r="B22" s="1"/>
      <c r="C22" s="1"/>
      <c r="D22" s="4"/>
      <c r="E22" s="1"/>
      <c r="F22" s="1"/>
      <c r="G22" s="1"/>
      <c r="H22" s="1"/>
    </row>
    <row r="23" spans="1:8" x14ac:dyDescent="0.2">
      <c r="A23" s="1"/>
      <c r="B23" s="1"/>
      <c r="C23" s="1"/>
      <c r="D23" s="1"/>
      <c r="E23" s="1"/>
      <c r="F23" s="1"/>
      <c r="G23" s="1"/>
      <c r="H23" s="1"/>
    </row>
    <row r="24" spans="1:8" x14ac:dyDescent="0.2">
      <c r="A24" s="1"/>
      <c r="B24" s="1"/>
      <c r="C24" s="1"/>
      <c r="D24" s="1"/>
      <c r="E24" s="1"/>
      <c r="F24" s="1"/>
      <c r="G24" s="1"/>
      <c r="H24" s="1"/>
    </row>
    <row r="25" spans="1:8" x14ac:dyDescent="0.2">
      <c r="A25" s="1"/>
      <c r="B25" s="1"/>
      <c r="C25" s="1"/>
      <c r="D25" s="1"/>
      <c r="E25" s="1"/>
      <c r="F25" s="1"/>
      <c r="G25" s="1"/>
      <c r="H25" s="1"/>
    </row>
    <row r="26" spans="1:8" x14ac:dyDescent="0.2">
      <c r="A26" s="1"/>
      <c r="B26" s="1"/>
      <c r="C26" s="1"/>
      <c r="D26" s="1"/>
      <c r="E26" s="1"/>
      <c r="F26" s="1"/>
      <c r="G26" s="1"/>
      <c r="H26" s="1"/>
    </row>
    <row r="27" spans="1:8" x14ac:dyDescent="0.2">
      <c r="A27" s="1"/>
      <c r="B27" s="1"/>
      <c r="C27" s="1"/>
      <c r="D27" s="1"/>
      <c r="E27" s="1"/>
      <c r="F27" s="1"/>
      <c r="G27" s="1"/>
      <c r="H27" s="1"/>
    </row>
    <row r="28" spans="1:8" x14ac:dyDescent="0.2">
      <c r="A28" s="1"/>
      <c r="B28" s="1"/>
      <c r="C28" s="1"/>
      <c r="D28" s="1"/>
      <c r="E28" s="1"/>
      <c r="F28" s="1"/>
      <c r="G28" s="1"/>
      <c r="H28" s="1"/>
    </row>
    <row r="29" spans="1:8" x14ac:dyDescent="0.2">
      <c r="A29" s="1"/>
      <c r="B29" s="1"/>
      <c r="C29" s="1"/>
      <c r="D29" s="1"/>
      <c r="E29" s="1"/>
      <c r="F29" s="1"/>
      <c r="G29" s="1"/>
      <c r="H29" s="1"/>
    </row>
    <row r="30" spans="1:8" x14ac:dyDescent="0.2">
      <c r="A30" s="1"/>
      <c r="B30" s="1"/>
      <c r="C30" s="1"/>
      <c r="D30" s="1"/>
      <c r="E30" s="1"/>
      <c r="F30" s="1"/>
      <c r="G30" s="1"/>
      <c r="H30" s="1"/>
    </row>
    <row r="31" spans="1:8" x14ac:dyDescent="0.2">
      <c r="A31" s="1"/>
      <c r="B31" s="1"/>
      <c r="C31" s="1"/>
      <c r="D31" s="1"/>
      <c r="E31" s="1"/>
      <c r="F31" s="1"/>
      <c r="G31" s="1"/>
      <c r="H31" s="1"/>
    </row>
    <row r="32" spans="1:8" x14ac:dyDescent="0.2">
      <c r="A32" s="1"/>
      <c r="B32" s="1"/>
      <c r="C32" s="1"/>
      <c r="D32" s="1"/>
      <c r="E32" s="1"/>
      <c r="F32" s="1"/>
      <c r="G32" s="1"/>
      <c r="H32" s="1"/>
    </row>
    <row r="33" spans="1:8" x14ac:dyDescent="0.2">
      <c r="A33" s="1"/>
      <c r="B33" s="1"/>
      <c r="C33" s="1"/>
      <c r="D33" s="1"/>
      <c r="E33" s="1"/>
      <c r="F33" s="1"/>
      <c r="G33" s="1"/>
      <c r="H33" s="1"/>
    </row>
    <row r="34" spans="1:8" x14ac:dyDescent="0.2">
      <c r="A34" s="1"/>
      <c r="B34" s="1"/>
      <c r="C34" s="1"/>
      <c r="D34" s="1"/>
      <c r="E34" s="1"/>
      <c r="F34" s="1"/>
      <c r="G34" s="1"/>
      <c r="H34" s="1"/>
    </row>
    <row r="35" spans="1:8" x14ac:dyDescent="0.2">
      <c r="A35" s="1"/>
      <c r="B35" s="1"/>
      <c r="C35" s="1"/>
      <c r="D35" s="1"/>
      <c r="E35" s="1"/>
      <c r="F35" s="1"/>
      <c r="G35" s="1"/>
      <c r="H35" s="1"/>
    </row>
    <row r="36" spans="1:8" x14ac:dyDescent="0.2">
      <c r="A36" s="1"/>
      <c r="B36" s="1"/>
      <c r="C36" s="1"/>
      <c r="D36" s="1"/>
      <c r="E36" s="1"/>
      <c r="F36" s="1"/>
      <c r="G36" s="1"/>
      <c r="H36" s="1"/>
    </row>
    <row r="37" spans="1:8" x14ac:dyDescent="0.2">
      <c r="A37" s="1"/>
      <c r="B37" s="1"/>
      <c r="C37" s="1"/>
      <c r="D37" s="1"/>
      <c r="E37" s="1"/>
      <c r="F37" s="1"/>
      <c r="G37" s="1"/>
      <c r="H37" s="1"/>
    </row>
    <row r="38" spans="1:8" x14ac:dyDescent="0.2">
      <c r="A38" s="1"/>
      <c r="B38" s="1"/>
      <c r="C38" s="1"/>
      <c r="D38" s="1"/>
      <c r="E38" s="1"/>
      <c r="F38" s="1"/>
      <c r="G38" s="1"/>
      <c r="H38" s="1"/>
    </row>
    <row r="39" spans="1:8" x14ac:dyDescent="0.2">
      <c r="A39" s="1"/>
      <c r="B39" s="1"/>
      <c r="C39" s="1"/>
      <c r="D39" s="1"/>
      <c r="E39" s="1"/>
      <c r="F39" s="1"/>
      <c r="G39" s="1"/>
      <c r="H39" s="1"/>
    </row>
    <row r="40" spans="1:8" x14ac:dyDescent="0.2">
      <c r="A40" s="11" t="s">
        <v>1</v>
      </c>
      <c r="B40" s="12"/>
      <c r="C40" s="12"/>
      <c r="D40" s="13"/>
      <c r="E40" s="8"/>
      <c r="F40" s="8"/>
      <c r="G40" s="8"/>
      <c r="H40" s="8"/>
    </row>
    <row r="41" spans="1:8" x14ac:dyDescent="0.2">
      <c r="A41" s="14" t="s">
        <v>15</v>
      </c>
      <c r="B41" s="15"/>
      <c r="C41" s="15"/>
      <c r="D41" s="16"/>
      <c r="E41" s="8"/>
      <c r="F41" s="8"/>
      <c r="G41" s="8"/>
      <c r="H41" s="8"/>
    </row>
    <row r="42" spans="1:8" x14ac:dyDescent="0.2">
      <c r="A42" s="17" t="s">
        <v>62</v>
      </c>
      <c r="B42" s="18"/>
      <c r="C42" s="18"/>
      <c r="D42" s="19"/>
      <c r="E42" s="8"/>
      <c r="F42" s="8"/>
      <c r="G42" s="8"/>
      <c r="H42" s="8"/>
    </row>
    <row r="43" spans="1:8" x14ac:dyDescent="0.2">
      <c r="A43" s="20"/>
      <c r="B43" s="21"/>
      <c r="C43" s="22"/>
      <c r="D43" s="23"/>
      <c r="E43" s="8"/>
      <c r="F43" s="8" t="s">
        <v>34</v>
      </c>
      <c r="G43" s="8"/>
      <c r="H43" s="8"/>
    </row>
    <row r="44" spans="1:8" ht="15.75" x14ac:dyDescent="0.25">
      <c r="A44" s="24" t="s">
        <v>2</v>
      </c>
      <c r="B44" s="25" t="str">
        <f>[1]Charters!B47</f>
        <v>Paradigm High School</v>
      </c>
      <c r="C44" s="24"/>
      <c r="D44" s="88"/>
      <c r="E44" s="8"/>
      <c r="F44" s="8"/>
      <c r="G44" s="8"/>
      <c r="H44" s="8"/>
    </row>
    <row r="45" spans="1:8" x14ac:dyDescent="0.2">
      <c r="A45" s="24"/>
      <c r="B45" s="28"/>
      <c r="C45" s="26"/>
      <c r="D45" s="27"/>
      <c r="E45" s="8"/>
      <c r="F45" s="8"/>
      <c r="G45" s="8"/>
      <c r="H45" s="8"/>
    </row>
    <row r="46" spans="1:8" x14ac:dyDescent="0.2">
      <c r="A46" s="29" t="s">
        <v>0</v>
      </c>
      <c r="B46" s="30">
        <f>[1]Charters!$E$6</f>
        <v>3184</v>
      </c>
      <c r="C46" s="26"/>
      <c r="D46" s="31"/>
      <c r="E46" s="8"/>
      <c r="F46" s="8"/>
      <c r="G46" s="8"/>
      <c r="H46" s="8"/>
    </row>
    <row r="47" spans="1:8" x14ac:dyDescent="0.2">
      <c r="A47" s="32"/>
      <c r="B47" s="6"/>
      <c r="C47" s="33"/>
      <c r="D47" s="34" t="s">
        <v>3</v>
      </c>
      <c r="E47" s="8"/>
      <c r="F47" s="8"/>
      <c r="G47" s="8"/>
      <c r="H47" s="8"/>
    </row>
    <row r="48" spans="1:8" x14ac:dyDescent="0.2">
      <c r="A48" s="29" t="s">
        <v>19</v>
      </c>
      <c r="B48" s="35" t="str">
        <f>[1]Charters!A47</f>
        <v>9C</v>
      </c>
      <c r="C48" s="36" t="s">
        <v>4</v>
      </c>
      <c r="D48" s="37" t="s">
        <v>5</v>
      </c>
      <c r="E48" s="8"/>
      <c r="F48" s="8"/>
      <c r="G48" s="8"/>
      <c r="H48" s="8"/>
    </row>
    <row r="49" spans="1:8" x14ac:dyDescent="0.2">
      <c r="A49" s="38" t="s">
        <v>6</v>
      </c>
      <c r="B49" s="39"/>
      <c r="C49" s="40"/>
      <c r="D49" s="41"/>
      <c r="E49" s="8"/>
      <c r="F49" s="8"/>
      <c r="G49" s="8"/>
      <c r="H49" s="8"/>
    </row>
    <row r="50" spans="1:8" x14ac:dyDescent="0.2">
      <c r="A50" s="38" t="s">
        <v>7</v>
      </c>
      <c r="B50" s="39"/>
      <c r="C50" s="40"/>
      <c r="D50" s="41"/>
      <c r="E50" s="8"/>
      <c r="F50" s="42" t="s">
        <v>23</v>
      </c>
      <c r="G50" s="8"/>
      <c r="H50" s="42" t="s">
        <v>26</v>
      </c>
    </row>
    <row r="51" spans="1:8" x14ac:dyDescent="0.2">
      <c r="A51" s="20" t="s">
        <v>8</v>
      </c>
      <c r="B51" s="43"/>
      <c r="C51" s="44">
        <f>[1]Charters!C507</f>
        <v>660.43499999999995</v>
      </c>
      <c r="D51" s="45">
        <f>[1]Charters!E507</f>
        <v>2102825.5699999998</v>
      </c>
      <c r="E51" s="8"/>
      <c r="F51" s="42">
        <f>[1]Charters!E662</f>
        <v>2242499.4500000002</v>
      </c>
      <c r="G51" s="8"/>
      <c r="H51" s="42">
        <f>[2]Charters!E201</f>
        <v>2605084.02</v>
      </c>
    </row>
    <row r="52" spans="1:8" x14ac:dyDescent="0.2">
      <c r="A52" s="20" t="s">
        <v>14</v>
      </c>
      <c r="B52" s="43"/>
      <c r="C52" s="44">
        <f>[1]Charters!F507</f>
        <v>43.866999999999997</v>
      </c>
      <c r="D52" s="45">
        <f>[1]Charters!H507</f>
        <v>139673.88</v>
      </c>
      <c r="E52" s="8"/>
      <c r="F52" s="42">
        <f>SUM(D51:D53)</f>
        <v>2242499.4500000002</v>
      </c>
      <c r="G52" s="8"/>
      <c r="H52" s="42">
        <f>D64</f>
        <v>2605084.02</v>
      </c>
    </row>
    <row r="53" spans="1:8" x14ac:dyDescent="0.2">
      <c r="A53" s="20" t="s">
        <v>32</v>
      </c>
      <c r="B53" s="43"/>
      <c r="C53" s="44">
        <f>[1]Charters!C200</f>
        <v>0</v>
      </c>
      <c r="D53" s="45">
        <f>[1]Charters!E200</f>
        <v>0</v>
      </c>
      <c r="E53" s="8"/>
      <c r="F53" s="42">
        <f>+F51-F52</f>
        <v>0</v>
      </c>
      <c r="G53" s="8"/>
      <c r="H53" s="42">
        <f>+H51-H52</f>
        <v>0</v>
      </c>
    </row>
    <row r="54" spans="1:8" x14ac:dyDescent="0.2">
      <c r="A54" s="38" t="s">
        <v>9</v>
      </c>
      <c r="B54" s="39"/>
      <c r="C54" s="46"/>
      <c r="D54" s="47"/>
      <c r="E54" s="8"/>
      <c r="F54" s="8"/>
      <c r="G54" s="8"/>
      <c r="H54" s="8"/>
    </row>
    <row r="55" spans="1:8" x14ac:dyDescent="0.2">
      <c r="A55" s="20" t="s">
        <v>10</v>
      </c>
      <c r="B55" s="43"/>
      <c r="C55" s="40">
        <f>[3]Charters!C46</f>
        <v>94.718000000000004</v>
      </c>
      <c r="D55" s="41">
        <f>[3]Charters!E46</f>
        <v>301582.02</v>
      </c>
      <c r="E55" s="8"/>
      <c r="F55" s="42" t="s">
        <v>24</v>
      </c>
      <c r="G55" s="8"/>
      <c r="H55" s="8"/>
    </row>
    <row r="56" spans="1:8" x14ac:dyDescent="0.2">
      <c r="A56" s="48" t="s">
        <v>11</v>
      </c>
      <c r="B56" s="43"/>
      <c r="C56" s="40">
        <f>[3]Charters!F46</f>
        <v>1.92</v>
      </c>
      <c r="D56" s="49">
        <f>[3]Charters!H46</f>
        <v>6113.28</v>
      </c>
      <c r="E56" s="8"/>
      <c r="F56" s="42">
        <f>[3]Charters!N357</f>
        <v>316254.56</v>
      </c>
      <c r="G56" s="8"/>
      <c r="H56" s="8"/>
    </row>
    <row r="57" spans="1:8" x14ac:dyDescent="0.2">
      <c r="A57" s="48" t="s">
        <v>12</v>
      </c>
      <c r="B57" s="43"/>
      <c r="C57" s="40">
        <f>[3]Charters!C201</f>
        <v>0</v>
      </c>
      <c r="D57" s="41">
        <f>[3]Charters!E201</f>
        <v>0</v>
      </c>
      <c r="E57" s="8"/>
      <c r="F57" s="42">
        <f>SUM(D55:D61)</f>
        <v>316254.56</v>
      </c>
      <c r="G57" s="8"/>
      <c r="H57" s="8"/>
    </row>
    <row r="58" spans="1:8" x14ac:dyDescent="0.2">
      <c r="A58" s="20" t="s">
        <v>13</v>
      </c>
      <c r="B58" s="43"/>
      <c r="C58" s="40">
        <f>[3]Charters!F201</f>
        <v>0.70899999999999996</v>
      </c>
      <c r="D58" s="41">
        <f>[3]Charters!H201</f>
        <v>2259</v>
      </c>
      <c r="E58" s="8"/>
      <c r="F58" s="42">
        <f>+F56-F57</f>
        <v>0</v>
      </c>
      <c r="G58" s="8"/>
      <c r="H58" s="8"/>
    </row>
    <row r="59" spans="1:8" x14ac:dyDescent="0.2">
      <c r="A59" s="48" t="s">
        <v>54</v>
      </c>
      <c r="B59" s="43"/>
      <c r="C59" s="40">
        <f>[3]Charters!C357</f>
        <v>1.9790000000000001</v>
      </c>
      <c r="D59" s="41">
        <f>[3]Charters!E357</f>
        <v>6300.26</v>
      </c>
      <c r="E59" s="8"/>
      <c r="F59" s="8"/>
      <c r="G59" s="8"/>
      <c r="H59" s="8"/>
    </row>
    <row r="60" spans="1:8" x14ac:dyDescent="0.2">
      <c r="A60" s="48" t="s">
        <v>55</v>
      </c>
      <c r="B60" s="43"/>
      <c r="C60" s="40">
        <f>[3]Charters!F357</f>
        <v>0</v>
      </c>
      <c r="D60" s="41">
        <f>[3]Charters!H357</f>
        <v>0</v>
      </c>
      <c r="E60" s="8"/>
      <c r="F60" s="42" t="s">
        <v>25</v>
      </c>
      <c r="G60" s="8"/>
      <c r="H60" s="8"/>
    </row>
    <row r="61" spans="1:8" x14ac:dyDescent="0.2">
      <c r="A61" s="48" t="s">
        <v>56</v>
      </c>
      <c r="B61" s="43"/>
      <c r="C61" s="40">
        <f>[3]Charters!I357</f>
        <v>0</v>
      </c>
      <c r="D61" s="41">
        <f>[3]Charters!K357</f>
        <v>0</v>
      </c>
      <c r="E61" s="8"/>
      <c r="F61" s="42">
        <f>[2]Charters!H47</f>
        <v>362584.57</v>
      </c>
      <c r="G61" s="8"/>
      <c r="H61" s="8"/>
    </row>
    <row r="62" spans="1:8" x14ac:dyDescent="0.2">
      <c r="A62" s="20" t="s">
        <v>49</v>
      </c>
      <c r="B62" s="43"/>
      <c r="C62" s="40">
        <f>[3]Charters!C514</f>
        <v>0</v>
      </c>
      <c r="D62" s="41">
        <f>[3]Charters!E514</f>
        <v>0</v>
      </c>
      <c r="E62" s="8"/>
      <c r="F62" s="42">
        <f>SUM(D55:D63)</f>
        <v>362584.57</v>
      </c>
      <c r="G62" s="8"/>
      <c r="H62" s="8"/>
    </row>
    <row r="63" spans="1:8" x14ac:dyDescent="0.2">
      <c r="A63" s="20" t="s">
        <v>50</v>
      </c>
      <c r="B63" s="43"/>
      <c r="C63" s="40">
        <f>[2]Charters!C47</f>
        <v>14.551</v>
      </c>
      <c r="D63" s="41">
        <f>[2]Charters!E47</f>
        <v>46330.01</v>
      </c>
      <c r="E63" s="8"/>
      <c r="F63" s="42">
        <f>+F61-F62</f>
        <v>0</v>
      </c>
      <c r="G63" s="8"/>
      <c r="H63" s="8"/>
    </row>
    <row r="64" spans="1:8" x14ac:dyDescent="0.2">
      <c r="A64" s="50"/>
      <c r="B64" s="51" t="s">
        <v>16</v>
      </c>
      <c r="C64" s="52">
        <f>SUM(C51:C63)</f>
        <v>818.17899999999997</v>
      </c>
      <c r="D64" s="53">
        <f>SUM(D51:D63)</f>
        <v>2605084.02</v>
      </c>
      <c r="E64" s="8"/>
      <c r="F64" s="8"/>
      <c r="G64" s="8"/>
      <c r="H64" s="8"/>
    </row>
    <row r="65" spans="1:8" x14ac:dyDescent="0.2">
      <c r="A65" s="54" t="s">
        <v>17</v>
      </c>
      <c r="B65" s="39"/>
      <c r="C65" s="55"/>
      <c r="D65" s="47"/>
      <c r="E65" s="8"/>
      <c r="F65" s="8"/>
      <c r="G65" s="8"/>
      <c r="H65" s="42" t="s">
        <v>29</v>
      </c>
    </row>
    <row r="66" spans="1:8" x14ac:dyDescent="0.2">
      <c r="A66" s="20" t="s">
        <v>33</v>
      </c>
      <c r="B66" s="43"/>
      <c r="C66" s="56"/>
      <c r="D66" s="57">
        <f>[4]Charters!C46</f>
        <v>7550.75</v>
      </c>
      <c r="E66" s="8"/>
      <c r="F66" s="8"/>
      <c r="G66" s="8"/>
      <c r="H66" s="42">
        <f>[4]Charters!F987</f>
        <v>4021274.56</v>
      </c>
    </row>
    <row r="67" spans="1:8" x14ac:dyDescent="0.2">
      <c r="A67" s="58" t="s">
        <v>35</v>
      </c>
      <c r="B67" s="43"/>
      <c r="C67" s="56"/>
      <c r="D67" s="41">
        <f>+[4]Charters!F367</f>
        <v>3247.74</v>
      </c>
      <c r="E67" s="8"/>
      <c r="F67" s="8"/>
      <c r="G67" s="8"/>
      <c r="H67" s="42">
        <f>SUM(D64:D83)</f>
        <v>4021274.56</v>
      </c>
    </row>
    <row r="68" spans="1:8" x14ac:dyDescent="0.2">
      <c r="A68" s="59" t="s">
        <v>36</v>
      </c>
      <c r="B68" s="43"/>
      <c r="C68" s="56"/>
      <c r="D68" s="41">
        <f>[4]Charters!E206</f>
        <v>22280</v>
      </c>
      <c r="E68" s="8"/>
      <c r="F68" s="8"/>
      <c r="G68" s="8"/>
      <c r="H68" s="42">
        <f>+H66-H67</f>
        <v>0</v>
      </c>
    </row>
    <row r="69" spans="1:8" x14ac:dyDescent="0.2">
      <c r="A69" s="59" t="s">
        <v>52</v>
      </c>
      <c r="B69" s="43"/>
      <c r="C69" s="56"/>
      <c r="D69" s="41">
        <f>[4]Charters!G367</f>
        <v>2659.88</v>
      </c>
      <c r="E69" s="8"/>
      <c r="F69" s="42" t="s">
        <v>27</v>
      </c>
      <c r="G69" s="8"/>
      <c r="H69" s="42"/>
    </row>
    <row r="70" spans="1:8" x14ac:dyDescent="0.2">
      <c r="A70" s="20" t="s">
        <v>37</v>
      </c>
      <c r="B70" s="43"/>
      <c r="C70" s="56"/>
      <c r="D70" s="41">
        <f>[4]Charters!E523</f>
        <v>41967</v>
      </c>
      <c r="E70" s="8"/>
      <c r="F70" s="42">
        <f>[4]Charters!E206</f>
        <v>22280</v>
      </c>
      <c r="G70" s="8"/>
      <c r="H70" s="8"/>
    </row>
    <row r="71" spans="1:8" x14ac:dyDescent="0.2">
      <c r="A71" s="20" t="s">
        <v>38</v>
      </c>
      <c r="B71" s="43"/>
      <c r="C71" s="56"/>
      <c r="D71" s="41">
        <f>[4]Charters!F523</f>
        <v>0</v>
      </c>
      <c r="E71" s="8"/>
      <c r="F71" s="42">
        <f>SUM(D68:D68)</f>
        <v>22280</v>
      </c>
      <c r="G71" s="8"/>
      <c r="H71" s="8"/>
    </row>
    <row r="72" spans="1:8" x14ac:dyDescent="0.2">
      <c r="A72" s="59" t="s">
        <v>40</v>
      </c>
      <c r="B72" s="43"/>
      <c r="C72" s="56"/>
      <c r="D72" s="41">
        <f>[4]Charters!G523</f>
        <v>0</v>
      </c>
      <c r="E72" s="8"/>
      <c r="F72" s="42">
        <f>+F70-F71</f>
        <v>0</v>
      </c>
      <c r="G72" s="8"/>
      <c r="H72" s="8"/>
    </row>
    <row r="73" spans="1:8" x14ac:dyDescent="0.2">
      <c r="A73" s="20" t="s">
        <v>41</v>
      </c>
      <c r="B73" s="43"/>
      <c r="C73" s="56"/>
      <c r="D73" s="41">
        <f>[4]Charters!C678</f>
        <v>1114557</v>
      </c>
      <c r="E73" s="8"/>
      <c r="F73" s="42" t="s">
        <v>28</v>
      </c>
      <c r="G73" s="8"/>
      <c r="H73" s="8"/>
    </row>
    <row r="74" spans="1:8" x14ac:dyDescent="0.2">
      <c r="A74" s="20" t="s">
        <v>42</v>
      </c>
      <c r="B74" s="43"/>
      <c r="C74" s="56"/>
      <c r="D74" s="41">
        <f>[4]Charters!D678</f>
        <v>166506.01</v>
      </c>
      <c r="E74" s="8"/>
      <c r="F74" s="42">
        <f>[4]Charters!D523</f>
        <v>28187.62</v>
      </c>
      <c r="G74" s="8"/>
      <c r="H74" s="8"/>
    </row>
    <row r="75" spans="1:8" x14ac:dyDescent="0.2">
      <c r="A75" s="20" t="s">
        <v>44</v>
      </c>
      <c r="B75" s="43"/>
      <c r="C75" s="56"/>
      <c r="D75" s="41">
        <f>[4]Charters!E678</f>
        <v>55700</v>
      </c>
      <c r="E75" s="8"/>
      <c r="F75" s="42">
        <f>SUM(D67:D69)</f>
        <v>28187.62</v>
      </c>
      <c r="G75" s="8"/>
      <c r="H75" s="8"/>
    </row>
    <row r="76" spans="1:8" x14ac:dyDescent="0.2">
      <c r="A76" s="59" t="s">
        <v>43</v>
      </c>
      <c r="B76" s="43"/>
      <c r="C76" s="56"/>
      <c r="D76" s="41">
        <f>[4]Charters!F678</f>
        <v>0</v>
      </c>
      <c r="E76" s="8"/>
      <c r="F76" s="42">
        <f>+F74-F75</f>
        <v>0</v>
      </c>
      <c r="G76" s="8"/>
      <c r="H76" s="8"/>
    </row>
    <row r="77" spans="1:8" x14ac:dyDescent="0.2">
      <c r="A77" s="59" t="s">
        <v>45</v>
      </c>
      <c r="B77" s="43"/>
      <c r="C77" s="56"/>
      <c r="D77" s="41">
        <f>[4]Charters!C523</f>
        <v>0</v>
      </c>
      <c r="E77" s="8"/>
      <c r="F77" s="8"/>
      <c r="G77" s="8"/>
      <c r="H77" s="8"/>
    </row>
    <row r="78" spans="1:8" x14ac:dyDescent="0.2">
      <c r="A78" s="59" t="s">
        <v>46</v>
      </c>
      <c r="B78" s="43"/>
      <c r="C78" s="56"/>
      <c r="D78" s="41">
        <f>[4]Charters!C834</f>
        <v>0</v>
      </c>
      <c r="E78" s="8"/>
      <c r="F78" s="8"/>
      <c r="G78" s="8"/>
      <c r="H78" s="42" t="s">
        <v>31</v>
      </c>
    </row>
    <row r="79" spans="1:8" x14ac:dyDescent="0.2">
      <c r="A79" s="59" t="s">
        <v>51</v>
      </c>
      <c r="B79" s="43"/>
      <c r="C79" s="56"/>
      <c r="D79" s="60">
        <f>[4]Charters!D834</f>
        <v>801.15</v>
      </c>
      <c r="E79" s="42"/>
      <c r="F79" s="42"/>
      <c r="G79" s="42"/>
      <c r="H79" s="42">
        <f>[4]Charters!D1293</f>
        <v>4027501.62</v>
      </c>
    </row>
    <row r="80" spans="1:8" x14ac:dyDescent="0.2">
      <c r="A80" s="20" t="s">
        <v>47</v>
      </c>
      <c r="B80" s="43"/>
      <c r="C80" s="56"/>
      <c r="D80" s="60">
        <f>[4]Charters!E834</f>
        <v>0</v>
      </c>
      <c r="E80" s="42"/>
      <c r="F80" s="42"/>
      <c r="G80" s="42"/>
      <c r="H80" s="42">
        <f>D89</f>
        <v>4027501.62</v>
      </c>
    </row>
    <row r="81" spans="1:8" x14ac:dyDescent="0.2">
      <c r="A81" s="20" t="s">
        <v>57</v>
      </c>
      <c r="B81" s="43"/>
      <c r="C81" s="56"/>
      <c r="D81" s="60">
        <f>[4]Charters!C987</f>
        <v>921.01</v>
      </c>
      <c r="E81" s="42"/>
      <c r="F81" s="42"/>
      <c r="G81" s="42"/>
      <c r="H81" s="42">
        <f>+H79-H80</f>
        <v>0</v>
      </c>
    </row>
    <row r="82" spans="1:8" x14ac:dyDescent="0.2">
      <c r="A82" s="59" t="s">
        <v>53</v>
      </c>
      <c r="B82" s="43"/>
      <c r="C82" s="56"/>
      <c r="D82" s="60">
        <f>[4]Charters!D987</f>
        <v>0</v>
      </c>
      <c r="E82" s="42"/>
      <c r="F82" s="42" t="s">
        <v>30</v>
      </c>
      <c r="G82" s="42"/>
      <c r="H82" s="42"/>
    </row>
    <row r="83" spans="1:8" x14ac:dyDescent="0.2">
      <c r="A83" s="59" t="s">
        <v>59</v>
      </c>
      <c r="B83" s="43"/>
      <c r="C83" s="56"/>
      <c r="D83" s="60">
        <f>[4]Charters!E987</f>
        <v>0</v>
      </c>
      <c r="E83" s="42"/>
      <c r="F83" s="42"/>
      <c r="G83" s="42"/>
      <c r="H83" s="42"/>
    </row>
    <row r="84" spans="1:8" x14ac:dyDescent="0.2">
      <c r="A84" s="38" t="s">
        <v>18</v>
      </c>
      <c r="B84" s="61"/>
      <c r="C84" s="62"/>
      <c r="D84" s="87"/>
      <c r="E84" s="42"/>
      <c r="F84" s="42">
        <f>[4]Charters!C1293</f>
        <v>6227.06</v>
      </c>
      <c r="G84" s="42"/>
      <c r="H84" s="42"/>
    </row>
    <row r="85" spans="1:8" x14ac:dyDescent="0.2">
      <c r="A85" s="59" t="s">
        <v>39</v>
      </c>
      <c r="B85" s="43"/>
      <c r="C85" s="56"/>
      <c r="D85" s="41">
        <f>[4]Charters!C1140</f>
        <v>6227.06</v>
      </c>
      <c r="E85" s="42"/>
      <c r="F85" s="42">
        <f>SUM(D85:D88)</f>
        <v>6227.06</v>
      </c>
      <c r="G85" s="42"/>
      <c r="H85" s="42"/>
    </row>
    <row r="86" spans="1:8" x14ac:dyDescent="0.2">
      <c r="A86" s="59" t="s">
        <v>48</v>
      </c>
      <c r="B86" s="43"/>
      <c r="C86" s="56"/>
      <c r="D86" s="41">
        <f>[4]Charters!D1140</f>
        <v>0</v>
      </c>
      <c r="E86" s="42"/>
      <c r="F86" s="42">
        <f>+F84-F85</f>
        <v>0</v>
      </c>
      <c r="G86" s="42"/>
      <c r="H86" s="42"/>
    </row>
    <row r="87" spans="1:8" x14ac:dyDescent="0.2">
      <c r="A87" s="59" t="s">
        <v>60</v>
      </c>
      <c r="B87" s="43"/>
      <c r="C87" s="56"/>
      <c r="D87" s="41">
        <f>[4]Charters!E1140</f>
        <v>0</v>
      </c>
      <c r="E87" s="42"/>
      <c r="F87" s="42"/>
      <c r="G87" s="42"/>
      <c r="H87" s="42"/>
    </row>
    <row r="88" spans="1:8" x14ac:dyDescent="0.2">
      <c r="A88" s="59" t="s">
        <v>61</v>
      </c>
      <c r="B88" s="43"/>
      <c r="C88" s="56"/>
      <c r="D88" s="41">
        <f>[4]Charters!F1140</f>
        <v>0</v>
      </c>
      <c r="E88" s="42"/>
      <c r="F88" s="42"/>
      <c r="G88" s="42"/>
      <c r="H88" s="42"/>
    </row>
    <row r="89" spans="1:8" ht="13.5" thickBot="1" x14ac:dyDescent="0.25">
      <c r="A89" s="64"/>
      <c r="B89" s="65"/>
      <c r="C89" s="66"/>
      <c r="D89" s="67">
        <f>SUM(D64:D88)</f>
        <v>4027501.62</v>
      </c>
      <c r="E89" s="42"/>
      <c r="F89" s="42"/>
      <c r="G89" s="42"/>
      <c r="H89" s="42"/>
    </row>
    <row r="90" spans="1:8" ht="13.5" thickTop="1" x14ac:dyDescent="0.2">
      <c r="A90" s="68"/>
      <c r="B90" s="43"/>
      <c r="C90" s="56"/>
      <c r="D90" s="86"/>
      <c r="E90" s="42"/>
      <c r="F90" s="42"/>
      <c r="G90" s="42"/>
      <c r="H90" s="42"/>
    </row>
    <row r="91" spans="1:8" x14ac:dyDescent="0.2">
      <c r="A91" s="38" t="s">
        <v>20</v>
      </c>
      <c r="B91" s="39"/>
      <c r="C91" s="70"/>
      <c r="D91" s="71" t="s">
        <v>21</v>
      </c>
      <c r="E91" s="42"/>
      <c r="F91" s="42"/>
      <c r="G91" s="42"/>
      <c r="H91" s="42"/>
    </row>
    <row r="92" spans="1:8" x14ac:dyDescent="0.2">
      <c r="A92" s="72" t="s">
        <v>22</v>
      </c>
      <c r="B92" s="73"/>
      <c r="C92" s="74"/>
      <c r="D92" s="41">
        <f>[5]Charters!C46</f>
        <v>1345.21</v>
      </c>
      <c r="E92" s="42"/>
      <c r="F92" s="42"/>
      <c r="G92" s="42"/>
      <c r="H92" s="42"/>
    </row>
    <row r="93" spans="1:8" x14ac:dyDescent="0.2">
      <c r="A93" s="75"/>
      <c r="B93" s="61"/>
      <c r="C93" s="76"/>
      <c r="D93" s="77">
        <f>SUM(D92:D92)</f>
        <v>1345.21</v>
      </c>
      <c r="E93" s="42"/>
      <c r="F93" s="42"/>
      <c r="G93" s="42"/>
      <c r="H93" s="42"/>
    </row>
    <row r="94" spans="1:8" x14ac:dyDescent="0.2">
      <c r="A94" s="78" t="s">
        <v>58</v>
      </c>
      <c r="B94" s="79"/>
      <c r="C94" s="80"/>
      <c r="D94" s="77">
        <f>D93+D89</f>
        <v>4028846.83</v>
      </c>
      <c r="E94" s="42"/>
      <c r="F94" s="42"/>
      <c r="G94" s="42"/>
      <c r="H94" s="42"/>
    </row>
    <row r="95" spans="1:8" x14ac:dyDescent="0.2">
      <c r="A95" s="84"/>
      <c r="B95" s="84"/>
      <c r="C95" s="85"/>
      <c r="D95" s="81"/>
      <c r="E95" s="42"/>
      <c r="F95" s="42"/>
      <c r="G95" s="42"/>
      <c r="H95" s="42"/>
    </row>
    <row r="96" spans="1:8" x14ac:dyDescent="0.2">
      <c r="A96" s="84"/>
      <c r="B96" s="84"/>
      <c r="C96" s="85"/>
      <c r="D96" s="81">
        <f>[5]Charters!E202</f>
        <v>4028846.83</v>
      </c>
      <c r="E96" s="42"/>
      <c r="F96" s="42"/>
      <c r="G96" s="42"/>
      <c r="H96" s="42"/>
    </row>
    <row r="97" spans="1:8" x14ac:dyDescent="0.2">
      <c r="A97" s="84"/>
      <c r="B97" s="84"/>
      <c r="C97" s="85"/>
      <c r="D97" s="81">
        <f>D94</f>
        <v>4028846.83</v>
      </c>
      <c r="E97" s="42"/>
      <c r="F97" s="42"/>
      <c r="G97" s="42"/>
      <c r="H97" s="42"/>
    </row>
    <row r="98" spans="1:8" x14ac:dyDescent="0.2">
      <c r="C98" s="83"/>
      <c r="D98" s="42">
        <f>D96-D97</f>
        <v>0</v>
      </c>
      <c r="E98" s="42"/>
      <c r="F98" s="42"/>
      <c r="G98" s="42"/>
      <c r="H98" s="42"/>
    </row>
    <row r="99" spans="1:8" x14ac:dyDescent="0.2">
      <c r="C99" s="83"/>
      <c r="D99" s="42">
        <f>D97-D98</f>
        <v>4028846.83</v>
      </c>
      <c r="E99" s="42"/>
      <c r="F99" s="42"/>
      <c r="G99" s="42"/>
      <c r="H99" s="42"/>
    </row>
  </sheetData>
  <mergeCells count="4">
    <mergeCell ref="A40:D40"/>
    <mergeCell ref="A94:C94"/>
    <mergeCell ref="A41:D41"/>
    <mergeCell ref="A42:D42"/>
  </mergeCells>
  <phoneticPr fontId="1" type="noConversion"/>
  <printOptions horizontalCentered="1" verticalCentered="1"/>
  <pageMargins left="0.5" right="0.5" top="0.5" bottom="0.5" header="0.25" footer="0.25"/>
  <pageSetup orientation="portrait" verticalDpi="1200" r:id="rId1"/>
  <headerFooter alignWithMargins="0">
    <oddHeader>&amp;R&amp;8Current as of: &amp;D</oddHeader>
    <oddFooter>&amp;L&amp;8USOE, School Finance</oddFooter>
  </headerFooter>
  <picture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>
    <pageSetUpPr fitToPage="1"/>
  </sheetPr>
  <dimension ref="A1:H100"/>
  <sheetViews>
    <sheetView showGridLines="0" topLeftCell="A40" workbookViewId="0">
      <selection activeCell="C12" sqref="C12"/>
    </sheetView>
  </sheetViews>
  <sheetFormatPr defaultColWidth="9.140625" defaultRowHeight="12.75" x14ac:dyDescent="0.2"/>
  <cols>
    <col min="1" max="1" width="31.85546875" style="82" customWidth="1"/>
    <col min="2" max="2" width="16.140625" style="82" customWidth="1"/>
    <col min="3" max="4" width="14.85546875" style="82" customWidth="1"/>
    <col min="5" max="5" width="7" style="82" customWidth="1"/>
    <col min="6" max="6" width="19.7109375" style="82" customWidth="1"/>
    <col min="7" max="7" width="5.7109375" style="82" customWidth="1"/>
    <col min="8" max="8" width="18" style="82" customWidth="1"/>
    <col min="9" max="16384" width="9.140625" style="82"/>
  </cols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"/>
      <c r="B3" s="1"/>
      <c r="C3" s="1"/>
      <c r="D3" s="1"/>
      <c r="E3" s="1"/>
      <c r="F3" s="1"/>
      <c r="G3" s="1"/>
      <c r="H3" s="1"/>
    </row>
    <row r="4" spans="1:8" x14ac:dyDescent="0.2">
      <c r="A4" s="1"/>
      <c r="B4" s="1"/>
      <c r="C4" s="1"/>
      <c r="D4" s="1"/>
      <c r="E4" s="1"/>
      <c r="F4" s="1"/>
      <c r="G4" s="1"/>
      <c r="H4" s="1"/>
    </row>
    <row r="5" spans="1:8" x14ac:dyDescent="0.2">
      <c r="A5" s="1"/>
      <c r="B5" s="1"/>
      <c r="C5" s="1"/>
      <c r="D5" s="1"/>
      <c r="E5" s="1"/>
      <c r="F5" s="1"/>
      <c r="G5" s="1"/>
      <c r="H5" s="1"/>
    </row>
    <row r="6" spans="1:8" x14ac:dyDescent="0.2">
      <c r="A6" s="1"/>
      <c r="B6" s="1"/>
      <c r="C6" s="1"/>
      <c r="D6" s="1"/>
      <c r="E6" s="1"/>
      <c r="F6" s="1"/>
      <c r="G6" s="1"/>
      <c r="H6" s="1"/>
    </row>
    <row r="7" spans="1:8" x14ac:dyDescent="0.2">
      <c r="A7" s="1"/>
      <c r="B7" s="1"/>
      <c r="C7" s="1"/>
      <c r="D7" s="1"/>
      <c r="E7" s="1"/>
      <c r="F7" s="1"/>
      <c r="G7" s="1"/>
      <c r="H7" s="1"/>
    </row>
    <row r="8" spans="1:8" x14ac:dyDescent="0.2">
      <c r="A8" s="1"/>
      <c r="B8" s="1"/>
      <c r="C8" s="1"/>
      <c r="D8" s="1"/>
      <c r="E8" s="1"/>
      <c r="F8" s="1"/>
      <c r="G8" s="1"/>
      <c r="H8" s="1"/>
    </row>
    <row r="9" spans="1:8" x14ac:dyDescent="0.2">
      <c r="A9" s="1"/>
      <c r="B9" s="1"/>
      <c r="C9" s="1"/>
      <c r="D9" s="1"/>
      <c r="E9" s="1"/>
      <c r="F9" s="1"/>
      <c r="G9" s="1"/>
      <c r="H9" s="1"/>
    </row>
    <row r="10" spans="1:8" x14ac:dyDescent="0.2">
      <c r="A10" s="1"/>
      <c r="B10" s="1"/>
      <c r="C10" s="1"/>
      <c r="D10" s="1"/>
      <c r="E10" s="1"/>
      <c r="F10" s="1"/>
      <c r="G10" s="1"/>
      <c r="H10" s="1"/>
    </row>
    <row r="11" spans="1:8" x14ac:dyDescent="0.2">
      <c r="A11" s="1"/>
      <c r="B11" s="1"/>
      <c r="C11" s="1"/>
      <c r="D11" s="1"/>
      <c r="E11" s="1"/>
      <c r="F11" s="1"/>
      <c r="G11" s="1"/>
      <c r="H11" s="1"/>
    </row>
    <row r="12" spans="1:8" x14ac:dyDescent="0.2">
      <c r="A12" s="1"/>
      <c r="B12" s="1"/>
      <c r="C12" s="1"/>
      <c r="D12" s="1"/>
      <c r="E12" s="1"/>
      <c r="F12" s="1"/>
      <c r="G12" s="1"/>
      <c r="H12" s="1"/>
    </row>
    <row r="13" spans="1:8" x14ac:dyDescent="0.2">
      <c r="A13" s="1"/>
      <c r="B13" s="1"/>
      <c r="C13" s="1"/>
      <c r="D13" s="1"/>
      <c r="E13" s="1"/>
      <c r="F13" s="1"/>
      <c r="G13" s="1"/>
      <c r="H13" s="1"/>
    </row>
    <row r="14" spans="1:8" x14ac:dyDescent="0.2">
      <c r="A14" s="1"/>
      <c r="B14" s="1"/>
      <c r="C14" s="1"/>
      <c r="D14" s="1"/>
      <c r="E14" s="1"/>
      <c r="F14" s="1"/>
      <c r="G14" s="1"/>
      <c r="H14" s="1"/>
    </row>
    <row r="15" spans="1:8" x14ac:dyDescent="0.2">
      <c r="A15" s="1"/>
      <c r="B15" s="1"/>
      <c r="C15" s="1"/>
      <c r="D15" s="1"/>
      <c r="E15" s="1"/>
      <c r="F15" s="1"/>
      <c r="G15" s="1"/>
      <c r="H15" s="1"/>
    </row>
    <row r="16" spans="1:8" x14ac:dyDescent="0.2">
      <c r="A16" s="1"/>
      <c r="B16" s="1"/>
      <c r="C16" s="1"/>
      <c r="D16" s="1"/>
      <c r="E16" s="1"/>
      <c r="F16" s="1"/>
      <c r="G16" s="1"/>
      <c r="H16" s="1"/>
    </row>
    <row r="17" spans="1:8" x14ac:dyDescent="0.2">
      <c r="A17" s="1"/>
      <c r="B17" s="1"/>
      <c r="C17" s="1"/>
      <c r="D17" s="1"/>
      <c r="E17" s="1"/>
      <c r="F17" s="1"/>
      <c r="G17" s="1"/>
      <c r="H17" s="1"/>
    </row>
    <row r="18" spans="1:8" x14ac:dyDescent="0.2">
      <c r="A18" s="1"/>
      <c r="B18" s="1"/>
      <c r="C18" s="1"/>
      <c r="D18" s="1"/>
      <c r="E18" s="1"/>
      <c r="F18" s="1"/>
      <c r="G18" s="1"/>
      <c r="H18" s="1"/>
    </row>
    <row r="19" spans="1:8" x14ac:dyDescent="0.2">
      <c r="A19" s="1"/>
      <c r="B19" s="1"/>
      <c r="C19" s="1"/>
      <c r="D19" s="1"/>
      <c r="E19" s="1"/>
      <c r="F19" s="1"/>
      <c r="G19" s="1"/>
      <c r="H19" s="1"/>
    </row>
    <row r="20" spans="1:8" x14ac:dyDescent="0.2">
      <c r="A20" s="1"/>
      <c r="B20" s="1"/>
      <c r="C20" s="1"/>
      <c r="D20" s="1"/>
      <c r="E20" s="1"/>
      <c r="F20" s="1"/>
      <c r="G20" s="1"/>
      <c r="H20" s="1"/>
    </row>
    <row r="21" spans="1:8" x14ac:dyDescent="0.2">
      <c r="A21" s="1"/>
      <c r="B21" s="1"/>
      <c r="C21" s="1"/>
      <c r="D21" s="1"/>
      <c r="E21" s="1"/>
      <c r="F21" s="1"/>
      <c r="G21" s="1"/>
      <c r="H21" s="1"/>
    </row>
    <row r="22" spans="1:8" x14ac:dyDescent="0.2">
      <c r="A22" s="1"/>
      <c r="B22" s="1"/>
      <c r="C22" s="1"/>
      <c r="D22" s="4"/>
      <c r="E22" s="1"/>
      <c r="F22" s="1"/>
      <c r="G22" s="1"/>
      <c r="H22" s="1"/>
    </row>
    <row r="23" spans="1:8" x14ac:dyDescent="0.2">
      <c r="A23" s="1"/>
      <c r="B23" s="1"/>
      <c r="C23" s="1"/>
      <c r="D23" s="1"/>
      <c r="E23" s="1"/>
      <c r="F23" s="1"/>
      <c r="G23" s="1"/>
      <c r="H23" s="1"/>
    </row>
    <row r="24" spans="1:8" x14ac:dyDescent="0.2">
      <c r="A24" s="1"/>
      <c r="B24" s="1"/>
      <c r="C24" s="1"/>
      <c r="D24" s="1"/>
      <c r="E24" s="1"/>
      <c r="F24" s="1"/>
      <c r="G24" s="1"/>
      <c r="H24" s="1"/>
    </row>
    <row r="25" spans="1:8" x14ac:dyDescent="0.2">
      <c r="A25" s="1"/>
      <c r="B25" s="1"/>
      <c r="C25" s="1"/>
      <c r="D25" s="1"/>
      <c r="E25" s="1"/>
      <c r="F25" s="1"/>
      <c r="G25" s="1"/>
      <c r="H25" s="1"/>
    </row>
    <row r="26" spans="1:8" x14ac:dyDescent="0.2">
      <c r="A26" s="1"/>
      <c r="B26" s="1"/>
      <c r="C26" s="1"/>
      <c r="D26" s="1"/>
      <c r="E26" s="1"/>
      <c r="F26" s="1"/>
      <c r="G26" s="1"/>
      <c r="H26" s="1"/>
    </row>
    <row r="27" spans="1:8" x14ac:dyDescent="0.2">
      <c r="A27" s="1"/>
      <c r="B27" s="1"/>
      <c r="C27" s="1"/>
      <c r="D27" s="1"/>
      <c r="E27" s="1"/>
      <c r="F27" s="1"/>
      <c r="G27" s="1"/>
      <c r="H27" s="1"/>
    </row>
    <row r="28" spans="1:8" x14ac:dyDescent="0.2">
      <c r="A28" s="1"/>
      <c r="B28" s="1"/>
      <c r="C28" s="1"/>
      <c r="D28" s="1"/>
      <c r="E28" s="1"/>
      <c r="F28" s="1"/>
      <c r="G28" s="1"/>
      <c r="H28" s="1"/>
    </row>
    <row r="29" spans="1:8" x14ac:dyDescent="0.2">
      <c r="A29" s="1"/>
      <c r="B29" s="1"/>
      <c r="C29" s="1"/>
      <c r="D29" s="1"/>
      <c r="E29" s="1"/>
      <c r="F29" s="1"/>
      <c r="G29" s="1"/>
      <c r="H29" s="1"/>
    </row>
    <row r="30" spans="1:8" x14ac:dyDescent="0.2">
      <c r="A30" s="1"/>
      <c r="B30" s="1"/>
      <c r="C30" s="1"/>
      <c r="D30" s="1"/>
      <c r="E30" s="1"/>
      <c r="F30" s="1"/>
      <c r="G30" s="1"/>
      <c r="H30" s="1"/>
    </row>
    <row r="31" spans="1:8" x14ac:dyDescent="0.2">
      <c r="A31" s="1"/>
      <c r="B31" s="1"/>
      <c r="C31" s="1"/>
      <c r="D31" s="1"/>
      <c r="E31" s="1"/>
      <c r="F31" s="1"/>
      <c r="G31" s="1"/>
      <c r="H31" s="1"/>
    </row>
    <row r="32" spans="1:8" x14ac:dyDescent="0.2">
      <c r="A32" s="1"/>
      <c r="B32" s="1"/>
      <c r="C32" s="1"/>
      <c r="D32" s="1"/>
      <c r="E32" s="1"/>
      <c r="F32" s="1"/>
      <c r="G32" s="1"/>
      <c r="H32" s="1"/>
    </row>
    <row r="33" spans="1:8" x14ac:dyDescent="0.2">
      <c r="A33" s="1"/>
      <c r="B33" s="1"/>
      <c r="C33" s="1"/>
      <c r="D33" s="1"/>
      <c r="E33" s="1"/>
      <c r="F33" s="1"/>
      <c r="G33" s="1"/>
      <c r="H33" s="1"/>
    </row>
    <row r="34" spans="1:8" x14ac:dyDescent="0.2">
      <c r="A34" s="1"/>
      <c r="B34" s="1"/>
      <c r="C34" s="1"/>
      <c r="D34" s="1"/>
      <c r="E34" s="1"/>
      <c r="F34" s="1"/>
      <c r="G34" s="1"/>
      <c r="H34" s="1"/>
    </row>
    <row r="35" spans="1:8" x14ac:dyDescent="0.2">
      <c r="A35" s="1"/>
      <c r="B35" s="1"/>
      <c r="C35" s="1"/>
      <c r="D35" s="1"/>
      <c r="E35" s="1"/>
      <c r="F35" s="1"/>
      <c r="G35" s="1"/>
      <c r="H35" s="1"/>
    </row>
    <row r="36" spans="1:8" x14ac:dyDescent="0.2">
      <c r="A36" s="1"/>
      <c r="B36" s="1"/>
      <c r="C36" s="1"/>
      <c r="D36" s="1"/>
      <c r="E36" s="1"/>
      <c r="F36" s="1"/>
      <c r="G36" s="1"/>
      <c r="H36" s="1"/>
    </row>
    <row r="37" spans="1:8" x14ac:dyDescent="0.2">
      <c r="A37" s="1"/>
      <c r="B37" s="1"/>
      <c r="C37" s="1"/>
      <c r="D37" s="1"/>
      <c r="E37" s="1"/>
      <c r="F37" s="1"/>
      <c r="G37" s="1"/>
      <c r="H37" s="1"/>
    </row>
    <row r="38" spans="1:8" x14ac:dyDescent="0.2">
      <c r="A38" s="1"/>
      <c r="B38" s="1"/>
      <c r="C38" s="1"/>
      <c r="D38" s="1"/>
      <c r="E38" s="1"/>
      <c r="F38" s="1"/>
      <c r="G38" s="1"/>
      <c r="H38" s="1"/>
    </row>
    <row r="39" spans="1:8" x14ac:dyDescent="0.2">
      <c r="A39" s="1"/>
      <c r="B39" s="1"/>
      <c r="C39" s="1"/>
      <c r="D39" s="1"/>
      <c r="E39" s="1"/>
      <c r="F39" s="1"/>
      <c r="G39" s="1"/>
      <c r="H39" s="1"/>
    </row>
    <row r="40" spans="1:8" x14ac:dyDescent="0.2">
      <c r="A40" s="1"/>
      <c r="B40" s="1"/>
      <c r="C40" s="1"/>
      <c r="D40" s="1"/>
      <c r="E40" s="1"/>
      <c r="F40" s="1"/>
      <c r="G40" s="1"/>
      <c r="H40" s="1"/>
    </row>
    <row r="41" spans="1:8" x14ac:dyDescent="0.2">
      <c r="A41" s="11" t="s">
        <v>1</v>
      </c>
      <c r="B41" s="12"/>
      <c r="C41" s="12"/>
      <c r="D41" s="13"/>
      <c r="E41" s="8"/>
      <c r="F41" s="8"/>
      <c r="G41" s="8"/>
      <c r="H41" s="8"/>
    </row>
    <row r="42" spans="1:8" x14ac:dyDescent="0.2">
      <c r="A42" s="14" t="s">
        <v>15</v>
      </c>
      <c r="B42" s="15"/>
      <c r="C42" s="15"/>
      <c r="D42" s="16"/>
      <c r="E42" s="8"/>
      <c r="F42" s="8"/>
      <c r="G42" s="8"/>
      <c r="H42" s="8"/>
    </row>
    <row r="43" spans="1:8" x14ac:dyDescent="0.2">
      <c r="A43" s="17" t="s">
        <v>62</v>
      </c>
      <c r="B43" s="18"/>
      <c r="C43" s="18"/>
      <c r="D43" s="19"/>
      <c r="E43" s="8"/>
      <c r="F43" s="8"/>
      <c r="G43" s="8"/>
      <c r="H43" s="8"/>
    </row>
    <row r="44" spans="1:8" x14ac:dyDescent="0.2">
      <c r="A44" s="20"/>
      <c r="B44" s="21"/>
      <c r="C44" s="22"/>
      <c r="D44" s="23"/>
      <c r="E44" s="8"/>
      <c r="F44" s="8" t="s">
        <v>34</v>
      </c>
      <c r="G44" s="8"/>
      <c r="H44" s="8"/>
    </row>
    <row r="45" spans="1:8" ht="15.75" x14ac:dyDescent="0.25">
      <c r="A45" s="24" t="s">
        <v>2</v>
      </c>
      <c r="B45" s="25" t="str">
        <f>[1]Charters!B48</f>
        <v>Renaissance Academy</v>
      </c>
      <c r="C45" s="26"/>
      <c r="D45" s="27"/>
      <c r="E45" s="8"/>
      <c r="F45" s="8"/>
      <c r="G45" s="8"/>
      <c r="H45" s="8"/>
    </row>
    <row r="46" spans="1:8" x14ac:dyDescent="0.2">
      <c r="A46" s="24"/>
      <c r="B46" s="28"/>
      <c r="C46" s="26"/>
      <c r="D46" s="27"/>
      <c r="E46" s="8"/>
      <c r="F46" s="8"/>
      <c r="G46" s="8"/>
      <c r="H46" s="8"/>
    </row>
    <row r="47" spans="1:8" x14ac:dyDescent="0.2">
      <c r="A47" s="29" t="s">
        <v>0</v>
      </c>
      <c r="B47" s="30">
        <f>[1]Charters!$E$6</f>
        <v>3184</v>
      </c>
      <c r="C47" s="26"/>
      <c r="D47" s="31"/>
      <c r="E47" s="8"/>
      <c r="F47" s="8"/>
      <c r="G47" s="8"/>
      <c r="H47" s="8"/>
    </row>
    <row r="48" spans="1:8" x14ac:dyDescent="0.2">
      <c r="A48" s="32"/>
      <c r="B48" s="6"/>
      <c r="C48" s="33"/>
      <c r="D48" s="34" t="s">
        <v>3</v>
      </c>
      <c r="E48" s="8"/>
      <c r="F48" s="8"/>
      <c r="G48" s="8"/>
      <c r="H48" s="8"/>
    </row>
    <row r="49" spans="1:8" x14ac:dyDescent="0.2">
      <c r="A49" s="29" t="s">
        <v>19</v>
      </c>
      <c r="B49" s="35" t="str">
        <f>[1]Charters!A48</f>
        <v>1D</v>
      </c>
      <c r="C49" s="36" t="s">
        <v>4</v>
      </c>
      <c r="D49" s="37" t="s">
        <v>5</v>
      </c>
      <c r="E49" s="8"/>
      <c r="F49" s="8"/>
      <c r="G49" s="8"/>
      <c r="H49" s="8"/>
    </row>
    <row r="50" spans="1:8" x14ac:dyDescent="0.2">
      <c r="A50" s="38" t="s">
        <v>6</v>
      </c>
      <c r="B50" s="39"/>
      <c r="C50" s="40"/>
      <c r="D50" s="41"/>
      <c r="E50" s="8"/>
      <c r="F50" s="8"/>
      <c r="G50" s="8"/>
      <c r="H50" s="8"/>
    </row>
    <row r="51" spans="1:8" x14ac:dyDescent="0.2">
      <c r="A51" s="38" t="s">
        <v>7</v>
      </c>
      <c r="B51" s="39"/>
      <c r="C51" s="40"/>
      <c r="D51" s="41"/>
      <c r="E51" s="8"/>
      <c r="F51" s="42" t="s">
        <v>23</v>
      </c>
      <c r="G51" s="8"/>
      <c r="H51" s="42" t="s">
        <v>26</v>
      </c>
    </row>
    <row r="52" spans="1:8" x14ac:dyDescent="0.2">
      <c r="A52" s="20" t="s">
        <v>8</v>
      </c>
      <c r="B52" s="43"/>
      <c r="C52" s="44">
        <f>[1]Charters!C508</f>
        <v>638.79</v>
      </c>
      <c r="D52" s="45">
        <f>[1]Charters!E508</f>
        <v>2033907.43</v>
      </c>
      <c r="E52" s="8"/>
      <c r="F52" s="42">
        <f>[1]Charters!E663</f>
        <v>2148989.0099999998</v>
      </c>
      <c r="G52" s="8"/>
      <c r="H52" s="42">
        <f>[2]Charters!E202</f>
        <v>2498777.12</v>
      </c>
    </row>
    <row r="53" spans="1:8" x14ac:dyDescent="0.2">
      <c r="A53" s="20" t="s">
        <v>14</v>
      </c>
      <c r="B53" s="43"/>
      <c r="C53" s="44">
        <f>[1]Charters!F508</f>
        <v>36.143999999999998</v>
      </c>
      <c r="D53" s="45">
        <f>[1]Charters!H508</f>
        <v>115081.58</v>
      </c>
      <c r="E53" s="8"/>
      <c r="F53" s="42">
        <f>SUM(D52:D54)</f>
        <v>2148989.0099999998</v>
      </c>
      <c r="G53" s="8"/>
      <c r="H53" s="42">
        <f>D65</f>
        <v>2498777.12</v>
      </c>
    </row>
    <row r="54" spans="1:8" x14ac:dyDescent="0.2">
      <c r="A54" s="20" t="s">
        <v>32</v>
      </c>
      <c r="B54" s="43"/>
      <c r="C54" s="44">
        <f>[1]Charters!C201</f>
        <v>0</v>
      </c>
      <c r="D54" s="45">
        <f>[1]Charters!E201</f>
        <v>0</v>
      </c>
      <c r="E54" s="8"/>
      <c r="F54" s="42">
        <f>+F52-F53</f>
        <v>0</v>
      </c>
      <c r="G54" s="8"/>
      <c r="H54" s="42">
        <f>+H52-H53</f>
        <v>0</v>
      </c>
    </row>
    <row r="55" spans="1:8" x14ac:dyDescent="0.2">
      <c r="A55" s="38" t="s">
        <v>9</v>
      </c>
      <c r="B55" s="39"/>
      <c r="C55" s="46"/>
      <c r="D55" s="47"/>
      <c r="E55" s="8"/>
      <c r="F55" s="8"/>
      <c r="G55" s="8"/>
      <c r="H55" s="8"/>
    </row>
    <row r="56" spans="1:8" x14ac:dyDescent="0.2">
      <c r="A56" s="20" t="s">
        <v>10</v>
      </c>
      <c r="B56" s="43"/>
      <c r="C56" s="40">
        <f>[3]Charters!C47</f>
        <v>43.996000000000002</v>
      </c>
      <c r="D56" s="41">
        <f>[3]Charters!E47</f>
        <v>140083.26</v>
      </c>
      <c r="E56" s="8"/>
      <c r="F56" s="42" t="s">
        <v>24</v>
      </c>
      <c r="G56" s="8"/>
      <c r="H56" s="8"/>
    </row>
    <row r="57" spans="1:8" x14ac:dyDescent="0.2">
      <c r="A57" s="48" t="s">
        <v>11</v>
      </c>
      <c r="B57" s="43"/>
      <c r="C57" s="40">
        <f>[3]Charters!F47</f>
        <v>0.65</v>
      </c>
      <c r="D57" s="49">
        <f>[3]Charters!H47</f>
        <v>2069.6</v>
      </c>
      <c r="E57" s="8"/>
      <c r="F57" s="42">
        <f>[3]Charters!N358</f>
        <v>148912.04999999999</v>
      </c>
      <c r="G57" s="8"/>
      <c r="H57" s="8"/>
    </row>
    <row r="58" spans="1:8" x14ac:dyDescent="0.2">
      <c r="A58" s="48" t="s">
        <v>12</v>
      </c>
      <c r="B58" s="43"/>
      <c r="C58" s="40">
        <f>[3]Charters!C202</f>
        <v>0</v>
      </c>
      <c r="D58" s="41">
        <f>[3]Charters!E202</f>
        <v>0</v>
      </c>
      <c r="E58" s="8"/>
      <c r="F58" s="42">
        <f>SUM(D56:D62)</f>
        <v>148912.04999999999</v>
      </c>
      <c r="G58" s="8"/>
      <c r="H58" s="8"/>
    </row>
    <row r="59" spans="1:8" x14ac:dyDescent="0.2">
      <c r="A59" s="20" t="s">
        <v>13</v>
      </c>
      <c r="B59" s="43"/>
      <c r="C59" s="40">
        <f>[3]Charters!F202</f>
        <v>0.70899999999999996</v>
      </c>
      <c r="D59" s="41">
        <f>[3]Charters!H202</f>
        <v>2259</v>
      </c>
      <c r="E59" s="8"/>
      <c r="F59" s="42">
        <f>+F57-F58</f>
        <v>0</v>
      </c>
      <c r="G59" s="8"/>
      <c r="H59" s="8"/>
    </row>
    <row r="60" spans="1:8" x14ac:dyDescent="0.2">
      <c r="A60" s="48" t="s">
        <v>54</v>
      </c>
      <c r="B60" s="43"/>
      <c r="C60" s="40">
        <f>[3]Charters!C358</f>
        <v>1.413</v>
      </c>
      <c r="D60" s="41">
        <f>[3]Charters!E358</f>
        <v>4500.1899999999996</v>
      </c>
      <c r="E60" s="8"/>
      <c r="F60" s="8"/>
      <c r="G60" s="8"/>
      <c r="H60" s="8"/>
    </row>
    <row r="61" spans="1:8" x14ac:dyDescent="0.2">
      <c r="A61" s="48" t="s">
        <v>55</v>
      </c>
      <c r="B61" s="43"/>
      <c r="C61" s="40">
        <f>[3]Charters!F358</f>
        <v>0</v>
      </c>
      <c r="D61" s="41">
        <f>[3]Charters!H358</f>
        <v>0</v>
      </c>
      <c r="E61" s="8"/>
      <c r="F61" s="42" t="s">
        <v>25</v>
      </c>
      <c r="G61" s="8"/>
      <c r="H61" s="8"/>
    </row>
    <row r="62" spans="1:8" x14ac:dyDescent="0.2">
      <c r="A62" s="48" t="s">
        <v>56</v>
      </c>
      <c r="B62" s="43"/>
      <c r="C62" s="40">
        <f>[3]Charters!I358</f>
        <v>0</v>
      </c>
      <c r="D62" s="41">
        <f>[3]Charters!K358</f>
        <v>0</v>
      </c>
      <c r="E62" s="8"/>
      <c r="F62" s="42">
        <f>[2]Charters!H48</f>
        <v>349788.11</v>
      </c>
      <c r="G62" s="8"/>
      <c r="H62" s="8"/>
    </row>
    <row r="63" spans="1:8" x14ac:dyDescent="0.2">
      <c r="A63" s="20" t="s">
        <v>49</v>
      </c>
      <c r="B63" s="43"/>
      <c r="C63" s="40">
        <f>[3]Charters!C515</f>
        <v>0</v>
      </c>
      <c r="D63" s="41">
        <f>[3]Charters!E515</f>
        <v>0</v>
      </c>
      <c r="E63" s="8"/>
      <c r="F63" s="42">
        <f>SUM(D56:D64)</f>
        <v>349788.11</v>
      </c>
      <c r="G63" s="8"/>
      <c r="H63" s="8"/>
    </row>
    <row r="64" spans="1:8" x14ac:dyDescent="0.2">
      <c r="A64" s="20" t="s">
        <v>50</v>
      </c>
      <c r="B64" s="43"/>
      <c r="C64" s="40">
        <f>[2]Charters!C48</f>
        <v>63.088999999999999</v>
      </c>
      <c r="D64" s="41">
        <f>[2]Charters!E48</f>
        <v>200876.06</v>
      </c>
      <c r="E64" s="8"/>
      <c r="F64" s="42">
        <f>+F62-F63</f>
        <v>0</v>
      </c>
      <c r="G64" s="8"/>
      <c r="H64" s="8"/>
    </row>
    <row r="65" spans="1:8" x14ac:dyDescent="0.2">
      <c r="A65" s="50"/>
      <c r="B65" s="51" t="s">
        <v>16</v>
      </c>
      <c r="C65" s="52">
        <f>SUM(C52:C64)</f>
        <v>784.79100000000005</v>
      </c>
      <c r="D65" s="53">
        <f>SUM(D52:D64)</f>
        <v>2498777.12</v>
      </c>
      <c r="E65" s="8"/>
      <c r="F65" s="8"/>
      <c r="G65" s="8"/>
      <c r="H65" s="8"/>
    </row>
    <row r="66" spans="1:8" x14ac:dyDescent="0.2">
      <c r="A66" s="54" t="s">
        <v>17</v>
      </c>
      <c r="B66" s="39"/>
      <c r="C66" s="55"/>
      <c r="D66" s="47"/>
      <c r="E66" s="8"/>
      <c r="F66" s="8"/>
      <c r="G66" s="8"/>
      <c r="H66" s="42" t="s">
        <v>29</v>
      </c>
    </row>
    <row r="67" spans="1:8" x14ac:dyDescent="0.2">
      <c r="A67" s="20" t="s">
        <v>33</v>
      </c>
      <c r="B67" s="43"/>
      <c r="C67" s="56"/>
      <c r="D67" s="57">
        <f>[4]Charters!C47</f>
        <v>7242.63</v>
      </c>
      <c r="E67" s="8"/>
      <c r="F67" s="8"/>
      <c r="G67" s="8"/>
      <c r="H67" s="42">
        <f>[4]Charters!F988</f>
        <v>4311207.3600000003</v>
      </c>
    </row>
    <row r="68" spans="1:8" x14ac:dyDescent="0.2">
      <c r="A68" s="58" t="s">
        <v>35</v>
      </c>
      <c r="B68" s="43"/>
      <c r="C68" s="56"/>
      <c r="D68" s="41">
        <f>+[4]Charters!F368</f>
        <v>3074.49</v>
      </c>
      <c r="E68" s="8"/>
      <c r="F68" s="8"/>
      <c r="G68" s="8"/>
      <c r="H68" s="42">
        <f>SUM(D65:D84)</f>
        <v>4311207.3600000003</v>
      </c>
    </row>
    <row r="69" spans="1:8" x14ac:dyDescent="0.2">
      <c r="A69" s="59" t="s">
        <v>36</v>
      </c>
      <c r="B69" s="43"/>
      <c r="C69" s="56"/>
      <c r="D69" s="41">
        <f>[4]Charters!E207</f>
        <v>20200</v>
      </c>
      <c r="E69" s="8"/>
      <c r="F69" s="8"/>
      <c r="G69" s="8"/>
      <c r="H69" s="42">
        <f>+H67-H68</f>
        <v>0</v>
      </c>
    </row>
    <row r="70" spans="1:8" x14ac:dyDescent="0.2">
      <c r="A70" s="59" t="s">
        <v>52</v>
      </c>
      <c r="B70" s="43"/>
      <c r="C70" s="56"/>
      <c r="D70" s="41">
        <f>[4]Charters!G368</f>
        <v>0</v>
      </c>
      <c r="E70" s="8"/>
      <c r="F70" s="42" t="s">
        <v>27</v>
      </c>
      <c r="G70" s="8"/>
      <c r="H70" s="42"/>
    </row>
    <row r="71" spans="1:8" x14ac:dyDescent="0.2">
      <c r="A71" s="20" t="s">
        <v>37</v>
      </c>
      <c r="B71" s="43"/>
      <c r="C71" s="56"/>
      <c r="D71" s="41">
        <f>[4]Charters!E524</f>
        <v>53835</v>
      </c>
      <c r="E71" s="8"/>
      <c r="F71" s="42">
        <f>[4]Charters!E207</f>
        <v>20200</v>
      </c>
      <c r="G71" s="8"/>
      <c r="H71" s="8"/>
    </row>
    <row r="72" spans="1:8" x14ac:dyDescent="0.2">
      <c r="A72" s="20" t="s">
        <v>38</v>
      </c>
      <c r="B72" s="43"/>
      <c r="C72" s="56"/>
      <c r="D72" s="41">
        <f>[4]Charters!F524</f>
        <v>0</v>
      </c>
      <c r="E72" s="8"/>
      <c r="F72" s="42">
        <f>SUM(D69:D69)</f>
        <v>20200</v>
      </c>
      <c r="G72" s="8"/>
      <c r="H72" s="8"/>
    </row>
    <row r="73" spans="1:8" x14ac:dyDescent="0.2">
      <c r="A73" s="59" t="s">
        <v>40</v>
      </c>
      <c r="B73" s="43"/>
      <c r="C73" s="56"/>
      <c r="D73" s="41">
        <f>[4]Charters!G524</f>
        <v>0</v>
      </c>
      <c r="E73" s="8"/>
      <c r="F73" s="42">
        <f>+F71-F72</f>
        <v>0</v>
      </c>
      <c r="G73" s="8"/>
      <c r="H73" s="8"/>
    </row>
    <row r="74" spans="1:8" x14ac:dyDescent="0.2">
      <c r="A74" s="20" t="s">
        <v>41</v>
      </c>
      <c r="B74" s="43"/>
      <c r="C74" s="56"/>
      <c r="D74" s="41">
        <f>[4]Charters!C679</f>
        <v>1442721</v>
      </c>
      <c r="E74" s="8"/>
      <c r="F74" s="42" t="s">
        <v>28</v>
      </c>
      <c r="G74" s="8"/>
      <c r="H74" s="8"/>
    </row>
    <row r="75" spans="1:8" x14ac:dyDescent="0.2">
      <c r="A75" s="20" t="s">
        <v>42</v>
      </c>
      <c r="B75" s="43"/>
      <c r="C75" s="56"/>
      <c r="D75" s="41">
        <f>[4]Charters!D679</f>
        <v>180199.86</v>
      </c>
      <c r="E75" s="8"/>
      <c r="F75" s="42">
        <f>[4]Charters!D524</f>
        <v>23274.49</v>
      </c>
      <c r="G75" s="8"/>
      <c r="H75" s="8"/>
    </row>
    <row r="76" spans="1:8" x14ac:dyDescent="0.2">
      <c r="A76" s="20" t="s">
        <v>44</v>
      </c>
      <c r="B76" s="43"/>
      <c r="C76" s="56"/>
      <c r="D76" s="41">
        <f>[4]Charters!E679</f>
        <v>72100</v>
      </c>
      <c r="E76" s="8"/>
      <c r="F76" s="42">
        <f>SUM(D68:D70)</f>
        <v>23274.49</v>
      </c>
      <c r="G76" s="8"/>
      <c r="H76" s="8"/>
    </row>
    <row r="77" spans="1:8" x14ac:dyDescent="0.2">
      <c r="A77" s="59" t="s">
        <v>43</v>
      </c>
      <c r="B77" s="43"/>
      <c r="C77" s="56"/>
      <c r="D77" s="41">
        <f>[4]Charters!F679</f>
        <v>19014.75</v>
      </c>
      <c r="E77" s="8"/>
      <c r="F77" s="42">
        <f>+F75-F76</f>
        <v>0</v>
      </c>
      <c r="G77" s="8"/>
      <c r="H77" s="8"/>
    </row>
    <row r="78" spans="1:8" x14ac:dyDescent="0.2">
      <c r="A78" s="59" t="s">
        <v>45</v>
      </c>
      <c r="B78" s="43"/>
      <c r="C78" s="56"/>
      <c r="D78" s="41">
        <f>[4]Charters!C524</f>
        <v>0</v>
      </c>
      <c r="E78" s="8"/>
      <c r="F78" s="8"/>
      <c r="G78" s="8"/>
      <c r="H78" s="8"/>
    </row>
    <row r="79" spans="1:8" x14ac:dyDescent="0.2">
      <c r="A79" s="59" t="s">
        <v>46</v>
      </c>
      <c r="B79" s="43"/>
      <c r="C79" s="56"/>
      <c r="D79" s="41">
        <f>[4]Charters!C835</f>
        <v>10000</v>
      </c>
      <c r="E79" s="8"/>
      <c r="F79" s="8"/>
      <c r="G79" s="8"/>
      <c r="H79" s="42" t="s">
        <v>31</v>
      </c>
    </row>
    <row r="80" spans="1:8" x14ac:dyDescent="0.2">
      <c r="A80" s="59" t="s">
        <v>51</v>
      </c>
      <c r="B80" s="43"/>
      <c r="C80" s="56"/>
      <c r="D80" s="60">
        <f>[4]Charters!D835</f>
        <v>954.4</v>
      </c>
      <c r="E80" s="42"/>
      <c r="F80" s="42"/>
      <c r="G80" s="42"/>
      <c r="H80" s="42">
        <f>[4]Charters!D1294</f>
        <v>4317846.3600000003</v>
      </c>
    </row>
    <row r="81" spans="1:8" x14ac:dyDescent="0.2">
      <c r="A81" s="20" t="s">
        <v>47</v>
      </c>
      <c r="B81" s="43"/>
      <c r="C81" s="56"/>
      <c r="D81" s="60">
        <f>[4]Charters!E835</f>
        <v>0</v>
      </c>
      <c r="E81" s="42"/>
      <c r="F81" s="42"/>
      <c r="G81" s="42"/>
      <c r="H81" s="42">
        <f>D90</f>
        <v>4317846.3600000003</v>
      </c>
    </row>
    <row r="82" spans="1:8" x14ac:dyDescent="0.2">
      <c r="A82" s="20" t="s">
        <v>57</v>
      </c>
      <c r="B82" s="43"/>
      <c r="C82" s="56"/>
      <c r="D82" s="60">
        <f>[4]Charters!C988</f>
        <v>3088.11</v>
      </c>
      <c r="E82" s="42"/>
      <c r="F82" s="42"/>
      <c r="G82" s="42"/>
      <c r="H82" s="42">
        <f>+H80-H81</f>
        <v>0</v>
      </c>
    </row>
    <row r="83" spans="1:8" x14ac:dyDescent="0.2">
      <c r="A83" s="59" t="s">
        <v>53</v>
      </c>
      <c r="B83" s="43"/>
      <c r="C83" s="56"/>
      <c r="D83" s="60">
        <f>[4]Charters!D988</f>
        <v>0</v>
      </c>
      <c r="E83" s="42"/>
      <c r="F83" s="42" t="s">
        <v>30</v>
      </c>
      <c r="G83" s="42"/>
      <c r="H83" s="42"/>
    </row>
    <row r="84" spans="1:8" x14ac:dyDescent="0.2">
      <c r="A84" s="59" t="s">
        <v>59</v>
      </c>
      <c r="B84" s="43"/>
      <c r="C84" s="56"/>
      <c r="D84" s="60">
        <f>[4]Charters!E988</f>
        <v>0</v>
      </c>
      <c r="E84" s="42"/>
      <c r="F84" s="42"/>
      <c r="G84" s="42"/>
      <c r="H84" s="42"/>
    </row>
    <row r="85" spans="1:8" x14ac:dyDescent="0.2">
      <c r="A85" s="38" t="s">
        <v>18</v>
      </c>
      <c r="B85" s="61"/>
      <c r="C85" s="62"/>
      <c r="D85" s="87"/>
      <c r="E85" s="42"/>
      <c r="F85" s="42">
        <f>[4]Charters!C1294</f>
        <v>6639</v>
      </c>
      <c r="G85" s="42"/>
      <c r="H85" s="42"/>
    </row>
    <row r="86" spans="1:8" x14ac:dyDescent="0.2">
      <c r="A86" s="59" t="s">
        <v>39</v>
      </c>
      <c r="B86" s="43"/>
      <c r="C86" s="56"/>
      <c r="D86" s="41">
        <f>[4]Charters!C1141</f>
        <v>6639</v>
      </c>
      <c r="E86" s="42"/>
      <c r="F86" s="42">
        <f>SUM(D86:D89)</f>
        <v>6639</v>
      </c>
      <c r="G86" s="42"/>
      <c r="H86" s="42"/>
    </row>
    <row r="87" spans="1:8" x14ac:dyDescent="0.2">
      <c r="A87" s="59" t="s">
        <v>48</v>
      </c>
      <c r="B87" s="43"/>
      <c r="C87" s="56"/>
      <c r="D87" s="41">
        <f>[4]Charters!D1141</f>
        <v>0</v>
      </c>
      <c r="E87" s="42"/>
      <c r="F87" s="42">
        <f>+F85-F86</f>
        <v>0</v>
      </c>
      <c r="G87" s="42"/>
      <c r="H87" s="42"/>
    </row>
    <row r="88" spans="1:8" x14ac:dyDescent="0.2">
      <c r="A88" s="59" t="s">
        <v>60</v>
      </c>
      <c r="B88" s="43"/>
      <c r="C88" s="56"/>
      <c r="D88" s="41">
        <f>[4]Charters!E1141</f>
        <v>0</v>
      </c>
      <c r="E88" s="42"/>
      <c r="F88" s="42"/>
      <c r="G88" s="42"/>
      <c r="H88" s="42"/>
    </row>
    <row r="89" spans="1:8" x14ac:dyDescent="0.2">
      <c r="A89" s="59" t="s">
        <v>61</v>
      </c>
      <c r="B89" s="43"/>
      <c r="C89" s="56"/>
      <c r="D89" s="41">
        <f>[4]Charters!F1141</f>
        <v>0</v>
      </c>
      <c r="E89" s="42"/>
      <c r="F89" s="42"/>
      <c r="G89" s="42"/>
      <c r="H89" s="42"/>
    </row>
    <row r="90" spans="1:8" ht="13.5" thickBot="1" x14ac:dyDescent="0.25">
      <c r="A90" s="64"/>
      <c r="B90" s="65"/>
      <c r="C90" s="66"/>
      <c r="D90" s="67">
        <f>SUM(D65:D89)</f>
        <v>4317846.3600000003</v>
      </c>
      <c r="E90" s="42"/>
      <c r="F90" s="42"/>
      <c r="G90" s="42"/>
      <c r="H90" s="42"/>
    </row>
    <row r="91" spans="1:8" ht="13.5" thickTop="1" x14ac:dyDescent="0.2">
      <c r="A91" s="68"/>
      <c r="B91" s="43"/>
      <c r="C91" s="56"/>
      <c r="D91" s="86"/>
      <c r="E91" s="42"/>
      <c r="F91" s="42"/>
      <c r="G91" s="42"/>
      <c r="H91" s="42"/>
    </row>
    <row r="92" spans="1:8" x14ac:dyDescent="0.2">
      <c r="A92" s="38" t="s">
        <v>20</v>
      </c>
      <c r="B92" s="39"/>
      <c r="C92" s="70"/>
      <c r="D92" s="71" t="s">
        <v>21</v>
      </c>
      <c r="E92" s="42"/>
      <c r="F92" s="42"/>
      <c r="G92" s="42"/>
      <c r="H92" s="42"/>
    </row>
    <row r="93" spans="1:8" x14ac:dyDescent="0.2">
      <c r="A93" s="72" t="s">
        <v>22</v>
      </c>
      <c r="B93" s="73"/>
      <c r="C93" s="74"/>
      <c r="D93" s="41">
        <f>[5]Charters!C47</f>
        <v>1697.57</v>
      </c>
      <c r="E93" s="42"/>
      <c r="F93" s="42"/>
      <c r="G93" s="42"/>
      <c r="H93" s="42"/>
    </row>
    <row r="94" spans="1:8" x14ac:dyDescent="0.2">
      <c r="A94" s="75"/>
      <c r="B94" s="61"/>
      <c r="C94" s="76"/>
      <c r="D94" s="77">
        <f>SUM(D93:D93)</f>
        <v>1697.57</v>
      </c>
      <c r="E94" s="42"/>
      <c r="F94" s="42"/>
      <c r="G94" s="42"/>
      <c r="H94" s="42"/>
    </row>
    <row r="95" spans="1:8" x14ac:dyDescent="0.2">
      <c r="A95" s="78" t="s">
        <v>58</v>
      </c>
      <c r="B95" s="79"/>
      <c r="C95" s="80"/>
      <c r="D95" s="77">
        <f>D94+D90</f>
        <v>4319543.93</v>
      </c>
      <c r="E95" s="42"/>
      <c r="F95" s="42"/>
      <c r="G95" s="42"/>
      <c r="H95" s="42"/>
    </row>
    <row r="96" spans="1:8" x14ac:dyDescent="0.2">
      <c r="A96" s="84"/>
      <c r="B96" s="84"/>
      <c r="C96" s="85"/>
      <c r="D96" s="81"/>
      <c r="E96" s="42"/>
      <c r="F96" s="42"/>
      <c r="G96" s="42"/>
      <c r="H96" s="42"/>
    </row>
    <row r="97" spans="1:8" x14ac:dyDescent="0.2">
      <c r="A97" s="84"/>
      <c r="B97" s="84"/>
      <c r="C97" s="85"/>
      <c r="D97" s="81">
        <f>[5]Charters!E203</f>
        <v>4319543.93</v>
      </c>
      <c r="E97" s="42"/>
      <c r="F97" s="42"/>
      <c r="G97" s="42"/>
      <c r="H97" s="42"/>
    </row>
    <row r="98" spans="1:8" x14ac:dyDescent="0.2">
      <c r="A98" s="84"/>
      <c r="B98" s="84"/>
      <c r="C98" s="85"/>
      <c r="D98" s="81">
        <f>D95</f>
        <v>4319543.93</v>
      </c>
      <c r="E98" s="42"/>
      <c r="F98" s="42"/>
      <c r="G98" s="42"/>
      <c r="H98" s="42"/>
    </row>
    <row r="99" spans="1:8" x14ac:dyDescent="0.2">
      <c r="C99" s="83"/>
      <c r="D99" s="42">
        <f>D97-D98</f>
        <v>0</v>
      </c>
      <c r="E99" s="42"/>
      <c r="F99" s="42"/>
      <c r="G99" s="42"/>
      <c r="H99" s="42"/>
    </row>
    <row r="100" spans="1:8" x14ac:dyDescent="0.2">
      <c r="C100" s="83"/>
      <c r="D100" s="42">
        <f>D98-D99</f>
        <v>4319543.93</v>
      </c>
      <c r="E100" s="42"/>
      <c r="F100" s="42"/>
      <c r="G100" s="42"/>
      <c r="H100" s="42"/>
    </row>
  </sheetData>
  <mergeCells count="4">
    <mergeCell ref="A41:D41"/>
    <mergeCell ref="A95:C95"/>
    <mergeCell ref="A42:D42"/>
    <mergeCell ref="A43:D43"/>
  </mergeCells>
  <phoneticPr fontId="1" type="noConversion"/>
  <printOptions horizontalCentered="1" verticalCentered="1"/>
  <pageMargins left="0.5" right="0.5" top="0.5" bottom="0.5" header="0.25" footer="0.25"/>
  <pageSetup orientation="portrait" verticalDpi="1200" r:id="rId1"/>
  <headerFooter alignWithMargins="0">
    <oddHeader>&amp;R&amp;8Current as of: &amp;D</oddHeader>
    <oddFooter>&amp;L&amp;8USOE, School Finance</oddFooter>
  </headerFooter>
  <picture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>
    <pageSetUpPr fitToPage="1"/>
  </sheetPr>
  <dimension ref="A1:H101"/>
  <sheetViews>
    <sheetView showGridLines="0" topLeftCell="A41" workbookViewId="0">
      <selection activeCell="C12" sqref="C12"/>
    </sheetView>
  </sheetViews>
  <sheetFormatPr defaultColWidth="9.140625" defaultRowHeight="12.75" x14ac:dyDescent="0.2"/>
  <cols>
    <col min="1" max="1" width="31.85546875" style="82" customWidth="1"/>
    <col min="2" max="2" width="16.140625" style="82" customWidth="1"/>
    <col min="3" max="4" width="14.85546875" style="82" customWidth="1"/>
    <col min="5" max="5" width="7" style="82" customWidth="1"/>
    <col min="6" max="6" width="19.7109375" style="82" customWidth="1"/>
    <col min="7" max="7" width="5.7109375" style="82" customWidth="1"/>
    <col min="8" max="8" width="18" style="82" customWidth="1"/>
    <col min="9" max="16384" width="9.140625" style="82"/>
  </cols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"/>
      <c r="B3" s="1"/>
      <c r="C3" s="1"/>
      <c r="D3" s="1"/>
      <c r="E3" s="1"/>
      <c r="F3" s="1"/>
      <c r="G3" s="1"/>
      <c r="H3" s="1"/>
    </row>
    <row r="4" spans="1:8" x14ac:dyDescent="0.2">
      <c r="A4" s="1"/>
      <c r="B4" s="1"/>
      <c r="C4" s="1"/>
      <c r="D4" s="1"/>
      <c r="E4" s="1"/>
      <c r="F4" s="1"/>
      <c r="G4" s="1"/>
      <c r="H4" s="1"/>
    </row>
    <row r="5" spans="1:8" x14ac:dyDescent="0.2">
      <c r="A5" s="1"/>
      <c r="B5" s="1"/>
      <c r="C5" s="1"/>
      <c r="D5" s="1"/>
      <c r="E5" s="1"/>
      <c r="F5" s="1"/>
      <c r="G5" s="1"/>
      <c r="H5" s="1"/>
    </row>
    <row r="6" spans="1:8" x14ac:dyDescent="0.2">
      <c r="A6" s="1"/>
      <c r="B6" s="1"/>
      <c r="C6" s="1"/>
      <c r="D6" s="1"/>
      <c r="E6" s="1"/>
      <c r="F6" s="1"/>
      <c r="G6" s="1"/>
      <c r="H6" s="1"/>
    </row>
    <row r="7" spans="1:8" x14ac:dyDescent="0.2">
      <c r="A7" s="1"/>
      <c r="B7" s="1"/>
      <c r="C7" s="1"/>
      <c r="D7" s="1"/>
      <c r="E7" s="1"/>
      <c r="F7" s="1"/>
      <c r="G7" s="1"/>
      <c r="H7" s="1"/>
    </row>
    <row r="8" spans="1:8" x14ac:dyDescent="0.2">
      <c r="A8" s="1"/>
      <c r="B8" s="1"/>
      <c r="C8" s="1"/>
      <c r="D8" s="1"/>
      <c r="E8" s="1"/>
      <c r="F8" s="1"/>
      <c r="G8" s="1"/>
      <c r="H8" s="1"/>
    </row>
    <row r="9" spans="1:8" x14ac:dyDescent="0.2">
      <c r="A9" s="1"/>
      <c r="B9" s="1"/>
      <c r="C9" s="1"/>
      <c r="D9" s="1"/>
      <c r="E9" s="1"/>
      <c r="F9" s="1"/>
      <c r="G9" s="1"/>
      <c r="H9" s="1"/>
    </row>
    <row r="10" spans="1:8" x14ac:dyDescent="0.2">
      <c r="A10" s="1"/>
      <c r="B10" s="1"/>
      <c r="C10" s="1"/>
      <c r="D10" s="1"/>
      <c r="E10" s="1"/>
      <c r="F10" s="1"/>
      <c r="G10" s="1"/>
      <c r="H10" s="1"/>
    </row>
    <row r="11" spans="1:8" x14ac:dyDescent="0.2">
      <c r="A11" s="1"/>
      <c r="B11" s="1"/>
      <c r="C11" s="1"/>
      <c r="D11" s="1"/>
      <c r="E11" s="1"/>
      <c r="F11" s="1"/>
      <c r="G11" s="1"/>
      <c r="H11" s="1"/>
    </row>
    <row r="12" spans="1:8" x14ac:dyDescent="0.2">
      <c r="A12" s="1"/>
      <c r="B12" s="1"/>
      <c r="C12" s="1"/>
      <c r="D12" s="1"/>
      <c r="E12" s="1"/>
      <c r="F12" s="1"/>
      <c r="G12" s="1"/>
      <c r="H12" s="1"/>
    </row>
    <row r="13" spans="1:8" x14ac:dyDescent="0.2">
      <c r="A13" s="1"/>
      <c r="B13" s="1"/>
      <c r="C13" s="1"/>
      <c r="D13" s="1"/>
      <c r="E13" s="1"/>
      <c r="F13" s="1"/>
      <c r="G13" s="1"/>
      <c r="H13" s="1"/>
    </row>
    <row r="14" spans="1:8" x14ac:dyDescent="0.2">
      <c r="A14" s="1"/>
      <c r="B14" s="1"/>
      <c r="C14" s="1"/>
      <c r="D14" s="1"/>
      <c r="E14" s="1"/>
      <c r="F14" s="1"/>
      <c r="G14" s="1"/>
      <c r="H14" s="1"/>
    </row>
    <row r="15" spans="1:8" x14ac:dyDescent="0.2">
      <c r="A15" s="1"/>
      <c r="B15" s="1"/>
      <c r="C15" s="1"/>
      <c r="D15" s="1"/>
      <c r="E15" s="1"/>
      <c r="F15" s="1"/>
      <c r="G15" s="1"/>
      <c r="H15" s="1"/>
    </row>
    <row r="16" spans="1:8" x14ac:dyDescent="0.2">
      <c r="A16" s="1"/>
      <c r="B16" s="1"/>
      <c r="C16" s="1"/>
      <c r="D16" s="1"/>
      <c r="E16" s="1"/>
      <c r="F16" s="1"/>
      <c r="G16" s="1"/>
      <c r="H16" s="1"/>
    </row>
    <row r="17" spans="1:8" x14ac:dyDescent="0.2">
      <c r="A17" s="1"/>
      <c r="B17" s="1"/>
      <c r="C17" s="1"/>
      <c r="D17" s="1"/>
      <c r="E17" s="1"/>
      <c r="F17" s="1"/>
      <c r="G17" s="1"/>
      <c r="H17" s="1"/>
    </row>
    <row r="18" spans="1:8" x14ac:dyDescent="0.2">
      <c r="A18" s="1"/>
      <c r="B18" s="1"/>
      <c r="C18" s="1"/>
      <c r="D18" s="1"/>
      <c r="E18" s="1"/>
      <c r="F18" s="1"/>
      <c r="G18" s="1"/>
      <c r="H18" s="1"/>
    </row>
    <row r="19" spans="1:8" x14ac:dyDescent="0.2">
      <c r="A19" s="1"/>
      <c r="B19" s="1"/>
      <c r="C19" s="1"/>
      <c r="D19" s="1"/>
      <c r="E19" s="1"/>
      <c r="F19" s="1"/>
      <c r="G19" s="1"/>
      <c r="H19" s="1"/>
    </row>
    <row r="20" spans="1:8" x14ac:dyDescent="0.2">
      <c r="A20" s="1"/>
      <c r="B20" s="1"/>
      <c r="C20" s="1"/>
      <c r="D20" s="1"/>
      <c r="E20" s="1"/>
      <c r="F20" s="1"/>
      <c r="G20" s="1"/>
      <c r="H20" s="1"/>
    </row>
    <row r="21" spans="1:8" x14ac:dyDescent="0.2">
      <c r="A21" s="1"/>
      <c r="B21" s="1"/>
      <c r="C21" s="1"/>
      <c r="D21" s="1"/>
      <c r="E21" s="1"/>
      <c r="F21" s="1"/>
      <c r="G21" s="1"/>
      <c r="H21" s="1"/>
    </row>
    <row r="22" spans="1:8" x14ac:dyDescent="0.2">
      <c r="A22" s="1"/>
      <c r="B22" s="1"/>
      <c r="C22" s="1"/>
      <c r="D22" s="4"/>
      <c r="E22" s="1"/>
      <c r="F22" s="1"/>
      <c r="G22" s="1"/>
      <c r="H22" s="1"/>
    </row>
    <row r="23" spans="1:8" x14ac:dyDescent="0.2">
      <c r="A23" s="1"/>
      <c r="B23" s="1"/>
      <c r="C23" s="1"/>
      <c r="D23" s="1"/>
      <c r="E23" s="1"/>
      <c r="F23" s="1"/>
      <c r="G23" s="1"/>
      <c r="H23" s="1"/>
    </row>
    <row r="24" spans="1:8" x14ac:dyDescent="0.2">
      <c r="A24" s="1"/>
      <c r="B24" s="1"/>
      <c r="C24" s="1"/>
      <c r="D24" s="1"/>
      <c r="E24" s="1"/>
      <c r="F24" s="1"/>
      <c r="G24" s="1"/>
      <c r="H24" s="1"/>
    </row>
    <row r="25" spans="1:8" x14ac:dyDescent="0.2">
      <c r="A25" s="1"/>
      <c r="B25" s="1"/>
      <c r="C25" s="1"/>
      <c r="D25" s="1"/>
      <c r="E25" s="1"/>
      <c r="F25" s="1"/>
      <c r="G25" s="1"/>
      <c r="H25" s="1"/>
    </row>
    <row r="26" spans="1:8" x14ac:dyDescent="0.2">
      <c r="A26" s="1"/>
      <c r="B26" s="1"/>
      <c r="C26" s="1"/>
      <c r="D26" s="1"/>
      <c r="E26" s="1"/>
      <c r="F26" s="1"/>
      <c r="G26" s="1"/>
      <c r="H26" s="1"/>
    </row>
    <row r="27" spans="1:8" x14ac:dyDescent="0.2">
      <c r="A27" s="1"/>
      <c r="B27" s="1"/>
      <c r="C27" s="1"/>
      <c r="D27" s="1"/>
      <c r="E27" s="1"/>
      <c r="F27" s="1"/>
      <c r="G27" s="1"/>
      <c r="H27" s="1"/>
    </row>
    <row r="28" spans="1:8" x14ac:dyDescent="0.2">
      <c r="A28" s="1"/>
      <c r="B28" s="1"/>
      <c r="C28" s="1"/>
      <c r="D28" s="1"/>
      <c r="E28" s="1"/>
      <c r="F28" s="1"/>
      <c r="G28" s="1"/>
      <c r="H28" s="1"/>
    </row>
    <row r="29" spans="1:8" x14ac:dyDescent="0.2">
      <c r="A29" s="1"/>
      <c r="B29" s="1"/>
      <c r="C29" s="1"/>
      <c r="D29" s="1"/>
      <c r="E29" s="1"/>
      <c r="F29" s="1"/>
      <c r="G29" s="1"/>
      <c r="H29" s="1"/>
    </row>
    <row r="30" spans="1:8" x14ac:dyDescent="0.2">
      <c r="A30" s="1"/>
      <c r="B30" s="1"/>
      <c r="C30" s="1"/>
      <c r="D30" s="1"/>
      <c r="E30" s="1"/>
      <c r="F30" s="1"/>
      <c r="G30" s="1"/>
      <c r="H30" s="1"/>
    </row>
    <row r="31" spans="1:8" x14ac:dyDescent="0.2">
      <c r="A31" s="1"/>
      <c r="B31" s="1"/>
      <c r="C31" s="1"/>
      <c r="D31" s="1"/>
      <c r="E31" s="1"/>
      <c r="F31" s="1"/>
      <c r="G31" s="1"/>
      <c r="H31" s="1"/>
    </row>
    <row r="32" spans="1:8" x14ac:dyDescent="0.2">
      <c r="A32" s="1"/>
      <c r="B32" s="1"/>
      <c r="C32" s="1"/>
      <c r="D32" s="1"/>
      <c r="E32" s="1"/>
      <c r="F32" s="1"/>
      <c r="G32" s="1"/>
      <c r="H32" s="1"/>
    </row>
    <row r="33" spans="1:8" x14ac:dyDescent="0.2">
      <c r="A33" s="1"/>
      <c r="B33" s="1"/>
      <c r="C33" s="1"/>
      <c r="D33" s="1"/>
      <c r="E33" s="1"/>
      <c r="F33" s="1"/>
      <c r="G33" s="1"/>
      <c r="H33" s="1"/>
    </row>
    <row r="34" spans="1:8" x14ac:dyDescent="0.2">
      <c r="A34" s="1"/>
      <c r="B34" s="1"/>
      <c r="C34" s="1"/>
      <c r="D34" s="1"/>
      <c r="E34" s="1"/>
      <c r="F34" s="1"/>
      <c r="G34" s="1"/>
      <c r="H34" s="1"/>
    </row>
    <row r="35" spans="1:8" x14ac:dyDescent="0.2">
      <c r="A35" s="1"/>
      <c r="B35" s="1"/>
      <c r="C35" s="1"/>
      <c r="D35" s="1"/>
      <c r="E35" s="1"/>
      <c r="F35" s="1"/>
      <c r="G35" s="1"/>
      <c r="H35" s="1"/>
    </row>
    <row r="36" spans="1:8" x14ac:dyDescent="0.2">
      <c r="A36" s="1"/>
      <c r="B36" s="1"/>
      <c r="C36" s="1"/>
      <c r="D36" s="1"/>
      <c r="E36" s="1"/>
      <c r="F36" s="1"/>
      <c r="G36" s="1"/>
      <c r="H36" s="1"/>
    </row>
    <row r="37" spans="1:8" x14ac:dyDescent="0.2">
      <c r="A37" s="1"/>
      <c r="B37" s="1"/>
      <c r="C37" s="1"/>
      <c r="D37" s="1"/>
      <c r="E37" s="1"/>
      <c r="F37" s="1"/>
      <c r="G37" s="1"/>
      <c r="H37" s="1"/>
    </row>
    <row r="38" spans="1:8" x14ac:dyDescent="0.2">
      <c r="A38" s="1"/>
      <c r="B38" s="1"/>
      <c r="C38" s="1"/>
      <c r="D38" s="1"/>
      <c r="E38" s="1"/>
      <c r="F38" s="1"/>
      <c r="G38" s="1"/>
      <c r="H38" s="1"/>
    </row>
    <row r="39" spans="1:8" x14ac:dyDescent="0.2">
      <c r="A39" s="1"/>
      <c r="B39" s="1"/>
      <c r="C39" s="1"/>
      <c r="D39" s="1"/>
      <c r="E39" s="1"/>
      <c r="F39" s="1"/>
      <c r="G39" s="1"/>
      <c r="H39" s="1"/>
    </row>
    <row r="40" spans="1:8" x14ac:dyDescent="0.2">
      <c r="A40" s="1"/>
      <c r="B40" s="1"/>
      <c r="C40" s="1"/>
      <c r="D40" s="1"/>
      <c r="E40" s="1"/>
      <c r="F40" s="1"/>
      <c r="G40" s="1"/>
      <c r="H40" s="1"/>
    </row>
    <row r="41" spans="1:8" x14ac:dyDescent="0.2">
      <c r="A41" s="1"/>
      <c r="B41" s="1"/>
      <c r="C41" s="1"/>
      <c r="D41" s="1"/>
      <c r="E41" s="1"/>
      <c r="F41" s="1"/>
      <c r="G41" s="1"/>
      <c r="H41" s="1"/>
    </row>
    <row r="42" spans="1:8" x14ac:dyDescent="0.2">
      <c r="A42" s="11" t="s">
        <v>1</v>
      </c>
      <c r="B42" s="12"/>
      <c r="C42" s="12"/>
      <c r="D42" s="13"/>
      <c r="E42" s="8"/>
      <c r="F42" s="8"/>
      <c r="G42" s="8"/>
      <c r="H42" s="8"/>
    </row>
    <row r="43" spans="1:8" x14ac:dyDescent="0.2">
      <c r="A43" s="14" t="s">
        <v>15</v>
      </c>
      <c r="B43" s="15"/>
      <c r="C43" s="15"/>
      <c r="D43" s="16"/>
      <c r="E43" s="8"/>
      <c r="F43" s="8"/>
      <c r="G43" s="8"/>
      <c r="H43" s="8"/>
    </row>
    <row r="44" spans="1:8" x14ac:dyDescent="0.2">
      <c r="A44" s="17" t="s">
        <v>62</v>
      </c>
      <c r="B44" s="18"/>
      <c r="C44" s="18"/>
      <c r="D44" s="19"/>
      <c r="E44" s="8"/>
      <c r="F44" s="8"/>
      <c r="G44" s="8"/>
      <c r="H44" s="8"/>
    </row>
    <row r="45" spans="1:8" x14ac:dyDescent="0.2">
      <c r="A45" s="20"/>
      <c r="B45" s="21"/>
      <c r="C45" s="22"/>
      <c r="D45" s="23"/>
      <c r="E45" s="8"/>
      <c r="F45" s="8" t="s">
        <v>34</v>
      </c>
      <c r="G45" s="8"/>
      <c r="H45" s="8"/>
    </row>
    <row r="46" spans="1:8" ht="15.75" x14ac:dyDescent="0.25">
      <c r="A46" s="24" t="s">
        <v>2</v>
      </c>
      <c r="B46" s="25" t="str">
        <f>[1]Charters!B49</f>
        <v>Channing Hall</v>
      </c>
      <c r="C46" s="26"/>
      <c r="D46" s="27"/>
      <c r="E46" s="8"/>
      <c r="F46" s="8"/>
      <c r="G46" s="8"/>
      <c r="H46" s="8"/>
    </row>
    <row r="47" spans="1:8" x14ac:dyDescent="0.2">
      <c r="A47" s="24"/>
      <c r="B47" s="28"/>
      <c r="C47" s="26"/>
      <c r="D47" s="27"/>
      <c r="E47" s="8"/>
      <c r="F47" s="8"/>
      <c r="G47" s="8"/>
      <c r="H47" s="8"/>
    </row>
    <row r="48" spans="1:8" x14ac:dyDescent="0.2">
      <c r="A48" s="29" t="s">
        <v>0</v>
      </c>
      <c r="B48" s="30">
        <f>[1]Charters!$E$6</f>
        <v>3184</v>
      </c>
      <c r="C48" s="26"/>
      <c r="D48" s="31"/>
      <c r="E48" s="8"/>
      <c r="F48" s="8"/>
      <c r="G48" s="8"/>
      <c r="H48" s="8"/>
    </row>
    <row r="49" spans="1:8" x14ac:dyDescent="0.2">
      <c r="A49" s="32"/>
      <c r="B49" s="6"/>
      <c r="C49" s="33"/>
      <c r="D49" s="34" t="s">
        <v>3</v>
      </c>
      <c r="E49" s="8"/>
      <c r="F49" s="8"/>
      <c r="G49" s="8"/>
      <c r="H49" s="8"/>
    </row>
    <row r="50" spans="1:8" x14ac:dyDescent="0.2">
      <c r="A50" s="29" t="s">
        <v>19</v>
      </c>
      <c r="B50" s="35" t="str">
        <f>[1]Charters!A49</f>
        <v>2D</v>
      </c>
      <c r="C50" s="36" t="s">
        <v>4</v>
      </c>
      <c r="D50" s="37" t="s">
        <v>5</v>
      </c>
      <c r="E50" s="8"/>
      <c r="F50" s="8"/>
      <c r="G50" s="8"/>
      <c r="H50" s="8"/>
    </row>
    <row r="51" spans="1:8" x14ac:dyDescent="0.2">
      <c r="A51" s="38" t="s">
        <v>6</v>
      </c>
      <c r="B51" s="39"/>
      <c r="C51" s="40"/>
      <c r="D51" s="41"/>
      <c r="E51" s="8"/>
      <c r="F51" s="8"/>
      <c r="G51" s="8"/>
      <c r="H51" s="8"/>
    </row>
    <row r="52" spans="1:8" x14ac:dyDescent="0.2">
      <c r="A52" s="38" t="s">
        <v>7</v>
      </c>
      <c r="B52" s="39"/>
      <c r="C52" s="40"/>
      <c r="D52" s="41"/>
      <c r="E52" s="8"/>
      <c r="F52" s="42" t="s">
        <v>23</v>
      </c>
      <c r="G52" s="8"/>
      <c r="H52" s="42" t="s">
        <v>26</v>
      </c>
    </row>
    <row r="53" spans="1:8" x14ac:dyDescent="0.2">
      <c r="A53" s="20" t="s">
        <v>8</v>
      </c>
      <c r="B53" s="43"/>
      <c r="C53" s="44">
        <f>[1]Charters!C509</f>
        <v>540.60299999999995</v>
      </c>
      <c r="D53" s="45">
        <f>[1]Charters!E509</f>
        <v>1721279.36</v>
      </c>
      <c r="E53" s="8"/>
      <c r="F53" s="42">
        <f>[1]Charters!E664</f>
        <v>1827065.75</v>
      </c>
      <c r="G53" s="8"/>
      <c r="H53" s="42">
        <f>[2]Charters!E203</f>
        <v>2232124.21</v>
      </c>
    </row>
    <row r="54" spans="1:8" x14ac:dyDescent="0.2">
      <c r="A54" s="20" t="s">
        <v>14</v>
      </c>
      <c r="B54" s="43"/>
      <c r="C54" s="44">
        <f>[1]Charters!F509</f>
        <v>33.223999999999997</v>
      </c>
      <c r="D54" s="45">
        <f>[1]Charters!H509</f>
        <v>105786.39</v>
      </c>
      <c r="E54" s="8"/>
      <c r="F54" s="42">
        <f>SUM(D53:D55)</f>
        <v>1827065.75</v>
      </c>
      <c r="G54" s="8"/>
      <c r="H54" s="42">
        <f>D66</f>
        <v>2232124.21</v>
      </c>
    </row>
    <row r="55" spans="1:8" x14ac:dyDescent="0.2">
      <c r="A55" s="20" t="s">
        <v>32</v>
      </c>
      <c r="B55" s="43"/>
      <c r="C55" s="44">
        <f>[1]Charters!C202</f>
        <v>0</v>
      </c>
      <c r="D55" s="45">
        <f>[1]Charters!E202</f>
        <v>0</v>
      </c>
      <c r="E55" s="8"/>
      <c r="F55" s="42">
        <f>+F53-F54</f>
        <v>0</v>
      </c>
      <c r="G55" s="8"/>
      <c r="H55" s="42">
        <f>+H53-H54</f>
        <v>0</v>
      </c>
    </row>
    <row r="56" spans="1:8" x14ac:dyDescent="0.2">
      <c r="A56" s="38" t="s">
        <v>9</v>
      </c>
      <c r="B56" s="39"/>
      <c r="C56" s="46"/>
      <c r="D56" s="47"/>
      <c r="E56" s="8"/>
      <c r="F56" s="8"/>
      <c r="G56" s="8"/>
      <c r="H56" s="8"/>
    </row>
    <row r="57" spans="1:8" x14ac:dyDescent="0.2">
      <c r="A57" s="20" t="s">
        <v>10</v>
      </c>
      <c r="B57" s="43"/>
      <c r="C57" s="40">
        <f>[3]Charters!C48</f>
        <v>65.718000000000004</v>
      </c>
      <c r="D57" s="41">
        <f>[3]Charters!E48</f>
        <v>209246.11</v>
      </c>
      <c r="E57" s="8"/>
      <c r="F57" s="42" t="s">
        <v>24</v>
      </c>
      <c r="G57" s="8"/>
      <c r="H57" s="8"/>
    </row>
    <row r="58" spans="1:8" x14ac:dyDescent="0.2">
      <c r="A58" s="48" t="s">
        <v>11</v>
      </c>
      <c r="B58" s="43"/>
      <c r="C58" s="40">
        <f>[3]Charters!F48</f>
        <v>2.67</v>
      </c>
      <c r="D58" s="49">
        <f>[3]Charters!H48</f>
        <v>8501.2800000000007</v>
      </c>
      <c r="E58" s="8"/>
      <c r="F58" s="42">
        <f>[3]Charters!N359</f>
        <v>224656.58</v>
      </c>
      <c r="G58" s="8"/>
      <c r="H58" s="8"/>
    </row>
    <row r="59" spans="1:8" x14ac:dyDescent="0.2">
      <c r="A59" s="48" t="s">
        <v>12</v>
      </c>
      <c r="B59" s="43"/>
      <c r="C59" s="40">
        <f>[3]Charters!C203</f>
        <v>0</v>
      </c>
      <c r="D59" s="41">
        <f>[3]Charters!E203</f>
        <v>0</v>
      </c>
      <c r="E59" s="8"/>
      <c r="F59" s="42">
        <f>SUM(D57:D63)</f>
        <v>224656.58</v>
      </c>
      <c r="G59" s="8"/>
      <c r="H59" s="8"/>
    </row>
    <row r="60" spans="1:8" x14ac:dyDescent="0.2">
      <c r="A60" s="20" t="s">
        <v>13</v>
      </c>
      <c r="B60" s="43"/>
      <c r="C60" s="40">
        <f>[3]Charters!F203</f>
        <v>0.70899999999999996</v>
      </c>
      <c r="D60" s="41">
        <f>[3]Charters!H203</f>
        <v>2259</v>
      </c>
      <c r="E60" s="8"/>
      <c r="F60" s="42">
        <f>+F58-F59</f>
        <v>0</v>
      </c>
      <c r="G60" s="8"/>
      <c r="H60" s="8"/>
    </row>
    <row r="61" spans="1:8" x14ac:dyDescent="0.2">
      <c r="A61" s="48" t="s">
        <v>54</v>
      </c>
      <c r="B61" s="43"/>
      <c r="C61" s="40">
        <f>[3]Charters!C359</f>
        <v>1.46</v>
      </c>
      <c r="D61" s="41">
        <f>[3]Charters!E359</f>
        <v>4650.1899999999996</v>
      </c>
      <c r="E61" s="8"/>
      <c r="F61" s="8"/>
      <c r="G61" s="8"/>
      <c r="H61" s="8"/>
    </row>
    <row r="62" spans="1:8" x14ac:dyDescent="0.2">
      <c r="A62" s="48" t="s">
        <v>55</v>
      </c>
      <c r="B62" s="43"/>
      <c r="C62" s="40">
        <f>[3]Charters!F359</f>
        <v>0</v>
      </c>
      <c r="D62" s="41">
        <f>[3]Charters!H359</f>
        <v>0</v>
      </c>
      <c r="E62" s="8"/>
      <c r="F62" s="42" t="s">
        <v>25</v>
      </c>
      <c r="G62" s="8"/>
      <c r="H62" s="8"/>
    </row>
    <row r="63" spans="1:8" x14ac:dyDescent="0.2">
      <c r="A63" s="48" t="s">
        <v>56</v>
      </c>
      <c r="B63" s="43"/>
      <c r="C63" s="40">
        <f>[3]Charters!I359</f>
        <v>0</v>
      </c>
      <c r="D63" s="41">
        <f>[3]Charters!K359</f>
        <v>0</v>
      </c>
      <c r="E63" s="8"/>
      <c r="F63" s="42">
        <f>[2]Charters!H49</f>
        <v>405058.46</v>
      </c>
      <c r="G63" s="8"/>
      <c r="H63" s="8"/>
    </row>
    <row r="64" spans="1:8" x14ac:dyDescent="0.2">
      <c r="A64" s="20" t="s">
        <v>49</v>
      </c>
      <c r="B64" s="43"/>
      <c r="C64" s="40">
        <f>[3]Charters!C516</f>
        <v>1.4690000000000001</v>
      </c>
      <c r="D64" s="41">
        <f>[3]Charters!E516</f>
        <v>4677.82</v>
      </c>
      <c r="E64" s="8"/>
      <c r="F64" s="42">
        <f>SUM(D57:D65)</f>
        <v>405058.46</v>
      </c>
      <c r="G64" s="8"/>
      <c r="H64" s="8"/>
    </row>
    <row r="65" spans="1:8" x14ac:dyDescent="0.2">
      <c r="A65" s="20" t="s">
        <v>50</v>
      </c>
      <c r="B65" s="43"/>
      <c r="C65" s="40">
        <f>[2]Charters!C49</f>
        <v>55.19</v>
      </c>
      <c r="D65" s="41">
        <f>[2]Charters!E49</f>
        <v>175724.06</v>
      </c>
      <c r="E65" s="8"/>
      <c r="F65" s="42">
        <f>+F63-F64</f>
        <v>0</v>
      </c>
      <c r="G65" s="8"/>
      <c r="H65" s="8"/>
    </row>
    <row r="66" spans="1:8" x14ac:dyDescent="0.2">
      <c r="A66" s="50"/>
      <c r="B66" s="51" t="s">
        <v>16</v>
      </c>
      <c r="C66" s="52">
        <f>SUM(C53:C65)</f>
        <v>701.04300000000001</v>
      </c>
      <c r="D66" s="53">
        <f>SUM(D53:D65)</f>
        <v>2232124.21</v>
      </c>
      <c r="E66" s="8"/>
      <c r="F66" s="8"/>
      <c r="G66" s="8"/>
      <c r="H66" s="8"/>
    </row>
    <row r="67" spans="1:8" x14ac:dyDescent="0.2">
      <c r="A67" s="54" t="s">
        <v>17</v>
      </c>
      <c r="B67" s="39"/>
      <c r="C67" s="55"/>
      <c r="D67" s="47"/>
      <c r="E67" s="8"/>
      <c r="F67" s="8"/>
      <c r="G67" s="8"/>
      <c r="H67" s="42" t="s">
        <v>29</v>
      </c>
    </row>
    <row r="68" spans="1:8" x14ac:dyDescent="0.2">
      <c r="A68" s="20" t="s">
        <v>33</v>
      </c>
      <c r="B68" s="43"/>
      <c r="C68" s="56"/>
      <c r="D68" s="57">
        <f>[4]Charters!C48</f>
        <v>6469.74</v>
      </c>
      <c r="E68" s="8"/>
      <c r="F68" s="8"/>
      <c r="G68" s="8"/>
      <c r="H68" s="42">
        <f>[4]Charters!F989</f>
        <v>3853412.25</v>
      </c>
    </row>
    <row r="69" spans="1:8" x14ac:dyDescent="0.2">
      <c r="A69" s="58" t="s">
        <v>35</v>
      </c>
      <c r="B69" s="43"/>
      <c r="C69" s="56"/>
      <c r="D69" s="41">
        <f>+[4]Charters!F369</f>
        <v>9744.77</v>
      </c>
      <c r="E69" s="8"/>
      <c r="F69" s="8"/>
      <c r="G69" s="8"/>
      <c r="H69" s="42">
        <f>SUM(D66:D85)</f>
        <v>3853412.25</v>
      </c>
    </row>
    <row r="70" spans="1:8" x14ac:dyDescent="0.2">
      <c r="A70" s="59" t="s">
        <v>36</v>
      </c>
      <c r="B70" s="43"/>
      <c r="C70" s="56"/>
      <c r="D70" s="41">
        <f>[4]Charters!E208</f>
        <v>20809</v>
      </c>
      <c r="E70" s="8"/>
      <c r="F70" s="8"/>
      <c r="G70" s="8"/>
      <c r="H70" s="42">
        <f>+H68-H69</f>
        <v>0</v>
      </c>
    </row>
    <row r="71" spans="1:8" x14ac:dyDescent="0.2">
      <c r="A71" s="59" t="s">
        <v>52</v>
      </c>
      <c r="B71" s="43"/>
      <c r="C71" s="56"/>
      <c r="D71" s="41">
        <f>[4]Charters!G369</f>
        <v>0</v>
      </c>
      <c r="E71" s="8"/>
      <c r="F71" s="42" t="s">
        <v>27</v>
      </c>
      <c r="G71" s="8"/>
      <c r="H71" s="42"/>
    </row>
    <row r="72" spans="1:8" x14ac:dyDescent="0.2">
      <c r="A72" s="20" t="s">
        <v>37</v>
      </c>
      <c r="B72" s="43"/>
      <c r="C72" s="56"/>
      <c r="D72" s="41">
        <f>[4]Charters!E525</f>
        <v>44255</v>
      </c>
      <c r="E72" s="8"/>
      <c r="F72" s="42">
        <f>[4]Charters!E208</f>
        <v>20809</v>
      </c>
      <c r="G72" s="8"/>
      <c r="H72" s="8"/>
    </row>
    <row r="73" spans="1:8" x14ac:dyDescent="0.2">
      <c r="A73" s="20" t="s">
        <v>38</v>
      </c>
      <c r="B73" s="43"/>
      <c r="C73" s="56"/>
      <c r="D73" s="41">
        <f>[4]Charters!F525</f>
        <v>0</v>
      </c>
      <c r="E73" s="8"/>
      <c r="F73" s="42">
        <f>SUM(D70:D70)</f>
        <v>20809</v>
      </c>
      <c r="G73" s="8"/>
      <c r="H73" s="8"/>
    </row>
    <row r="74" spans="1:8" x14ac:dyDescent="0.2">
      <c r="A74" s="59" t="s">
        <v>40</v>
      </c>
      <c r="B74" s="43"/>
      <c r="C74" s="56"/>
      <c r="D74" s="41">
        <f>[4]Charters!G525</f>
        <v>7500</v>
      </c>
      <c r="E74" s="8"/>
      <c r="F74" s="42">
        <f>+F72-F73</f>
        <v>0</v>
      </c>
      <c r="G74" s="8"/>
      <c r="H74" s="8"/>
    </row>
    <row r="75" spans="1:8" x14ac:dyDescent="0.2">
      <c r="A75" s="20" t="s">
        <v>41</v>
      </c>
      <c r="B75" s="43"/>
      <c r="C75" s="56"/>
      <c r="D75" s="41">
        <f>[4]Charters!C680</f>
        <v>1256628</v>
      </c>
      <c r="E75" s="8"/>
      <c r="F75" s="42" t="s">
        <v>28</v>
      </c>
      <c r="G75" s="8"/>
      <c r="H75" s="8"/>
    </row>
    <row r="76" spans="1:8" x14ac:dyDescent="0.2">
      <c r="A76" s="20" t="s">
        <v>42</v>
      </c>
      <c r="B76" s="43"/>
      <c r="C76" s="56"/>
      <c r="D76" s="41">
        <f>[4]Charters!D680</f>
        <v>195241.60000000001</v>
      </c>
      <c r="E76" s="8"/>
      <c r="F76" s="42">
        <f>[4]Charters!D525</f>
        <v>30553.77</v>
      </c>
      <c r="G76" s="8"/>
      <c r="H76" s="8"/>
    </row>
    <row r="77" spans="1:8" x14ac:dyDescent="0.2">
      <c r="A77" s="20" t="s">
        <v>44</v>
      </c>
      <c r="B77" s="43"/>
      <c r="C77" s="56"/>
      <c r="D77" s="41">
        <f>[4]Charters!E680</f>
        <v>62800</v>
      </c>
      <c r="E77" s="8"/>
      <c r="F77" s="42">
        <f>SUM(D69:D71)</f>
        <v>30553.77</v>
      </c>
      <c r="G77" s="8"/>
      <c r="H77" s="8"/>
    </row>
    <row r="78" spans="1:8" x14ac:dyDescent="0.2">
      <c r="A78" s="59" t="s">
        <v>43</v>
      </c>
      <c r="B78" s="43"/>
      <c r="C78" s="56"/>
      <c r="D78" s="41">
        <f>[4]Charters!F680</f>
        <v>17002.72</v>
      </c>
      <c r="E78" s="8"/>
      <c r="F78" s="42">
        <f>+F76-F77</f>
        <v>0</v>
      </c>
      <c r="G78" s="8"/>
      <c r="H78" s="8"/>
    </row>
    <row r="79" spans="1:8" x14ac:dyDescent="0.2">
      <c r="A79" s="59" t="s">
        <v>45</v>
      </c>
      <c r="B79" s="43"/>
      <c r="C79" s="56"/>
      <c r="D79" s="41">
        <f>[4]Charters!C525</f>
        <v>0</v>
      </c>
      <c r="E79" s="8"/>
      <c r="F79" s="8"/>
      <c r="G79" s="8"/>
      <c r="H79" s="8"/>
    </row>
    <row r="80" spans="1:8" x14ac:dyDescent="0.2">
      <c r="A80" s="59" t="s">
        <v>46</v>
      </c>
      <c r="B80" s="43"/>
      <c r="C80" s="56"/>
      <c r="D80" s="41">
        <f>[4]Charters!C836</f>
        <v>0</v>
      </c>
      <c r="E80" s="8"/>
      <c r="F80" s="8"/>
      <c r="G80" s="8"/>
      <c r="H80" s="42" t="s">
        <v>31</v>
      </c>
    </row>
    <row r="81" spans="1:8" x14ac:dyDescent="0.2">
      <c r="A81" s="59" t="s">
        <v>51</v>
      </c>
      <c r="B81" s="43"/>
      <c r="C81" s="56"/>
      <c r="D81" s="60">
        <f>[4]Charters!D836</f>
        <v>837.21</v>
      </c>
      <c r="E81" s="42"/>
      <c r="F81" s="42"/>
      <c r="G81" s="42"/>
      <c r="H81" s="42">
        <f>[4]Charters!D1295</f>
        <v>3860675.15</v>
      </c>
    </row>
    <row r="82" spans="1:8" x14ac:dyDescent="0.2">
      <c r="A82" s="20" t="s">
        <v>47</v>
      </c>
      <c r="B82" s="43"/>
      <c r="C82" s="56"/>
      <c r="D82" s="60">
        <f>[4]Charters!E836</f>
        <v>0</v>
      </c>
      <c r="E82" s="42"/>
      <c r="F82" s="42"/>
      <c r="G82" s="42"/>
      <c r="H82" s="42">
        <f>D91</f>
        <v>3860675.15</v>
      </c>
    </row>
    <row r="83" spans="1:8" x14ac:dyDescent="0.2">
      <c r="A83" s="20" t="s">
        <v>57</v>
      </c>
      <c r="B83" s="43"/>
      <c r="C83" s="56"/>
      <c r="D83" s="60">
        <f>[4]Charters!C989</f>
        <v>0</v>
      </c>
      <c r="E83" s="42"/>
      <c r="F83" s="42"/>
      <c r="G83" s="42"/>
      <c r="H83" s="42">
        <f>+H81-H82</f>
        <v>0</v>
      </c>
    </row>
    <row r="84" spans="1:8" x14ac:dyDescent="0.2">
      <c r="A84" s="59" t="s">
        <v>53</v>
      </c>
      <c r="B84" s="43"/>
      <c r="C84" s="56"/>
      <c r="D84" s="60">
        <f>[4]Charters!D989</f>
        <v>0</v>
      </c>
      <c r="E84" s="42"/>
      <c r="F84" s="42" t="s">
        <v>30</v>
      </c>
      <c r="G84" s="42"/>
      <c r="H84" s="42"/>
    </row>
    <row r="85" spans="1:8" x14ac:dyDescent="0.2">
      <c r="A85" s="59" t="s">
        <v>59</v>
      </c>
      <c r="B85" s="43"/>
      <c r="C85" s="56"/>
      <c r="D85" s="60">
        <f>[4]Charters!E989</f>
        <v>0</v>
      </c>
      <c r="E85" s="42"/>
      <c r="F85" s="42"/>
      <c r="G85" s="42"/>
      <c r="H85" s="42"/>
    </row>
    <row r="86" spans="1:8" x14ac:dyDescent="0.2">
      <c r="A86" s="38" t="s">
        <v>18</v>
      </c>
      <c r="B86" s="61"/>
      <c r="C86" s="62"/>
      <c r="D86" s="87"/>
      <c r="E86" s="42"/>
      <c r="F86" s="42">
        <f>[4]Charters!C1295</f>
        <v>7262.9</v>
      </c>
      <c r="G86" s="42"/>
      <c r="H86" s="42"/>
    </row>
    <row r="87" spans="1:8" x14ac:dyDescent="0.2">
      <c r="A87" s="59" t="s">
        <v>39</v>
      </c>
      <c r="B87" s="43"/>
      <c r="C87" s="56"/>
      <c r="D87" s="41">
        <f>[4]Charters!C1142</f>
        <v>7262.9</v>
      </c>
      <c r="E87" s="42"/>
      <c r="F87" s="42">
        <f>SUM(D87:D90)</f>
        <v>7262.9</v>
      </c>
      <c r="G87" s="42"/>
      <c r="H87" s="42"/>
    </row>
    <row r="88" spans="1:8" x14ac:dyDescent="0.2">
      <c r="A88" s="59" t="s">
        <v>48</v>
      </c>
      <c r="B88" s="43"/>
      <c r="C88" s="56"/>
      <c r="D88" s="41">
        <f>[4]Charters!D1142</f>
        <v>0</v>
      </c>
      <c r="E88" s="42"/>
      <c r="F88" s="42">
        <f>+F86-F87</f>
        <v>0</v>
      </c>
      <c r="G88" s="42"/>
      <c r="H88" s="42"/>
    </row>
    <row r="89" spans="1:8" x14ac:dyDescent="0.2">
      <c r="A89" s="59" t="s">
        <v>60</v>
      </c>
      <c r="B89" s="43"/>
      <c r="C89" s="56"/>
      <c r="D89" s="41">
        <f>[4]Charters!E1142</f>
        <v>0</v>
      </c>
      <c r="E89" s="42"/>
      <c r="F89" s="42"/>
      <c r="G89" s="42"/>
      <c r="H89" s="42"/>
    </row>
    <row r="90" spans="1:8" x14ac:dyDescent="0.2">
      <c r="A90" s="59" t="s">
        <v>61</v>
      </c>
      <c r="B90" s="43"/>
      <c r="C90" s="56"/>
      <c r="D90" s="41">
        <f>[4]Charters!F1142</f>
        <v>0</v>
      </c>
      <c r="E90" s="42"/>
      <c r="F90" s="42"/>
      <c r="G90" s="42"/>
      <c r="H90" s="42"/>
    </row>
    <row r="91" spans="1:8" ht="13.5" thickBot="1" x14ac:dyDescent="0.25">
      <c r="A91" s="64"/>
      <c r="B91" s="65"/>
      <c r="C91" s="66"/>
      <c r="D91" s="67">
        <f>SUM(D66:D90)</f>
        <v>3860675.15</v>
      </c>
      <c r="E91" s="42"/>
      <c r="F91" s="42"/>
      <c r="G91" s="42"/>
      <c r="H91" s="42"/>
    </row>
    <row r="92" spans="1:8" ht="13.5" thickTop="1" x14ac:dyDescent="0.2">
      <c r="A92" s="68"/>
      <c r="B92" s="43"/>
      <c r="C92" s="56"/>
      <c r="D92" s="86"/>
      <c r="E92" s="42"/>
      <c r="F92" s="42"/>
      <c r="G92" s="42"/>
      <c r="H92" s="42"/>
    </row>
    <row r="93" spans="1:8" x14ac:dyDescent="0.2">
      <c r="A93" s="38" t="s">
        <v>20</v>
      </c>
      <c r="B93" s="39"/>
      <c r="C93" s="70"/>
      <c r="D93" s="71" t="s">
        <v>21</v>
      </c>
      <c r="E93" s="42"/>
      <c r="F93" s="42"/>
      <c r="G93" s="42"/>
      <c r="H93" s="42"/>
    </row>
    <row r="94" spans="1:8" x14ac:dyDescent="0.2">
      <c r="A94" s="72" t="s">
        <v>22</v>
      </c>
      <c r="B94" s="73"/>
      <c r="C94" s="74"/>
      <c r="D94" s="41">
        <f>[5]Charters!C48</f>
        <v>1413.14</v>
      </c>
      <c r="E94" s="42"/>
      <c r="F94" s="42"/>
      <c r="G94" s="42"/>
      <c r="H94" s="42"/>
    </row>
    <row r="95" spans="1:8" x14ac:dyDescent="0.2">
      <c r="A95" s="75"/>
      <c r="B95" s="61"/>
      <c r="C95" s="76"/>
      <c r="D95" s="77">
        <f>SUM(D94:D94)</f>
        <v>1413.14</v>
      </c>
      <c r="E95" s="42"/>
      <c r="F95" s="42"/>
      <c r="G95" s="42"/>
      <c r="H95" s="42"/>
    </row>
    <row r="96" spans="1:8" x14ac:dyDescent="0.2">
      <c r="A96" s="78" t="s">
        <v>58</v>
      </c>
      <c r="B96" s="79"/>
      <c r="C96" s="80"/>
      <c r="D96" s="77">
        <f>D95+D91</f>
        <v>3862088.29</v>
      </c>
      <c r="E96" s="42"/>
      <c r="F96" s="42"/>
      <c r="G96" s="42"/>
      <c r="H96" s="42"/>
    </row>
    <row r="97" spans="1:8" x14ac:dyDescent="0.2">
      <c r="A97" s="84"/>
      <c r="B97" s="84"/>
      <c r="C97" s="85"/>
      <c r="D97" s="81"/>
      <c r="E97" s="42"/>
      <c r="F97" s="42"/>
      <c r="G97" s="42"/>
      <c r="H97" s="42"/>
    </row>
    <row r="98" spans="1:8" x14ac:dyDescent="0.2">
      <c r="A98" s="84"/>
      <c r="B98" s="84"/>
      <c r="C98" s="85"/>
      <c r="D98" s="81">
        <f>[5]Charters!E204</f>
        <v>3862088.29</v>
      </c>
      <c r="E98" s="42"/>
      <c r="F98" s="42"/>
      <c r="G98" s="42"/>
      <c r="H98" s="42"/>
    </row>
    <row r="99" spans="1:8" x14ac:dyDescent="0.2">
      <c r="A99" s="84"/>
      <c r="B99" s="84"/>
      <c r="C99" s="85"/>
      <c r="D99" s="81">
        <f>D96</f>
        <v>3862088.29</v>
      </c>
      <c r="E99" s="42"/>
      <c r="F99" s="42"/>
      <c r="G99" s="42"/>
      <c r="H99" s="42"/>
    </row>
    <row r="100" spans="1:8" x14ac:dyDescent="0.2">
      <c r="C100" s="83"/>
      <c r="D100" s="42">
        <f>D98-D99</f>
        <v>0</v>
      </c>
      <c r="E100" s="42"/>
      <c r="F100" s="42"/>
      <c r="G100" s="42"/>
      <c r="H100" s="42"/>
    </row>
    <row r="101" spans="1:8" x14ac:dyDescent="0.2">
      <c r="C101" s="83"/>
      <c r="D101" s="42">
        <f>D99-D100</f>
        <v>3862088.29</v>
      </c>
      <c r="E101" s="42"/>
      <c r="F101" s="42"/>
      <c r="G101" s="42"/>
      <c r="H101" s="42"/>
    </row>
  </sheetData>
  <mergeCells count="4">
    <mergeCell ref="A42:D42"/>
    <mergeCell ref="A96:C96"/>
    <mergeCell ref="A43:D43"/>
    <mergeCell ref="A44:D44"/>
  </mergeCells>
  <phoneticPr fontId="1" type="noConversion"/>
  <printOptions horizontalCentered="1" verticalCentered="1"/>
  <pageMargins left="0.5" right="0.5" top="0.5" bottom="0.5" header="0.25" footer="0.25"/>
  <pageSetup orientation="portrait" verticalDpi="1200" r:id="rId1"/>
  <headerFooter alignWithMargins="0">
    <oddHeader>&amp;R&amp;8Current as of: &amp;D</oddHeader>
    <oddFooter>&amp;L&amp;8USOE, School Finance</oddFooter>
  </headerFooter>
  <picture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>
    <pageSetUpPr fitToPage="1"/>
  </sheetPr>
  <dimension ref="A1:H102"/>
  <sheetViews>
    <sheetView topLeftCell="A33" workbookViewId="0">
      <selection activeCell="C12" sqref="C12"/>
    </sheetView>
  </sheetViews>
  <sheetFormatPr defaultColWidth="9.140625" defaultRowHeight="12.75" x14ac:dyDescent="0.2"/>
  <cols>
    <col min="1" max="1" width="32.42578125" style="82" customWidth="1"/>
    <col min="2" max="2" width="16.140625" style="82" customWidth="1"/>
    <col min="3" max="3" width="14.85546875" style="82" customWidth="1"/>
    <col min="4" max="4" width="18.85546875" style="82" customWidth="1"/>
    <col min="5" max="5" width="9.140625" style="82"/>
    <col min="6" max="6" width="23.42578125" style="82" bestFit="1" customWidth="1"/>
    <col min="7" max="7" width="9.140625" style="82"/>
    <col min="8" max="8" width="23" style="82" bestFit="1" customWidth="1"/>
    <col min="9" max="16384" width="9.140625" style="82"/>
  </cols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"/>
      <c r="B3" s="1"/>
      <c r="C3" s="1"/>
      <c r="D3" s="1"/>
      <c r="E3" s="1"/>
      <c r="F3" s="1"/>
      <c r="G3" s="1"/>
      <c r="H3" s="1"/>
    </row>
    <row r="4" spans="1:8" x14ac:dyDescent="0.2">
      <c r="A4" s="1"/>
      <c r="B4" s="1"/>
      <c r="C4" s="1"/>
      <c r="D4" s="1"/>
      <c r="E4" s="1"/>
      <c r="F4" s="1"/>
      <c r="G4" s="1"/>
      <c r="H4" s="1"/>
    </row>
    <row r="5" spans="1:8" x14ac:dyDescent="0.2">
      <c r="A5" s="1"/>
      <c r="B5" s="1"/>
      <c r="C5" s="1"/>
      <c r="D5" s="1"/>
      <c r="E5" s="1"/>
      <c r="F5" s="1"/>
      <c r="G5" s="1"/>
      <c r="H5" s="1"/>
    </row>
    <row r="6" spans="1:8" x14ac:dyDescent="0.2">
      <c r="A6" s="1"/>
      <c r="B6" s="1"/>
      <c r="C6" s="1"/>
      <c r="D6" s="1"/>
      <c r="E6" s="1"/>
      <c r="F6" s="1"/>
      <c r="G6" s="1"/>
      <c r="H6" s="1"/>
    </row>
    <row r="7" spans="1:8" x14ac:dyDescent="0.2">
      <c r="A7" s="1"/>
      <c r="B7" s="1"/>
      <c r="C7" s="1"/>
      <c r="D7" s="1"/>
      <c r="E7" s="1"/>
      <c r="F7" s="1"/>
      <c r="G7" s="1"/>
      <c r="H7" s="1"/>
    </row>
    <row r="8" spans="1:8" x14ac:dyDescent="0.2">
      <c r="A8" s="1"/>
      <c r="B8" s="1"/>
      <c r="C8" s="1"/>
      <c r="D8" s="1"/>
      <c r="E8" s="1"/>
      <c r="F8" s="1"/>
      <c r="G8" s="1"/>
      <c r="H8" s="1"/>
    </row>
    <row r="9" spans="1:8" x14ac:dyDescent="0.2">
      <c r="A9" s="1"/>
      <c r="B9" s="1"/>
      <c r="C9" s="1"/>
      <c r="D9" s="1"/>
      <c r="E9" s="1"/>
      <c r="F9" s="1"/>
      <c r="G9" s="1"/>
      <c r="H9" s="1"/>
    </row>
    <row r="10" spans="1:8" x14ac:dyDescent="0.2">
      <c r="A10" s="1"/>
      <c r="B10" s="1"/>
      <c r="C10" s="1"/>
      <c r="D10" s="1"/>
      <c r="E10" s="1"/>
      <c r="F10" s="1"/>
      <c r="G10" s="1"/>
      <c r="H10" s="1"/>
    </row>
    <row r="11" spans="1:8" x14ac:dyDescent="0.2">
      <c r="A11" s="1"/>
      <c r="B11" s="1"/>
      <c r="C11" s="1"/>
      <c r="D11" s="1"/>
      <c r="E11" s="1"/>
      <c r="F11" s="1"/>
      <c r="G11" s="1"/>
      <c r="H11" s="1"/>
    </row>
    <row r="12" spans="1:8" x14ac:dyDescent="0.2">
      <c r="A12" s="1"/>
      <c r="B12" s="1"/>
      <c r="C12" s="1"/>
      <c r="D12" s="1"/>
      <c r="E12" s="1"/>
      <c r="F12" s="1"/>
      <c r="G12" s="1"/>
      <c r="H12" s="1"/>
    </row>
    <row r="13" spans="1:8" x14ac:dyDescent="0.2">
      <c r="A13" s="1"/>
      <c r="B13" s="1"/>
      <c r="C13" s="1"/>
      <c r="D13" s="1"/>
      <c r="E13" s="1"/>
      <c r="F13" s="1"/>
      <c r="G13" s="1"/>
      <c r="H13" s="1"/>
    </row>
    <row r="14" spans="1:8" x14ac:dyDescent="0.2">
      <c r="A14" s="1"/>
      <c r="B14" s="1"/>
      <c r="C14" s="1"/>
      <c r="D14" s="1"/>
      <c r="E14" s="1"/>
      <c r="F14" s="1"/>
      <c r="G14" s="1"/>
      <c r="H14" s="1"/>
    </row>
    <row r="15" spans="1:8" x14ac:dyDescent="0.2">
      <c r="A15" s="1"/>
      <c r="B15" s="1"/>
      <c r="C15" s="1"/>
      <c r="D15" s="1"/>
      <c r="E15" s="1"/>
      <c r="F15" s="1"/>
      <c r="G15" s="1"/>
      <c r="H15" s="1"/>
    </row>
    <row r="16" spans="1:8" x14ac:dyDescent="0.2">
      <c r="A16" s="1"/>
      <c r="B16" s="1"/>
      <c r="C16" s="1"/>
      <c r="D16" s="1"/>
      <c r="E16" s="1"/>
      <c r="F16" s="1"/>
      <c r="G16" s="1"/>
      <c r="H16" s="1"/>
    </row>
    <row r="17" spans="1:8" x14ac:dyDescent="0.2">
      <c r="A17" s="1"/>
      <c r="B17" s="1"/>
      <c r="C17" s="1"/>
      <c r="D17" s="1"/>
      <c r="E17" s="1"/>
      <c r="F17" s="1"/>
      <c r="G17" s="1"/>
      <c r="H17" s="1"/>
    </row>
    <row r="18" spans="1:8" x14ac:dyDescent="0.2">
      <c r="A18" s="1"/>
      <c r="B18" s="1"/>
      <c r="C18" s="1"/>
      <c r="D18" s="1"/>
      <c r="E18" s="1"/>
      <c r="F18" s="1"/>
      <c r="G18" s="1"/>
      <c r="H18" s="1"/>
    </row>
    <row r="19" spans="1:8" x14ac:dyDescent="0.2">
      <c r="A19" s="1"/>
      <c r="B19" s="1"/>
      <c r="C19" s="1"/>
      <c r="D19" s="1"/>
      <c r="E19" s="1"/>
      <c r="F19" s="1"/>
      <c r="G19" s="1"/>
      <c r="H19" s="1"/>
    </row>
    <row r="20" spans="1:8" x14ac:dyDescent="0.2">
      <c r="A20" s="1"/>
      <c r="B20" s="1"/>
      <c r="C20" s="1"/>
      <c r="D20" s="1"/>
      <c r="E20" s="1"/>
      <c r="F20" s="1"/>
      <c r="G20" s="1"/>
      <c r="H20" s="1"/>
    </row>
    <row r="21" spans="1:8" x14ac:dyDescent="0.2">
      <c r="A21" s="1"/>
      <c r="B21" s="1"/>
      <c r="C21" s="1"/>
      <c r="D21" s="1"/>
      <c r="E21" s="1"/>
      <c r="F21" s="1"/>
      <c r="G21" s="1"/>
      <c r="H21" s="1"/>
    </row>
    <row r="22" spans="1:8" x14ac:dyDescent="0.2">
      <c r="A22" s="1"/>
      <c r="B22" s="1"/>
      <c r="C22" s="1"/>
      <c r="D22" s="4"/>
      <c r="E22" s="1"/>
      <c r="F22" s="1"/>
      <c r="G22" s="1"/>
      <c r="H22" s="1"/>
    </row>
    <row r="23" spans="1:8" x14ac:dyDescent="0.2">
      <c r="A23" s="1"/>
      <c r="B23" s="1"/>
      <c r="C23" s="1"/>
      <c r="D23" s="1"/>
      <c r="E23" s="1"/>
      <c r="F23" s="1"/>
      <c r="G23" s="1"/>
      <c r="H23" s="1"/>
    </row>
    <row r="24" spans="1:8" x14ac:dyDescent="0.2">
      <c r="A24" s="1"/>
      <c r="B24" s="1"/>
      <c r="C24" s="1"/>
      <c r="D24" s="1"/>
      <c r="E24" s="1"/>
      <c r="F24" s="1"/>
      <c r="G24" s="1"/>
      <c r="H24" s="1"/>
    </row>
    <row r="25" spans="1:8" x14ac:dyDescent="0.2">
      <c r="A25" s="1"/>
      <c r="B25" s="1"/>
      <c r="C25" s="1"/>
      <c r="D25" s="1"/>
      <c r="E25" s="1"/>
      <c r="F25" s="1"/>
      <c r="G25" s="1"/>
      <c r="H25" s="1"/>
    </row>
    <row r="26" spans="1:8" x14ac:dyDescent="0.2">
      <c r="A26" s="1"/>
      <c r="B26" s="1"/>
      <c r="C26" s="1"/>
      <c r="D26" s="1"/>
      <c r="E26" s="1"/>
      <c r="F26" s="1"/>
      <c r="G26" s="1"/>
      <c r="H26" s="1"/>
    </row>
    <row r="27" spans="1:8" x14ac:dyDescent="0.2">
      <c r="A27" s="1"/>
      <c r="B27" s="1"/>
      <c r="C27" s="1"/>
      <c r="D27" s="1"/>
      <c r="E27" s="1"/>
      <c r="F27" s="1"/>
      <c r="G27" s="1"/>
      <c r="H27" s="1"/>
    </row>
    <row r="28" spans="1:8" x14ac:dyDescent="0.2">
      <c r="A28" s="1"/>
      <c r="B28" s="1"/>
      <c r="C28" s="1"/>
      <c r="D28" s="1"/>
      <c r="E28" s="1"/>
      <c r="F28" s="1"/>
      <c r="G28" s="1"/>
      <c r="H28" s="1"/>
    </row>
    <row r="29" spans="1:8" x14ac:dyDescent="0.2">
      <c r="A29" s="1"/>
      <c r="B29" s="1"/>
      <c r="C29" s="1"/>
      <c r="D29" s="1"/>
      <c r="E29" s="1"/>
      <c r="F29" s="1"/>
      <c r="G29" s="1"/>
      <c r="H29" s="1"/>
    </row>
    <row r="30" spans="1:8" x14ac:dyDescent="0.2">
      <c r="A30" s="1"/>
      <c r="B30" s="1"/>
      <c r="C30" s="1"/>
      <c r="D30" s="1"/>
      <c r="E30" s="1"/>
      <c r="F30" s="1"/>
      <c r="G30" s="1"/>
      <c r="H30" s="1"/>
    </row>
    <row r="31" spans="1:8" x14ac:dyDescent="0.2">
      <c r="A31" s="1"/>
      <c r="B31" s="1"/>
      <c r="C31" s="1"/>
      <c r="D31" s="1"/>
      <c r="E31" s="1"/>
      <c r="F31" s="1"/>
      <c r="G31" s="1"/>
      <c r="H31" s="1"/>
    </row>
    <row r="32" spans="1:8" x14ac:dyDescent="0.2">
      <c r="A32" s="1"/>
      <c r="B32" s="1"/>
      <c r="C32" s="1"/>
      <c r="D32" s="1"/>
      <c r="E32" s="1"/>
      <c r="F32" s="1"/>
      <c r="G32" s="1"/>
      <c r="H32" s="1"/>
    </row>
    <row r="33" spans="1:8" x14ac:dyDescent="0.2">
      <c r="A33" s="1"/>
      <c r="B33" s="1"/>
      <c r="C33" s="1"/>
      <c r="D33" s="1"/>
      <c r="E33" s="1"/>
      <c r="F33" s="1"/>
      <c r="G33" s="1"/>
      <c r="H33" s="1"/>
    </row>
    <row r="34" spans="1:8" x14ac:dyDescent="0.2">
      <c r="A34" s="1"/>
      <c r="B34" s="1"/>
      <c r="C34" s="1"/>
      <c r="D34" s="1"/>
      <c r="E34" s="1"/>
      <c r="F34" s="1"/>
      <c r="G34" s="1"/>
      <c r="H34" s="1"/>
    </row>
    <row r="35" spans="1:8" x14ac:dyDescent="0.2">
      <c r="A35" s="1"/>
      <c r="B35" s="1"/>
      <c r="C35" s="1"/>
      <c r="D35" s="1"/>
      <c r="E35" s="1"/>
      <c r="F35" s="1"/>
      <c r="G35" s="1"/>
      <c r="H35" s="1"/>
    </row>
    <row r="36" spans="1:8" x14ac:dyDescent="0.2">
      <c r="A36" s="1"/>
      <c r="B36" s="1"/>
      <c r="C36" s="1"/>
      <c r="D36" s="1"/>
      <c r="E36" s="1"/>
      <c r="F36" s="1"/>
      <c r="G36" s="1"/>
      <c r="H36" s="1"/>
    </row>
    <row r="37" spans="1:8" x14ac:dyDescent="0.2">
      <c r="A37" s="1"/>
      <c r="B37" s="1"/>
      <c r="C37" s="1"/>
      <c r="D37" s="1"/>
      <c r="E37" s="1"/>
      <c r="F37" s="1"/>
      <c r="G37" s="1"/>
      <c r="H37" s="1"/>
    </row>
    <row r="38" spans="1:8" x14ac:dyDescent="0.2">
      <c r="A38" s="1"/>
      <c r="B38" s="1"/>
      <c r="C38" s="1"/>
      <c r="D38" s="1"/>
      <c r="E38" s="1"/>
      <c r="F38" s="1"/>
      <c r="G38" s="1"/>
      <c r="H38" s="1"/>
    </row>
    <row r="39" spans="1:8" x14ac:dyDescent="0.2">
      <c r="A39" s="1"/>
      <c r="B39" s="1"/>
      <c r="C39" s="1"/>
      <c r="D39" s="1"/>
      <c r="E39" s="1"/>
      <c r="F39" s="1"/>
      <c r="G39" s="1"/>
      <c r="H39" s="1"/>
    </row>
    <row r="40" spans="1:8" x14ac:dyDescent="0.2">
      <c r="A40" s="1"/>
      <c r="B40" s="1"/>
      <c r="C40" s="1"/>
      <c r="D40" s="1"/>
      <c r="E40" s="1"/>
      <c r="F40" s="1"/>
      <c r="G40" s="1"/>
      <c r="H40" s="1"/>
    </row>
    <row r="41" spans="1:8" x14ac:dyDescent="0.2">
      <c r="A41" s="1"/>
      <c r="B41" s="1"/>
      <c r="C41" s="1"/>
      <c r="D41" s="1"/>
      <c r="E41" s="1"/>
      <c r="F41" s="1"/>
      <c r="G41" s="1"/>
      <c r="H41" s="1"/>
    </row>
    <row r="42" spans="1:8" x14ac:dyDescent="0.2">
      <c r="A42" s="1"/>
      <c r="B42" s="1"/>
      <c r="C42" s="1"/>
      <c r="D42" s="1"/>
      <c r="E42" s="1"/>
      <c r="F42" s="1"/>
      <c r="G42" s="1"/>
      <c r="H42" s="1"/>
    </row>
    <row r="43" spans="1:8" x14ac:dyDescent="0.2">
      <c r="A43" s="11" t="s">
        <v>1</v>
      </c>
      <c r="B43" s="12"/>
      <c r="C43" s="12"/>
      <c r="D43" s="13"/>
      <c r="E43" s="8"/>
      <c r="F43" s="8"/>
      <c r="G43" s="8"/>
      <c r="H43" s="8"/>
    </row>
    <row r="44" spans="1:8" x14ac:dyDescent="0.2">
      <c r="A44" s="14" t="s">
        <v>15</v>
      </c>
      <c r="B44" s="15"/>
      <c r="C44" s="15"/>
      <c r="D44" s="16"/>
      <c r="E44" s="8"/>
      <c r="F44" s="8"/>
      <c r="G44" s="8"/>
      <c r="H44" s="8"/>
    </row>
    <row r="45" spans="1:8" x14ac:dyDescent="0.2">
      <c r="A45" s="17" t="s">
        <v>62</v>
      </c>
      <c r="B45" s="18"/>
      <c r="C45" s="18"/>
      <c r="D45" s="19"/>
      <c r="E45" s="8"/>
      <c r="F45" s="8"/>
      <c r="G45" s="8"/>
      <c r="H45" s="8"/>
    </row>
    <row r="46" spans="1:8" x14ac:dyDescent="0.2">
      <c r="A46" s="20"/>
      <c r="B46" s="21"/>
      <c r="C46" s="22"/>
      <c r="D46" s="23"/>
      <c r="E46" s="8"/>
      <c r="F46" s="8" t="s">
        <v>34</v>
      </c>
      <c r="G46" s="8"/>
      <c r="H46" s="8"/>
    </row>
    <row r="47" spans="1:8" ht="15.75" x14ac:dyDescent="0.25">
      <c r="A47" s="24" t="s">
        <v>2</v>
      </c>
      <c r="B47" s="25" t="str">
        <f>[1]Charters!B50</f>
        <v>Spectrum Academy</v>
      </c>
      <c r="C47" s="26"/>
      <c r="D47" s="27"/>
      <c r="E47" s="8"/>
      <c r="F47" s="8"/>
      <c r="G47" s="8"/>
      <c r="H47" s="8"/>
    </row>
    <row r="48" spans="1:8" x14ac:dyDescent="0.2">
      <c r="A48" s="24"/>
      <c r="B48" s="28"/>
      <c r="C48" s="26"/>
      <c r="D48" s="27"/>
      <c r="E48" s="8"/>
      <c r="F48" s="8"/>
      <c r="G48" s="8"/>
      <c r="H48" s="8"/>
    </row>
    <row r="49" spans="1:8" x14ac:dyDescent="0.2">
      <c r="A49" s="29" t="s">
        <v>0</v>
      </c>
      <c r="B49" s="30">
        <f>[1]Charters!$E$6</f>
        <v>3184</v>
      </c>
      <c r="C49" s="26"/>
      <c r="D49" s="31"/>
      <c r="E49" s="8"/>
      <c r="F49" s="8"/>
      <c r="G49" s="8"/>
      <c r="H49" s="8"/>
    </row>
    <row r="50" spans="1:8" x14ac:dyDescent="0.2">
      <c r="A50" s="32"/>
      <c r="B50" s="6"/>
      <c r="C50" s="33"/>
      <c r="D50" s="34" t="s">
        <v>3</v>
      </c>
      <c r="E50" s="8"/>
      <c r="F50" s="8"/>
      <c r="G50" s="8"/>
      <c r="H50" s="8"/>
    </row>
    <row r="51" spans="1:8" x14ac:dyDescent="0.2">
      <c r="A51" s="29" t="s">
        <v>19</v>
      </c>
      <c r="B51" s="35" t="str">
        <f>[1]Charters!A50</f>
        <v>3D</v>
      </c>
      <c r="C51" s="36" t="s">
        <v>4</v>
      </c>
      <c r="D51" s="37" t="s">
        <v>5</v>
      </c>
      <c r="E51" s="8"/>
      <c r="F51" s="8"/>
      <c r="G51" s="8"/>
      <c r="H51" s="8"/>
    </row>
    <row r="52" spans="1:8" x14ac:dyDescent="0.2">
      <c r="A52" s="38" t="s">
        <v>6</v>
      </c>
      <c r="B52" s="39"/>
      <c r="C52" s="40"/>
      <c r="D52" s="41"/>
      <c r="E52" s="8"/>
      <c r="F52" s="8"/>
      <c r="G52" s="8"/>
      <c r="H52" s="8"/>
    </row>
    <row r="53" spans="1:8" x14ac:dyDescent="0.2">
      <c r="A53" s="38" t="s">
        <v>7</v>
      </c>
      <c r="B53" s="39"/>
      <c r="C53" s="40"/>
      <c r="D53" s="41"/>
      <c r="E53" s="8"/>
      <c r="F53" s="42" t="s">
        <v>23</v>
      </c>
      <c r="G53" s="8"/>
      <c r="H53" s="42" t="s">
        <v>26</v>
      </c>
    </row>
    <row r="54" spans="1:8" x14ac:dyDescent="0.2">
      <c r="A54" s="20" t="s">
        <v>8</v>
      </c>
      <c r="B54" s="43"/>
      <c r="C54" s="44">
        <f>[1]Charters!C510</f>
        <v>803.41600000000005</v>
      </c>
      <c r="D54" s="45">
        <f>[1]Charters!E510</f>
        <v>2558077.2799999998</v>
      </c>
      <c r="E54" s="8"/>
      <c r="F54" s="42">
        <f>[1]Charters!E665</f>
        <v>2698725.49</v>
      </c>
      <c r="G54" s="8"/>
      <c r="H54" s="42">
        <f>[2]Charters!E204</f>
        <v>10406964.42</v>
      </c>
    </row>
    <row r="55" spans="1:8" x14ac:dyDescent="0.2">
      <c r="A55" s="20" t="s">
        <v>14</v>
      </c>
      <c r="B55" s="43"/>
      <c r="C55" s="44">
        <f>[1]Charters!F510</f>
        <v>44.173000000000002</v>
      </c>
      <c r="D55" s="45">
        <f>[1]Charters!H510</f>
        <v>140648.21</v>
      </c>
      <c r="E55" s="8"/>
      <c r="F55" s="42">
        <f>SUM(D54:D56)</f>
        <v>2698725.49</v>
      </c>
      <c r="G55" s="8"/>
      <c r="H55" s="42">
        <f>D67</f>
        <v>10406964.42</v>
      </c>
    </row>
    <row r="56" spans="1:8" x14ac:dyDescent="0.2">
      <c r="A56" s="20" t="s">
        <v>32</v>
      </c>
      <c r="B56" s="43"/>
      <c r="C56" s="44">
        <f>[1]Charters!C203</f>
        <v>0</v>
      </c>
      <c r="D56" s="45">
        <f>[1]Charters!E203</f>
        <v>0</v>
      </c>
      <c r="E56" s="8"/>
      <c r="F56" s="42">
        <f>+F54-F55</f>
        <v>0</v>
      </c>
      <c r="G56" s="8"/>
      <c r="H56" s="42">
        <f>+H54-H55</f>
        <v>0</v>
      </c>
    </row>
    <row r="57" spans="1:8" x14ac:dyDescent="0.2">
      <c r="A57" s="38" t="s">
        <v>9</v>
      </c>
      <c r="B57" s="39"/>
      <c r="C57" s="46"/>
      <c r="D57" s="47"/>
      <c r="E57" s="8"/>
      <c r="F57" s="8"/>
      <c r="G57" s="8"/>
      <c r="H57" s="8"/>
    </row>
    <row r="58" spans="1:8" x14ac:dyDescent="0.2">
      <c r="A58" s="20" t="s">
        <v>10</v>
      </c>
      <c r="B58" s="43"/>
      <c r="C58" s="40">
        <f>[3]Charters!C49</f>
        <v>2179.0619999999999</v>
      </c>
      <c r="D58" s="41">
        <f>[3]Charters!E49</f>
        <v>6938132.2400000002</v>
      </c>
      <c r="E58" s="8"/>
      <c r="F58" s="42" t="s">
        <v>24</v>
      </c>
      <c r="G58" s="8"/>
      <c r="H58" s="8"/>
    </row>
    <row r="59" spans="1:8" x14ac:dyDescent="0.2">
      <c r="A59" s="48" t="s">
        <v>11</v>
      </c>
      <c r="B59" s="43"/>
      <c r="C59" s="40">
        <f>[3]Charters!F49</f>
        <v>161.93</v>
      </c>
      <c r="D59" s="49">
        <f>[3]Charters!H49</f>
        <v>515585.12</v>
      </c>
      <c r="E59" s="8"/>
      <c r="F59" s="42">
        <f>[3]Charters!N360</f>
        <v>7530760.2000000002</v>
      </c>
      <c r="G59" s="8"/>
      <c r="H59" s="8"/>
    </row>
    <row r="60" spans="1:8" x14ac:dyDescent="0.2">
      <c r="A60" s="48" t="s">
        <v>12</v>
      </c>
      <c r="B60" s="43"/>
      <c r="C60" s="40">
        <f>[3]Charters!C204</f>
        <v>0</v>
      </c>
      <c r="D60" s="41">
        <f>[3]Charters!E204</f>
        <v>0</v>
      </c>
      <c r="E60" s="8"/>
      <c r="F60" s="42">
        <f>SUM(D58:D64)</f>
        <v>7530760.2000000002</v>
      </c>
      <c r="G60" s="8"/>
      <c r="H60" s="8"/>
    </row>
    <row r="61" spans="1:8" x14ac:dyDescent="0.2">
      <c r="A61" s="20" t="s">
        <v>13</v>
      </c>
      <c r="B61" s="43"/>
      <c r="C61" s="40">
        <f>[3]Charters!F204</f>
        <v>4.3150000000000004</v>
      </c>
      <c r="D61" s="41">
        <f>[3]Charters!H204</f>
        <v>13740.2</v>
      </c>
      <c r="E61" s="8"/>
      <c r="F61" s="42">
        <f>+F59-F60</f>
        <v>0</v>
      </c>
      <c r="G61" s="8"/>
      <c r="H61" s="8"/>
    </row>
    <row r="62" spans="1:8" x14ac:dyDescent="0.2">
      <c r="A62" s="48" t="s">
        <v>54</v>
      </c>
      <c r="B62" s="43"/>
      <c r="C62" s="40">
        <f>[3]Charters!C360</f>
        <v>19.881</v>
      </c>
      <c r="D62" s="41">
        <f>[3]Charters!E360</f>
        <v>63302.64</v>
      </c>
      <c r="E62" s="8"/>
      <c r="F62" s="8"/>
      <c r="G62" s="8"/>
      <c r="H62" s="8"/>
    </row>
    <row r="63" spans="1:8" x14ac:dyDescent="0.2">
      <c r="A63" s="48" t="s">
        <v>55</v>
      </c>
      <c r="B63" s="43"/>
      <c r="C63" s="40">
        <f>[3]Charters!F360</f>
        <v>0</v>
      </c>
      <c r="D63" s="41">
        <f>[3]Charters!H360</f>
        <v>0</v>
      </c>
      <c r="E63" s="8"/>
      <c r="F63" s="42" t="s">
        <v>25</v>
      </c>
      <c r="G63" s="8"/>
      <c r="H63" s="8"/>
    </row>
    <row r="64" spans="1:8" x14ac:dyDescent="0.2">
      <c r="A64" s="48" t="s">
        <v>56</v>
      </c>
      <c r="B64" s="43"/>
      <c r="C64" s="40">
        <f>[3]Charters!I360</f>
        <v>0</v>
      </c>
      <c r="D64" s="41">
        <f>[3]Charters!K360</f>
        <v>0</v>
      </c>
      <c r="E64" s="8"/>
      <c r="F64" s="42">
        <f>[2]Charters!H50</f>
        <v>7708238.9299999997</v>
      </c>
      <c r="G64" s="8"/>
      <c r="H64" s="8"/>
    </row>
    <row r="65" spans="1:8" x14ac:dyDescent="0.2">
      <c r="A65" s="20" t="s">
        <v>49</v>
      </c>
      <c r="B65" s="43"/>
      <c r="C65" s="40">
        <f>[3]Charters!C517</f>
        <v>2.855</v>
      </c>
      <c r="D65" s="41">
        <f>[3]Charters!E517</f>
        <v>9090.44</v>
      </c>
      <c r="E65" s="8"/>
      <c r="F65" s="42">
        <f>SUM(D58:D66)</f>
        <v>7708238.9299999997</v>
      </c>
      <c r="G65" s="8"/>
      <c r="H65" s="8"/>
    </row>
    <row r="66" spans="1:8" x14ac:dyDescent="0.2">
      <c r="A66" s="20" t="s">
        <v>50</v>
      </c>
      <c r="B66" s="43"/>
      <c r="C66" s="40">
        <f>[2]Charters!C50</f>
        <v>52.886000000000003</v>
      </c>
      <c r="D66" s="41">
        <f>[2]Charters!E50</f>
        <v>168388.29</v>
      </c>
      <c r="E66" s="8"/>
      <c r="F66" s="42">
        <f>+F64-F65</f>
        <v>0</v>
      </c>
      <c r="G66" s="8"/>
      <c r="H66" s="8"/>
    </row>
    <row r="67" spans="1:8" x14ac:dyDescent="0.2">
      <c r="A67" s="50"/>
      <c r="B67" s="51" t="s">
        <v>16</v>
      </c>
      <c r="C67" s="52">
        <f>SUM(C54:C66)</f>
        <v>3268.518</v>
      </c>
      <c r="D67" s="53">
        <f>SUM(D54:D66)</f>
        <v>10406964.42</v>
      </c>
      <c r="E67" s="8"/>
      <c r="F67" s="8"/>
      <c r="G67" s="8"/>
      <c r="H67" s="8"/>
    </row>
    <row r="68" spans="1:8" x14ac:dyDescent="0.2">
      <c r="A68" s="54" t="s">
        <v>17</v>
      </c>
      <c r="B68" s="39"/>
      <c r="C68" s="55"/>
      <c r="D68" s="47"/>
      <c r="E68" s="8"/>
      <c r="F68" s="8"/>
      <c r="G68" s="8"/>
      <c r="H68" s="42" t="s">
        <v>29</v>
      </c>
    </row>
    <row r="69" spans="1:8" x14ac:dyDescent="0.2">
      <c r="A69" s="20" t="s">
        <v>33</v>
      </c>
      <c r="B69" s="43"/>
      <c r="C69" s="56"/>
      <c r="D69" s="57">
        <f>[4]Charters!C49</f>
        <v>30164.25</v>
      </c>
      <c r="E69" s="8"/>
      <c r="F69" s="8"/>
      <c r="G69" s="8"/>
      <c r="H69" s="42">
        <f>[4]Charters!F990</f>
        <v>13438236.77</v>
      </c>
    </row>
    <row r="70" spans="1:8" x14ac:dyDescent="0.2">
      <c r="A70" s="58" t="s">
        <v>35</v>
      </c>
      <c r="B70" s="43"/>
      <c r="C70" s="56"/>
      <c r="D70" s="41">
        <f>+[4]Charters!F370</f>
        <v>3866.83</v>
      </c>
      <c r="E70" s="8"/>
      <c r="F70" s="8"/>
      <c r="G70" s="8"/>
      <c r="H70" s="42">
        <f>SUM(D67:D86)</f>
        <v>13438236.77</v>
      </c>
    </row>
    <row r="71" spans="1:8" x14ac:dyDescent="0.2">
      <c r="A71" s="59" t="s">
        <v>36</v>
      </c>
      <c r="B71" s="43"/>
      <c r="C71" s="56"/>
      <c r="D71" s="41">
        <f>[4]Charters!E209</f>
        <v>42664</v>
      </c>
      <c r="E71" s="8"/>
      <c r="F71" s="8"/>
      <c r="G71" s="8"/>
      <c r="H71" s="42">
        <f>+H69-H70</f>
        <v>0</v>
      </c>
    </row>
    <row r="72" spans="1:8" x14ac:dyDescent="0.2">
      <c r="A72" s="59" t="s">
        <v>52</v>
      </c>
      <c r="B72" s="43"/>
      <c r="C72" s="56"/>
      <c r="D72" s="41">
        <f>[4]Charters!G370</f>
        <v>0</v>
      </c>
      <c r="E72" s="8"/>
      <c r="F72" s="42" t="s">
        <v>27</v>
      </c>
      <c r="G72" s="8"/>
      <c r="H72" s="42"/>
    </row>
    <row r="73" spans="1:8" x14ac:dyDescent="0.2">
      <c r="A73" s="20" t="s">
        <v>37</v>
      </c>
      <c r="B73" s="43"/>
      <c r="C73" s="56"/>
      <c r="D73" s="41">
        <f>[4]Charters!E526</f>
        <v>74497</v>
      </c>
      <c r="E73" s="8"/>
      <c r="F73" s="42">
        <f>[4]Charters!E209</f>
        <v>42664</v>
      </c>
      <c r="G73" s="8"/>
      <c r="H73" s="8"/>
    </row>
    <row r="74" spans="1:8" x14ac:dyDescent="0.2">
      <c r="A74" s="20" t="s">
        <v>38</v>
      </c>
      <c r="B74" s="43"/>
      <c r="C74" s="56"/>
      <c r="D74" s="41">
        <f>[4]Charters!F526</f>
        <v>0</v>
      </c>
      <c r="E74" s="8"/>
      <c r="F74" s="42">
        <f>SUM(D71:D71)</f>
        <v>42664</v>
      </c>
      <c r="G74" s="8"/>
      <c r="H74" s="8"/>
    </row>
    <row r="75" spans="1:8" x14ac:dyDescent="0.2">
      <c r="A75" s="59" t="s">
        <v>40</v>
      </c>
      <c r="B75" s="43"/>
      <c r="C75" s="56"/>
      <c r="D75" s="41">
        <f>[4]Charters!G526</f>
        <v>0</v>
      </c>
      <c r="E75" s="8"/>
      <c r="F75" s="42">
        <f>+F73-F74</f>
        <v>0</v>
      </c>
      <c r="G75" s="8"/>
      <c r="H75" s="8"/>
    </row>
    <row r="76" spans="1:8" x14ac:dyDescent="0.2">
      <c r="A76" s="20" t="s">
        <v>41</v>
      </c>
      <c r="B76" s="43"/>
      <c r="C76" s="56"/>
      <c r="D76" s="41">
        <f>[4]Charters!C681</f>
        <v>2213106</v>
      </c>
      <c r="E76" s="8"/>
      <c r="F76" s="42" t="s">
        <v>28</v>
      </c>
      <c r="G76" s="8"/>
      <c r="H76" s="8"/>
    </row>
    <row r="77" spans="1:8" x14ac:dyDescent="0.2">
      <c r="A77" s="20" t="s">
        <v>42</v>
      </c>
      <c r="B77" s="43"/>
      <c r="C77" s="56"/>
      <c r="D77" s="41">
        <f>[4]Charters!D681</f>
        <v>470969.92</v>
      </c>
      <c r="E77" s="8"/>
      <c r="F77" s="42">
        <f>[4]Charters!D526</f>
        <v>46530.83</v>
      </c>
      <c r="G77" s="8"/>
      <c r="H77" s="8"/>
    </row>
    <row r="78" spans="1:8" x14ac:dyDescent="0.2">
      <c r="A78" s="20" t="s">
        <v>44</v>
      </c>
      <c r="B78" s="43"/>
      <c r="C78" s="56"/>
      <c r="D78" s="41">
        <f>[4]Charters!E681</f>
        <v>110600</v>
      </c>
      <c r="E78" s="8"/>
      <c r="F78" s="42">
        <f>SUM(D70:D72)</f>
        <v>46530.83</v>
      </c>
      <c r="G78" s="8"/>
      <c r="H78" s="8"/>
    </row>
    <row r="79" spans="1:8" x14ac:dyDescent="0.2">
      <c r="A79" s="59" t="s">
        <v>43</v>
      </c>
      <c r="B79" s="43"/>
      <c r="C79" s="56"/>
      <c r="D79" s="41">
        <f>[4]Charters!F681</f>
        <v>75392.289999999994</v>
      </c>
      <c r="E79" s="8"/>
      <c r="F79" s="42">
        <f>+F77-F78</f>
        <v>0</v>
      </c>
      <c r="G79" s="8"/>
      <c r="H79" s="8"/>
    </row>
    <row r="80" spans="1:8" x14ac:dyDescent="0.2">
      <c r="A80" s="59" t="s">
        <v>45</v>
      </c>
      <c r="B80" s="43"/>
      <c r="C80" s="56"/>
      <c r="D80" s="41">
        <f>[4]Charters!C526</f>
        <v>0</v>
      </c>
      <c r="E80" s="8"/>
      <c r="F80" s="8"/>
      <c r="G80" s="8"/>
      <c r="H80" s="8"/>
    </row>
    <row r="81" spans="1:8" x14ac:dyDescent="0.2">
      <c r="A81" s="59" t="s">
        <v>46</v>
      </c>
      <c r="B81" s="43"/>
      <c r="C81" s="56"/>
      <c r="D81" s="41">
        <f>[4]Charters!C837</f>
        <v>0</v>
      </c>
      <c r="E81" s="8"/>
      <c r="F81" s="8"/>
      <c r="G81" s="8"/>
      <c r="H81" s="42" t="s">
        <v>31</v>
      </c>
    </row>
    <row r="82" spans="1:8" x14ac:dyDescent="0.2">
      <c r="A82" s="59" t="s">
        <v>51</v>
      </c>
      <c r="B82" s="43"/>
      <c r="C82" s="56"/>
      <c r="D82" s="60">
        <f>[4]Charters!D837</f>
        <v>1452.04</v>
      </c>
      <c r="E82" s="42"/>
      <c r="F82" s="42"/>
      <c r="G82" s="42"/>
      <c r="H82" s="42">
        <f>[4]Charters!D1296</f>
        <v>13458964.710000001</v>
      </c>
    </row>
    <row r="83" spans="1:8" x14ac:dyDescent="0.2">
      <c r="A83" s="20" t="s">
        <v>47</v>
      </c>
      <c r="B83" s="43"/>
      <c r="C83" s="56"/>
      <c r="D83" s="60">
        <f>[4]Charters!E837</f>
        <v>0</v>
      </c>
      <c r="E83" s="42"/>
      <c r="F83" s="42"/>
      <c r="G83" s="42"/>
      <c r="H83" s="42">
        <f>D92</f>
        <v>13458964.710000001</v>
      </c>
    </row>
    <row r="84" spans="1:8" x14ac:dyDescent="0.2">
      <c r="A84" s="20" t="s">
        <v>57</v>
      </c>
      <c r="B84" s="43"/>
      <c r="C84" s="56"/>
      <c r="D84" s="60">
        <f>[4]Charters!C990</f>
        <v>8560.02</v>
      </c>
      <c r="E84" s="42"/>
      <c r="F84" s="42"/>
      <c r="G84" s="42"/>
      <c r="H84" s="42">
        <f>+H82-H83</f>
        <v>0</v>
      </c>
    </row>
    <row r="85" spans="1:8" x14ac:dyDescent="0.2">
      <c r="A85" s="59" t="s">
        <v>53</v>
      </c>
      <c r="B85" s="43"/>
      <c r="C85" s="56"/>
      <c r="D85" s="60">
        <f>[4]Charters!D990</f>
        <v>0</v>
      </c>
      <c r="E85" s="42"/>
      <c r="F85" s="42" t="s">
        <v>30</v>
      </c>
      <c r="G85" s="42"/>
      <c r="H85" s="42"/>
    </row>
    <row r="86" spans="1:8" x14ac:dyDescent="0.2">
      <c r="A86" s="59" t="s">
        <v>59</v>
      </c>
      <c r="B86" s="43"/>
      <c r="C86" s="56"/>
      <c r="D86" s="60">
        <f>[4]Charters!E990</f>
        <v>0</v>
      </c>
      <c r="E86" s="42"/>
      <c r="F86" s="42"/>
      <c r="G86" s="42"/>
      <c r="H86" s="42"/>
    </row>
    <row r="87" spans="1:8" x14ac:dyDescent="0.2">
      <c r="A87" s="38" t="s">
        <v>18</v>
      </c>
      <c r="B87" s="61"/>
      <c r="C87" s="62"/>
      <c r="D87" s="87"/>
      <c r="E87" s="42"/>
      <c r="F87" s="42">
        <f>[4]Charters!C1296</f>
        <v>20727.939999999999</v>
      </c>
      <c r="G87" s="42"/>
      <c r="H87" s="42"/>
    </row>
    <row r="88" spans="1:8" x14ac:dyDescent="0.2">
      <c r="A88" s="59" t="s">
        <v>39</v>
      </c>
      <c r="B88" s="43"/>
      <c r="C88" s="56"/>
      <c r="D88" s="41">
        <f>[4]Charters!C1143</f>
        <v>15727.94</v>
      </c>
      <c r="E88" s="42"/>
      <c r="F88" s="42">
        <f>SUM(D88:D91)</f>
        <v>20727.939999999999</v>
      </c>
      <c r="G88" s="42"/>
      <c r="H88" s="42"/>
    </row>
    <row r="89" spans="1:8" x14ac:dyDescent="0.2">
      <c r="A89" s="59" t="s">
        <v>48</v>
      </c>
      <c r="B89" s="43"/>
      <c r="C89" s="56"/>
      <c r="D89" s="41">
        <f>[4]Charters!D1143</f>
        <v>0</v>
      </c>
      <c r="E89" s="42"/>
      <c r="F89" s="42">
        <f>+F87-F88</f>
        <v>0</v>
      </c>
      <c r="G89" s="42"/>
      <c r="H89" s="42"/>
    </row>
    <row r="90" spans="1:8" x14ac:dyDescent="0.2">
      <c r="A90" s="59" t="s">
        <v>60</v>
      </c>
      <c r="B90" s="43"/>
      <c r="C90" s="56"/>
      <c r="D90" s="41">
        <f>[4]Charters!E1143</f>
        <v>0</v>
      </c>
      <c r="E90" s="42"/>
      <c r="F90" s="42"/>
      <c r="G90" s="42"/>
      <c r="H90" s="42"/>
    </row>
    <row r="91" spans="1:8" x14ac:dyDescent="0.2">
      <c r="A91" s="59" t="s">
        <v>61</v>
      </c>
      <c r="B91" s="43"/>
      <c r="C91" s="56"/>
      <c r="D91" s="41">
        <f>[4]Charters!F1143</f>
        <v>5000</v>
      </c>
      <c r="E91" s="42"/>
      <c r="F91" s="42"/>
      <c r="G91" s="42"/>
      <c r="H91" s="42"/>
    </row>
    <row r="92" spans="1:8" ht="13.5" thickBot="1" x14ac:dyDescent="0.25">
      <c r="A92" s="64"/>
      <c r="B92" s="65"/>
      <c r="C92" s="66"/>
      <c r="D92" s="67">
        <f>SUM(D67:D91)</f>
        <v>13458964.710000001</v>
      </c>
      <c r="E92" s="42"/>
      <c r="F92" s="42"/>
      <c r="G92" s="42"/>
      <c r="H92" s="42"/>
    </row>
    <row r="93" spans="1:8" ht="13.5" thickTop="1" x14ac:dyDescent="0.2">
      <c r="A93" s="68"/>
      <c r="B93" s="43"/>
      <c r="C93" s="56"/>
      <c r="D93" s="86"/>
      <c r="E93" s="42"/>
      <c r="F93" s="42"/>
      <c r="G93" s="42"/>
      <c r="H93" s="42"/>
    </row>
    <row r="94" spans="1:8" x14ac:dyDescent="0.2">
      <c r="A94" s="38" t="s">
        <v>20</v>
      </c>
      <c r="B94" s="39"/>
      <c r="C94" s="70"/>
      <c r="D94" s="71" t="s">
        <v>21</v>
      </c>
      <c r="E94" s="42"/>
      <c r="F94" s="42"/>
      <c r="G94" s="42"/>
      <c r="H94" s="42"/>
    </row>
    <row r="95" spans="1:8" x14ac:dyDescent="0.2">
      <c r="A95" s="72" t="s">
        <v>22</v>
      </c>
      <c r="B95" s="73"/>
      <c r="C95" s="74"/>
      <c r="D95" s="41">
        <f>[5]Charters!C49</f>
        <v>2311.02</v>
      </c>
      <c r="E95" s="42"/>
      <c r="F95" s="42"/>
      <c r="G95" s="42"/>
      <c r="H95" s="42"/>
    </row>
    <row r="96" spans="1:8" x14ac:dyDescent="0.2">
      <c r="A96" s="75"/>
      <c r="B96" s="61"/>
      <c r="C96" s="76"/>
      <c r="D96" s="77">
        <f>SUM(D95:D95)</f>
        <v>2311.02</v>
      </c>
      <c r="E96" s="42"/>
      <c r="F96" s="42"/>
      <c r="G96" s="42"/>
      <c r="H96" s="42"/>
    </row>
    <row r="97" spans="1:8" x14ac:dyDescent="0.2">
      <c r="A97" s="78" t="s">
        <v>58</v>
      </c>
      <c r="B97" s="79"/>
      <c r="C97" s="80"/>
      <c r="D97" s="77">
        <f>D96+D92</f>
        <v>13461275.73</v>
      </c>
      <c r="E97" s="42"/>
      <c r="F97" s="42"/>
      <c r="G97" s="42"/>
      <c r="H97" s="42"/>
    </row>
    <row r="98" spans="1:8" x14ac:dyDescent="0.2">
      <c r="A98" s="84"/>
      <c r="B98" s="84"/>
      <c r="C98" s="85"/>
      <c r="D98" s="81"/>
      <c r="E98" s="42"/>
      <c r="F98" s="42"/>
      <c r="G98" s="42"/>
      <c r="H98" s="42"/>
    </row>
    <row r="99" spans="1:8" x14ac:dyDescent="0.2">
      <c r="A99" s="84"/>
      <c r="B99" s="84"/>
      <c r="C99" s="85"/>
      <c r="D99" s="81">
        <f>[5]Charters!E205</f>
        <v>13461275.73</v>
      </c>
      <c r="E99" s="42"/>
      <c r="F99" s="42"/>
      <c r="G99" s="42"/>
      <c r="H99" s="42"/>
    </row>
    <row r="100" spans="1:8" x14ac:dyDescent="0.2">
      <c r="A100" s="84"/>
      <c r="B100" s="84"/>
      <c r="C100" s="85"/>
      <c r="D100" s="81">
        <f>D97</f>
        <v>13461275.73</v>
      </c>
      <c r="E100" s="42"/>
      <c r="F100" s="42"/>
      <c r="G100" s="42"/>
      <c r="H100" s="42"/>
    </row>
    <row r="101" spans="1:8" x14ac:dyDescent="0.2">
      <c r="C101" s="83"/>
      <c r="D101" s="42">
        <f>D99-D100</f>
        <v>0</v>
      </c>
      <c r="E101" s="42"/>
      <c r="F101" s="42"/>
      <c r="G101" s="42"/>
      <c r="H101" s="42"/>
    </row>
    <row r="102" spans="1:8" x14ac:dyDescent="0.2">
      <c r="C102" s="83"/>
      <c r="D102" s="42">
        <f>D100-D101</f>
        <v>13461275.73</v>
      </c>
      <c r="E102" s="42"/>
      <c r="F102" s="42"/>
      <c r="G102" s="42"/>
      <c r="H102" s="42"/>
    </row>
  </sheetData>
  <mergeCells count="4">
    <mergeCell ref="A43:D43"/>
    <mergeCell ref="A97:C97"/>
    <mergeCell ref="A44:D44"/>
    <mergeCell ref="A45:D45"/>
  </mergeCells>
  <printOptions horizontalCentered="1" verticalCentered="1"/>
  <pageMargins left="0.5" right="0.5" top="0.5" bottom="0.5" header="0.25" footer="0.25"/>
  <pageSetup orientation="portrait" r:id="rId1"/>
  <headerFooter alignWithMargins="0">
    <oddHeader>&amp;R&amp;8Current as of: &amp;D</oddHeader>
    <oddFooter>&amp;L&amp;8USOE, School Finance</oddFooter>
  </headerFooter>
  <picture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>
    <pageSetUpPr fitToPage="1"/>
  </sheetPr>
  <dimension ref="A1:H103"/>
  <sheetViews>
    <sheetView showGridLines="0" topLeftCell="A40" workbookViewId="0">
      <selection activeCell="C12" sqref="C12"/>
    </sheetView>
  </sheetViews>
  <sheetFormatPr defaultColWidth="9.140625" defaultRowHeight="12.75" x14ac:dyDescent="0.2"/>
  <cols>
    <col min="1" max="1" width="31.85546875" style="82" customWidth="1"/>
    <col min="2" max="2" width="16.140625" style="82" customWidth="1"/>
    <col min="3" max="4" width="14.85546875" style="82" customWidth="1"/>
    <col min="5" max="5" width="7" style="82" customWidth="1"/>
    <col min="6" max="6" width="19.7109375" style="82" customWidth="1"/>
    <col min="7" max="7" width="5.7109375" style="82" customWidth="1"/>
    <col min="8" max="8" width="18" style="82" customWidth="1"/>
    <col min="9" max="16384" width="9.140625" style="82"/>
  </cols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"/>
      <c r="B3" s="1"/>
      <c r="C3" s="1"/>
      <c r="D3" s="1"/>
      <c r="E3" s="1"/>
      <c r="F3" s="1"/>
      <c r="G3" s="1"/>
      <c r="H3" s="1"/>
    </row>
    <row r="4" spans="1:8" x14ac:dyDescent="0.2">
      <c r="A4" s="1"/>
      <c r="B4" s="1"/>
      <c r="C4" s="1"/>
      <c r="D4" s="1"/>
      <c r="E4" s="1"/>
      <c r="F4" s="1"/>
      <c r="G4" s="1"/>
      <c r="H4" s="1"/>
    </row>
    <row r="5" spans="1:8" x14ac:dyDescent="0.2">
      <c r="A5" s="1"/>
      <c r="B5" s="1"/>
      <c r="C5" s="1"/>
      <c r="D5" s="1"/>
      <c r="E5" s="1"/>
      <c r="F5" s="1"/>
      <c r="G5" s="1"/>
      <c r="H5" s="1"/>
    </row>
    <row r="6" spans="1:8" x14ac:dyDescent="0.2">
      <c r="A6" s="1"/>
      <c r="B6" s="1"/>
      <c r="C6" s="1"/>
      <c r="D6" s="1"/>
      <c r="E6" s="1"/>
      <c r="F6" s="1"/>
      <c r="G6" s="1"/>
      <c r="H6" s="1"/>
    </row>
    <row r="7" spans="1:8" x14ac:dyDescent="0.2">
      <c r="A7" s="1"/>
      <c r="B7" s="1"/>
      <c r="C7" s="1"/>
      <c r="D7" s="1"/>
      <c r="E7" s="1"/>
      <c r="F7" s="1"/>
      <c r="G7" s="1"/>
      <c r="H7" s="1"/>
    </row>
    <row r="8" spans="1:8" x14ac:dyDescent="0.2">
      <c r="A8" s="1"/>
      <c r="B8" s="1"/>
      <c r="C8" s="1"/>
      <c r="D8" s="1"/>
      <c r="E8" s="1"/>
      <c r="F8" s="1"/>
      <c r="G8" s="1"/>
      <c r="H8" s="1"/>
    </row>
    <row r="9" spans="1:8" x14ac:dyDescent="0.2">
      <c r="A9" s="1"/>
      <c r="B9" s="1"/>
      <c r="C9" s="1"/>
      <c r="D9" s="1"/>
      <c r="E9" s="1"/>
      <c r="F9" s="1"/>
      <c r="G9" s="1"/>
      <c r="H9" s="1"/>
    </row>
    <row r="10" spans="1:8" x14ac:dyDescent="0.2">
      <c r="A10" s="1"/>
      <c r="B10" s="1"/>
      <c r="C10" s="1"/>
      <c r="D10" s="1"/>
      <c r="E10" s="1"/>
      <c r="F10" s="1"/>
      <c r="G10" s="1"/>
      <c r="H10" s="1"/>
    </row>
    <row r="11" spans="1:8" x14ac:dyDescent="0.2">
      <c r="A11" s="1"/>
      <c r="B11" s="1"/>
      <c r="C11" s="1"/>
      <c r="D11" s="1"/>
      <c r="E11" s="1"/>
      <c r="F11" s="1"/>
      <c r="G11" s="1"/>
      <c r="H11" s="1"/>
    </row>
    <row r="12" spans="1:8" x14ac:dyDescent="0.2">
      <c r="A12" s="1"/>
      <c r="B12" s="1"/>
      <c r="C12" s="1"/>
      <c r="D12" s="1"/>
      <c r="E12" s="1"/>
      <c r="F12" s="1"/>
      <c r="G12" s="1"/>
      <c r="H12" s="1"/>
    </row>
    <row r="13" spans="1:8" x14ac:dyDescent="0.2">
      <c r="A13" s="1"/>
      <c r="B13" s="1"/>
      <c r="C13" s="1"/>
      <c r="D13" s="1"/>
      <c r="E13" s="1"/>
      <c r="F13" s="1"/>
      <c r="G13" s="1"/>
      <c r="H13" s="1"/>
    </row>
    <row r="14" spans="1:8" x14ac:dyDescent="0.2">
      <c r="A14" s="1"/>
      <c r="B14" s="1"/>
      <c r="C14" s="1"/>
      <c r="D14" s="1"/>
      <c r="E14" s="1"/>
      <c r="F14" s="1"/>
      <c r="G14" s="1"/>
      <c r="H14" s="1"/>
    </row>
    <row r="15" spans="1:8" x14ac:dyDescent="0.2">
      <c r="A15" s="1"/>
      <c r="B15" s="1"/>
      <c r="C15" s="1"/>
      <c r="D15" s="1"/>
      <c r="E15" s="1"/>
      <c r="F15" s="1"/>
      <c r="G15" s="1"/>
      <c r="H15" s="1"/>
    </row>
    <row r="16" spans="1:8" x14ac:dyDescent="0.2">
      <c r="A16" s="1"/>
      <c r="B16" s="1"/>
      <c r="C16" s="1"/>
      <c r="D16" s="1"/>
      <c r="E16" s="1"/>
      <c r="F16" s="1"/>
      <c r="G16" s="1"/>
      <c r="H16" s="1"/>
    </row>
    <row r="17" spans="1:8" x14ac:dyDescent="0.2">
      <c r="A17" s="1"/>
      <c r="B17" s="1"/>
      <c r="C17" s="1"/>
      <c r="D17" s="1"/>
      <c r="E17" s="1"/>
      <c r="F17" s="1"/>
      <c r="G17" s="1"/>
      <c r="H17" s="1"/>
    </row>
    <row r="18" spans="1:8" x14ac:dyDescent="0.2">
      <c r="A18" s="1"/>
      <c r="B18" s="1"/>
      <c r="C18" s="1"/>
      <c r="D18" s="1"/>
      <c r="E18" s="1"/>
      <c r="F18" s="1"/>
      <c r="G18" s="1"/>
      <c r="H18" s="1"/>
    </row>
    <row r="19" spans="1:8" x14ac:dyDescent="0.2">
      <c r="A19" s="1"/>
      <c r="B19" s="1"/>
      <c r="C19" s="1"/>
      <c r="D19" s="1"/>
      <c r="E19" s="1"/>
      <c r="F19" s="1"/>
      <c r="G19" s="1"/>
      <c r="H19" s="1"/>
    </row>
    <row r="20" spans="1:8" x14ac:dyDescent="0.2">
      <c r="A20" s="1"/>
      <c r="B20" s="1"/>
      <c r="C20" s="1"/>
      <c r="D20" s="1"/>
      <c r="E20" s="1"/>
      <c r="F20" s="1"/>
      <c r="G20" s="1"/>
      <c r="H20" s="1"/>
    </row>
    <row r="21" spans="1:8" x14ac:dyDescent="0.2">
      <c r="A21" s="1"/>
      <c r="B21" s="1"/>
      <c r="C21" s="1"/>
      <c r="D21" s="1"/>
      <c r="E21" s="1"/>
      <c r="F21" s="1"/>
      <c r="G21" s="1"/>
      <c r="H21" s="1"/>
    </row>
    <row r="22" spans="1:8" x14ac:dyDescent="0.2">
      <c r="A22" s="1"/>
      <c r="B22" s="1"/>
      <c r="C22" s="1"/>
      <c r="D22" s="4"/>
      <c r="E22" s="1"/>
      <c r="F22" s="1"/>
      <c r="G22" s="1"/>
      <c r="H22" s="1"/>
    </row>
    <row r="23" spans="1:8" x14ac:dyDescent="0.2">
      <c r="A23" s="1"/>
      <c r="B23" s="1"/>
      <c r="C23" s="1"/>
      <c r="D23" s="1"/>
      <c r="E23" s="1"/>
      <c r="F23" s="1"/>
      <c r="G23" s="1"/>
      <c r="H23" s="1"/>
    </row>
    <row r="24" spans="1:8" x14ac:dyDescent="0.2">
      <c r="A24" s="1"/>
      <c r="B24" s="1"/>
      <c r="C24" s="1"/>
      <c r="D24" s="1"/>
      <c r="E24" s="1"/>
      <c r="F24" s="1"/>
      <c r="G24" s="1"/>
      <c r="H24" s="1"/>
    </row>
    <row r="25" spans="1:8" x14ac:dyDescent="0.2">
      <c r="A25" s="1"/>
      <c r="B25" s="1"/>
      <c r="C25" s="1"/>
      <c r="D25" s="1"/>
      <c r="E25" s="1"/>
      <c r="F25" s="1"/>
      <c r="G25" s="1"/>
      <c r="H25" s="1"/>
    </row>
    <row r="26" spans="1:8" x14ac:dyDescent="0.2">
      <c r="A26" s="1"/>
      <c r="B26" s="1"/>
      <c r="C26" s="1"/>
      <c r="D26" s="1"/>
      <c r="E26" s="1"/>
      <c r="F26" s="1"/>
      <c r="G26" s="1"/>
      <c r="H26" s="1"/>
    </row>
    <row r="27" spans="1:8" x14ac:dyDescent="0.2">
      <c r="A27" s="1"/>
      <c r="B27" s="1"/>
      <c r="C27" s="1"/>
      <c r="D27" s="1"/>
      <c r="E27" s="1"/>
      <c r="F27" s="1"/>
      <c r="G27" s="1"/>
      <c r="H27" s="1"/>
    </row>
    <row r="28" spans="1:8" x14ac:dyDescent="0.2">
      <c r="A28" s="1"/>
      <c r="B28" s="1"/>
      <c r="C28" s="1"/>
      <c r="D28" s="1"/>
      <c r="E28" s="1"/>
      <c r="F28" s="1"/>
      <c r="G28" s="1"/>
      <c r="H28" s="1"/>
    </row>
    <row r="29" spans="1:8" x14ac:dyDescent="0.2">
      <c r="A29" s="1"/>
      <c r="B29" s="1"/>
      <c r="C29" s="1"/>
      <c r="D29" s="1"/>
      <c r="E29" s="1"/>
      <c r="F29" s="1"/>
      <c r="G29" s="1"/>
      <c r="H29" s="1"/>
    </row>
    <row r="30" spans="1:8" x14ac:dyDescent="0.2">
      <c r="A30" s="1"/>
      <c r="B30" s="1"/>
      <c r="C30" s="1"/>
      <c r="D30" s="1"/>
      <c r="E30" s="1"/>
      <c r="F30" s="1"/>
      <c r="G30" s="1"/>
      <c r="H30" s="1"/>
    </row>
    <row r="31" spans="1:8" x14ac:dyDescent="0.2">
      <c r="A31" s="1"/>
      <c r="B31" s="1"/>
      <c r="C31" s="1"/>
      <c r="D31" s="1"/>
      <c r="E31" s="1"/>
      <c r="F31" s="1"/>
      <c r="G31" s="1"/>
      <c r="H31" s="1"/>
    </row>
    <row r="32" spans="1:8" x14ac:dyDescent="0.2">
      <c r="A32" s="1"/>
      <c r="B32" s="1"/>
      <c r="C32" s="1"/>
      <c r="D32" s="1"/>
      <c r="E32" s="1"/>
      <c r="F32" s="1"/>
      <c r="G32" s="1"/>
      <c r="H32" s="1"/>
    </row>
    <row r="33" spans="1:8" x14ac:dyDescent="0.2">
      <c r="A33" s="1"/>
      <c r="B33" s="1"/>
      <c r="C33" s="1"/>
      <c r="D33" s="1"/>
      <c r="E33" s="1"/>
      <c r="F33" s="1"/>
      <c r="G33" s="1"/>
      <c r="H33" s="1"/>
    </row>
    <row r="34" spans="1:8" x14ac:dyDescent="0.2">
      <c r="A34" s="1"/>
      <c r="B34" s="1"/>
      <c r="C34" s="1"/>
      <c r="D34" s="1"/>
      <c r="E34" s="1"/>
      <c r="F34" s="1"/>
      <c r="G34" s="1"/>
      <c r="H34" s="1"/>
    </row>
    <row r="35" spans="1:8" x14ac:dyDescent="0.2">
      <c r="A35" s="1"/>
      <c r="B35" s="1"/>
      <c r="C35" s="1"/>
      <c r="D35" s="1"/>
      <c r="E35" s="1"/>
      <c r="F35" s="1"/>
      <c r="G35" s="1"/>
      <c r="H35" s="1"/>
    </row>
    <row r="36" spans="1:8" x14ac:dyDescent="0.2">
      <c r="A36" s="1"/>
      <c r="B36" s="1"/>
      <c r="C36" s="1"/>
      <c r="D36" s="1"/>
      <c r="E36" s="1"/>
      <c r="F36" s="1"/>
      <c r="G36" s="1"/>
      <c r="H36" s="1"/>
    </row>
    <row r="37" spans="1:8" x14ac:dyDescent="0.2">
      <c r="A37" s="1"/>
      <c r="B37" s="1"/>
      <c r="C37" s="1"/>
      <c r="D37" s="1"/>
      <c r="E37" s="1"/>
      <c r="F37" s="1"/>
      <c r="G37" s="1"/>
      <c r="H37" s="1"/>
    </row>
    <row r="38" spans="1:8" x14ac:dyDescent="0.2">
      <c r="A38" s="1"/>
      <c r="B38" s="1"/>
      <c r="C38" s="1"/>
      <c r="D38" s="1"/>
      <c r="E38" s="1"/>
      <c r="F38" s="1"/>
      <c r="G38" s="1"/>
      <c r="H38" s="1"/>
    </row>
    <row r="39" spans="1:8" x14ac:dyDescent="0.2">
      <c r="A39" s="1"/>
      <c r="B39" s="1"/>
      <c r="C39" s="1"/>
      <c r="D39" s="1"/>
      <c r="E39" s="1"/>
      <c r="F39" s="1"/>
      <c r="G39" s="1"/>
      <c r="H39" s="1"/>
    </row>
    <row r="40" spans="1:8" x14ac:dyDescent="0.2">
      <c r="A40" s="1"/>
      <c r="B40" s="1"/>
      <c r="C40" s="1"/>
      <c r="D40" s="1"/>
      <c r="E40" s="1"/>
      <c r="F40" s="1"/>
      <c r="G40" s="1"/>
      <c r="H40" s="1"/>
    </row>
    <row r="41" spans="1:8" x14ac:dyDescent="0.2">
      <c r="A41" s="1"/>
      <c r="B41" s="1"/>
      <c r="C41" s="1"/>
      <c r="D41" s="1"/>
      <c r="E41" s="1"/>
      <c r="F41" s="1"/>
      <c r="G41" s="1"/>
      <c r="H41" s="1"/>
    </row>
    <row r="42" spans="1:8" x14ac:dyDescent="0.2">
      <c r="A42" s="1"/>
      <c r="B42" s="1"/>
      <c r="C42" s="1"/>
      <c r="D42" s="1"/>
      <c r="E42" s="1"/>
      <c r="F42" s="1"/>
      <c r="G42" s="1"/>
      <c r="H42" s="1"/>
    </row>
    <row r="43" spans="1:8" x14ac:dyDescent="0.2">
      <c r="A43" s="1"/>
      <c r="B43" s="1"/>
      <c r="C43" s="1"/>
      <c r="D43" s="1"/>
      <c r="E43" s="1"/>
      <c r="F43" s="1"/>
      <c r="G43" s="1"/>
      <c r="H43" s="1"/>
    </row>
    <row r="44" spans="1:8" x14ac:dyDescent="0.2">
      <c r="A44" s="11" t="s">
        <v>1</v>
      </c>
      <c r="B44" s="12"/>
      <c r="C44" s="12"/>
      <c r="D44" s="13"/>
      <c r="E44" s="8"/>
      <c r="F44" s="8"/>
      <c r="G44" s="8"/>
      <c r="H44" s="8"/>
    </row>
    <row r="45" spans="1:8" x14ac:dyDescent="0.2">
      <c r="A45" s="14" t="s">
        <v>15</v>
      </c>
      <c r="B45" s="15"/>
      <c r="C45" s="15"/>
      <c r="D45" s="16"/>
      <c r="E45" s="8"/>
      <c r="F45" s="8"/>
      <c r="G45" s="8"/>
      <c r="H45" s="8"/>
    </row>
    <row r="46" spans="1:8" x14ac:dyDescent="0.2">
      <c r="A46" s="17" t="s">
        <v>62</v>
      </c>
      <c r="B46" s="18"/>
      <c r="C46" s="18"/>
      <c r="D46" s="19"/>
      <c r="E46" s="8"/>
      <c r="F46" s="8"/>
      <c r="G46" s="8"/>
      <c r="H46" s="8"/>
    </row>
    <row r="47" spans="1:8" x14ac:dyDescent="0.2">
      <c r="A47" s="20"/>
      <c r="B47" s="21"/>
      <c r="C47" s="22"/>
      <c r="D47" s="23"/>
      <c r="E47" s="8"/>
      <c r="F47" s="8" t="s">
        <v>34</v>
      </c>
      <c r="G47" s="8"/>
      <c r="H47" s="8"/>
    </row>
    <row r="48" spans="1:8" ht="15.75" x14ac:dyDescent="0.25">
      <c r="A48" s="24" t="s">
        <v>2</v>
      </c>
      <c r="B48" s="25" t="str">
        <f>[1]Charters!B51</f>
        <v>Syracuse Arts Academy</v>
      </c>
      <c r="C48" s="26"/>
      <c r="D48" s="27"/>
      <c r="E48" s="8"/>
      <c r="F48" s="8"/>
      <c r="G48" s="8"/>
      <c r="H48" s="8"/>
    </row>
    <row r="49" spans="1:8" x14ac:dyDescent="0.2">
      <c r="A49" s="24"/>
      <c r="B49" s="28"/>
      <c r="C49" s="26"/>
      <c r="D49" s="27"/>
      <c r="E49" s="8"/>
      <c r="F49" s="8"/>
      <c r="G49" s="8"/>
      <c r="H49" s="8"/>
    </row>
    <row r="50" spans="1:8" x14ac:dyDescent="0.2">
      <c r="A50" s="29" t="s">
        <v>0</v>
      </c>
      <c r="B50" s="30">
        <f>[1]Charters!$E$6</f>
        <v>3184</v>
      </c>
      <c r="C50" s="26"/>
      <c r="D50" s="31"/>
      <c r="E50" s="8"/>
      <c r="F50" s="8"/>
      <c r="G50" s="8"/>
      <c r="H50" s="8"/>
    </row>
    <row r="51" spans="1:8" x14ac:dyDescent="0.2">
      <c r="A51" s="32"/>
      <c r="B51" s="6"/>
      <c r="C51" s="33"/>
      <c r="D51" s="34" t="s">
        <v>3</v>
      </c>
      <c r="E51" s="8"/>
      <c r="F51" s="8"/>
      <c r="G51" s="8"/>
      <c r="H51" s="8"/>
    </row>
    <row r="52" spans="1:8" x14ac:dyDescent="0.2">
      <c r="A52" s="29" t="s">
        <v>19</v>
      </c>
      <c r="B52" s="35" t="str">
        <f>[1]Charters!A51</f>
        <v>4D</v>
      </c>
      <c r="C52" s="36" t="s">
        <v>4</v>
      </c>
      <c r="D52" s="37" t="s">
        <v>5</v>
      </c>
      <c r="E52" s="8"/>
      <c r="F52" s="8"/>
      <c r="G52" s="8"/>
      <c r="H52" s="8"/>
    </row>
    <row r="53" spans="1:8" x14ac:dyDescent="0.2">
      <c r="A53" s="38" t="s">
        <v>6</v>
      </c>
      <c r="B53" s="39"/>
      <c r="C53" s="40"/>
      <c r="D53" s="41"/>
      <c r="E53" s="8"/>
      <c r="F53" s="8"/>
      <c r="G53" s="8"/>
      <c r="H53" s="8"/>
    </row>
    <row r="54" spans="1:8" x14ac:dyDescent="0.2">
      <c r="A54" s="38" t="s">
        <v>7</v>
      </c>
      <c r="B54" s="39"/>
      <c r="C54" s="40"/>
      <c r="D54" s="41"/>
      <c r="E54" s="8"/>
      <c r="F54" s="42" t="s">
        <v>23</v>
      </c>
      <c r="G54" s="8"/>
      <c r="H54" s="42" t="s">
        <v>26</v>
      </c>
    </row>
    <row r="55" spans="1:8" x14ac:dyDescent="0.2">
      <c r="A55" s="20" t="s">
        <v>8</v>
      </c>
      <c r="B55" s="43"/>
      <c r="C55" s="44">
        <f>[1]Charters!C511</f>
        <v>1516.32</v>
      </c>
      <c r="D55" s="45">
        <f>[1]Charters!E511</f>
        <v>4827962.03</v>
      </c>
      <c r="E55" s="8"/>
      <c r="F55" s="42">
        <f>[1]Charters!E666</f>
        <v>5148937.29</v>
      </c>
      <c r="G55" s="8"/>
      <c r="H55" s="42">
        <f>[2]Charters!E205</f>
        <v>6520424.1100000003</v>
      </c>
    </row>
    <row r="56" spans="1:8" x14ac:dyDescent="0.2">
      <c r="A56" s="20" t="s">
        <v>14</v>
      </c>
      <c r="B56" s="43"/>
      <c r="C56" s="44">
        <f>[1]Charters!F511</f>
        <v>100.809</v>
      </c>
      <c r="D56" s="45">
        <f>[1]Charters!H511</f>
        <v>320975.26</v>
      </c>
      <c r="E56" s="8"/>
      <c r="F56" s="42">
        <f>SUM(D55:D57)</f>
        <v>5148937.29</v>
      </c>
      <c r="G56" s="8"/>
      <c r="H56" s="42">
        <f>D68</f>
        <v>6520424.1100000003</v>
      </c>
    </row>
    <row r="57" spans="1:8" x14ac:dyDescent="0.2">
      <c r="A57" s="20" t="s">
        <v>32</v>
      </c>
      <c r="B57" s="43"/>
      <c r="C57" s="44">
        <f>[1]Charters!C204</f>
        <v>0</v>
      </c>
      <c r="D57" s="45">
        <f>[1]Charters!E204</f>
        <v>0</v>
      </c>
      <c r="E57" s="8"/>
      <c r="F57" s="42">
        <f>+F55-F56</f>
        <v>0</v>
      </c>
      <c r="G57" s="8"/>
      <c r="H57" s="42">
        <f>+H55-H56</f>
        <v>0</v>
      </c>
    </row>
    <row r="58" spans="1:8" x14ac:dyDescent="0.2">
      <c r="A58" s="38" t="s">
        <v>9</v>
      </c>
      <c r="B58" s="39"/>
      <c r="C58" s="46"/>
      <c r="D58" s="47"/>
      <c r="E58" s="8"/>
      <c r="F58" s="8"/>
      <c r="G58" s="8"/>
      <c r="H58" s="8"/>
    </row>
    <row r="59" spans="1:8" x14ac:dyDescent="0.2">
      <c r="A59" s="20" t="s">
        <v>10</v>
      </c>
      <c r="B59" s="43"/>
      <c r="C59" s="40">
        <f>[3]Charters!C50</f>
        <v>272.61099999999999</v>
      </c>
      <c r="D59" s="41">
        <f>[3]Charters!E50</f>
        <v>867992.41</v>
      </c>
      <c r="E59" s="8"/>
      <c r="F59" s="42" t="s">
        <v>24</v>
      </c>
      <c r="G59" s="8"/>
      <c r="H59" s="8"/>
    </row>
    <row r="60" spans="1:8" x14ac:dyDescent="0.2">
      <c r="A60" s="48" t="s">
        <v>11</v>
      </c>
      <c r="B60" s="43"/>
      <c r="C60" s="40">
        <f>[3]Charters!F50</f>
        <v>2.34</v>
      </c>
      <c r="D60" s="49">
        <f>[3]Charters!H50</f>
        <v>7450.56</v>
      </c>
      <c r="E60" s="8"/>
      <c r="F60" s="42">
        <f>[3]Charters!N361</f>
        <v>893030.88</v>
      </c>
      <c r="G60" s="8"/>
      <c r="H60" s="8"/>
    </row>
    <row r="61" spans="1:8" x14ac:dyDescent="0.2">
      <c r="A61" s="48" t="s">
        <v>12</v>
      </c>
      <c r="B61" s="43"/>
      <c r="C61" s="40">
        <f>[3]Charters!C205</f>
        <v>0</v>
      </c>
      <c r="D61" s="41">
        <f>[3]Charters!E205</f>
        <v>0</v>
      </c>
      <c r="E61" s="8"/>
      <c r="F61" s="42">
        <f>SUM(D59:D65)</f>
        <v>893030.88</v>
      </c>
      <c r="G61" s="8"/>
      <c r="H61" s="8"/>
    </row>
    <row r="62" spans="1:8" x14ac:dyDescent="0.2">
      <c r="A62" s="20" t="s">
        <v>13</v>
      </c>
      <c r="B62" s="43"/>
      <c r="C62" s="40">
        <f>[3]Charters!F205</f>
        <v>1.4490000000000001</v>
      </c>
      <c r="D62" s="41">
        <f>[3]Charters!H205</f>
        <v>4612.37</v>
      </c>
      <c r="E62" s="8"/>
      <c r="F62" s="42">
        <f>+F60-F61</f>
        <v>0</v>
      </c>
      <c r="G62" s="8"/>
      <c r="H62" s="8"/>
    </row>
    <row r="63" spans="1:8" x14ac:dyDescent="0.2">
      <c r="A63" s="48" t="s">
        <v>54</v>
      </c>
      <c r="B63" s="43"/>
      <c r="C63" s="40">
        <f>[3]Charters!C361</f>
        <v>4.0750000000000002</v>
      </c>
      <c r="D63" s="41">
        <f>[3]Charters!E361</f>
        <v>12975.54</v>
      </c>
      <c r="E63" s="8"/>
      <c r="F63" s="8"/>
      <c r="G63" s="8"/>
      <c r="H63" s="8"/>
    </row>
    <row r="64" spans="1:8" x14ac:dyDescent="0.2">
      <c r="A64" s="48" t="s">
        <v>55</v>
      </c>
      <c r="B64" s="43"/>
      <c r="C64" s="40">
        <f>[3]Charters!F361</f>
        <v>0</v>
      </c>
      <c r="D64" s="41">
        <f>[3]Charters!H361</f>
        <v>0</v>
      </c>
      <c r="E64" s="8"/>
      <c r="F64" s="42" t="s">
        <v>25</v>
      </c>
      <c r="G64" s="8"/>
      <c r="H64" s="8"/>
    </row>
    <row r="65" spans="1:8" x14ac:dyDescent="0.2">
      <c r="A65" s="48" t="s">
        <v>56</v>
      </c>
      <c r="B65" s="43"/>
      <c r="C65" s="40">
        <f>[3]Charters!I361</f>
        <v>0</v>
      </c>
      <c r="D65" s="41">
        <f>[3]Charters!K361</f>
        <v>0</v>
      </c>
      <c r="E65" s="8"/>
      <c r="F65" s="42">
        <f>[2]Charters!H51</f>
        <v>1371486.82</v>
      </c>
      <c r="G65" s="8"/>
      <c r="H65" s="8"/>
    </row>
    <row r="66" spans="1:8" x14ac:dyDescent="0.2">
      <c r="A66" s="20" t="s">
        <v>49</v>
      </c>
      <c r="B66" s="43"/>
      <c r="C66" s="40">
        <f>[3]Charters!C518</f>
        <v>8.0649999999999995</v>
      </c>
      <c r="D66" s="41">
        <f>[3]Charters!E518</f>
        <v>25679.83</v>
      </c>
      <c r="E66" s="8"/>
      <c r="F66" s="42">
        <f>SUM(D59:D67)</f>
        <v>1371486.82</v>
      </c>
      <c r="G66" s="8"/>
      <c r="H66" s="8"/>
    </row>
    <row r="67" spans="1:8" x14ac:dyDescent="0.2">
      <c r="A67" s="20" t="s">
        <v>50</v>
      </c>
      <c r="B67" s="43"/>
      <c r="C67" s="40">
        <f>[2]Charters!C51</f>
        <v>142.20400000000001</v>
      </c>
      <c r="D67" s="41">
        <f>[2]Charters!E51</f>
        <v>452776.11</v>
      </c>
      <c r="E67" s="8"/>
      <c r="F67" s="42">
        <f>+F65-F66</f>
        <v>0</v>
      </c>
      <c r="G67" s="8"/>
      <c r="H67" s="8"/>
    </row>
    <row r="68" spans="1:8" x14ac:dyDescent="0.2">
      <c r="A68" s="50"/>
      <c r="B68" s="51" t="s">
        <v>16</v>
      </c>
      <c r="C68" s="52">
        <f>SUM(C55:C67)</f>
        <v>2047.873</v>
      </c>
      <c r="D68" s="53">
        <f>SUM(D55:D67)</f>
        <v>6520424.1100000003</v>
      </c>
      <c r="E68" s="8"/>
      <c r="F68" s="8"/>
      <c r="G68" s="8"/>
      <c r="H68" s="8"/>
    </row>
    <row r="69" spans="1:8" x14ac:dyDescent="0.2">
      <c r="A69" s="54" t="s">
        <v>17</v>
      </c>
      <c r="B69" s="39"/>
      <c r="C69" s="55"/>
      <c r="D69" s="47"/>
      <c r="E69" s="8"/>
      <c r="F69" s="8"/>
      <c r="G69" s="8"/>
      <c r="H69" s="42" t="s">
        <v>29</v>
      </c>
    </row>
    <row r="70" spans="1:8" x14ac:dyDescent="0.2">
      <c r="A70" s="20" t="s">
        <v>33</v>
      </c>
      <c r="B70" s="43"/>
      <c r="C70" s="56"/>
      <c r="D70" s="57">
        <f>[4]Charters!C50</f>
        <v>18899.240000000002</v>
      </c>
      <c r="E70" s="8"/>
      <c r="F70" s="8"/>
      <c r="G70" s="8"/>
      <c r="H70" s="42">
        <f>[4]Charters!F991</f>
        <v>10951949.35</v>
      </c>
    </row>
    <row r="71" spans="1:8" x14ac:dyDescent="0.2">
      <c r="A71" s="58" t="s">
        <v>35</v>
      </c>
      <c r="B71" s="43"/>
      <c r="C71" s="56"/>
      <c r="D71" s="41">
        <f>+[4]Charters!F371</f>
        <v>7298.02</v>
      </c>
      <c r="E71" s="8"/>
      <c r="F71" s="8"/>
      <c r="G71" s="8"/>
      <c r="H71" s="42">
        <f>SUM(D68:D87)</f>
        <v>10951949.35</v>
      </c>
    </row>
    <row r="72" spans="1:8" x14ac:dyDescent="0.2">
      <c r="A72" s="59" t="s">
        <v>36</v>
      </c>
      <c r="B72" s="43"/>
      <c r="C72" s="56"/>
      <c r="D72" s="41">
        <f>[4]Charters!E210</f>
        <v>27758</v>
      </c>
      <c r="E72" s="8"/>
      <c r="F72" s="8"/>
      <c r="G72" s="8"/>
      <c r="H72" s="42">
        <f>+H70-H71</f>
        <v>0</v>
      </c>
    </row>
    <row r="73" spans="1:8" x14ac:dyDescent="0.2">
      <c r="A73" s="59" t="s">
        <v>52</v>
      </c>
      <c r="B73" s="43"/>
      <c r="C73" s="56"/>
      <c r="D73" s="41">
        <f>[4]Charters!G371</f>
        <v>0</v>
      </c>
      <c r="E73" s="8"/>
      <c r="F73" s="42" t="s">
        <v>27</v>
      </c>
      <c r="G73" s="8"/>
      <c r="H73" s="42"/>
    </row>
    <row r="74" spans="1:8" x14ac:dyDescent="0.2">
      <c r="A74" s="20" t="s">
        <v>37</v>
      </c>
      <c r="B74" s="43"/>
      <c r="C74" s="56"/>
      <c r="D74" s="41">
        <f>[4]Charters!E527</f>
        <v>118824</v>
      </c>
      <c r="E74" s="8"/>
      <c r="F74" s="42">
        <f>[4]Charters!E210</f>
        <v>27758</v>
      </c>
      <c r="G74" s="8"/>
      <c r="H74" s="8"/>
    </row>
    <row r="75" spans="1:8" x14ac:dyDescent="0.2">
      <c r="A75" s="20" t="s">
        <v>38</v>
      </c>
      <c r="B75" s="43"/>
      <c r="C75" s="56"/>
      <c r="D75" s="41">
        <f>[4]Charters!F527</f>
        <v>5364</v>
      </c>
      <c r="E75" s="8"/>
      <c r="F75" s="42">
        <f>SUM(D72:D72)</f>
        <v>27758</v>
      </c>
      <c r="G75" s="8"/>
      <c r="H75" s="8"/>
    </row>
    <row r="76" spans="1:8" x14ac:dyDescent="0.2">
      <c r="A76" s="59" t="s">
        <v>40</v>
      </c>
      <c r="B76" s="43"/>
      <c r="C76" s="56"/>
      <c r="D76" s="41">
        <f>[4]Charters!G527</f>
        <v>0</v>
      </c>
      <c r="E76" s="8"/>
      <c r="F76" s="42">
        <f>+F74-F75</f>
        <v>0</v>
      </c>
      <c r="G76" s="8"/>
      <c r="H76" s="8"/>
    </row>
    <row r="77" spans="1:8" x14ac:dyDescent="0.2">
      <c r="A77" s="20" t="s">
        <v>41</v>
      </c>
      <c r="B77" s="43"/>
      <c r="C77" s="56"/>
      <c r="D77" s="41">
        <f>[4]Charters!C682</f>
        <v>3479739</v>
      </c>
      <c r="E77" s="8"/>
      <c r="F77" s="42" t="s">
        <v>28</v>
      </c>
      <c r="G77" s="8"/>
      <c r="H77" s="8"/>
    </row>
    <row r="78" spans="1:8" x14ac:dyDescent="0.2">
      <c r="A78" s="20" t="s">
        <v>42</v>
      </c>
      <c r="B78" s="43"/>
      <c r="C78" s="56"/>
      <c r="D78" s="41">
        <f>[4]Charters!D682</f>
        <v>462051.26</v>
      </c>
      <c r="E78" s="8"/>
      <c r="F78" s="42">
        <f>[4]Charters!D527</f>
        <v>35056.019999999997</v>
      </c>
      <c r="G78" s="8"/>
      <c r="H78" s="8"/>
    </row>
    <row r="79" spans="1:8" x14ac:dyDescent="0.2">
      <c r="A79" s="20" t="s">
        <v>44</v>
      </c>
      <c r="B79" s="43"/>
      <c r="C79" s="56"/>
      <c r="D79" s="41">
        <f>[4]Charters!E682</f>
        <v>173900</v>
      </c>
      <c r="E79" s="8"/>
      <c r="F79" s="42">
        <f>SUM(D71:D73)</f>
        <v>35056.019999999997</v>
      </c>
      <c r="G79" s="8"/>
      <c r="H79" s="8"/>
    </row>
    <row r="80" spans="1:8" x14ac:dyDescent="0.2">
      <c r="A80" s="59" t="s">
        <v>43</v>
      </c>
      <c r="B80" s="43"/>
      <c r="C80" s="56"/>
      <c r="D80" s="41">
        <f>[4]Charters!F682</f>
        <v>56658.13</v>
      </c>
      <c r="E80" s="8"/>
      <c r="F80" s="42">
        <f>+F78-F79</f>
        <v>0</v>
      </c>
      <c r="G80" s="8"/>
      <c r="H80" s="8"/>
    </row>
    <row r="81" spans="1:8" x14ac:dyDescent="0.2">
      <c r="A81" s="59" t="s">
        <v>45</v>
      </c>
      <c r="B81" s="43"/>
      <c r="C81" s="56"/>
      <c r="D81" s="41">
        <f>[4]Charters!C527</f>
        <v>0</v>
      </c>
      <c r="E81" s="8"/>
      <c r="F81" s="8"/>
      <c r="G81" s="8"/>
      <c r="H81" s="8"/>
    </row>
    <row r="82" spans="1:8" x14ac:dyDescent="0.2">
      <c r="A82" s="59" t="s">
        <v>46</v>
      </c>
      <c r="B82" s="43"/>
      <c r="C82" s="56"/>
      <c r="D82" s="41">
        <f>[4]Charters!C838</f>
        <v>0</v>
      </c>
      <c r="E82" s="8"/>
      <c r="F82" s="8"/>
      <c r="G82" s="8"/>
      <c r="H82" s="42" t="s">
        <v>31</v>
      </c>
    </row>
    <row r="83" spans="1:8" x14ac:dyDescent="0.2">
      <c r="A83" s="59" t="s">
        <v>51</v>
      </c>
      <c r="B83" s="43"/>
      <c r="C83" s="56"/>
      <c r="D83" s="60">
        <f>[4]Charters!D838</f>
        <v>2075.56</v>
      </c>
      <c r="E83" s="42"/>
      <c r="F83" s="42"/>
      <c r="G83" s="42"/>
      <c r="H83" s="42">
        <f>[4]Charters!D1297</f>
        <v>10968716.140000001</v>
      </c>
    </row>
    <row r="84" spans="1:8" x14ac:dyDescent="0.2">
      <c r="A84" s="20" t="s">
        <v>47</v>
      </c>
      <c r="B84" s="43"/>
      <c r="C84" s="56"/>
      <c r="D84" s="60">
        <f>[4]Charters!E838</f>
        <v>52682</v>
      </c>
      <c r="E84" s="42"/>
      <c r="F84" s="42"/>
      <c r="G84" s="42"/>
      <c r="H84" s="42">
        <f>D93</f>
        <v>10968716.140000001</v>
      </c>
    </row>
    <row r="85" spans="1:8" x14ac:dyDescent="0.2">
      <c r="A85" s="20" t="s">
        <v>57</v>
      </c>
      <c r="B85" s="43"/>
      <c r="C85" s="56"/>
      <c r="D85" s="60">
        <f>[4]Charters!C991</f>
        <v>26276.03</v>
      </c>
      <c r="E85" s="42"/>
      <c r="F85" s="42"/>
      <c r="G85" s="42"/>
      <c r="H85" s="42">
        <f>+H83-H84</f>
        <v>0</v>
      </c>
    </row>
    <row r="86" spans="1:8" x14ac:dyDescent="0.2">
      <c r="A86" s="59" t="s">
        <v>53</v>
      </c>
      <c r="B86" s="43"/>
      <c r="C86" s="56"/>
      <c r="D86" s="60">
        <f>[4]Charters!D991</f>
        <v>0</v>
      </c>
      <c r="E86" s="42"/>
      <c r="F86" s="42" t="s">
        <v>30</v>
      </c>
      <c r="G86" s="42"/>
      <c r="H86" s="42"/>
    </row>
    <row r="87" spans="1:8" x14ac:dyDescent="0.2">
      <c r="A87" s="59" t="s">
        <v>59</v>
      </c>
      <c r="B87" s="43"/>
      <c r="C87" s="56"/>
      <c r="D87" s="60">
        <f>[4]Charters!E991</f>
        <v>0</v>
      </c>
      <c r="E87" s="42"/>
      <c r="F87" s="42"/>
      <c r="G87" s="42"/>
      <c r="H87" s="42"/>
    </row>
    <row r="88" spans="1:8" x14ac:dyDescent="0.2">
      <c r="A88" s="38" t="s">
        <v>18</v>
      </c>
      <c r="B88" s="61"/>
      <c r="C88" s="62"/>
      <c r="D88" s="87"/>
      <c r="E88" s="42"/>
      <c r="F88" s="42">
        <f>[4]Charters!C1297</f>
        <v>16766.79</v>
      </c>
      <c r="G88" s="42"/>
      <c r="H88" s="42"/>
    </row>
    <row r="89" spans="1:8" x14ac:dyDescent="0.2">
      <c r="A89" s="59" t="s">
        <v>39</v>
      </c>
      <c r="B89" s="43"/>
      <c r="C89" s="56"/>
      <c r="D89" s="41">
        <f>[4]Charters!C1144</f>
        <v>16766.79</v>
      </c>
      <c r="E89" s="42"/>
      <c r="F89" s="42">
        <f>SUM(D89:D92)</f>
        <v>16766.79</v>
      </c>
      <c r="G89" s="42"/>
      <c r="H89" s="42"/>
    </row>
    <row r="90" spans="1:8" x14ac:dyDescent="0.2">
      <c r="A90" s="59" t="s">
        <v>48</v>
      </c>
      <c r="B90" s="43"/>
      <c r="C90" s="56"/>
      <c r="D90" s="41">
        <f>[4]Charters!D1144</f>
        <v>0</v>
      </c>
      <c r="E90" s="42"/>
      <c r="F90" s="42">
        <f>+F88-F89</f>
        <v>0</v>
      </c>
      <c r="G90" s="42"/>
      <c r="H90" s="42"/>
    </row>
    <row r="91" spans="1:8" x14ac:dyDescent="0.2">
      <c r="A91" s="59" t="s">
        <v>60</v>
      </c>
      <c r="B91" s="43"/>
      <c r="C91" s="56"/>
      <c r="D91" s="41">
        <f>[4]Charters!E1144</f>
        <v>0</v>
      </c>
      <c r="E91" s="42"/>
      <c r="F91" s="42"/>
      <c r="G91" s="42"/>
      <c r="H91" s="42"/>
    </row>
    <row r="92" spans="1:8" x14ac:dyDescent="0.2">
      <c r="A92" s="59" t="s">
        <v>61</v>
      </c>
      <c r="B92" s="43"/>
      <c r="C92" s="56"/>
      <c r="D92" s="41">
        <f>[4]Charters!F1144</f>
        <v>0</v>
      </c>
      <c r="E92" s="42"/>
      <c r="F92" s="42"/>
      <c r="G92" s="42"/>
      <c r="H92" s="42"/>
    </row>
    <row r="93" spans="1:8" ht="13.5" thickBot="1" x14ac:dyDescent="0.25">
      <c r="A93" s="64"/>
      <c r="B93" s="65"/>
      <c r="C93" s="66"/>
      <c r="D93" s="67">
        <f>SUM(D68:D92)</f>
        <v>10968716.140000001</v>
      </c>
      <c r="E93" s="42"/>
      <c r="F93" s="42"/>
      <c r="G93" s="42"/>
      <c r="H93" s="42"/>
    </row>
    <row r="94" spans="1:8" ht="13.5" thickTop="1" x14ac:dyDescent="0.2">
      <c r="A94" s="68"/>
      <c r="B94" s="43"/>
      <c r="C94" s="56"/>
      <c r="D94" s="86"/>
      <c r="E94" s="42"/>
      <c r="F94" s="42"/>
      <c r="G94" s="42"/>
      <c r="H94" s="42"/>
    </row>
    <row r="95" spans="1:8" x14ac:dyDescent="0.2">
      <c r="A95" s="38" t="s">
        <v>20</v>
      </c>
      <c r="B95" s="39"/>
      <c r="C95" s="70"/>
      <c r="D95" s="71" t="s">
        <v>21</v>
      </c>
      <c r="E95" s="42"/>
      <c r="F95" s="42"/>
      <c r="G95" s="42"/>
      <c r="H95" s="42"/>
    </row>
    <row r="96" spans="1:8" x14ac:dyDescent="0.2">
      <c r="A96" s="72" t="s">
        <v>22</v>
      </c>
      <c r="B96" s="73"/>
      <c r="C96" s="74"/>
      <c r="D96" s="41">
        <f>[5]Charters!C50</f>
        <v>3627.07</v>
      </c>
      <c r="E96" s="42"/>
      <c r="F96" s="42"/>
      <c r="G96" s="42"/>
      <c r="H96" s="42"/>
    </row>
    <row r="97" spans="1:8" x14ac:dyDescent="0.2">
      <c r="A97" s="75"/>
      <c r="B97" s="61"/>
      <c r="C97" s="76"/>
      <c r="D97" s="77">
        <f>SUM(D96:D96)</f>
        <v>3627.07</v>
      </c>
      <c r="E97" s="42"/>
      <c r="F97" s="42"/>
      <c r="G97" s="42"/>
      <c r="H97" s="42"/>
    </row>
    <row r="98" spans="1:8" x14ac:dyDescent="0.2">
      <c r="A98" s="78" t="s">
        <v>58</v>
      </c>
      <c r="B98" s="79"/>
      <c r="C98" s="80"/>
      <c r="D98" s="77">
        <f>D97+D93</f>
        <v>10972343.210000001</v>
      </c>
      <c r="E98" s="42"/>
      <c r="F98" s="42"/>
      <c r="G98" s="42"/>
      <c r="H98" s="42"/>
    </row>
    <row r="99" spans="1:8" x14ac:dyDescent="0.2">
      <c r="A99" s="84"/>
      <c r="B99" s="84"/>
      <c r="C99" s="85"/>
      <c r="D99" s="81"/>
      <c r="E99" s="42"/>
      <c r="F99" s="42"/>
      <c r="G99" s="42"/>
      <c r="H99" s="42"/>
    </row>
    <row r="100" spans="1:8" x14ac:dyDescent="0.2">
      <c r="A100" s="84"/>
      <c r="B100" s="84"/>
      <c r="C100" s="85"/>
      <c r="D100" s="81">
        <f>[5]Charters!E206</f>
        <v>10972343.210000001</v>
      </c>
      <c r="E100" s="42"/>
      <c r="F100" s="42"/>
      <c r="G100" s="42"/>
      <c r="H100" s="42"/>
    </row>
    <row r="101" spans="1:8" x14ac:dyDescent="0.2">
      <c r="A101" s="84"/>
      <c r="B101" s="84"/>
      <c r="C101" s="85"/>
      <c r="D101" s="81">
        <f>D98</f>
        <v>10972343.210000001</v>
      </c>
      <c r="E101" s="42"/>
      <c r="F101" s="42"/>
      <c r="G101" s="42"/>
      <c r="H101" s="42"/>
    </row>
    <row r="102" spans="1:8" x14ac:dyDescent="0.2">
      <c r="C102" s="83"/>
      <c r="D102" s="42">
        <f>D100-D101</f>
        <v>0</v>
      </c>
      <c r="E102" s="42"/>
      <c r="F102" s="42"/>
      <c r="G102" s="42"/>
      <c r="H102" s="42"/>
    </row>
    <row r="103" spans="1:8" x14ac:dyDescent="0.2">
      <c r="C103" s="83"/>
      <c r="D103" s="42">
        <f>D101-D102</f>
        <v>10972343.210000001</v>
      </c>
      <c r="E103" s="42"/>
      <c r="F103" s="42"/>
      <c r="G103" s="42"/>
      <c r="H103" s="42"/>
    </row>
  </sheetData>
  <mergeCells count="4">
    <mergeCell ref="A44:D44"/>
    <mergeCell ref="A98:C98"/>
    <mergeCell ref="A45:D45"/>
    <mergeCell ref="A46:D46"/>
  </mergeCells>
  <phoneticPr fontId="1" type="noConversion"/>
  <printOptions horizontalCentered="1" verticalCentered="1"/>
  <pageMargins left="0.5" right="0.5" top="0.5" bottom="0.5" header="0.25" footer="0.25"/>
  <pageSetup orientation="portrait" verticalDpi="1200" r:id="rId1"/>
  <headerFooter alignWithMargins="0">
    <oddHeader>&amp;R&amp;8Current as of: &amp;D</oddHeader>
    <oddFooter>&amp;L&amp;8USOE, School Finance</oddFooter>
  </headerFooter>
  <picture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>
    <pageSetUpPr fitToPage="1"/>
  </sheetPr>
  <dimension ref="A1:H104"/>
  <sheetViews>
    <sheetView showGridLines="0" topLeftCell="A41" workbookViewId="0">
      <selection activeCell="C12" sqref="C12"/>
    </sheetView>
  </sheetViews>
  <sheetFormatPr defaultColWidth="9.140625" defaultRowHeight="12.75" x14ac:dyDescent="0.2"/>
  <cols>
    <col min="1" max="1" width="31.85546875" style="82" customWidth="1"/>
    <col min="2" max="2" width="16.140625" style="82" customWidth="1"/>
    <col min="3" max="4" width="14.85546875" style="82" customWidth="1"/>
    <col min="5" max="5" width="7" style="82" customWidth="1"/>
    <col min="6" max="6" width="19.7109375" style="82" customWidth="1"/>
    <col min="7" max="7" width="5.7109375" style="82" customWidth="1"/>
    <col min="8" max="8" width="18" style="82" customWidth="1"/>
    <col min="9" max="16384" width="9.140625" style="82"/>
  </cols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"/>
      <c r="B3" s="1"/>
      <c r="C3" s="1"/>
      <c r="D3" s="1"/>
      <c r="E3" s="1"/>
      <c r="F3" s="1"/>
      <c r="G3" s="1"/>
      <c r="H3" s="1"/>
    </row>
    <row r="4" spans="1:8" x14ac:dyDescent="0.2">
      <c r="A4" s="1"/>
      <c r="B4" s="1"/>
      <c r="C4" s="1"/>
      <c r="D4" s="1"/>
      <c r="E4" s="1"/>
      <c r="F4" s="1"/>
      <c r="G4" s="1"/>
      <c r="H4" s="1"/>
    </row>
    <row r="5" spans="1:8" x14ac:dyDescent="0.2">
      <c r="A5" s="1"/>
      <c r="B5" s="1"/>
      <c r="C5" s="1"/>
      <c r="D5" s="1"/>
      <c r="E5" s="1"/>
      <c r="F5" s="1"/>
      <c r="G5" s="1"/>
      <c r="H5" s="1"/>
    </row>
    <row r="6" spans="1:8" x14ac:dyDescent="0.2">
      <c r="A6" s="1"/>
      <c r="B6" s="1"/>
      <c r="C6" s="1"/>
      <c r="D6" s="1"/>
      <c r="E6" s="1"/>
      <c r="F6" s="1"/>
      <c r="G6" s="1"/>
      <c r="H6" s="1"/>
    </row>
    <row r="7" spans="1:8" x14ac:dyDescent="0.2">
      <c r="A7" s="1"/>
      <c r="B7" s="1"/>
      <c r="C7" s="1"/>
      <c r="D7" s="1"/>
      <c r="E7" s="1"/>
      <c r="F7" s="1"/>
      <c r="G7" s="1"/>
      <c r="H7" s="1"/>
    </row>
    <row r="8" spans="1:8" x14ac:dyDescent="0.2">
      <c r="A8" s="1"/>
      <c r="B8" s="1"/>
      <c r="C8" s="1"/>
      <c r="D8" s="1"/>
      <c r="E8" s="1"/>
      <c r="F8" s="1"/>
      <c r="G8" s="1"/>
      <c r="H8" s="1"/>
    </row>
    <row r="9" spans="1:8" x14ac:dyDescent="0.2">
      <c r="A9" s="1"/>
      <c r="B9" s="1"/>
      <c r="C9" s="1"/>
      <c r="D9" s="1"/>
      <c r="E9" s="1"/>
      <c r="F9" s="1"/>
      <c r="G9" s="1"/>
      <c r="H9" s="1"/>
    </row>
    <row r="10" spans="1:8" x14ac:dyDescent="0.2">
      <c r="A10" s="1"/>
      <c r="B10" s="1"/>
      <c r="C10" s="1"/>
      <c r="D10" s="1"/>
      <c r="E10" s="1"/>
      <c r="F10" s="1"/>
      <c r="G10" s="1"/>
      <c r="H10" s="1"/>
    </row>
    <row r="11" spans="1:8" x14ac:dyDescent="0.2">
      <c r="A11" s="1"/>
      <c r="B11" s="1"/>
      <c r="C11" s="1"/>
      <c r="D11" s="1"/>
      <c r="E11" s="1"/>
      <c r="F11" s="1"/>
      <c r="G11" s="1"/>
      <c r="H11" s="1"/>
    </row>
    <row r="12" spans="1:8" x14ac:dyDescent="0.2">
      <c r="A12" s="1"/>
      <c r="B12" s="1"/>
      <c r="C12" s="1"/>
      <c r="D12" s="1"/>
      <c r="E12" s="1"/>
      <c r="F12" s="1"/>
      <c r="G12" s="1"/>
      <c r="H12" s="1"/>
    </row>
    <row r="13" spans="1:8" x14ac:dyDescent="0.2">
      <c r="A13" s="1"/>
      <c r="B13" s="1"/>
      <c r="C13" s="1"/>
      <c r="D13" s="1"/>
      <c r="E13" s="1"/>
      <c r="F13" s="1"/>
      <c r="G13" s="1"/>
      <c r="H13" s="1"/>
    </row>
    <row r="14" spans="1:8" x14ac:dyDescent="0.2">
      <c r="A14" s="1"/>
      <c r="B14" s="1"/>
      <c r="C14" s="1"/>
      <c r="D14" s="1"/>
      <c r="E14" s="1"/>
      <c r="F14" s="1"/>
      <c r="G14" s="1"/>
      <c r="H14" s="1"/>
    </row>
    <row r="15" spans="1:8" x14ac:dyDescent="0.2">
      <c r="A15" s="1"/>
      <c r="B15" s="1"/>
      <c r="C15" s="1"/>
      <c r="D15" s="1"/>
      <c r="E15" s="1"/>
      <c r="F15" s="1"/>
      <c r="G15" s="1"/>
      <c r="H15" s="1"/>
    </row>
    <row r="16" spans="1:8" x14ac:dyDescent="0.2">
      <c r="A16" s="1"/>
      <c r="B16" s="1"/>
      <c r="C16" s="1"/>
      <c r="D16" s="1"/>
      <c r="E16" s="1"/>
      <c r="F16" s="1"/>
      <c r="G16" s="1"/>
      <c r="H16" s="1"/>
    </row>
    <row r="17" spans="1:8" x14ac:dyDescent="0.2">
      <c r="A17" s="1"/>
      <c r="B17" s="1"/>
      <c r="C17" s="1"/>
      <c r="D17" s="1"/>
      <c r="E17" s="1"/>
      <c r="F17" s="1"/>
      <c r="G17" s="1"/>
      <c r="H17" s="1"/>
    </row>
    <row r="18" spans="1:8" x14ac:dyDescent="0.2">
      <c r="A18" s="1"/>
      <c r="B18" s="1"/>
      <c r="C18" s="1"/>
      <c r="D18" s="1"/>
      <c r="E18" s="1"/>
      <c r="F18" s="1"/>
      <c r="G18" s="1"/>
      <c r="H18" s="1"/>
    </row>
    <row r="19" spans="1:8" x14ac:dyDescent="0.2">
      <c r="A19" s="1"/>
      <c r="B19" s="1"/>
      <c r="C19" s="1"/>
      <c r="D19" s="1"/>
      <c r="E19" s="1"/>
      <c r="F19" s="1"/>
      <c r="G19" s="1"/>
      <c r="H19" s="1"/>
    </row>
    <row r="20" spans="1:8" x14ac:dyDescent="0.2">
      <c r="A20" s="1"/>
      <c r="B20" s="1"/>
      <c r="C20" s="1"/>
      <c r="D20" s="1"/>
      <c r="E20" s="1"/>
      <c r="F20" s="1"/>
      <c r="G20" s="1"/>
      <c r="H20" s="1"/>
    </row>
    <row r="21" spans="1:8" x14ac:dyDescent="0.2">
      <c r="A21" s="1"/>
      <c r="B21" s="1"/>
      <c r="C21" s="1"/>
      <c r="D21" s="1"/>
      <c r="E21" s="1"/>
      <c r="F21" s="1"/>
      <c r="G21" s="1"/>
      <c r="H21" s="1"/>
    </row>
    <row r="22" spans="1:8" x14ac:dyDescent="0.2">
      <c r="A22" s="1"/>
      <c r="B22" s="1"/>
      <c r="C22" s="1"/>
      <c r="D22" s="4"/>
      <c r="E22" s="1"/>
      <c r="F22" s="1"/>
      <c r="G22" s="1"/>
      <c r="H22" s="1"/>
    </row>
    <row r="23" spans="1:8" x14ac:dyDescent="0.2">
      <c r="A23" s="1"/>
      <c r="B23" s="1"/>
      <c r="C23" s="1"/>
      <c r="D23" s="1"/>
      <c r="E23" s="1"/>
      <c r="F23" s="1"/>
      <c r="G23" s="1"/>
      <c r="H23" s="1"/>
    </row>
    <row r="24" spans="1:8" x14ac:dyDescent="0.2">
      <c r="A24" s="1"/>
      <c r="B24" s="1"/>
      <c r="C24" s="1"/>
      <c r="D24" s="1"/>
      <c r="E24" s="1"/>
      <c r="F24" s="1"/>
      <c r="G24" s="1"/>
      <c r="H24" s="1"/>
    </row>
    <row r="25" spans="1:8" x14ac:dyDescent="0.2">
      <c r="A25" s="1"/>
      <c r="B25" s="1"/>
      <c r="C25" s="1"/>
      <c r="D25" s="1"/>
      <c r="E25" s="1"/>
      <c r="F25" s="1"/>
      <c r="G25" s="1"/>
      <c r="H25" s="1"/>
    </row>
    <row r="26" spans="1:8" x14ac:dyDescent="0.2">
      <c r="A26" s="1"/>
      <c r="B26" s="1"/>
      <c r="C26" s="1"/>
      <c r="D26" s="1"/>
      <c r="E26" s="1"/>
      <c r="F26" s="1"/>
      <c r="G26" s="1"/>
      <c r="H26" s="1"/>
    </row>
    <row r="27" spans="1:8" x14ac:dyDescent="0.2">
      <c r="A27" s="1"/>
      <c r="B27" s="1"/>
      <c r="C27" s="1"/>
      <c r="D27" s="1"/>
      <c r="E27" s="1"/>
      <c r="F27" s="1"/>
      <c r="G27" s="1"/>
      <c r="H27" s="1"/>
    </row>
    <row r="28" spans="1:8" x14ac:dyDescent="0.2">
      <c r="A28" s="1"/>
      <c r="B28" s="1"/>
      <c r="C28" s="1"/>
      <c r="D28" s="1"/>
      <c r="E28" s="1"/>
      <c r="F28" s="1"/>
      <c r="G28" s="1"/>
      <c r="H28" s="1"/>
    </row>
    <row r="29" spans="1:8" x14ac:dyDescent="0.2">
      <c r="A29" s="1"/>
      <c r="B29" s="1"/>
      <c r="C29" s="1"/>
      <c r="D29" s="1"/>
      <c r="E29" s="1"/>
      <c r="F29" s="1"/>
      <c r="G29" s="1"/>
      <c r="H29" s="1"/>
    </row>
    <row r="30" spans="1:8" x14ac:dyDescent="0.2">
      <c r="A30" s="1"/>
      <c r="B30" s="1"/>
      <c r="C30" s="1"/>
      <c r="D30" s="1"/>
      <c r="E30" s="1"/>
      <c r="F30" s="1"/>
      <c r="G30" s="1"/>
      <c r="H30" s="1"/>
    </row>
    <row r="31" spans="1:8" x14ac:dyDescent="0.2">
      <c r="A31" s="1"/>
      <c r="B31" s="1"/>
      <c r="C31" s="1"/>
      <c r="D31" s="1"/>
      <c r="E31" s="1"/>
      <c r="F31" s="1"/>
      <c r="G31" s="1"/>
      <c r="H31" s="1"/>
    </row>
    <row r="32" spans="1:8" x14ac:dyDescent="0.2">
      <c r="A32" s="1"/>
      <c r="B32" s="1"/>
      <c r="C32" s="1"/>
      <c r="D32" s="1"/>
      <c r="E32" s="1"/>
      <c r="F32" s="1"/>
      <c r="G32" s="1"/>
      <c r="H32" s="1"/>
    </row>
    <row r="33" spans="1:8" x14ac:dyDescent="0.2">
      <c r="A33" s="1"/>
      <c r="B33" s="1"/>
      <c r="C33" s="1"/>
      <c r="D33" s="1"/>
      <c r="E33" s="1"/>
      <c r="F33" s="1"/>
      <c r="G33" s="1"/>
      <c r="H33" s="1"/>
    </row>
    <row r="34" spans="1:8" x14ac:dyDescent="0.2">
      <c r="A34" s="1"/>
      <c r="B34" s="1"/>
      <c r="C34" s="1"/>
      <c r="D34" s="1"/>
      <c r="E34" s="1"/>
      <c r="F34" s="1"/>
      <c r="G34" s="1"/>
      <c r="H34" s="1"/>
    </row>
    <row r="35" spans="1:8" x14ac:dyDescent="0.2">
      <c r="A35" s="1"/>
      <c r="B35" s="1"/>
      <c r="C35" s="1"/>
      <c r="D35" s="1"/>
      <c r="E35" s="1"/>
      <c r="F35" s="1"/>
      <c r="G35" s="1"/>
      <c r="H35" s="1"/>
    </row>
    <row r="36" spans="1:8" x14ac:dyDescent="0.2">
      <c r="A36" s="1"/>
      <c r="B36" s="1"/>
      <c r="C36" s="1"/>
      <c r="D36" s="1"/>
      <c r="E36" s="1"/>
      <c r="F36" s="1"/>
      <c r="G36" s="1"/>
      <c r="H36" s="1"/>
    </row>
    <row r="37" spans="1:8" x14ac:dyDescent="0.2">
      <c r="A37" s="1"/>
      <c r="B37" s="1"/>
      <c r="C37" s="1"/>
      <c r="D37" s="1"/>
      <c r="E37" s="1"/>
      <c r="F37" s="1"/>
      <c r="G37" s="1"/>
      <c r="H37" s="1"/>
    </row>
    <row r="38" spans="1:8" x14ac:dyDescent="0.2">
      <c r="A38" s="1"/>
      <c r="B38" s="1"/>
      <c r="C38" s="1"/>
      <c r="D38" s="1"/>
      <c r="E38" s="1"/>
      <c r="F38" s="1"/>
      <c r="G38" s="1"/>
      <c r="H38" s="1"/>
    </row>
    <row r="39" spans="1:8" x14ac:dyDescent="0.2">
      <c r="A39" s="1"/>
      <c r="B39" s="1"/>
      <c r="C39" s="1"/>
      <c r="D39" s="1"/>
      <c r="E39" s="1"/>
      <c r="F39" s="1"/>
      <c r="G39" s="1"/>
      <c r="H39" s="1"/>
    </row>
    <row r="40" spans="1:8" x14ac:dyDescent="0.2">
      <c r="A40" s="1"/>
      <c r="B40" s="1"/>
      <c r="C40" s="1"/>
      <c r="D40" s="1"/>
      <c r="E40" s="1"/>
      <c r="F40" s="1"/>
      <c r="G40" s="1"/>
      <c r="H40" s="1"/>
    </row>
    <row r="41" spans="1:8" x14ac:dyDescent="0.2">
      <c r="A41" s="1"/>
      <c r="B41" s="1"/>
      <c r="C41" s="1"/>
      <c r="D41" s="1"/>
      <c r="E41" s="1"/>
      <c r="F41" s="1"/>
      <c r="G41" s="1"/>
      <c r="H41" s="1"/>
    </row>
    <row r="42" spans="1:8" x14ac:dyDescent="0.2">
      <c r="A42" s="1"/>
      <c r="B42" s="1"/>
      <c r="C42" s="1"/>
      <c r="D42" s="1"/>
      <c r="E42" s="1"/>
      <c r="F42" s="1"/>
      <c r="G42" s="1"/>
      <c r="H42" s="1"/>
    </row>
    <row r="43" spans="1:8" x14ac:dyDescent="0.2">
      <c r="A43" s="1"/>
      <c r="B43" s="1"/>
      <c r="C43" s="1"/>
      <c r="D43" s="1"/>
      <c r="E43" s="1"/>
      <c r="F43" s="1"/>
      <c r="G43" s="1"/>
      <c r="H43" s="1"/>
    </row>
    <row r="44" spans="1:8" x14ac:dyDescent="0.2">
      <c r="A44" s="1"/>
      <c r="B44" s="1"/>
      <c r="C44" s="1"/>
      <c r="D44" s="1"/>
      <c r="E44" s="1"/>
      <c r="F44" s="1"/>
      <c r="G44" s="1"/>
      <c r="H44" s="1"/>
    </row>
    <row r="45" spans="1:8" x14ac:dyDescent="0.2">
      <c r="A45" s="11" t="s">
        <v>1</v>
      </c>
      <c r="B45" s="12"/>
      <c r="C45" s="12"/>
      <c r="D45" s="13"/>
      <c r="E45" s="8"/>
      <c r="F45" s="8"/>
      <c r="G45" s="8"/>
      <c r="H45" s="8"/>
    </row>
    <row r="46" spans="1:8" x14ac:dyDescent="0.2">
      <c r="A46" s="14" t="s">
        <v>15</v>
      </c>
      <c r="B46" s="15"/>
      <c r="C46" s="15"/>
      <c r="D46" s="16"/>
      <c r="E46" s="8"/>
      <c r="F46" s="8"/>
      <c r="G46" s="8"/>
      <c r="H46" s="8"/>
    </row>
    <row r="47" spans="1:8" x14ac:dyDescent="0.2">
      <c r="A47" s="17" t="s">
        <v>62</v>
      </c>
      <c r="B47" s="18"/>
      <c r="C47" s="18"/>
      <c r="D47" s="19"/>
      <c r="E47" s="8"/>
      <c r="F47" s="8"/>
      <c r="G47" s="8"/>
      <c r="H47" s="8"/>
    </row>
    <row r="48" spans="1:8" x14ac:dyDescent="0.2">
      <c r="A48" s="20"/>
      <c r="B48" s="21"/>
      <c r="C48" s="22"/>
      <c r="D48" s="23"/>
      <c r="E48" s="8"/>
      <c r="F48" s="8" t="s">
        <v>34</v>
      </c>
      <c r="G48" s="8"/>
      <c r="H48" s="8"/>
    </row>
    <row r="49" spans="1:8" ht="15.75" x14ac:dyDescent="0.25">
      <c r="A49" s="24" t="s">
        <v>2</v>
      </c>
      <c r="B49" s="25" t="str">
        <f>[1]Charters!B52</f>
        <v>George Washington Academy</v>
      </c>
      <c r="C49" s="26"/>
      <c r="D49" s="27"/>
      <c r="E49" s="8"/>
      <c r="F49" s="8"/>
      <c r="G49" s="8"/>
      <c r="H49" s="8"/>
    </row>
    <row r="50" spans="1:8" x14ac:dyDescent="0.2">
      <c r="A50" s="24"/>
      <c r="B50" s="28"/>
      <c r="C50" s="26"/>
      <c r="D50" s="27"/>
      <c r="E50" s="8"/>
      <c r="F50" s="8"/>
      <c r="G50" s="8"/>
      <c r="H50" s="8"/>
    </row>
    <row r="51" spans="1:8" x14ac:dyDescent="0.2">
      <c r="A51" s="29" t="s">
        <v>0</v>
      </c>
      <c r="B51" s="30">
        <f>[1]Charters!$E$6</f>
        <v>3184</v>
      </c>
      <c r="C51" s="26"/>
      <c r="D51" s="31"/>
      <c r="E51" s="8"/>
      <c r="F51" s="8"/>
      <c r="G51" s="8"/>
      <c r="H51" s="8"/>
    </row>
    <row r="52" spans="1:8" x14ac:dyDescent="0.2">
      <c r="A52" s="32"/>
      <c r="B52" s="6"/>
      <c r="C52" s="33"/>
      <c r="D52" s="34" t="s">
        <v>3</v>
      </c>
      <c r="E52" s="8"/>
      <c r="F52" s="8"/>
      <c r="G52" s="8"/>
      <c r="H52" s="8"/>
    </row>
    <row r="53" spans="1:8" x14ac:dyDescent="0.2">
      <c r="A53" s="29" t="s">
        <v>19</v>
      </c>
      <c r="B53" s="35" t="str">
        <f>[1]Charters!A52</f>
        <v>5D</v>
      </c>
      <c r="C53" s="36" t="s">
        <v>4</v>
      </c>
      <c r="D53" s="37" t="s">
        <v>5</v>
      </c>
      <c r="E53" s="8"/>
      <c r="F53" s="8"/>
      <c r="G53" s="8"/>
      <c r="H53" s="8"/>
    </row>
    <row r="54" spans="1:8" x14ac:dyDescent="0.2">
      <c r="A54" s="38" t="s">
        <v>6</v>
      </c>
      <c r="B54" s="39"/>
      <c r="C54" s="40"/>
      <c r="D54" s="41"/>
      <c r="E54" s="8"/>
      <c r="F54" s="8"/>
      <c r="G54" s="8"/>
      <c r="H54" s="8"/>
    </row>
    <row r="55" spans="1:8" x14ac:dyDescent="0.2">
      <c r="A55" s="38" t="s">
        <v>7</v>
      </c>
      <c r="B55" s="39"/>
      <c r="C55" s="40"/>
      <c r="D55" s="41"/>
      <c r="E55" s="8"/>
      <c r="F55" s="42" t="s">
        <v>23</v>
      </c>
      <c r="G55" s="8"/>
      <c r="H55" s="42" t="s">
        <v>26</v>
      </c>
    </row>
    <row r="56" spans="1:8" x14ac:dyDescent="0.2">
      <c r="A56" s="20" t="s">
        <v>8</v>
      </c>
      <c r="B56" s="43"/>
      <c r="C56" s="44">
        <f>[1]Charters!C512</f>
        <v>856.69799999999998</v>
      </c>
      <c r="D56" s="45">
        <f>[1]Charters!E512</f>
        <v>2727727.67</v>
      </c>
      <c r="E56" s="8"/>
      <c r="F56" s="42">
        <f>[1]Charters!E667</f>
        <v>2918357.65</v>
      </c>
      <c r="G56" s="8"/>
      <c r="H56" s="42">
        <f>[2]Charters!E206</f>
        <v>3580075.42</v>
      </c>
    </row>
    <row r="57" spans="1:8" x14ac:dyDescent="0.2">
      <c r="A57" s="20" t="s">
        <v>14</v>
      </c>
      <c r="B57" s="43"/>
      <c r="C57" s="44">
        <f>[1]Charters!F512</f>
        <v>59.871000000000002</v>
      </c>
      <c r="D57" s="45">
        <f>[1]Charters!H512</f>
        <v>190629.98</v>
      </c>
      <c r="E57" s="8"/>
      <c r="F57" s="42">
        <f>SUM(D56:D58)</f>
        <v>2918357.65</v>
      </c>
      <c r="G57" s="8"/>
      <c r="H57" s="42">
        <f>D69</f>
        <v>3580075.42</v>
      </c>
    </row>
    <row r="58" spans="1:8" x14ac:dyDescent="0.2">
      <c r="A58" s="20" t="s">
        <v>32</v>
      </c>
      <c r="B58" s="43"/>
      <c r="C58" s="44">
        <f>[1]Charters!C205</f>
        <v>0</v>
      </c>
      <c r="D58" s="45">
        <f>[1]Charters!E205</f>
        <v>0</v>
      </c>
      <c r="E58" s="8"/>
      <c r="F58" s="42">
        <f>+F56-F57</f>
        <v>0</v>
      </c>
      <c r="G58" s="8"/>
      <c r="H58" s="42">
        <f>+H56-H57</f>
        <v>0</v>
      </c>
    </row>
    <row r="59" spans="1:8" x14ac:dyDescent="0.2">
      <c r="A59" s="38" t="s">
        <v>9</v>
      </c>
      <c r="B59" s="39"/>
      <c r="C59" s="46"/>
      <c r="D59" s="47"/>
      <c r="E59" s="8"/>
      <c r="F59" s="8"/>
      <c r="G59" s="8"/>
      <c r="H59" s="8"/>
    </row>
    <row r="60" spans="1:8" x14ac:dyDescent="0.2">
      <c r="A60" s="20" t="s">
        <v>10</v>
      </c>
      <c r="B60" s="43"/>
      <c r="C60" s="40">
        <f>[3]Charters!C51</f>
        <v>108.364</v>
      </c>
      <c r="D60" s="41">
        <f>[3]Charters!E51</f>
        <v>345031.75</v>
      </c>
      <c r="E60" s="8"/>
      <c r="F60" s="42" t="s">
        <v>24</v>
      </c>
      <c r="G60" s="8"/>
      <c r="H60" s="8"/>
    </row>
    <row r="61" spans="1:8" x14ac:dyDescent="0.2">
      <c r="A61" s="48" t="s">
        <v>11</v>
      </c>
      <c r="B61" s="43"/>
      <c r="C61" s="40">
        <f>[3]Charters!F51</f>
        <v>7.13</v>
      </c>
      <c r="D61" s="49">
        <f>[3]Charters!H51</f>
        <v>22701.919999999998</v>
      </c>
      <c r="E61" s="8"/>
      <c r="F61" s="42">
        <f>[3]Charters!N362</f>
        <v>376195.12</v>
      </c>
      <c r="G61" s="8"/>
      <c r="H61" s="8"/>
    </row>
    <row r="62" spans="1:8" x14ac:dyDescent="0.2">
      <c r="A62" s="48" t="s">
        <v>12</v>
      </c>
      <c r="B62" s="43"/>
      <c r="C62" s="40">
        <f>[3]Charters!C206</f>
        <v>0</v>
      </c>
      <c r="D62" s="41">
        <f>[3]Charters!E206</f>
        <v>0</v>
      </c>
      <c r="E62" s="8"/>
      <c r="F62" s="42">
        <f>SUM(D60:D66)</f>
        <v>376195.12</v>
      </c>
      <c r="G62" s="8"/>
      <c r="H62" s="8"/>
    </row>
    <row r="63" spans="1:8" x14ac:dyDescent="0.2">
      <c r="A63" s="20" t="s">
        <v>13</v>
      </c>
      <c r="B63" s="43"/>
      <c r="C63" s="40">
        <f>[3]Charters!F206</f>
        <v>1.0089999999999999</v>
      </c>
      <c r="D63" s="41">
        <f>[3]Charters!H206</f>
        <v>3211.23</v>
      </c>
      <c r="E63" s="8"/>
      <c r="F63" s="42">
        <f>+F61-F62</f>
        <v>0</v>
      </c>
      <c r="G63" s="8"/>
      <c r="H63" s="8"/>
    </row>
    <row r="64" spans="1:8" x14ac:dyDescent="0.2">
      <c r="A64" s="48" t="s">
        <v>54</v>
      </c>
      <c r="B64" s="43"/>
      <c r="C64" s="40">
        <f>[3]Charters!C362</f>
        <v>1.649</v>
      </c>
      <c r="D64" s="41">
        <f>[3]Charters!E362</f>
        <v>5250.22</v>
      </c>
      <c r="E64" s="8"/>
      <c r="F64" s="8"/>
      <c r="G64" s="8"/>
      <c r="H64" s="8"/>
    </row>
    <row r="65" spans="1:8" x14ac:dyDescent="0.2">
      <c r="A65" s="48" t="s">
        <v>55</v>
      </c>
      <c r="B65" s="43"/>
      <c r="C65" s="40">
        <f>[3]Charters!F362</f>
        <v>0</v>
      </c>
      <c r="D65" s="41">
        <f>[3]Charters!H362</f>
        <v>0</v>
      </c>
      <c r="E65" s="8"/>
      <c r="F65" s="42" t="s">
        <v>25</v>
      </c>
      <c r="G65" s="8"/>
      <c r="H65" s="8"/>
    </row>
    <row r="66" spans="1:8" x14ac:dyDescent="0.2">
      <c r="A66" s="48" t="s">
        <v>56</v>
      </c>
      <c r="B66" s="43"/>
      <c r="C66" s="40">
        <f>[3]Charters!I362</f>
        <v>0</v>
      </c>
      <c r="D66" s="41">
        <f>[3]Charters!K362</f>
        <v>0</v>
      </c>
      <c r="E66" s="8"/>
      <c r="F66" s="42">
        <f>[2]Charters!H52</f>
        <v>661717.77</v>
      </c>
      <c r="G66" s="8"/>
      <c r="H66" s="8"/>
    </row>
    <row r="67" spans="1:8" x14ac:dyDescent="0.2">
      <c r="A67" s="20" t="s">
        <v>49</v>
      </c>
      <c r="B67" s="43"/>
      <c r="C67" s="40">
        <f>[3]Charters!C519</f>
        <v>1.4450000000000001</v>
      </c>
      <c r="D67" s="41">
        <f>[3]Charters!E519</f>
        <v>4599.3100000000004</v>
      </c>
      <c r="E67" s="8"/>
      <c r="F67" s="42">
        <f>SUM(D60:D68)</f>
        <v>661717.77</v>
      </c>
      <c r="G67" s="8"/>
      <c r="H67" s="8"/>
    </row>
    <row r="68" spans="1:8" x14ac:dyDescent="0.2">
      <c r="A68" s="20" t="s">
        <v>50</v>
      </c>
      <c r="B68" s="43"/>
      <c r="C68" s="40">
        <f>[2]Charters!C52</f>
        <v>88.23</v>
      </c>
      <c r="D68" s="41">
        <f>[2]Charters!E52</f>
        <v>280923.34000000003</v>
      </c>
      <c r="E68" s="8"/>
      <c r="F68" s="42">
        <f>+F66-F67</f>
        <v>0</v>
      </c>
      <c r="G68" s="8"/>
      <c r="H68" s="8"/>
    </row>
    <row r="69" spans="1:8" x14ac:dyDescent="0.2">
      <c r="A69" s="50"/>
      <c r="B69" s="51" t="s">
        <v>16</v>
      </c>
      <c r="C69" s="52">
        <f>SUM(C56:C68)</f>
        <v>1124.396</v>
      </c>
      <c r="D69" s="53">
        <f>SUM(D56:D68)</f>
        <v>3580075.42</v>
      </c>
      <c r="E69" s="8"/>
      <c r="F69" s="8"/>
      <c r="G69" s="8"/>
      <c r="H69" s="8"/>
    </row>
    <row r="70" spans="1:8" x14ac:dyDescent="0.2">
      <c r="A70" s="54" t="s">
        <v>17</v>
      </c>
      <c r="B70" s="39"/>
      <c r="C70" s="55"/>
      <c r="D70" s="47"/>
      <c r="E70" s="8"/>
      <c r="F70" s="8"/>
      <c r="G70" s="8"/>
      <c r="H70" s="42" t="s">
        <v>29</v>
      </c>
    </row>
    <row r="71" spans="1:8" x14ac:dyDescent="0.2">
      <c r="A71" s="20" t="s">
        <v>33</v>
      </c>
      <c r="B71" s="43"/>
      <c r="C71" s="56"/>
      <c r="D71" s="57">
        <f>[4]Charters!C51</f>
        <v>10376.74</v>
      </c>
      <c r="E71" s="8"/>
      <c r="F71" s="8"/>
      <c r="G71" s="8"/>
      <c r="H71" s="42">
        <f>[4]Charters!F992</f>
        <v>6084898.0999999996</v>
      </c>
    </row>
    <row r="72" spans="1:8" x14ac:dyDescent="0.2">
      <c r="A72" s="58" t="s">
        <v>35</v>
      </c>
      <c r="B72" s="43"/>
      <c r="C72" s="56"/>
      <c r="D72" s="41">
        <f>+[4]Charters!F372</f>
        <v>4123.2700000000004</v>
      </c>
      <c r="E72" s="8"/>
      <c r="F72" s="8"/>
      <c r="G72" s="8"/>
      <c r="H72" s="42">
        <f>SUM(D69:D88)</f>
        <v>6084898.0999999996</v>
      </c>
    </row>
    <row r="73" spans="1:8" x14ac:dyDescent="0.2">
      <c r="A73" s="59" t="s">
        <v>36</v>
      </c>
      <c r="B73" s="43"/>
      <c r="C73" s="56"/>
      <c r="D73" s="41">
        <f>[4]Charters!E211</f>
        <v>28062</v>
      </c>
      <c r="E73" s="8"/>
      <c r="F73" s="8"/>
      <c r="G73" s="8"/>
      <c r="H73" s="42">
        <f>+H71-H72</f>
        <v>0</v>
      </c>
    </row>
    <row r="74" spans="1:8" x14ac:dyDescent="0.2">
      <c r="A74" s="59" t="s">
        <v>52</v>
      </c>
      <c r="B74" s="43"/>
      <c r="C74" s="56"/>
      <c r="D74" s="41">
        <f>[4]Charters!G372</f>
        <v>0</v>
      </c>
      <c r="E74" s="8"/>
      <c r="F74" s="42" t="s">
        <v>27</v>
      </c>
      <c r="G74" s="8"/>
      <c r="H74" s="42"/>
    </row>
    <row r="75" spans="1:8" x14ac:dyDescent="0.2">
      <c r="A75" s="20" t="s">
        <v>37</v>
      </c>
      <c r="B75" s="43"/>
      <c r="C75" s="56"/>
      <c r="D75" s="41">
        <f>[4]Charters!E528</f>
        <v>72853</v>
      </c>
      <c r="E75" s="8"/>
      <c r="F75" s="42">
        <f>[4]Charters!E211</f>
        <v>28062</v>
      </c>
      <c r="G75" s="8"/>
      <c r="H75" s="8"/>
    </row>
    <row r="76" spans="1:8" x14ac:dyDescent="0.2">
      <c r="A76" s="20" t="s">
        <v>38</v>
      </c>
      <c r="B76" s="43"/>
      <c r="C76" s="56"/>
      <c r="D76" s="41">
        <f>[4]Charters!F528</f>
        <v>0</v>
      </c>
      <c r="E76" s="8"/>
      <c r="F76" s="42">
        <f>SUM(D73:D73)</f>
        <v>28062</v>
      </c>
      <c r="G76" s="8"/>
      <c r="H76" s="8"/>
    </row>
    <row r="77" spans="1:8" x14ac:dyDescent="0.2">
      <c r="A77" s="59" t="s">
        <v>40</v>
      </c>
      <c r="B77" s="43"/>
      <c r="C77" s="56"/>
      <c r="D77" s="41">
        <f>[4]Charters!G528</f>
        <v>0</v>
      </c>
      <c r="E77" s="8"/>
      <c r="F77" s="42">
        <f>+F75-F76</f>
        <v>0</v>
      </c>
      <c r="G77" s="8"/>
      <c r="H77" s="8"/>
    </row>
    <row r="78" spans="1:8" x14ac:dyDescent="0.2">
      <c r="A78" s="20" t="s">
        <v>41</v>
      </c>
      <c r="B78" s="43"/>
      <c r="C78" s="56"/>
      <c r="D78" s="41">
        <f>[4]Charters!C683</f>
        <v>2001000</v>
      </c>
      <c r="E78" s="8"/>
      <c r="F78" s="42" t="s">
        <v>28</v>
      </c>
      <c r="G78" s="8"/>
      <c r="H78" s="8"/>
    </row>
    <row r="79" spans="1:8" x14ac:dyDescent="0.2">
      <c r="A79" s="20" t="s">
        <v>42</v>
      </c>
      <c r="B79" s="43"/>
      <c r="C79" s="56"/>
      <c r="D79" s="41">
        <f>[4]Charters!D683</f>
        <v>237114.56</v>
      </c>
      <c r="E79" s="8"/>
      <c r="F79" s="42">
        <f>[4]Charters!D528</f>
        <v>32185.27</v>
      </c>
      <c r="G79" s="8"/>
      <c r="H79" s="8"/>
    </row>
    <row r="80" spans="1:8" x14ac:dyDescent="0.2">
      <c r="A80" s="20" t="s">
        <v>44</v>
      </c>
      <c r="B80" s="43"/>
      <c r="C80" s="56"/>
      <c r="D80" s="41">
        <f>[4]Charters!E683</f>
        <v>100000</v>
      </c>
      <c r="E80" s="8"/>
      <c r="F80" s="42">
        <f>SUM(D72:D74)</f>
        <v>32185.27</v>
      </c>
      <c r="G80" s="8"/>
      <c r="H80" s="8"/>
    </row>
    <row r="81" spans="1:8" x14ac:dyDescent="0.2">
      <c r="A81" s="59" t="s">
        <v>43</v>
      </c>
      <c r="B81" s="43"/>
      <c r="C81" s="56"/>
      <c r="D81" s="41">
        <f>[4]Charters!F683</f>
        <v>30171.11</v>
      </c>
      <c r="E81" s="8"/>
      <c r="F81" s="42">
        <f>+F79-F80</f>
        <v>0</v>
      </c>
      <c r="G81" s="8"/>
      <c r="H81" s="8"/>
    </row>
    <row r="82" spans="1:8" x14ac:dyDescent="0.2">
      <c r="A82" s="59" t="s">
        <v>45</v>
      </c>
      <c r="B82" s="43"/>
      <c r="C82" s="56"/>
      <c r="D82" s="41">
        <f>[4]Charters!C528</f>
        <v>0</v>
      </c>
      <c r="E82" s="8"/>
      <c r="F82" s="8"/>
      <c r="G82" s="8"/>
      <c r="H82" s="8"/>
    </row>
    <row r="83" spans="1:8" x14ac:dyDescent="0.2">
      <c r="A83" s="59" t="s">
        <v>46</v>
      </c>
      <c r="B83" s="43"/>
      <c r="C83" s="56"/>
      <c r="D83" s="41">
        <f>[4]Charters!C839</f>
        <v>0</v>
      </c>
      <c r="E83" s="8"/>
      <c r="F83" s="8"/>
      <c r="G83" s="8"/>
      <c r="H83" s="42" t="s">
        <v>31</v>
      </c>
    </row>
    <row r="84" spans="1:8" x14ac:dyDescent="0.2">
      <c r="A84" s="59" t="s">
        <v>51</v>
      </c>
      <c r="B84" s="43"/>
      <c r="C84" s="56"/>
      <c r="D84" s="60">
        <f>[4]Charters!D839</f>
        <v>1226</v>
      </c>
      <c r="E84" s="42"/>
      <c r="F84" s="42"/>
      <c r="G84" s="42"/>
      <c r="H84" s="42">
        <f>[4]Charters!D1298</f>
        <v>6098889.0700000003</v>
      </c>
    </row>
    <row r="85" spans="1:8" x14ac:dyDescent="0.2">
      <c r="A85" s="20" t="s">
        <v>47</v>
      </c>
      <c r="B85" s="43"/>
      <c r="C85" s="56"/>
      <c r="D85" s="60">
        <f>[4]Charters!E839</f>
        <v>19896</v>
      </c>
      <c r="E85" s="42"/>
      <c r="F85" s="42"/>
      <c r="G85" s="42"/>
      <c r="H85" s="42">
        <f>D94</f>
        <v>6098889.0700000003</v>
      </c>
    </row>
    <row r="86" spans="1:8" x14ac:dyDescent="0.2">
      <c r="A86" s="20" t="s">
        <v>57</v>
      </c>
      <c r="B86" s="43"/>
      <c r="C86" s="56"/>
      <c r="D86" s="60">
        <f>[4]Charters!C992</f>
        <v>0</v>
      </c>
      <c r="E86" s="42"/>
      <c r="F86" s="42"/>
      <c r="G86" s="42"/>
      <c r="H86" s="42">
        <f>+H84-H85</f>
        <v>0</v>
      </c>
    </row>
    <row r="87" spans="1:8" x14ac:dyDescent="0.2">
      <c r="A87" s="59" t="s">
        <v>53</v>
      </c>
      <c r="B87" s="43"/>
      <c r="C87" s="56"/>
      <c r="D87" s="60">
        <f>[4]Charters!D992</f>
        <v>0</v>
      </c>
      <c r="E87" s="42"/>
      <c r="F87" s="42" t="s">
        <v>30</v>
      </c>
      <c r="G87" s="42"/>
      <c r="H87" s="42"/>
    </row>
    <row r="88" spans="1:8" x14ac:dyDescent="0.2">
      <c r="A88" s="59" t="s">
        <v>59</v>
      </c>
      <c r="B88" s="43"/>
      <c r="C88" s="56"/>
      <c r="D88" s="60">
        <f>[4]Charters!E992</f>
        <v>0</v>
      </c>
      <c r="E88" s="42"/>
      <c r="F88" s="42"/>
      <c r="G88" s="42"/>
      <c r="H88" s="42"/>
    </row>
    <row r="89" spans="1:8" x14ac:dyDescent="0.2">
      <c r="A89" s="38" t="s">
        <v>18</v>
      </c>
      <c r="B89" s="61"/>
      <c r="C89" s="62"/>
      <c r="D89" s="87"/>
      <c r="E89" s="42"/>
      <c r="F89" s="42">
        <f>[4]Charters!C1298</f>
        <v>13990.97</v>
      </c>
      <c r="G89" s="42"/>
      <c r="H89" s="42"/>
    </row>
    <row r="90" spans="1:8" x14ac:dyDescent="0.2">
      <c r="A90" s="59" t="s">
        <v>39</v>
      </c>
      <c r="B90" s="43"/>
      <c r="C90" s="56"/>
      <c r="D90" s="41">
        <f>[4]Charters!C1145</f>
        <v>8990.9699999999993</v>
      </c>
      <c r="E90" s="42"/>
      <c r="F90" s="42">
        <f>SUM(D90:D93)</f>
        <v>13990.97</v>
      </c>
      <c r="G90" s="42"/>
      <c r="H90" s="42"/>
    </row>
    <row r="91" spans="1:8" x14ac:dyDescent="0.2">
      <c r="A91" s="59" t="s">
        <v>48</v>
      </c>
      <c r="B91" s="43"/>
      <c r="C91" s="56"/>
      <c r="D91" s="41">
        <f>[4]Charters!D1145</f>
        <v>0</v>
      </c>
      <c r="E91" s="42"/>
      <c r="F91" s="42">
        <f>+F89-F90</f>
        <v>0</v>
      </c>
      <c r="G91" s="42"/>
      <c r="H91" s="42"/>
    </row>
    <row r="92" spans="1:8" x14ac:dyDescent="0.2">
      <c r="A92" s="59" t="s">
        <v>60</v>
      </c>
      <c r="B92" s="43"/>
      <c r="C92" s="56"/>
      <c r="D92" s="41">
        <f>[4]Charters!E1145</f>
        <v>0</v>
      </c>
      <c r="E92" s="42"/>
      <c r="F92" s="42"/>
      <c r="G92" s="42"/>
      <c r="H92" s="42"/>
    </row>
    <row r="93" spans="1:8" x14ac:dyDescent="0.2">
      <c r="A93" s="59" t="s">
        <v>61</v>
      </c>
      <c r="B93" s="43"/>
      <c r="C93" s="56"/>
      <c r="D93" s="41">
        <f>[4]Charters!F1145</f>
        <v>5000</v>
      </c>
      <c r="E93" s="42"/>
      <c r="F93" s="42"/>
      <c r="G93" s="42"/>
      <c r="H93" s="42"/>
    </row>
    <row r="94" spans="1:8" ht="13.5" thickBot="1" x14ac:dyDescent="0.25">
      <c r="A94" s="64"/>
      <c r="B94" s="65"/>
      <c r="C94" s="66"/>
      <c r="D94" s="67">
        <f>SUM(D69:D93)</f>
        <v>6098889.0700000003</v>
      </c>
      <c r="E94" s="42"/>
      <c r="F94" s="42"/>
      <c r="G94" s="42"/>
      <c r="H94" s="42"/>
    </row>
    <row r="95" spans="1:8" ht="13.5" thickTop="1" x14ac:dyDescent="0.2">
      <c r="A95" s="68"/>
      <c r="B95" s="43"/>
      <c r="C95" s="56"/>
      <c r="D95" s="86"/>
      <c r="E95" s="42"/>
      <c r="F95" s="42"/>
      <c r="G95" s="42"/>
      <c r="H95" s="42"/>
    </row>
    <row r="96" spans="1:8" x14ac:dyDescent="0.2">
      <c r="A96" s="38" t="s">
        <v>20</v>
      </c>
      <c r="B96" s="39"/>
      <c r="C96" s="70"/>
      <c r="D96" s="71" t="s">
        <v>21</v>
      </c>
      <c r="E96" s="42"/>
      <c r="F96" s="42"/>
      <c r="G96" s="42"/>
      <c r="H96" s="42"/>
    </row>
    <row r="97" spans="1:8" x14ac:dyDescent="0.2">
      <c r="A97" s="72" t="s">
        <v>22</v>
      </c>
      <c r="B97" s="73"/>
      <c r="C97" s="74"/>
      <c r="D97" s="41">
        <f>[5]Charters!C51</f>
        <v>2262.1999999999998</v>
      </c>
      <c r="E97" s="42"/>
      <c r="F97" s="42"/>
      <c r="G97" s="42"/>
      <c r="H97" s="42"/>
    </row>
    <row r="98" spans="1:8" x14ac:dyDescent="0.2">
      <c r="A98" s="75"/>
      <c r="B98" s="61"/>
      <c r="C98" s="76"/>
      <c r="D98" s="77">
        <f>SUM(D97:D97)</f>
        <v>2262.1999999999998</v>
      </c>
      <c r="E98" s="42"/>
      <c r="F98" s="42"/>
      <c r="G98" s="42"/>
      <c r="H98" s="42"/>
    </row>
    <row r="99" spans="1:8" x14ac:dyDescent="0.2">
      <c r="A99" s="78" t="s">
        <v>58</v>
      </c>
      <c r="B99" s="79"/>
      <c r="C99" s="80"/>
      <c r="D99" s="77">
        <f>D98+D94</f>
        <v>6101151.2699999996</v>
      </c>
      <c r="E99" s="42"/>
      <c r="F99" s="42"/>
      <c r="G99" s="42"/>
      <c r="H99" s="42"/>
    </row>
    <row r="100" spans="1:8" x14ac:dyDescent="0.2">
      <c r="A100" s="84"/>
      <c r="B100" s="84"/>
      <c r="C100" s="85"/>
      <c r="D100" s="81"/>
      <c r="E100" s="42"/>
      <c r="F100" s="42"/>
      <c r="G100" s="42"/>
      <c r="H100" s="42"/>
    </row>
    <row r="101" spans="1:8" x14ac:dyDescent="0.2">
      <c r="A101" s="84"/>
      <c r="B101" s="84"/>
      <c r="C101" s="85"/>
      <c r="D101" s="81">
        <f>[5]Charters!E207</f>
        <v>6101151.2699999996</v>
      </c>
      <c r="E101" s="42"/>
      <c r="F101" s="42"/>
      <c r="G101" s="42"/>
      <c r="H101" s="42"/>
    </row>
    <row r="102" spans="1:8" x14ac:dyDescent="0.2">
      <c r="A102" s="84"/>
      <c r="B102" s="84"/>
      <c r="C102" s="85"/>
      <c r="D102" s="81">
        <f>D99</f>
        <v>6101151.2699999996</v>
      </c>
      <c r="E102" s="42"/>
      <c r="F102" s="42"/>
      <c r="G102" s="42"/>
      <c r="H102" s="42"/>
    </row>
    <row r="103" spans="1:8" x14ac:dyDescent="0.2">
      <c r="C103" s="83"/>
      <c r="D103" s="42">
        <f>D101-D102</f>
        <v>0</v>
      </c>
      <c r="E103" s="42"/>
      <c r="F103" s="42"/>
      <c r="G103" s="42"/>
      <c r="H103" s="42"/>
    </row>
    <row r="104" spans="1:8" x14ac:dyDescent="0.2">
      <c r="C104" s="83"/>
      <c r="D104" s="42">
        <f>D102-D103</f>
        <v>6101151.2699999996</v>
      </c>
      <c r="E104" s="42"/>
      <c r="F104" s="42"/>
      <c r="G104" s="42"/>
      <c r="H104" s="42"/>
    </row>
  </sheetData>
  <mergeCells count="4">
    <mergeCell ref="A45:D45"/>
    <mergeCell ref="A99:C99"/>
    <mergeCell ref="A46:D46"/>
    <mergeCell ref="A47:D47"/>
  </mergeCells>
  <phoneticPr fontId="1" type="noConversion"/>
  <printOptions horizontalCentered="1" verticalCentered="1"/>
  <pageMargins left="0.5" right="0.5" top="0.5" bottom="0.5" header="0.25" footer="0.25"/>
  <pageSetup orientation="portrait" verticalDpi="1200" r:id="rId1"/>
  <headerFooter alignWithMargins="0">
    <oddHeader>&amp;R&amp;8Current as of: &amp;D</oddHeader>
    <oddFooter>&amp;L&amp;8USOE, School Finance</oddFooter>
  </headerFooter>
  <picture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>
    <pageSetUpPr fitToPage="1"/>
  </sheetPr>
  <dimension ref="A1:H104"/>
  <sheetViews>
    <sheetView showGridLines="0" topLeftCell="A40" workbookViewId="0">
      <selection activeCell="C12" sqref="C12"/>
    </sheetView>
  </sheetViews>
  <sheetFormatPr defaultColWidth="9.140625" defaultRowHeight="12.75" x14ac:dyDescent="0.2"/>
  <cols>
    <col min="1" max="1" width="31.85546875" style="82" customWidth="1"/>
    <col min="2" max="2" width="16.140625" style="82" customWidth="1"/>
    <col min="3" max="4" width="14.85546875" style="82" customWidth="1"/>
    <col min="5" max="5" width="7" style="82" customWidth="1"/>
    <col min="6" max="6" width="19.7109375" style="82" customWidth="1"/>
    <col min="7" max="7" width="5.7109375" style="82" customWidth="1"/>
    <col min="8" max="8" width="18" style="82" customWidth="1"/>
    <col min="9" max="16384" width="9.140625" style="82"/>
  </cols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"/>
      <c r="B3" s="1"/>
      <c r="C3" s="1"/>
      <c r="D3" s="1"/>
      <c r="E3" s="1"/>
      <c r="F3" s="1"/>
      <c r="G3" s="1"/>
      <c r="H3" s="1"/>
    </row>
    <row r="4" spans="1:8" x14ac:dyDescent="0.2">
      <c r="A4" s="1"/>
      <c r="B4" s="1"/>
      <c r="C4" s="1"/>
      <c r="D4" s="1"/>
      <c r="E4" s="1"/>
      <c r="F4" s="1"/>
      <c r="G4" s="1"/>
      <c r="H4" s="1"/>
    </row>
    <row r="5" spans="1:8" x14ac:dyDescent="0.2">
      <c r="A5" s="1"/>
      <c r="B5" s="1"/>
      <c r="C5" s="1"/>
      <c r="D5" s="1"/>
      <c r="E5" s="1"/>
      <c r="F5" s="1"/>
      <c r="G5" s="1"/>
      <c r="H5" s="1"/>
    </row>
    <row r="6" spans="1:8" x14ac:dyDescent="0.2">
      <c r="A6" s="1"/>
      <c r="B6" s="1"/>
      <c r="C6" s="1"/>
      <c r="D6" s="1"/>
      <c r="E6" s="1"/>
      <c r="F6" s="1"/>
      <c r="G6" s="1"/>
      <c r="H6" s="1"/>
    </row>
    <row r="7" spans="1:8" x14ac:dyDescent="0.2">
      <c r="A7" s="1"/>
      <c r="B7" s="1"/>
      <c r="C7" s="1"/>
      <c r="D7" s="1"/>
      <c r="E7" s="1"/>
      <c r="F7" s="1"/>
      <c r="G7" s="1"/>
      <c r="H7" s="1"/>
    </row>
    <row r="8" spans="1:8" x14ac:dyDescent="0.2">
      <c r="A8" s="1"/>
      <c r="B8" s="1"/>
      <c r="C8" s="1"/>
      <c r="D8" s="1"/>
      <c r="E8" s="1"/>
      <c r="F8" s="1"/>
      <c r="G8" s="1"/>
      <c r="H8" s="1"/>
    </row>
    <row r="9" spans="1:8" x14ac:dyDescent="0.2">
      <c r="A9" s="1"/>
      <c r="B9" s="1"/>
      <c r="C9" s="1"/>
      <c r="D9" s="1"/>
      <c r="E9" s="1"/>
      <c r="F9" s="1"/>
      <c r="G9" s="1"/>
      <c r="H9" s="1"/>
    </row>
    <row r="10" spans="1:8" x14ac:dyDescent="0.2">
      <c r="A10" s="1"/>
      <c r="B10" s="1"/>
      <c r="C10" s="1"/>
      <c r="D10" s="1"/>
      <c r="E10" s="1"/>
      <c r="F10" s="1"/>
      <c r="G10" s="1"/>
      <c r="H10" s="1"/>
    </row>
    <row r="11" spans="1:8" x14ac:dyDescent="0.2">
      <c r="A11" s="1"/>
      <c r="B11" s="1"/>
      <c r="C11" s="1"/>
      <c r="D11" s="1"/>
      <c r="E11" s="1"/>
      <c r="F11" s="1"/>
      <c r="G11" s="1"/>
      <c r="H11" s="1"/>
    </row>
    <row r="12" spans="1:8" x14ac:dyDescent="0.2">
      <c r="A12" s="1"/>
      <c r="B12" s="1"/>
      <c r="C12" s="1"/>
      <c r="D12" s="1"/>
      <c r="E12" s="1"/>
      <c r="F12" s="1"/>
      <c r="G12" s="1"/>
      <c r="H12" s="1"/>
    </row>
    <row r="13" spans="1:8" x14ac:dyDescent="0.2">
      <c r="A13" s="1"/>
      <c r="B13" s="1"/>
      <c r="C13" s="1"/>
      <c r="D13" s="1"/>
      <c r="E13" s="1"/>
      <c r="F13" s="1"/>
      <c r="G13" s="1"/>
      <c r="H13" s="1"/>
    </row>
    <row r="14" spans="1:8" x14ac:dyDescent="0.2">
      <c r="A14" s="1"/>
      <c r="B14" s="1"/>
      <c r="C14" s="1"/>
      <c r="D14" s="1"/>
      <c r="E14" s="1"/>
      <c r="F14" s="1"/>
      <c r="G14" s="1"/>
      <c r="H14" s="1"/>
    </row>
    <row r="15" spans="1:8" x14ac:dyDescent="0.2">
      <c r="A15" s="1"/>
      <c r="B15" s="1"/>
      <c r="C15" s="1"/>
      <c r="D15" s="1"/>
      <c r="E15" s="1"/>
      <c r="F15" s="1"/>
      <c r="G15" s="1"/>
      <c r="H15" s="1"/>
    </row>
    <row r="16" spans="1:8" x14ac:dyDescent="0.2">
      <c r="A16" s="1"/>
      <c r="B16" s="1"/>
      <c r="C16" s="1"/>
      <c r="D16" s="1"/>
      <c r="E16" s="1"/>
      <c r="F16" s="1"/>
      <c r="G16" s="1"/>
      <c r="H16" s="1"/>
    </row>
    <row r="17" spans="1:8" x14ac:dyDescent="0.2">
      <c r="A17" s="1"/>
      <c r="B17" s="1"/>
      <c r="C17" s="1"/>
      <c r="D17" s="1"/>
      <c r="E17" s="1"/>
      <c r="F17" s="1"/>
      <c r="G17" s="1"/>
      <c r="H17" s="1"/>
    </row>
    <row r="18" spans="1:8" x14ac:dyDescent="0.2">
      <c r="A18" s="1"/>
      <c r="B18" s="1"/>
      <c r="C18" s="1"/>
      <c r="D18" s="1"/>
      <c r="E18" s="1"/>
      <c r="F18" s="1"/>
      <c r="G18" s="1"/>
      <c r="H18" s="1"/>
    </row>
    <row r="19" spans="1:8" x14ac:dyDescent="0.2">
      <c r="A19" s="1"/>
      <c r="B19" s="1"/>
      <c r="C19" s="1"/>
      <c r="D19" s="1"/>
      <c r="E19" s="1"/>
      <c r="F19" s="1"/>
      <c r="G19" s="1"/>
      <c r="H19" s="1"/>
    </row>
    <row r="20" spans="1:8" x14ac:dyDescent="0.2">
      <c r="A20" s="1"/>
      <c r="B20" s="1"/>
      <c r="C20" s="1"/>
      <c r="D20" s="1"/>
      <c r="E20" s="1"/>
      <c r="F20" s="1"/>
      <c r="G20" s="1"/>
      <c r="H20" s="1"/>
    </row>
    <row r="21" spans="1:8" x14ac:dyDescent="0.2">
      <c r="A21" s="1"/>
      <c r="B21" s="1"/>
      <c r="C21" s="1"/>
      <c r="D21" s="1"/>
      <c r="E21" s="1"/>
      <c r="F21" s="1"/>
      <c r="G21" s="1"/>
      <c r="H21" s="1"/>
    </row>
    <row r="22" spans="1:8" x14ac:dyDescent="0.2">
      <c r="A22" s="1"/>
      <c r="B22" s="1"/>
      <c r="C22" s="1"/>
      <c r="D22" s="4"/>
      <c r="E22" s="1"/>
      <c r="F22" s="1"/>
      <c r="G22" s="1"/>
      <c r="H22" s="1"/>
    </row>
    <row r="23" spans="1:8" x14ac:dyDescent="0.2">
      <c r="A23" s="1"/>
      <c r="B23" s="1"/>
      <c r="C23" s="1"/>
      <c r="D23" s="1"/>
      <c r="E23" s="1"/>
      <c r="F23" s="1"/>
      <c r="G23" s="1"/>
      <c r="H23" s="1"/>
    </row>
    <row r="24" spans="1:8" x14ac:dyDescent="0.2">
      <c r="A24" s="1"/>
      <c r="B24" s="1"/>
      <c r="C24" s="1"/>
      <c r="D24" s="1"/>
      <c r="E24" s="1"/>
      <c r="F24" s="1"/>
      <c r="G24" s="1"/>
      <c r="H24" s="1"/>
    </row>
    <row r="25" spans="1:8" x14ac:dyDescent="0.2">
      <c r="A25" s="1"/>
      <c r="B25" s="1"/>
      <c r="C25" s="1"/>
      <c r="D25" s="1"/>
      <c r="E25" s="1"/>
      <c r="F25" s="1"/>
      <c r="G25" s="1"/>
      <c r="H25" s="1"/>
    </row>
    <row r="26" spans="1:8" x14ac:dyDescent="0.2">
      <c r="A26" s="1"/>
      <c r="B26" s="1"/>
      <c r="C26" s="1"/>
      <c r="D26" s="1"/>
      <c r="E26" s="1"/>
      <c r="F26" s="1"/>
      <c r="G26" s="1"/>
      <c r="H26" s="1"/>
    </row>
    <row r="27" spans="1:8" x14ac:dyDescent="0.2">
      <c r="A27" s="1"/>
      <c r="B27" s="1"/>
      <c r="C27" s="1"/>
      <c r="D27" s="1"/>
      <c r="E27" s="1"/>
      <c r="F27" s="1"/>
      <c r="G27" s="1"/>
      <c r="H27" s="1"/>
    </row>
    <row r="28" spans="1:8" x14ac:dyDescent="0.2">
      <c r="A28" s="1"/>
      <c r="B28" s="1"/>
      <c r="C28" s="1"/>
      <c r="D28" s="1"/>
      <c r="E28" s="1"/>
      <c r="F28" s="1"/>
      <c r="G28" s="1"/>
      <c r="H28" s="1"/>
    </row>
    <row r="29" spans="1:8" x14ac:dyDescent="0.2">
      <c r="A29" s="1"/>
      <c r="B29" s="1"/>
      <c r="C29" s="1"/>
      <c r="D29" s="1"/>
      <c r="E29" s="1"/>
      <c r="F29" s="1"/>
      <c r="G29" s="1"/>
      <c r="H29" s="1"/>
    </row>
    <row r="30" spans="1:8" x14ac:dyDescent="0.2">
      <c r="A30" s="1"/>
      <c r="B30" s="1"/>
      <c r="C30" s="1"/>
      <c r="D30" s="1"/>
      <c r="E30" s="1"/>
      <c r="F30" s="1"/>
      <c r="G30" s="1"/>
      <c r="H30" s="1"/>
    </row>
    <row r="31" spans="1:8" x14ac:dyDescent="0.2">
      <c r="A31" s="1"/>
      <c r="B31" s="1"/>
      <c r="C31" s="1"/>
      <c r="D31" s="1"/>
      <c r="E31" s="1"/>
      <c r="F31" s="1"/>
      <c r="G31" s="1"/>
      <c r="H31" s="1"/>
    </row>
    <row r="32" spans="1:8" x14ac:dyDescent="0.2">
      <c r="A32" s="1"/>
      <c r="B32" s="1"/>
      <c r="C32" s="1"/>
      <c r="D32" s="1"/>
      <c r="E32" s="1"/>
      <c r="F32" s="1"/>
      <c r="G32" s="1"/>
      <c r="H32" s="1"/>
    </row>
    <row r="33" spans="1:8" x14ac:dyDescent="0.2">
      <c r="A33" s="1"/>
      <c r="B33" s="1"/>
      <c r="C33" s="1"/>
      <c r="D33" s="1"/>
      <c r="E33" s="1"/>
      <c r="F33" s="1"/>
      <c r="G33" s="1"/>
      <c r="H33" s="1"/>
    </row>
    <row r="34" spans="1:8" x14ac:dyDescent="0.2">
      <c r="A34" s="1"/>
      <c r="B34" s="1"/>
      <c r="C34" s="1"/>
      <c r="D34" s="1"/>
      <c r="E34" s="1"/>
      <c r="F34" s="1"/>
      <c r="G34" s="1"/>
      <c r="H34" s="1"/>
    </row>
    <row r="35" spans="1:8" x14ac:dyDescent="0.2">
      <c r="A35" s="1"/>
      <c r="B35" s="1"/>
      <c r="C35" s="1"/>
      <c r="D35" s="1"/>
      <c r="E35" s="1"/>
      <c r="F35" s="1"/>
      <c r="G35" s="1"/>
      <c r="H35" s="1"/>
    </row>
    <row r="36" spans="1:8" x14ac:dyDescent="0.2">
      <c r="A36" s="1"/>
      <c r="B36" s="1"/>
      <c r="C36" s="1"/>
      <c r="D36" s="1"/>
      <c r="E36" s="1"/>
      <c r="F36" s="1"/>
      <c r="G36" s="1"/>
      <c r="H36" s="1"/>
    </row>
    <row r="37" spans="1:8" x14ac:dyDescent="0.2">
      <c r="A37" s="1"/>
      <c r="B37" s="1"/>
      <c r="C37" s="1"/>
      <c r="D37" s="1"/>
      <c r="E37" s="1"/>
      <c r="F37" s="1"/>
      <c r="G37" s="1"/>
      <c r="H37" s="1"/>
    </row>
    <row r="38" spans="1:8" x14ac:dyDescent="0.2">
      <c r="A38" s="1"/>
      <c r="B38" s="1"/>
      <c r="C38" s="1"/>
      <c r="D38" s="1"/>
      <c r="E38" s="1"/>
      <c r="F38" s="1"/>
      <c r="G38" s="1"/>
      <c r="H38" s="1"/>
    </row>
    <row r="39" spans="1:8" x14ac:dyDescent="0.2">
      <c r="A39" s="1"/>
      <c r="B39" s="1"/>
      <c r="C39" s="1"/>
      <c r="D39" s="1"/>
      <c r="E39" s="1"/>
      <c r="F39" s="1"/>
      <c r="G39" s="1"/>
      <c r="H39" s="1"/>
    </row>
    <row r="40" spans="1:8" x14ac:dyDescent="0.2">
      <c r="A40" s="1"/>
      <c r="B40" s="1"/>
      <c r="C40" s="1"/>
      <c r="D40" s="1"/>
      <c r="E40" s="1"/>
      <c r="F40" s="1"/>
      <c r="G40" s="1"/>
      <c r="H40" s="1"/>
    </row>
    <row r="41" spans="1:8" x14ac:dyDescent="0.2">
      <c r="A41" s="1"/>
      <c r="B41" s="1"/>
      <c r="C41" s="1"/>
      <c r="D41" s="1"/>
      <c r="E41" s="1"/>
      <c r="F41" s="1"/>
      <c r="G41" s="1"/>
      <c r="H41" s="1"/>
    </row>
    <row r="42" spans="1:8" x14ac:dyDescent="0.2">
      <c r="A42" s="1"/>
      <c r="B42" s="1"/>
      <c r="C42" s="1"/>
      <c r="D42" s="1"/>
      <c r="E42" s="1"/>
      <c r="F42" s="1"/>
      <c r="G42" s="1"/>
      <c r="H42" s="1"/>
    </row>
    <row r="43" spans="1:8" x14ac:dyDescent="0.2">
      <c r="A43" s="1"/>
      <c r="B43" s="1"/>
      <c r="C43" s="1"/>
      <c r="D43" s="1"/>
      <c r="E43" s="1"/>
      <c r="F43" s="1"/>
      <c r="G43" s="1"/>
      <c r="H43" s="1"/>
    </row>
    <row r="44" spans="1:8" x14ac:dyDescent="0.2">
      <c r="A44" s="1"/>
      <c r="B44" s="1"/>
      <c r="C44" s="1"/>
      <c r="D44" s="1"/>
      <c r="E44" s="1"/>
      <c r="F44" s="1"/>
      <c r="G44" s="1"/>
      <c r="H44" s="1"/>
    </row>
    <row r="45" spans="1:8" x14ac:dyDescent="0.2">
      <c r="A45" s="1"/>
      <c r="B45" s="1"/>
      <c r="C45" s="1"/>
      <c r="D45" s="1"/>
      <c r="E45" s="1"/>
      <c r="F45" s="1"/>
      <c r="G45" s="1"/>
      <c r="H45" s="1"/>
    </row>
    <row r="46" spans="1:8" x14ac:dyDescent="0.2">
      <c r="A46" s="11" t="s">
        <v>1</v>
      </c>
      <c r="B46" s="12"/>
      <c r="C46" s="12"/>
      <c r="D46" s="13"/>
      <c r="E46" s="8"/>
      <c r="F46" s="8"/>
      <c r="G46" s="8"/>
      <c r="H46" s="8"/>
    </row>
    <row r="47" spans="1:8" x14ac:dyDescent="0.2">
      <c r="A47" s="14" t="s">
        <v>15</v>
      </c>
      <c r="B47" s="15"/>
      <c r="C47" s="15"/>
      <c r="D47" s="16"/>
      <c r="E47" s="8"/>
      <c r="F47" s="8"/>
      <c r="G47" s="8"/>
      <c r="H47" s="8"/>
    </row>
    <row r="48" spans="1:8" x14ac:dyDescent="0.2">
      <c r="A48" s="17" t="s">
        <v>62</v>
      </c>
      <c r="B48" s="18"/>
      <c r="C48" s="18"/>
      <c r="D48" s="19"/>
      <c r="E48" s="8"/>
      <c r="F48" s="8"/>
      <c r="G48" s="8"/>
      <c r="H48" s="8"/>
    </row>
    <row r="49" spans="1:8" x14ac:dyDescent="0.2">
      <c r="A49" s="20"/>
      <c r="B49" s="21"/>
      <c r="C49" s="22"/>
      <c r="D49" s="23"/>
      <c r="E49" s="8"/>
      <c r="F49" s="8" t="s">
        <v>34</v>
      </c>
      <c r="G49" s="8"/>
      <c r="H49" s="8"/>
    </row>
    <row r="50" spans="1:8" ht="15.75" x14ac:dyDescent="0.25">
      <c r="A50" s="24" t="s">
        <v>2</v>
      </c>
      <c r="B50" s="25" t="str">
        <f>[1]Charters!B53</f>
        <v>Noah Webster Academy</v>
      </c>
      <c r="C50" s="26"/>
      <c r="D50" s="27"/>
      <c r="E50" s="8"/>
      <c r="F50" s="8"/>
      <c r="G50" s="8"/>
      <c r="H50" s="8"/>
    </row>
    <row r="51" spans="1:8" x14ac:dyDescent="0.2">
      <c r="A51" s="24"/>
      <c r="B51" s="28"/>
      <c r="C51" s="26"/>
      <c r="D51" s="27"/>
      <c r="E51" s="8"/>
      <c r="F51" s="8"/>
      <c r="G51" s="8"/>
      <c r="H51" s="8"/>
    </row>
    <row r="52" spans="1:8" x14ac:dyDescent="0.2">
      <c r="A52" s="29" t="s">
        <v>0</v>
      </c>
      <c r="B52" s="30">
        <f>[1]Charters!$E$6</f>
        <v>3184</v>
      </c>
      <c r="C52" s="26"/>
      <c r="D52" s="31"/>
      <c r="E52" s="8"/>
      <c r="F52" s="8"/>
      <c r="G52" s="8"/>
      <c r="H52" s="8"/>
    </row>
    <row r="53" spans="1:8" x14ac:dyDescent="0.2">
      <c r="A53" s="32"/>
      <c r="B53" s="6"/>
      <c r="C53" s="33"/>
      <c r="D53" s="34" t="s">
        <v>3</v>
      </c>
      <c r="E53" s="8"/>
      <c r="F53" s="8"/>
      <c r="G53" s="8"/>
      <c r="H53" s="8"/>
    </row>
    <row r="54" spans="1:8" x14ac:dyDescent="0.2">
      <c r="A54" s="29" t="s">
        <v>19</v>
      </c>
      <c r="B54" s="35" t="str">
        <f>[1]Charters!A53</f>
        <v>6D</v>
      </c>
      <c r="C54" s="36" t="s">
        <v>4</v>
      </c>
      <c r="D54" s="37" t="s">
        <v>5</v>
      </c>
      <c r="E54" s="8"/>
      <c r="F54" s="8"/>
      <c r="G54" s="8"/>
      <c r="H54" s="8"/>
    </row>
    <row r="55" spans="1:8" x14ac:dyDescent="0.2">
      <c r="A55" s="38" t="s">
        <v>6</v>
      </c>
      <c r="B55" s="39"/>
      <c r="C55" s="40"/>
      <c r="D55" s="41"/>
      <c r="E55" s="8"/>
      <c r="F55" s="8"/>
      <c r="G55" s="8"/>
      <c r="H55" s="8"/>
    </row>
    <row r="56" spans="1:8" x14ac:dyDescent="0.2">
      <c r="A56" s="38" t="s">
        <v>7</v>
      </c>
      <c r="B56" s="39"/>
      <c r="C56" s="40"/>
      <c r="D56" s="41"/>
      <c r="E56" s="8"/>
      <c r="F56" s="42" t="s">
        <v>23</v>
      </c>
      <c r="G56" s="8"/>
      <c r="H56" s="42" t="s">
        <v>26</v>
      </c>
    </row>
    <row r="57" spans="1:8" x14ac:dyDescent="0.2">
      <c r="A57" s="20" t="s">
        <v>8</v>
      </c>
      <c r="B57" s="43"/>
      <c r="C57" s="44">
        <f>[1]Charters!C513</f>
        <v>486.702</v>
      </c>
      <c r="D57" s="45">
        <f>[1]Charters!E513</f>
        <v>1549658.11</v>
      </c>
      <c r="E57" s="8"/>
      <c r="F57" s="42">
        <f>[1]Charters!E668</f>
        <v>1613623.35</v>
      </c>
      <c r="G57" s="8"/>
      <c r="H57" s="42">
        <f>[2]Charters!E207</f>
        <v>1937452.84</v>
      </c>
    </row>
    <row r="58" spans="1:8" x14ac:dyDescent="0.2">
      <c r="A58" s="20" t="s">
        <v>14</v>
      </c>
      <c r="B58" s="43"/>
      <c r="C58" s="44">
        <f>[1]Charters!F513</f>
        <v>20.09</v>
      </c>
      <c r="D58" s="45">
        <f>[1]Charters!H513</f>
        <v>63965.24</v>
      </c>
      <c r="E58" s="8"/>
      <c r="F58" s="42">
        <f>SUM(D57:D59)</f>
        <v>1613623.35</v>
      </c>
      <c r="G58" s="8"/>
      <c r="H58" s="42">
        <f>D70</f>
        <v>1937452.84</v>
      </c>
    </row>
    <row r="59" spans="1:8" x14ac:dyDescent="0.2">
      <c r="A59" s="20" t="s">
        <v>32</v>
      </c>
      <c r="B59" s="43"/>
      <c r="C59" s="44">
        <f>[1]Charters!C206</f>
        <v>0</v>
      </c>
      <c r="D59" s="45">
        <f>[1]Charters!E206</f>
        <v>0</v>
      </c>
      <c r="E59" s="8"/>
      <c r="F59" s="42">
        <f>+F57-F58</f>
        <v>0</v>
      </c>
      <c r="G59" s="8"/>
      <c r="H59" s="42">
        <f>+H57-H58</f>
        <v>0</v>
      </c>
    </row>
    <row r="60" spans="1:8" x14ac:dyDescent="0.2">
      <c r="A60" s="38" t="s">
        <v>9</v>
      </c>
      <c r="B60" s="39"/>
      <c r="C60" s="46"/>
      <c r="D60" s="47"/>
      <c r="E60" s="8"/>
      <c r="F60" s="8"/>
      <c r="G60" s="8"/>
      <c r="H60" s="8"/>
    </row>
    <row r="61" spans="1:8" x14ac:dyDescent="0.2">
      <c r="A61" s="20" t="s">
        <v>10</v>
      </c>
      <c r="B61" s="43"/>
      <c r="C61" s="40">
        <f>[3]Charters!C52</f>
        <v>48.805999999999997</v>
      </c>
      <c r="D61" s="41">
        <f>[3]Charters!E52</f>
        <v>155399.29</v>
      </c>
      <c r="E61" s="8"/>
      <c r="F61" s="42" t="s">
        <v>24</v>
      </c>
      <c r="G61" s="8"/>
      <c r="H61" s="8"/>
    </row>
    <row r="62" spans="1:8" x14ac:dyDescent="0.2">
      <c r="A62" s="48" t="s">
        <v>11</v>
      </c>
      <c r="B62" s="43"/>
      <c r="C62" s="40">
        <f>[3]Charters!F52</f>
        <v>0</v>
      </c>
      <c r="D62" s="49">
        <f>[3]Charters!H52</f>
        <v>0</v>
      </c>
      <c r="E62" s="8"/>
      <c r="F62" s="42">
        <f>[3]Charters!N363</f>
        <v>161113.94</v>
      </c>
      <c r="G62" s="8"/>
      <c r="H62" s="8"/>
    </row>
    <row r="63" spans="1:8" x14ac:dyDescent="0.2">
      <c r="A63" s="48" t="s">
        <v>12</v>
      </c>
      <c r="B63" s="43"/>
      <c r="C63" s="40">
        <f>[3]Charters!C207</f>
        <v>0</v>
      </c>
      <c r="D63" s="41">
        <f>[3]Charters!E207</f>
        <v>0</v>
      </c>
      <c r="E63" s="8"/>
      <c r="F63" s="42">
        <f>SUM(D61:D67)</f>
        <v>161113.94</v>
      </c>
      <c r="G63" s="8"/>
      <c r="H63" s="8"/>
    </row>
    <row r="64" spans="1:8" x14ac:dyDescent="0.2">
      <c r="A64" s="20" t="s">
        <v>13</v>
      </c>
      <c r="B64" s="43"/>
      <c r="C64" s="40">
        <f>[3]Charters!F207</f>
        <v>0.876</v>
      </c>
      <c r="D64" s="41">
        <f>[3]Charters!H207</f>
        <v>2789.53</v>
      </c>
      <c r="E64" s="8"/>
      <c r="F64" s="42">
        <f>+F62-F63</f>
        <v>0</v>
      </c>
      <c r="G64" s="8"/>
      <c r="H64" s="8"/>
    </row>
    <row r="65" spans="1:8" x14ac:dyDescent="0.2">
      <c r="A65" s="48" t="s">
        <v>54</v>
      </c>
      <c r="B65" s="43"/>
      <c r="C65" s="40">
        <f>[3]Charters!C363</f>
        <v>0.91900000000000004</v>
      </c>
      <c r="D65" s="41">
        <f>[3]Charters!E363</f>
        <v>2925.12</v>
      </c>
      <c r="E65" s="8"/>
      <c r="F65" s="8"/>
      <c r="G65" s="8"/>
      <c r="H65" s="8"/>
    </row>
    <row r="66" spans="1:8" x14ac:dyDescent="0.2">
      <c r="A66" s="48" t="s">
        <v>55</v>
      </c>
      <c r="B66" s="43"/>
      <c r="C66" s="40">
        <f>[3]Charters!F363</f>
        <v>0</v>
      </c>
      <c r="D66" s="41">
        <f>[3]Charters!H363</f>
        <v>0</v>
      </c>
      <c r="E66" s="8"/>
      <c r="F66" s="42" t="s">
        <v>25</v>
      </c>
      <c r="G66" s="8"/>
      <c r="H66" s="8"/>
    </row>
    <row r="67" spans="1:8" x14ac:dyDescent="0.2">
      <c r="A67" s="48" t="s">
        <v>56</v>
      </c>
      <c r="B67" s="43"/>
      <c r="C67" s="40">
        <f>[3]Charters!I363</f>
        <v>0</v>
      </c>
      <c r="D67" s="41">
        <f>[3]Charters!K363</f>
        <v>0</v>
      </c>
      <c r="E67" s="8"/>
      <c r="F67" s="42">
        <f>[2]Charters!H53</f>
        <v>323829.49</v>
      </c>
      <c r="G67" s="8"/>
      <c r="H67" s="8"/>
    </row>
    <row r="68" spans="1:8" x14ac:dyDescent="0.2">
      <c r="A68" s="20" t="s">
        <v>49</v>
      </c>
      <c r="B68" s="43"/>
      <c r="C68" s="40">
        <f>[3]Charters!C520</f>
        <v>0</v>
      </c>
      <c r="D68" s="41">
        <f>[3]Charters!E520</f>
        <v>0</v>
      </c>
      <c r="E68" s="8"/>
      <c r="F68" s="42">
        <f>SUM(D61:D69)</f>
        <v>323829.49</v>
      </c>
      <c r="G68" s="8"/>
      <c r="H68" s="8"/>
    </row>
    <row r="69" spans="1:8" x14ac:dyDescent="0.2">
      <c r="A69" s="20" t="s">
        <v>50</v>
      </c>
      <c r="B69" s="43"/>
      <c r="C69" s="40">
        <f>[2]Charters!C53</f>
        <v>51.103999999999999</v>
      </c>
      <c r="D69" s="41">
        <f>[2]Charters!E53</f>
        <v>162715.54999999999</v>
      </c>
      <c r="E69" s="8"/>
      <c r="F69" s="42">
        <f>+F67-F68</f>
        <v>0</v>
      </c>
      <c r="G69" s="8"/>
      <c r="H69" s="8"/>
    </row>
    <row r="70" spans="1:8" x14ac:dyDescent="0.2">
      <c r="A70" s="50"/>
      <c r="B70" s="51" t="s">
        <v>16</v>
      </c>
      <c r="C70" s="52">
        <f>SUM(C57:C69)</f>
        <v>608.49699999999996</v>
      </c>
      <c r="D70" s="53">
        <f>SUM(D57:D69)</f>
        <v>1937452.84</v>
      </c>
      <c r="E70" s="8"/>
      <c r="F70" s="8"/>
      <c r="G70" s="8"/>
      <c r="H70" s="8"/>
    </row>
    <row r="71" spans="1:8" x14ac:dyDescent="0.2">
      <c r="A71" s="54" t="s">
        <v>17</v>
      </c>
      <c r="B71" s="39"/>
      <c r="C71" s="55"/>
      <c r="D71" s="47"/>
      <c r="E71" s="8"/>
      <c r="F71" s="8"/>
      <c r="G71" s="8"/>
      <c r="H71" s="42" t="s">
        <v>29</v>
      </c>
    </row>
    <row r="72" spans="1:8" x14ac:dyDescent="0.2">
      <c r="A72" s="20" t="s">
        <v>33</v>
      </c>
      <c r="B72" s="43"/>
      <c r="C72" s="56"/>
      <c r="D72" s="57">
        <f>[4]Charters!C52</f>
        <v>5615.64</v>
      </c>
      <c r="E72" s="8"/>
      <c r="F72" s="8"/>
      <c r="G72" s="8"/>
      <c r="H72" s="42">
        <f>[4]Charters!F993</f>
        <v>3403513.42</v>
      </c>
    </row>
    <row r="73" spans="1:8" x14ac:dyDescent="0.2">
      <c r="A73" s="58" t="s">
        <v>35</v>
      </c>
      <c r="B73" s="43"/>
      <c r="C73" s="56"/>
      <c r="D73" s="41">
        <f>+[4]Charters!F373</f>
        <v>2342.4899999999998</v>
      </c>
      <c r="E73" s="8"/>
      <c r="F73" s="8"/>
      <c r="G73" s="8"/>
      <c r="H73" s="42">
        <f>SUM(D70:D89)</f>
        <v>3403513.42</v>
      </c>
    </row>
    <row r="74" spans="1:8" x14ac:dyDescent="0.2">
      <c r="A74" s="59" t="s">
        <v>36</v>
      </c>
      <c r="B74" s="43"/>
      <c r="C74" s="56"/>
      <c r="D74" s="41">
        <f>[4]Charters!E212</f>
        <v>23091</v>
      </c>
      <c r="E74" s="8"/>
      <c r="F74" s="8"/>
      <c r="G74" s="8"/>
      <c r="H74" s="42">
        <f>+H72-H73</f>
        <v>0</v>
      </c>
    </row>
    <row r="75" spans="1:8" x14ac:dyDescent="0.2">
      <c r="A75" s="59" t="s">
        <v>52</v>
      </c>
      <c r="B75" s="43"/>
      <c r="C75" s="56"/>
      <c r="D75" s="41">
        <f>[4]Charters!G373</f>
        <v>0</v>
      </c>
      <c r="E75" s="8"/>
      <c r="F75" s="42" t="s">
        <v>27</v>
      </c>
      <c r="G75" s="8"/>
      <c r="H75" s="42"/>
    </row>
    <row r="76" spans="1:8" x14ac:dyDescent="0.2">
      <c r="A76" s="20" t="s">
        <v>37</v>
      </c>
      <c r="B76" s="43"/>
      <c r="C76" s="56"/>
      <c r="D76" s="41">
        <f>[4]Charters!E529</f>
        <v>41753</v>
      </c>
      <c r="E76" s="8"/>
      <c r="F76" s="42">
        <f>[4]Charters!E212</f>
        <v>23091</v>
      </c>
      <c r="G76" s="8"/>
      <c r="H76" s="8"/>
    </row>
    <row r="77" spans="1:8" x14ac:dyDescent="0.2">
      <c r="A77" s="20" t="s">
        <v>38</v>
      </c>
      <c r="B77" s="43"/>
      <c r="C77" s="56"/>
      <c r="D77" s="41">
        <f>[4]Charters!F529</f>
        <v>0</v>
      </c>
      <c r="E77" s="8"/>
      <c r="F77" s="42">
        <f>SUM(D74:D74)</f>
        <v>23091</v>
      </c>
      <c r="G77" s="8"/>
      <c r="H77" s="8"/>
    </row>
    <row r="78" spans="1:8" x14ac:dyDescent="0.2">
      <c r="A78" s="59" t="s">
        <v>40</v>
      </c>
      <c r="B78" s="43"/>
      <c r="C78" s="56"/>
      <c r="D78" s="41">
        <f>[4]Charters!G529</f>
        <v>0</v>
      </c>
      <c r="E78" s="8"/>
      <c r="F78" s="42">
        <f>+F76-F77</f>
        <v>0</v>
      </c>
      <c r="G78" s="8"/>
      <c r="H78" s="8"/>
    </row>
    <row r="79" spans="1:8" x14ac:dyDescent="0.2">
      <c r="A79" s="20" t="s">
        <v>41</v>
      </c>
      <c r="B79" s="43"/>
      <c r="C79" s="56"/>
      <c r="D79" s="41">
        <f>[4]Charters!C684</f>
        <v>1166583</v>
      </c>
      <c r="E79" s="8"/>
      <c r="F79" s="42" t="s">
        <v>28</v>
      </c>
      <c r="G79" s="8"/>
      <c r="H79" s="8"/>
    </row>
    <row r="80" spans="1:8" x14ac:dyDescent="0.2">
      <c r="A80" s="20" t="s">
        <v>42</v>
      </c>
      <c r="B80" s="43"/>
      <c r="C80" s="56"/>
      <c r="D80" s="41">
        <f>[4]Charters!D684</f>
        <v>120643.79</v>
      </c>
      <c r="E80" s="8"/>
      <c r="F80" s="42">
        <f>[4]Charters!D529</f>
        <v>25433.49</v>
      </c>
      <c r="G80" s="8"/>
      <c r="H80" s="8"/>
    </row>
    <row r="81" spans="1:8" x14ac:dyDescent="0.2">
      <c r="A81" s="20" t="s">
        <v>44</v>
      </c>
      <c r="B81" s="43"/>
      <c r="C81" s="56"/>
      <c r="D81" s="41">
        <f>[4]Charters!E684</f>
        <v>58300</v>
      </c>
      <c r="E81" s="8"/>
      <c r="F81" s="42">
        <f>SUM(D73:D75)</f>
        <v>25433.49</v>
      </c>
      <c r="G81" s="8"/>
      <c r="H81" s="8"/>
    </row>
    <row r="82" spans="1:8" x14ac:dyDescent="0.2">
      <c r="A82" s="59" t="s">
        <v>43</v>
      </c>
      <c r="B82" s="43"/>
      <c r="C82" s="56"/>
      <c r="D82" s="41">
        <f>[4]Charters!F684</f>
        <v>19384.29</v>
      </c>
      <c r="E82" s="8"/>
      <c r="F82" s="42">
        <f>+F80-F81</f>
        <v>0</v>
      </c>
      <c r="G82" s="8"/>
      <c r="H82" s="8"/>
    </row>
    <row r="83" spans="1:8" x14ac:dyDescent="0.2">
      <c r="A83" s="59" t="s">
        <v>45</v>
      </c>
      <c r="B83" s="43"/>
      <c r="C83" s="56"/>
      <c r="D83" s="41">
        <f>[4]Charters!C529</f>
        <v>0</v>
      </c>
      <c r="E83" s="8"/>
      <c r="F83" s="8"/>
      <c r="G83" s="8"/>
      <c r="H83" s="8"/>
    </row>
    <row r="84" spans="1:8" x14ac:dyDescent="0.2">
      <c r="A84" s="59" t="s">
        <v>46</v>
      </c>
      <c r="B84" s="43"/>
      <c r="C84" s="56"/>
      <c r="D84" s="41">
        <f>[4]Charters!C840</f>
        <v>0</v>
      </c>
      <c r="E84" s="42"/>
      <c r="F84" s="42"/>
      <c r="G84" s="42"/>
      <c r="H84" s="42" t="s">
        <v>31</v>
      </c>
    </row>
    <row r="85" spans="1:8" x14ac:dyDescent="0.2">
      <c r="A85" s="59" t="s">
        <v>51</v>
      </c>
      <c r="B85" s="43"/>
      <c r="C85" s="56"/>
      <c r="D85" s="60">
        <f>[4]Charters!D840</f>
        <v>796.82</v>
      </c>
      <c r="E85" s="42"/>
      <c r="F85" s="42"/>
      <c r="G85" s="42"/>
      <c r="H85" s="42">
        <f>[4]Charters!D1299</f>
        <v>3414306.33</v>
      </c>
    </row>
    <row r="86" spans="1:8" x14ac:dyDescent="0.2">
      <c r="A86" s="20" t="s">
        <v>47</v>
      </c>
      <c r="B86" s="43"/>
      <c r="C86" s="56"/>
      <c r="D86" s="60">
        <f>[4]Charters!E840</f>
        <v>0</v>
      </c>
      <c r="E86" s="42"/>
      <c r="F86" s="42"/>
      <c r="G86" s="42"/>
      <c r="H86" s="42">
        <f>D95</f>
        <v>3414306.34</v>
      </c>
    </row>
    <row r="87" spans="1:8" x14ac:dyDescent="0.2">
      <c r="A87" s="20" t="s">
        <v>57</v>
      </c>
      <c r="B87" s="43"/>
      <c r="C87" s="56"/>
      <c r="D87" s="60">
        <f>[4]Charters!C993</f>
        <v>0</v>
      </c>
      <c r="E87" s="42"/>
      <c r="F87" s="42"/>
      <c r="G87" s="42"/>
      <c r="H87" s="42">
        <f>+H85-H86</f>
        <v>-0.01</v>
      </c>
    </row>
    <row r="88" spans="1:8" x14ac:dyDescent="0.2">
      <c r="A88" s="59" t="s">
        <v>53</v>
      </c>
      <c r="B88" s="43"/>
      <c r="C88" s="56"/>
      <c r="D88" s="60">
        <f>[4]Charters!D993</f>
        <v>0</v>
      </c>
      <c r="E88" s="42"/>
      <c r="F88" s="42" t="s">
        <v>30</v>
      </c>
      <c r="G88" s="42"/>
      <c r="H88" s="42"/>
    </row>
    <row r="89" spans="1:8" x14ac:dyDescent="0.2">
      <c r="A89" s="59" t="s">
        <v>59</v>
      </c>
      <c r="B89" s="43"/>
      <c r="C89" s="56"/>
      <c r="D89" s="60">
        <f>[4]Charters!E993</f>
        <v>27550.55</v>
      </c>
      <c r="E89" s="42"/>
      <c r="F89" s="42"/>
      <c r="G89" s="42"/>
      <c r="H89" s="42"/>
    </row>
    <row r="90" spans="1:8" x14ac:dyDescent="0.2">
      <c r="A90" s="38" t="s">
        <v>18</v>
      </c>
      <c r="B90" s="61"/>
      <c r="C90" s="62"/>
      <c r="D90" s="87"/>
      <c r="E90" s="42"/>
      <c r="F90" s="42">
        <f>[4]Charters!C1299</f>
        <v>10792.92</v>
      </c>
      <c r="G90" s="42"/>
      <c r="H90" s="42"/>
    </row>
    <row r="91" spans="1:8" x14ac:dyDescent="0.2">
      <c r="A91" s="59" t="s">
        <v>39</v>
      </c>
      <c r="B91" s="43"/>
      <c r="C91" s="56"/>
      <c r="D91" s="41">
        <f>[4]Charters!C1146</f>
        <v>4407.83</v>
      </c>
      <c r="E91" s="42"/>
      <c r="F91" s="42">
        <f>SUM(D91:D94)</f>
        <v>10792.92</v>
      </c>
      <c r="G91" s="42"/>
      <c r="H91" s="42"/>
    </row>
    <row r="92" spans="1:8" x14ac:dyDescent="0.2">
      <c r="A92" s="59" t="s">
        <v>48</v>
      </c>
      <c r="B92" s="43"/>
      <c r="C92" s="56"/>
      <c r="D92" s="41">
        <f>[4]Charters!D1146</f>
        <v>0</v>
      </c>
      <c r="E92" s="42"/>
      <c r="F92" s="42">
        <f>+F90-F91</f>
        <v>0</v>
      </c>
      <c r="G92" s="42"/>
      <c r="H92" s="42"/>
    </row>
    <row r="93" spans="1:8" x14ac:dyDescent="0.2">
      <c r="A93" s="59" t="s">
        <v>60</v>
      </c>
      <c r="B93" s="43"/>
      <c r="C93" s="56"/>
      <c r="D93" s="41">
        <f>[4]Charters!E1146</f>
        <v>0</v>
      </c>
      <c r="E93" s="42"/>
      <c r="F93" s="42"/>
      <c r="G93" s="42"/>
      <c r="H93" s="42"/>
    </row>
    <row r="94" spans="1:8" x14ac:dyDescent="0.2">
      <c r="A94" s="59" t="s">
        <v>61</v>
      </c>
      <c r="B94" s="43"/>
      <c r="C94" s="56"/>
      <c r="D94" s="41">
        <f>[4]Charters!F1146</f>
        <v>6385.09</v>
      </c>
      <c r="E94" s="42"/>
      <c r="F94" s="42"/>
      <c r="G94" s="42"/>
      <c r="H94" s="42"/>
    </row>
    <row r="95" spans="1:8" ht="13.5" thickBot="1" x14ac:dyDescent="0.25">
      <c r="A95" s="64"/>
      <c r="B95" s="65"/>
      <c r="C95" s="66"/>
      <c r="D95" s="67">
        <f>SUM(D70:D94)</f>
        <v>3414306.34</v>
      </c>
      <c r="E95" s="42"/>
      <c r="F95" s="42"/>
      <c r="G95" s="42"/>
      <c r="H95" s="42"/>
    </row>
    <row r="96" spans="1:8" ht="13.5" thickTop="1" x14ac:dyDescent="0.2">
      <c r="A96" s="68"/>
      <c r="B96" s="43"/>
      <c r="C96" s="56"/>
      <c r="D96" s="86"/>
      <c r="E96" s="42"/>
      <c r="F96" s="42"/>
      <c r="G96" s="42"/>
      <c r="H96" s="42"/>
    </row>
    <row r="97" spans="1:8" x14ac:dyDescent="0.2">
      <c r="A97" s="38" t="s">
        <v>20</v>
      </c>
      <c r="B97" s="39"/>
      <c r="C97" s="70"/>
      <c r="D97" s="71" t="s">
        <v>21</v>
      </c>
      <c r="E97" s="42"/>
      <c r="F97" s="42"/>
      <c r="G97" s="42"/>
      <c r="H97" s="42"/>
    </row>
    <row r="98" spans="1:8" x14ac:dyDescent="0.2">
      <c r="A98" s="72" t="s">
        <v>22</v>
      </c>
      <c r="B98" s="73"/>
      <c r="C98" s="74"/>
      <c r="D98" s="41">
        <f>[5]Charters!C52</f>
        <v>1338.84</v>
      </c>
      <c r="E98" s="42"/>
      <c r="F98" s="42"/>
      <c r="G98" s="42"/>
      <c r="H98" s="42"/>
    </row>
    <row r="99" spans="1:8" x14ac:dyDescent="0.2">
      <c r="A99" s="75"/>
      <c r="B99" s="61"/>
      <c r="C99" s="76"/>
      <c r="D99" s="77">
        <f>SUM(D98:D98)</f>
        <v>1338.84</v>
      </c>
      <c r="E99" s="42"/>
      <c r="F99" s="42"/>
      <c r="G99" s="42"/>
      <c r="H99" s="42"/>
    </row>
    <row r="100" spans="1:8" x14ac:dyDescent="0.2">
      <c r="A100" s="78" t="s">
        <v>58</v>
      </c>
      <c r="B100" s="79"/>
      <c r="C100" s="80"/>
      <c r="D100" s="77">
        <f>D99+D95</f>
        <v>3415645.18</v>
      </c>
      <c r="E100" s="42"/>
      <c r="F100" s="42"/>
      <c r="G100" s="42"/>
      <c r="H100" s="42"/>
    </row>
    <row r="101" spans="1:8" x14ac:dyDescent="0.2">
      <c r="A101" s="84"/>
      <c r="B101" s="84"/>
      <c r="C101" s="85"/>
      <c r="D101" s="81"/>
      <c r="E101" s="42"/>
      <c r="F101" s="42"/>
      <c r="G101" s="42"/>
      <c r="H101" s="42"/>
    </row>
    <row r="102" spans="1:8" x14ac:dyDescent="0.2">
      <c r="A102" s="84"/>
      <c r="B102" s="84"/>
      <c r="C102" s="85"/>
      <c r="D102" s="81">
        <f>[5]Charters!E208</f>
        <v>3415645.17</v>
      </c>
      <c r="E102" s="42"/>
      <c r="F102" s="42"/>
      <c r="G102" s="42"/>
      <c r="H102" s="42"/>
    </row>
    <row r="103" spans="1:8" x14ac:dyDescent="0.2">
      <c r="A103" s="84"/>
      <c r="B103" s="84"/>
      <c r="C103" s="85"/>
      <c r="D103" s="81">
        <f>D100</f>
        <v>3415645.18</v>
      </c>
      <c r="E103" s="42"/>
      <c r="F103" s="42"/>
      <c r="G103" s="42"/>
      <c r="H103" s="42"/>
    </row>
    <row r="104" spans="1:8" x14ac:dyDescent="0.2">
      <c r="C104" s="83"/>
      <c r="D104" s="42">
        <f>D102-D103</f>
        <v>-0.01</v>
      </c>
      <c r="E104" s="42"/>
      <c r="F104" s="42"/>
      <c r="G104" s="42"/>
      <c r="H104" s="42"/>
    </row>
  </sheetData>
  <mergeCells count="4">
    <mergeCell ref="A100:C100"/>
    <mergeCell ref="A47:D47"/>
    <mergeCell ref="A48:D48"/>
    <mergeCell ref="A46:D46"/>
  </mergeCells>
  <phoneticPr fontId="1" type="noConversion"/>
  <printOptions horizontalCentered="1" verticalCentered="1"/>
  <pageMargins left="0.5" right="0.5" top="0.5" bottom="0.5" header="0.25" footer="0.25"/>
  <pageSetup orientation="portrait" verticalDpi="1200" r:id="rId1"/>
  <headerFooter alignWithMargins="0">
    <oddHeader>&amp;R&amp;8Current as of: &amp;D</oddHeader>
    <oddFooter>&amp;L&amp;8USOE, School Finance</oddFooter>
  </headerFooter>
  <picture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>
    <pageSetUpPr fitToPage="1"/>
  </sheetPr>
  <dimension ref="A1:H111"/>
  <sheetViews>
    <sheetView topLeftCell="A51" workbookViewId="0">
      <selection activeCell="C12" sqref="C12"/>
    </sheetView>
  </sheetViews>
  <sheetFormatPr defaultColWidth="9.140625" defaultRowHeight="12.75" x14ac:dyDescent="0.2"/>
  <cols>
    <col min="1" max="1" width="36.140625" style="82" customWidth="1"/>
    <col min="2" max="2" width="16.28515625" style="82" customWidth="1"/>
    <col min="3" max="3" width="12.85546875" style="82" customWidth="1"/>
    <col min="4" max="4" width="15.28515625" style="82" customWidth="1"/>
    <col min="5" max="5" width="6.140625" style="82" customWidth="1"/>
    <col min="6" max="6" width="19.5703125" style="82" customWidth="1"/>
    <col min="7" max="7" width="9.140625" style="82"/>
    <col min="8" max="8" width="15.5703125" style="82" customWidth="1"/>
    <col min="9" max="16384" width="9.140625" style="82"/>
  </cols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"/>
      <c r="B3" s="1"/>
      <c r="C3" s="1"/>
      <c r="D3" s="1"/>
      <c r="E3" s="1"/>
      <c r="F3" s="1"/>
      <c r="G3" s="1"/>
      <c r="H3" s="1"/>
    </row>
    <row r="4" spans="1:8" x14ac:dyDescent="0.2">
      <c r="A4" s="1"/>
      <c r="B4" s="1"/>
      <c r="C4" s="1"/>
      <c r="D4" s="1"/>
      <c r="E4" s="1"/>
      <c r="F4" s="1"/>
      <c r="G4" s="1"/>
      <c r="H4" s="1"/>
    </row>
    <row r="5" spans="1:8" x14ac:dyDescent="0.2">
      <c r="A5" s="1"/>
      <c r="B5" s="1"/>
      <c r="C5" s="1"/>
      <c r="D5" s="1"/>
      <c r="E5" s="1"/>
      <c r="F5" s="1"/>
      <c r="G5" s="1"/>
      <c r="H5" s="1"/>
    </row>
    <row r="6" spans="1:8" x14ac:dyDescent="0.2">
      <c r="A6" s="1"/>
      <c r="B6" s="1"/>
      <c r="C6" s="1"/>
      <c r="D6" s="1"/>
      <c r="E6" s="1"/>
      <c r="F6" s="1"/>
      <c r="G6" s="1"/>
      <c r="H6" s="1"/>
    </row>
    <row r="7" spans="1:8" x14ac:dyDescent="0.2">
      <c r="A7" s="1"/>
      <c r="B7" s="1"/>
      <c r="C7" s="1"/>
      <c r="D7" s="1"/>
      <c r="E7" s="1"/>
      <c r="F7" s="1"/>
      <c r="G7" s="1"/>
      <c r="H7" s="1"/>
    </row>
    <row r="8" spans="1:8" x14ac:dyDescent="0.2">
      <c r="A8" s="1"/>
      <c r="B8" s="1"/>
      <c r="C8" s="1"/>
      <c r="D8" s="1"/>
      <c r="E8" s="1"/>
      <c r="F8" s="1"/>
      <c r="G8" s="1"/>
      <c r="H8" s="1"/>
    </row>
    <row r="9" spans="1:8" x14ac:dyDescent="0.2">
      <c r="A9" s="1"/>
      <c r="B9" s="1"/>
      <c r="C9" s="1"/>
      <c r="D9" s="1"/>
      <c r="E9" s="1"/>
      <c r="F9" s="1"/>
      <c r="G9" s="1"/>
      <c r="H9" s="1"/>
    </row>
    <row r="10" spans="1:8" x14ac:dyDescent="0.2">
      <c r="A10" s="1"/>
      <c r="B10" s="1"/>
      <c r="C10" s="1"/>
      <c r="D10" s="1"/>
      <c r="E10" s="1"/>
      <c r="F10" s="1"/>
      <c r="G10" s="1"/>
      <c r="H10" s="1"/>
    </row>
    <row r="11" spans="1:8" x14ac:dyDescent="0.2">
      <c r="A11" s="1"/>
      <c r="B11" s="1"/>
      <c r="C11" s="1"/>
      <c r="D11" s="1"/>
      <c r="E11" s="1"/>
      <c r="F11" s="1"/>
      <c r="G11" s="1"/>
      <c r="H11" s="1"/>
    </row>
    <row r="12" spans="1:8" x14ac:dyDescent="0.2">
      <c r="A12" s="1"/>
      <c r="B12" s="1"/>
      <c r="C12" s="1"/>
      <c r="D12" s="1"/>
      <c r="E12" s="1"/>
      <c r="F12" s="1"/>
      <c r="G12" s="1"/>
      <c r="H12" s="1"/>
    </row>
    <row r="13" spans="1:8" x14ac:dyDescent="0.2">
      <c r="A13" s="1"/>
      <c r="B13" s="1"/>
      <c r="C13" s="1"/>
      <c r="D13" s="1"/>
      <c r="E13" s="1"/>
      <c r="F13" s="1"/>
      <c r="G13" s="1"/>
      <c r="H13" s="1"/>
    </row>
    <row r="14" spans="1:8" x14ac:dyDescent="0.2">
      <c r="A14" s="1"/>
      <c r="B14" s="1"/>
      <c r="C14" s="1"/>
      <c r="D14" s="1"/>
      <c r="E14" s="1"/>
      <c r="F14" s="1"/>
      <c r="G14" s="1"/>
      <c r="H14" s="1"/>
    </row>
    <row r="15" spans="1:8" x14ac:dyDescent="0.2">
      <c r="A15" s="1"/>
      <c r="B15" s="1"/>
      <c r="C15" s="1"/>
      <c r="D15" s="1"/>
      <c r="E15" s="1"/>
      <c r="F15" s="1"/>
      <c r="G15" s="1"/>
      <c r="H15" s="1"/>
    </row>
    <row r="16" spans="1:8" x14ac:dyDescent="0.2">
      <c r="A16" s="1"/>
      <c r="B16" s="1"/>
      <c r="C16" s="1"/>
      <c r="D16" s="1"/>
      <c r="E16" s="1"/>
      <c r="F16" s="1"/>
      <c r="G16" s="1"/>
      <c r="H16" s="1"/>
    </row>
    <row r="17" spans="1:8" x14ac:dyDescent="0.2">
      <c r="A17" s="1"/>
      <c r="B17" s="1"/>
      <c r="C17" s="1"/>
      <c r="D17" s="1"/>
      <c r="E17" s="1"/>
      <c r="F17" s="1"/>
      <c r="G17" s="1"/>
      <c r="H17" s="1"/>
    </row>
    <row r="18" spans="1:8" x14ac:dyDescent="0.2">
      <c r="A18" s="1"/>
      <c r="B18" s="1"/>
      <c r="C18" s="1"/>
      <c r="D18" s="1"/>
      <c r="E18" s="1"/>
      <c r="F18" s="1"/>
      <c r="G18" s="1"/>
      <c r="H18" s="1"/>
    </row>
    <row r="19" spans="1:8" x14ac:dyDescent="0.2">
      <c r="A19" s="1"/>
      <c r="B19" s="1"/>
      <c r="C19" s="1"/>
      <c r="D19" s="1"/>
      <c r="E19" s="1"/>
      <c r="F19" s="1"/>
      <c r="G19" s="1"/>
      <c r="H19" s="1"/>
    </row>
    <row r="20" spans="1:8" x14ac:dyDescent="0.2">
      <c r="A20" s="1"/>
      <c r="B20" s="1"/>
      <c r="C20" s="1"/>
      <c r="D20" s="1"/>
      <c r="E20" s="1"/>
      <c r="F20" s="1"/>
      <c r="G20" s="1"/>
      <c r="H20" s="1"/>
    </row>
    <row r="21" spans="1:8" x14ac:dyDescent="0.2">
      <c r="A21" s="1"/>
      <c r="B21" s="1"/>
      <c r="C21" s="1"/>
      <c r="D21" s="1"/>
      <c r="E21" s="1"/>
      <c r="F21" s="1"/>
      <c r="G21" s="1"/>
      <c r="H21" s="1"/>
    </row>
    <row r="22" spans="1:8" x14ac:dyDescent="0.2">
      <c r="A22" s="1"/>
      <c r="B22" s="1"/>
      <c r="C22" s="1"/>
      <c r="D22" s="4"/>
      <c r="E22" s="1"/>
      <c r="F22" s="1"/>
      <c r="G22" s="1"/>
      <c r="H22" s="1"/>
    </row>
    <row r="23" spans="1:8" x14ac:dyDescent="0.2">
      <c r="A23" s="1"/>
      <c r="B23" s="1"/>
      <c r="C23" s="1"/>
      <c r="D23" s="1"/>
      <c r="E23" s="1"/>
      <c r="F23" s="1"/>
      <c r="G23" s="1"/>
      <c r="H23" s="1"/>
    </row>
    <row r="24" spans="1:8" x14ac:dyDescent="0.2">
      <c r="A24" s="1"/>
      <c r="B24" s="1"/>
      <c r="C24" s="1"/>
      <c r="D24" s="1"/>
      <c r="E24" s="1"/>
      <c r="F24" s="1"/>
      <c r="G24" s="1"/>
      <c r="H24" s="1"/>
    </row>
    <row r="25" spans="1:8" x14ac:dyDescent="0.2">
      <c r="A25" s="1"/>
      <c r="B25" s="1"/>
      <c r="C25" s="1"/>
      <c r="D25" s="1"/>
      <c r="E25" s="1"/>
      <c r="F25" s="1"/>
      <c r="G25" s="1"/>
      <c r="H25" s="1"/>
    </row>
    <row r="26" spans="1:8" x14ac:dyDescent="0.2">
      <c r="A26" s="1"/>
      <c r="B26" s="1"/>
      <c r="C26" s="1"/>
      <c r="D26" s="1"/>
      <c r="E26" s="1"/>
      <c r="F26" s="1"/>
      <c r="G26" s="1"/>
      <c r="H26" s="1"/>
    </row>
    <row r="27" spans="1:8" x14ac:dyDescent="0.2">
      <c r="A27" s="1"/>
      <c r="B27" s="1"/>
      <c r="C27" s="1"/>
      <c r="D27" s="1"/>
      <c r="E27" s="1"/>
      <c r="F27" s="1"/>
      <c r="G27" s="1"/>
      <c r="H27" s="1"/>
    </row>
    <row r="28" spans="1:8" x14ac:dyDescent="0.2">
      <c r="A28" s="1"/>
      <c r="B28" s="1"/>
      <c r="C28" s="1"/>
      <c r="D28" s="1"/>
      <c r="E28" s="1"/>
      <c r="F28" s="1"/>
      <c r="G28" s="1"/>
      <c r="H28" s="1"/>
    </row>
    <row r="29" spans="1:8" x14ac:dyDescent="0.2">
      <c r="A29" s="1"/>
      <c r="B29" s="1"/>
      <c r="C29" s="1"/>
      <c r="D29" s="1"/>
      <c r="E29" s="1"/>
      <c r="F29" s="1"/>
      <c r="G29" s="1"/>
      <c r="H29" s="1"/>
    </row>
    <row r="30" spans="1:8" x14ac:dyDescent="0.2">
      <c r="A30" s="1"/>
      <c r="B30" s="1"/>
      <c r="C30" s="1"/>
      <c r="D30" s="1"/>
      <c r="E30" s="1"/>
      <c r="F30" s="1"/>
      <c r="G30" s="1"/>
      <c r="H30" s="1"/>
    </row>
    <row r="31" spans="1:8" x14ac:dyDescent="0.2">
      <c r="A31" s="1"/>
      <c r="B31" s="1"/>
      <c r="C31" s="1"/>
      <c r="D31" s="1"/>
      <c r="E31" s="1"/>
      <c r="F31" s="1"/>
      <c r="G31" s="1"/>
      <c r="H31" s="1"/>
    </row>
    <row r="32" spans="1:8" x14ac:dyDescent="0.2">
      <c r="A32" s="1"/>
      <c r="B32" s="1"/>
      <c r="C32" s="1"/>
      <c r="D32" s="1"/>
      <c r="E32" s="1"/>
      <c r="F32" s="1"/>
      <c r="G32" s="1"/>
      <c r="H32" s="1"/>
    </row>
    <row r="33" spans="1:8" x14ac:dyDescent="0.2">
      <c r="A33" s="1"/>
      <c r="B33" s="1"/>
      <c r="C33" s="1"/>
      <c r="D33" s="1"/>
      <c r="E33" s="1"/>
      <c r="F33" s="1"/>
      <c r="G33" s="1"/>
      <c r="H33" s="1"/>
    </row>
    <row r="34" spans="1:8" x14ac:dyDescent="0.2">
      <c r="A34" s="1"/>
      <c r="B34" s="1"/>
      <c r="C34" s="1"/>
      <c r="D34" s="1"/>
      <c r="E34" s="1"/>
      <c r="F34" s="1"/>
      <c r="G34" s="1"/>
      <c r="H34" s="1"/>
    </row>
    <row r="35" spans="1:8" x14ac:dyDescent="0.2">
      <c r="A35" s="1"/>
      <c r="B35" s="1"/>
      <c r="C35" s="1"/>
      <c r="D35" s="1"/>
      <c r="E35" s="1"/>
      <c r="F35" s="1"/>
      <c r="G35" s="1"/>
      <c r="H35" s="1"/>
    </row>
    <row r="36" spans="1:8" x14ac:dyDescent="0.2">
      <c r="A36" s="1"/>
      <c r="B36" s="1"/>
      <c r="C36" s="1"/>
      <c r="D36" s="1"/>
      <c r="E36" s="1"/>
      <c r="F36" s="1"/>
      <c r="G36" s="1"/>
      <c r="H36" s="1"/>
    </row>
    <row r="37" spans="1:8" x14ac:dyDescent="0.2">
      <c r="A37" s="1"/>
      <c r="B37" s="1"/>
      <c r="C37" s="1"/>
      <c r="D37" s="1"/>
      <c r="E37" s="1"/>
      <c r="F37" s="1"/>
      <c r="G37" s="1"/>
      <c r="H37" s="1"/>
    </row>
    <row r="38" spans="1:8" x14ac:dyDescent="0.2">
      <c r="A38" s="1"/>
      <c r="B38" s="1"/>
      <c r="C38" s="1"/>
      <c r="D38" s="1"/>
      <c r="E38" s="1"/>
      <c r="F38" s="1"/>
      <c r="G38" s="1"/>
      <c r="H38" s="1"/>
    </row>
    <row r="39" spans="1:8" x14ac:dyDescent="0.2">
      <c r="A39" s="1"/>
      <c r="B39" s="1"/>
      <c r="C39" s="1"/>
      <c r="D39" s="1"/>
      <c r="E39" s="1"/>
      <c r="F39" s="1"/>
      <c r="G39" s="1"/>
      <c r="H39" s="1"/>
    </row>
    <row r="40" spans="1:8" x14ac:dyDescent="0.2">
      <c r="A40" s="1"/>
      <c r="B40" s="1"/>
      <c r="C40" s="1"/>
      <c r="D40" s="1"/>
      <c r="E40" s="1"/>
      <c r="F40" s="1"/>
      <c r="G40" s="1"/>
      <c r="H40" s="1"/>
    </row>
    <row r="41" spans="1:8" x14ac:dyDescent="0.2">
      <c r="A41" s="1"/>
      <c r="B41" s="1"/>
      <c r="C41" s="1"/>
      <c r="D41" s="1"/>
      <c r="E41" s="1"/>
      <c r="F41" s="1"/>
      <c r="G41" s="1"/>
      <c r="H41" s="1"/>
    </row>
    <row r="42" spans="1:8" x14ac:dyDescent="0.2">
      <c r="A42" s="1"/>
      <c r="B42" s="1"/>
      <c r="C42" s="1"/>
      <c r="D42" s="1"/>
      <c r="E42" s="1"/>
      <c r="F42" s="1"/>
      <c r="G42" s="1"/>
      <c r="H42" s="1"/>
    </row>
    <row r="43" spans="1:8" x14ac:dyDescent="0.2">
      <c r="A43" s="1"/>
      <c r="B43" s="1"/>
      <c r="C43" s="1"/>
      <c r="D43" s="1"/>
      <c r="E43" s="1"/>
      <c r="F43" s="1"/>
      <c r="G43" s="1"/>
      <c r="H43" s="1"/>
    </row>
    <row r="44" spans="1:8" x14ac:dyDescent="0.2">
      <c r="A44" s="1"/>
      <c r="B44" s="1"/>
      <c r="C44" s="1"/>
      <c r="D44" s="1"/>
      <c r="E44" s="1"/>
      <c r="F44" s="1"/>
      <c r="G44" s="1"/>
      <c r="H44" s="1"/>
    </row>
    <row r="45" spans="1:8" x14ac:dyDescent="0.2">
      <c r="A45" s="1"/>
      <c r="B45" s="1"/>
      <c r="C45" s="1"/>
      <c r="D45" s="1"/>
      <c r="E45" s="1"/>
      <c r="F45" s="1"/>
      <c r="G45" s="1"/>
      <c r="H45" s="1"/>
    </row>
    <row r="46" spans="1:8" x14ac:dyDescent="0.2">
      <c r="A46" s="1"/>
      <c r="B46" s="1"/>
      <c r="C46" s="1"/>
      <c r="D46" s="1"/>
      <c r="E46" s="1"/>
      <c r="F46" s="1"/>
      <c r="G46" s="1"/>
      <c r="H46" s="1"/>
    </row>
    <row r="47" spans="1:8" x14ac:dyDescent="0.2">
      <c r="A47" s="1"/>
      <c r="B47" s="1"/>
      <c r="C47" s="1"/>
      <c r="D47" s="1"/>
      <c r="E47" s="1"/>
      <c r="F47" s="1"/>
      <c r="G47" s="1"/>
      <c r="H47" s="1"/>
    </row>
    <row r="48" spans="1:8" x14ac:dyDescent="0.2">
      <c r="A48" s="1"/>
      <c r="B48" s="1"/>
      <c r="C48" s="1"/>
      <c r="D48" s="1"/>
      <c r="E48" s="1"/>
      <c r="F48" s="1"/>
      <c r="G48" s="1"/>
      <c r="H48" s="1"/>
    </row>
    <row r="49" spans="1:8" x14ac:dyDescent="0.2">
      <c r="A49" s="1"/>
      <c r="B49" s="1"/>
      <c r="C49" s="1"/>
      <c r="D49" s="1"/>
      <c r="E49" s="1"/>
      <c r="F49" s="1"/>
      <c r="G49" s="1"/>
      <c r="H49" s="1"/>
    </row>
    <row r="50" spans="1:8" x14ac:dyDescent="0.2">
      <c r="A50" s="1"/>
      <c r="B50" s="1"/>
      <c r="C50" s="1"/>
      <c r="D50" s="1"/>
      <c r="E50" s="1"/>
      <c r="F50" s="1"/>
      <c r="G50" s="1"/>
      <c r="H50" s="1"/>
    </row>
    <row r="51" spans="1:8" x14ac:dyDescent="0.2">
      <c r="A51" s="1"/>
      <c r="B51" s="1"/>
      <c r="C51" s="1"/>
      <c r="D51" s="1"/>
      <c r="E51" s="1"/>
      <c r="F51" s="1"/>
      <c r="G51" s="1"/>
      <c r="H51" s="1"/>
    </row>
    <row r="52" spans="1:8" x14ac:dyDescent="0.2">
      <c r="A52" s="11" t="s">
        <v>1</v>
      </c>
      <c r="B52" s="12"/>
      <c r="C52" s="12"/>
      <c r="D52" s="13"/>
      <c r="E52" s="8"/>
      <c r="F52" s="8"/>
      <c r="G52" s="8"/>
      <c r="H52" s="8"/>
    </row>
    <row r="53" spans="1:8" x14ac:dyDescent="0.2">
      <c r="A53" s="14" t="s">
        <v>15</v>
      </c>
      <c r="B53" s="15"/>
      <c r="C53" s="15"/>
      <c r="D53" s="16"/>
      <c r="E53" s="8"/>
      <c r="F53" s="8"/>
      <c r="G53" s="8"/>
      <c r="H53" s="8"/>
    </row>
    <row r="54" spans="1:8" x14ac:dyDescent="0.2">
      <c r="A54" s="17" t="s">
        <v>62</v>
      </c>
      <c r="B54" s="18"/>
      <c r="C54" s="18"/>
      <c r="D54" s="19"/>
      <c r="E54" s="8"/>
      <c r="F54" s="8"/>
      <c r="G54" s="8"/>
      <c r="H54" s="8"/>
    </row>
    <row r="55" spans="1:8" x14ac:dyDescent="0.2">
      <c r="A55" s="20"/>
      <c r="B55" s="21"/>
      <c r="C55" s="22"/>
      <c r="D55" s="23"/>
      <c r="E55" s="8"/>
      <c r="F55" s="8" t="s">
        <v>34</v>
      </c>
      <c r="G55" s="8"/>
      <c r="H55" s="8"/>
    </row>
    <row r="56" spans="1:8" ht="15.75" x14ac:dyDescent="0.25">
      <c r="A56" s="24" t="s">
        <v>2</v>
      </c>
      <c r="B56" s="25" t="str">
        <f>[1]Charters!B59</f>
        <v>Salt Lake Schl Performing Arts</v>
      </c>
      <c r="C56" s="26"/>
      <c r="D56" s="27"/>
      <c r="E56" s="8"/>
      <c r="F56" s="8"/>
      <c r="G56" s="8"/>
      <c r="H56" s="8"/>
    </row>
    <row r="57" spans="1:8" x14ac:dyDescent="0.2">
      <c r="A57" s="24"/>
      <c r="B57" s="28"/>
      <c r="C57" s="26"/>
      <c r="D57" s="27"/>
      <c r="E57" s="8"/>
      <c r="F57" s="8"/>
      <c r="G57" s="8"/>
      <c r="H57" s="8"/>
    </row>
    <row r="58" spans="1:8" x14ac:dyDescent="0.2">
      <c r="A58" s="29" t="s">
        <v>0</v>
      </c>
      <c r="B58" s="30">
        <f>[1]Charters!$E$6</f>
        <v>3184</v>
      </c>
      <c r="C58" s="26"/>
      <c r="D58" s="31"/>
      <c r="E58" s="8"/>
      <c r="F58" s="8"/>
      <c r="G58" s="8"/>
      <c r="H58" s="8"/>
    </row>
    <row r="59" spans="1:8" x14ac:dyDescent="0.2">
      <c r="A59" s="32"/>
      <c r="B59" s="6"/>
      <c r="C59" s="33"/>
      <c r="D59" s="34" t="s">
        <v>3</v>
      </c>
      <c r="E59" s="8"/>
      <c r="F59" s="8"/>
      <c r="G59" s="8"/>
      <c r="H59" s="8"/>
    </row>
    <row r="60" spans="1:8" x14ac:dyDescent="0.2">
      <c r="A60" s="29" t="s">
        <v>19</v>
      </c>
      <c r="B60" s="35" t="str">
        <f>[1]Charters!A59</f>
        <v>7D</v>
      </c>
      <c r="C60" s="36" t="s">
        <v>4</v>
      </c>
      <c r="D60" s="37" t="s">
        <v>5</v>
      </c>
      <c r="E60" s="8"/>
      <c r="F60" s="8"/>
      <c r="G60" s="8"/>
      <c r="H60" s="8"/>
    </row>
    <row r="61" spans="1:8" x14ac:dyDescent="0.2">
      <c r="A61" s="38" t="s">
        <v>6</v>
      </c>
      <c r="B61" s="39"/>
      <c r="C61" s="40"/>
      <c r="D61" s="41"/>
      <c r="E61" s="8"/>
      <c r="F61" s="8"/>
      <c r="G61" s="8"/>
      <c r="H61" s="8"/>
    </row>
    <row r="62" spans="1:8" x14ac:dyDescent="0.2">
      <c r="A62" s="38" t="s">
        <v>7</v>
      </c>
      <c r="B62" s="39"/>
      <c r="C62" s="40"/>
      <c r="D62" s="41"/>
      <c r="E62" s="8"/>
      <c r="F62" s="42" t="s">
        <v>23</v>
      </c>
      <c r="G62" s="8"/>
      <c r="H62" s="42" t="s">
        <v>26</v>
      </c>
    </row>
    <row r="63" spans="1:8" x14ac:dyDescent="0.2">
      <c r="A63" s="20" t="s">
        <v>8</v>
      </c>
      <c r="B63" s="43"/>
      <c r="C63" s="44">
        <f>[1]Charters!C519</f>
        <v>360.827</v>
      </c>
      <c r="D63" s="45">
        <f>[1]Charters!E519</f>
        <v>1148874.45</v>
      </c>
      <c r="E63" s="8"/>
      <c r="F63" s="42">
        <f>[1]Charters!E674</f>
        <v>1241736.1399999999</v>
      </c>
      <c r="G63" s="8"/>
      <c r="H63" s="42">
        <f>[2]Charters!E213</f>
        <v>1367082.44</v>
      </c>
    </row>
    <row r="64" spans="1:8" x14ac:dyDescent="0.2">
      <c r="A64" s="20" t="s">
        <v>14</v>
      </c>
      <c r="B64" s="43"/>
      <c r="C64" s="44">
        <f>[1]Charters!F519</f>
        <v>28.164999999999999</v>
      </c>
      <c r="D64" s="45">
        <f>[1]Charters!H519</f>
        <v>89677.69</v>
      </c>
      <c r="E64" s="8"/>
      <c r="F64" s="42">
        <f>SUM(D63:D65)</f>
        <v>1241736.1399999999</v>
      </c>
      <c r="G64" s="8"/>
      <c r="H64" s="42">
        <f>D76</f>
        <v>1367082.44</v>
      </c>
    </row>
    <row r="65" spans="1:8" x14ac:dyDescent="0.2">
      <c r="A65" s="20" t="s">
        <v>32</v>
      </c>
      <c r="B65" s="43"/>
      <c r="C65" s="44">
        <f>[1]Charters!C212</f>
        <v>1</v>
      </c>
      <c r="D65" s="45">
        <f>[1]Charters!E212</f>
        <v>3184</v>
      </c>
      <c r="E65" s="8"/>
      <c r="F65" s="42">
        <f>+F63-F64</f>
        <v>0</v>
      </c>
      <c r="G65" s="8"/>
      <c r="H65" s="42">
        <f>+H63-H64</f>
        <v>0</v>
      </c>
    </row>
    <row r="66" spans="1:8" x14ac:dyDescent="0.2">
      <c r="A66" s="38" t="s">
        <v>9</v>
      </c>
      <c r="B66" s="39"/>
      <c r="C66" s="46"/>
      <c r="D66" s="47"/>
      <c r="E66" s="8"/>
      <c r="F66" s="8"/>
      <c r="G66" s="8"/>
      <c r="H66" s="8"/>
    </row>
    <row r="67" spans="1:8" x14ac:dyDescent="0.2">
      <c r="A67" s="20" t="s">
        <v>10</v>
      </c>
      <c r="B67" s="43"/>
      <c r="C67" s="40">
        <f>[3]Charters!C58</f>
        <v>19.957999999999998</v>
      </c>
      <c r="D67" s="41">
        <f>[3]Charters!E58</f>
        <v>63546.879999999997</v>
      </c>
      <c r="E67" s="8"/>
      <c r="F67" s="42" t="s">
        <v>24</v>
      </c>
      <c r="G67" s="8"/>
      <c r="H67" s="8"/>
    </row>
    <row r="68" spans="1:8" x14ac:dyDescent="0.2">
      <c r="A68" s="48" t="s">
        <v>11</v>
      </c>
      <c r="B68" s="43"/>
      <c r="C68" s="40">
        <f>[3]Charters!F58</f>
        <v>0</v>
      </c>
      <c r="D68" s="49">
        <f>[3]Charters!H58</f>
        <v>0</v>
      </c>
      <c r="E68" s="8"/>
      <c r="F68" s="42">
        <f>[3]Charters!N370</f>
        <v>67530.95</v>
      </c>
      <c r="G68" s="8"/>
      <c r="H68" s="8"/>
    </row>
    <row r="69" spans="1:8" x14ac:dyDescent="0.2">
      <c r="A69" s="48" t="s">
        <v>12</v>
      </c>
      <c r="B69" s="43"/>
      <c r="C69" s="40">
        <f>[3]Charters!C213</f>
        <v>0</v>
      </c>
      <c r="D69" s="41">
        <f>[3]Charters!E213</f>
        <v>0</v>
      </c>
      <c r="E69" s="8"/>
      <c r="F69" s="42">
        <f>SUM(D67:D73)</f>
        <v>67530.95</v>
      </c>
      <c r="G69" s="8"/>
      <c r="H69" s="8"/>
    </row>
    <row r="70" spans="1:8" x14ac:dyDescent="0.2">
      <c r="A70" s="20" t="s">
        <v>13</v>
      </c>
      <c r="B70" s="43"/>
      <c r="C70" s="40">
        <f>[3]Charters!F213</f>
        <v>0.70899999999999996</v>
      </c>
      <c r="D70" s="41">
        <f>[3]Charters!H213</f>
        <v>2259</v>
      </c>
      <c r="E70" s="8"/>
      <c r="F70" s="42">
        <f>+F68-F69</f>
        <v>0</v>
      </c>
      <c r="G70" s="8"/>
      <c r="H70" s="8"/>
    </row>
    <row r="71" spans="1:8" x14ac:dyDescent="0.2">
      <c r="A71" s="48" t="s">
        <v>54</v>
      </c>
      <c r="B71" s="43"/>
      <c r="C71" s="40">
        <f>[3]Charters!C370</f>
        <v>0.54200000000000004</v>
      </c>
      <c r="D71" s="41">
        <f>[3]Charters!E370</f>
        <v>1725.07</v>
      </c>
      <c r="E71" s="8"/>
      <c r="F71" s="8"/>
      <c r="G71" s="8"/>
      <c r="H71" s="8"/>
    </row>
    <row r="72" spans="1:8" x14ac:dyDescent="0.2">
      <c r="A72" s="48" t="s">
        <v>55</v>
      </c>
      <c r="B72" s="43"/>
      <c r="C72" s="40">
        <f>[3]Charters!F370</f>
        <v>0</v>
      </c>
      <c r="D72" s="41">
        <f>[3]Charters!H370</f>
        <v>0</v>
      </c>
      <c r="E72" s="8"/>
      <c r="F72" s="42" t="s">
        <v>25</v>
      </c>
      <c r="G72" s="8"/>
      <c r="H72" s="8"/>
    </row>
    <row r="73" spans="1:8" x14ac:dyDescent="0.2">
      <c r="A73" s="48" t="s">
        <v>56</v>
      </c>
      <c r="B73" s="43"/>
      <c r="C73" s="40">
        <f>[3]Charters!I370</f>
        <v>0</v>
      </c>
      <c r="D73" s="41">
        <f>[3]Charters!K370</f>
        <v>0</v>
      </c>
      <c r="E73" s="8"/>
      <c r="F73" s="42">
        <f>[2]Charters!H59</f>
        <v>125346.3</v>
      </c>
      <c r="G73" s="8"/>
      <c r="H73" s="8"/>
    </row>
    <row r="74" spans="1:8" x14ac:dyDescent="0.2">
      <c r="A74" s="20" t="s">
        <v>49</v>
      </c>
      <c r="B74" s="43"/>
      <c r="C74" s="40">
        <f>[3]Charters!C526</f>
        <v>18.158000000000001</v>
      </c>
      <c r="D74" s="41">
        <f>[3]Charters!E526</f>
        <v>57815.35</v>
      </c>
      <c r="E74" s="8"/>
      <c r="F74" s="42">
        <f>SUM(D67:D75)</f>
        <v>125346.3</v>
      </c>
      <c r="G74" s="8"/>
      <c r="H74" s="8"/>
    </row>
    <row r="75" spans="1:8" x14ac:dyDescent="0.2">
      <c r="A75" s="20" t="s">
        <v>50</v>
      </c>
      <c r="B75" s="43"/>
      <c r="C75" s="40">
        <f>[2]Charters!C59</f>
        <v>0</v>
      </c>
      <c r="D75" s="41">
        <f>[2]Charters!E59</f>
        <v>0</v>
      </c>
      <c r="E75" s="8"/>
      <c r="F75" s="42">
        <f>+F73-F74</f>
        <v>0</v>
      </c>
      <c r="G75" s="8"/>
      <c r="H75" s="8"/>
    </row>
    <row r="76" spans="1:8" x14ac:dyDescent="0.2">
      <c r="A76" s="50"/>
      <c r="B76" s="51" t="s">
        <v>16</v>
      </c>
      <c r="C76" s="52">
        <f>SUM(C63:C75)</f>
        <v>429.35899999999998</v>
      </c>
      <c r="D76" s="53">
        <f>SUM(D63:D75)</f>
        <v>1367082.44</v>
      </c>
      <c r="E76" s="8"/>
      <c r="F76" s="8"/>
      <c r="G76" s="8"/>
      <c r="H76" s="8"/>
    </row>
    <row r="77" spans="1:8" x14ac:dyDescent="0.2">
      <c r="A77" s="54" t="s">
        <v>17</v>
      </c>
      <c r="B77" s="39"/>
      <c r="C77" s="55"/>
      <c r="D77" s="47"/>
      <c r="E77" s="8"/>
      <c r="F77" s="8"/>
      <c r="G77" s="8"/>
      <c r="H77" s="42" t="s">
        <v>29</v>
      </c>
    </row>
    <row r="78" spans="1:8" x14ac:dyDescent="0.2">
      <c r="A78" s="20" t="s">
        <v>33</v>
      </c>
      <c r="B78" s="43"/>
      <c r="C78" s="56"/>
      <c r="D78" s="57">
        <f>[4]Charters!C59</f>
        <v>3953.22</v>
      </c>
      <c r="E78" s="8"/>
      <c r="F78" s="8"/>
      <c r="G78" s="8"/>
      <c r="H78" s="42">
        <f>[4]Charters!F999</f>
        <v>2107333.2400000002</v>
      </c>
    </row>
    <row r="79" spans="1:8" x14ac:dyDescent="0.2">
      <c r="A79" s="58" t="s">
        <v>35</v>
      </c>
      <c r="B79" s="43"/>
      <c r="C79" s="56"/>
      <c r="D79" s="41">
        <f>+[4]Charters!F380</f>
        <v>1805.74</v>
      </c>
      <c r="E79" s="8"/>
      <c r="F79" s="8"/>
      <c r="G79" s="8"/>
      <c r="H79" s="42">
        <f>SUM(D76:D95)</f>
        <v>2107333.2400000002</v>
      </c>
    </row>
    <row r="80" spans="1:8" x14ac:dyDescent="0.2">
      <c r="A80" s="59" t="s">
        <v>36</v>
      </c>
      <c r="B80" s="43"/>
      <c r="C80" s="56"/>
      <c r="D80" s="41">
        <f>[4]Charters!E219</f>
        <v>14924</v>
      </c>
      <c r="E80" s="8"/>
      <c r="F80" s="8"/>
      <c r="G80" s="8"/>
      <c r="H80" s="42">
        <f>+H78-H79</f>
        <v>0</v>
      </c>
    </row>
    <row r="81" spans="1:8" x14ac:dyDescent="0.2">
      <c r="A81" s="59" t="s">
        <v>52</v>
      </c>
      <c r="B81" s="43"/>
      <c r="C81" s="56"/>
      <c r="D81" s="41">
        <f>[4]Charters!G380</f>
        <v>1955.22</v>
      </c>
      <c r="E81" s="8"/>
      <c r="F81" s="42" t="s">
        <v>27</v>
      </c>
      <c r="G81" s="8"/>
      <c r="H81" s="42"/>
    </row>
    <row r="82" spans="1:8" x14ac:dyDescent="0.2">
      <c r="A82" s="20" t="s">
        <v>37</v>
      </c>
      <c r="B82" s="43"/>
      <c r="C82" s="56"/>
      <c r="D82" s="41">
        <f>[4]Charters!E536</f>
        <v>22449</v>
      </c>
      <c r="E82" s="8"/>
      <c r="F82" s="42">
        <f>[4]Charters!E219</f>
        <v>14924</v>
      </c>
      <c r="G82" s="8"/>
      <c r="H82" s="8"/>
    </row>
    <row r="83" spans="1:8" x14ac:dyDescent="0.2">
      <c r="A83" s="20" t="s">
        <v>38</v>
      </c>
      <c r="B83" s="43"/>
      <c r="C83" s="56"/>
      <c r="D83" s="41">
        <f>[4]Charters!F536</f>
        <v>0</v>
      </c>
      <c r="E83" s="8"/>
      <c r="F83" s="42">
        <f>SUM(D80:D80)</f>
        <v>14924</v>
      </c>
      <c r="G83" s="8"/>
      <c r="H83" s="8"/>
    </row>
    <row r="84" spans="1:8" x14ac:dyDescent="0.2">
      <c r="A84" s="59" t="s">
        <v>40</v>
      </c>
      <c r="B84" s="43"/>
      <c r="C84" s="56"/>
      <c r="D84" s="41">
        <f>[4]Charters!G536</f>
        <v>0</v>
      </c>
      <c r="E84" s="8"/>
      <c r="F84" s="42">
        <f>+F82-F83</f>
        <v>0</v>
      </c>
      <c r="G84" s="8"/>
      <c r="H84" s="8"/>
    </row>
    <row r="85" spans="1:8" x14ac:dyDescent="0.2">
      <c r="A85" s="20" t="s">
        <v>41</v>
      </c>
      <c r="B85" s="43"/>
      <c r="C85" s="56"/>
      <c r="D85" s="41">
        <f>[4]Charters!C690</f>
        <v>588294</v>
      </c>
      <c r="E85" s="8"/>
      <c r="F85" s="42" t="s">
        <v>28</v>
      </c>
      <c r="G85" s="8"/>
      <c r="H85" s="8"/>
    </row>
    <row r="86" spans="1:8" x14ac:dyDescent="0.2">
      <c r="A86" s="20" t="s">
        <v>42</v>
      </c>
      <c r="B86" s="43"/>
      <c r="C86" s="56"/>
      <c r="D86" s="41">
        <f>[4]Charters!D690</f>
        <v>62137.11</v>
      </c>
      <c r="E86" s="8"/>
      <c r="F86" s="42">
        <f>[4]Charters!D536</f>
        <v>18684.96</v>
      </c>
      <c r="G86" s="8"/>
      <c r="H86" s="8"/>
    </row>
    <row r="87" spans="1:8" x14ac:dyDescent="0.2">
      <c r="A87" s="20" t="s">
        <v>44</v>
      </c>
      <c r="B87" s="43"/>
      <c r="C87" s="56"/>
      <c r="D87" s="41">
        <f>[4]Charters!E690</f>
        <v>29400</v>
      </c>
      <c r="E87" s="8"/>
      <c r="F87" s="42">
        <f>SUM(D79:D81)</f>
        <v>18684.96</v>
      </c>
      <c r="G87" s="8"/>
      <c r="H87" s="8"/>
    </row>
    <row r="88" spans="1:8" x14ac:dyDescent="0.2">
      <c r="A88" s="59" t="s">
        <v>43</v>
      </c>
      <c r="B88" s="43"/>
      <c r="C88" s="56"/>
      <c r="D88" s="41">
        <f>[4]Charters!F690</f>
        <v>0</v>
      </c>
      <c r="E88" s="8"/>
      <c r="F88" s="42">
        <f>+F86-F87</f>
        <v>0</v>
      </c>
      <c r="G88" s="8"/>
      <c r="H88" s="8"/>
    </row>
    <row r="89" spans="1:8" x14ac:dyDescent="0.2">
      <c r="A89" s="59" t="s">
        <v>45</v>
      </c>
      <c r="B89" s="43"/>
      <c r="C89" s="56"/>
      <c r="D89" s="41">
        <f>[4]Charters!C536</f>
        <v>0</v>
      </c>
      <c r="E89" s="8"/>
      <c r="F89" s="8"/>
      <c r="G89" s="8"/>
      <c r="H89" s="8"/>
    </row>
    <row r="90" spans="1:8" x14ac:dyDescent="0.2">
      <c r="A90" s="59" t="s">
        <v>46</v>
      </c>
      <c r="B90" s="43"/>
      <c r="C90" s="56"/>
      <c r="D90" s="41">
        <f>[4]Charters!C846</f>
        <v>0</v>
      </c>
      <c r="E90" s="8"/>
      <c r="F90" s="8"/>
      <c r="G90" s="8"/>
      <c r="H90" s="42" t="s">
        <v>31</v>
      </c>
    </row>
    <row r="91" spans="1:8" x14ac:dyDescent="0.2">
      <c r="A91" s="59" t="s">
        <v>51</v>
      </c>
      <c r="B91" s="43"/>
      <c r="C91" s="56"/>
      <c r="D91" s="60">
        <f>[4]Charters!D846</f>
        <v>519.37</v>
      </c>
      <c r="E91" s="42"/>
      <c r="F91" s="42"/>
      <c r="G91" s="42"/>
      <c r="H91" s="42">
        <f>[4]Charters!D1305</f>
        <v>2112795.92</v>
      </c>
    </row>
    <row r="92" spans="1:8" x14ac:dyDescent="0.2">
      <c r="A92" s="20" t="s">
        <v>47</v>
      </c>
      <c r="B92" s="43"/>
      <c r="C92" s="56"/>
      <c r="D92" s="60">
        <f>[4]Charters!E846</f>
        <v>0</v>
      </c>
      <c r="E92" s="42"/>
      <c r="F92" s="42"/>
      <c r="G92" s="42"/>
      <c r="H92" s="42">
        <f>D101</f>
        <v>2112795.9300000002</v>
      </c>
    </row>
    <row r="93" spans="1:8" x14ac:dyDescent="0.2">
      <c r="A93" s="20" t="s">
        <v>57</v>
      </c>
      <c r="B93" s="43"/>
      <c r="C93" s="56"/>
      <c r="D93" s="60">
        <f>[4]Charters!C999</f>
        <v>0</v>
      </c>
      <c r="E93" s="42"/>
      <c r="F93" s="42"/>
      <c r="G93" s="42"/>
      <c r="H93" s="42">
        <f>+H91-H92</f>
        <v>-0.01</v>
      </c>
    </row>
    <row r="94" spans="1:8" x14ac:dyDescent="0.2">
      <c r="A94" s="59" t="s">
        <v>53</v>
      </c>
      <c r="B94" s="43"/>
      <c r="C94" s="56"/>
      <c r="D94" s="60">
        <f>[4]Charters!D999</f>
        <v>0</v>
      </c>
      <c r="E94" s="42"/>
      <c r="F94" s="42" t="s">
        <v>30</v>
      </c>
      <c r="G94" s="42"/>
      <c r="H94" s="42"/>
    </row>
    <row r="95" spans="1:8" x14ac:dyDescent="0.2">
      <c r="A95" s="59" t="s">
        <v>59</v>
      </c>
      <c r="B95" s="43"/>
      <c r="C95" s="56"/>
      <c r="D95" s="60">
        <f>[4]Charters!E999</f>
        <v>14813.14</v>
      </c>
      <c r="E95" s="42"/>
      <c r="F95" s="42"/>
      <c r="G95" s="42"/>
      <c r="H95" s="42"/>
    </row>
    <row r="96" spans="1:8" x14ac:dyDescent="0.2">
      <c r="A96" s="38" t="s">
        <v>18</v>
      </c>
      <c r="B96" s="61"/>
      <c r="C96" s="62"/>
      <c r="D96" s="87"/>
      <c r="E96" s="42"/>
      <c r="F96" s="42">
        <f>[4]Charters!C1305</f>
        <v>5462.69</v>
      </c>
      <c r="G96" s="42"/>
      <c r="H96" s="42"/>
    </row>
    <row r="97" spans="1:8" x14ac:dyDescent="0.2">
      <c r="A97" s="59" t="s">
        <v>39</v>
      </c>
      <c r="B97" s="43"/>
      <c r="C97" s="56"/>
      <c r="D97" s="41">
        <f>[4]Charters!C1152</f>
        <v>2029.61</v>
      </c>
      <c r="E97" s="42"/>
      <c r="F97" s="42">
        <f>SUM(D97:D100)</f>
        <v>5462.69</v>
      </c>
      <c r="G97" s="42"/>
      <c r="H97" s="42"/>
    </row>
    <row r="98" spans="1:8" x14ac:dyDescent="0.2">
      <c r="A98" s="59" t="s">
        <v>48</v>
      </c>
      <c r="B98" s="43"/>
      <c r="C98" s="56"/>
      <c r="D98" s="41">
        <f>[4]Charters!D1152</f>
        <v>0</v>
      </c>
      <c r="E98" s="42"/>
      <c r="F98" s="42">
        <f>+F96-F97</f>
        <v>0</v>
      </c>
      <c r="G98" s="42"/>
      <c r="H98" s="42"/>
    </row>
    <row r="99" spans="1:8" x14ac:dyDescent="0.2">
      <c r="A99" s="59" t="s">
        <v>60</v>
      </c>
      <c r="B99" s="43"/>
      <c r="C99" s="56"/>
      <c r="D99" s="41">
        <f>[4]Charters!E1152</f>
        <v>0</v>
      </c>
      <c r="E99" s="42"/>
      <c r="F99" s="42"/>
      <c r="G99" s="42"/>
      <c r="H99" s="42"/>
    </row>
    <row r="100" spans="1:8" x14ac:dyDescent="0.2">
      <c r="A100" s="59" t="s">
        <v>61</v>
      </c>
      <c r="B100" s="43"/>
      <c r="C100" s="56"/>
      <c r="D100" s="41">
        <f>[4]Charters!F1152</f>
        <v>3433.08</v>
      </c>
      <c r="E100" s="42"/>
      <c r="F100" s="42"/>
      <c r="G100" s="42"/>
      <c r="H100" s="42"/>
    </row>
    <row r="101" spans="1:8" ht="13.5" thickBot="1" x14ac:dyDescent="0.25">
      <c r="A101" s="64"/>
      <c r="B101" s="65"/>
      <c r="C101" s="66"/>
      <c r="D101" s="67">
        <f>SUM(D76:D100)</f>
        <v>2112795.9300000002</v>
      </c>
      <c r="E101" s="42"/>
      <c r="F101" s="42"/>
      <c r="G101" s="42"/>
      <c r="H101" s="42"/>
    </row>
    <row r="102" spans="1:8" ht="13.5" thickTop="1" x14ac:dyDescent="0.2">
      <c r="A102" s="68"/>
      <c r="B102" s="43"/>
      <c r="C102" s="56"/>
      <c r="D102" s="86"/>
      <c r="E102" s="42"/>
      <c r="F102" s="42"/>
      <c r="G102" s="42"/>
      <c r="H102" s="42"/>
    </row>
    <row r="103" spans="1:8" x14ac:dyDescent="0.2">
      <c r="A103" s="38" t="s">
        <v>20</v>
      </c>
      <c r="B103" s="39"/>
      <c r="C103" s="70"/>
      <c r="D103" s="71" t="s">
        <v>21</v>
      </c>
      <c r="E103" s="42"/>
      <c r="F103" s="42"/>
      <c r="G103" s="42"/>
      <c r="H103" s="42"/>
    </row>
    <row r="104" spans="1:8" x14ac:dyDescent="0.2">
      <c r="A104" s="72" t="s">
        <v>22</v>
      </c>
      <c r="B104" s="73"/>
      <c r="C104" s="74"/>
      <c r="D104" s="41">
        <f>[5]Charters!C58</f>
        <v>765.72</v>
      </c>
      <c r="E104" s="42"/>
      <c r="F104" s="42"/>
      <c r="G104" s="42"/>
      <c r="H104" s="42"/>
    </row>
    <row r="105" spans="1:8" x14ac:dyDescent="0.2">
      <c r="A105" s="75"/>
      <c r="B105" s="61"/>
      <c r="C105" s="76"/>
      <c r="D105" s="77">
        <f>SUM(D104:D104)</f>
        <v>765.72</v>
      </c>
      <c r="E105" s="42"/>
      <c r="F105" s="42"/>
      <c r="G105" s="42"/>
      <c r="H105" s="42"/>
    </row>
    <row r="106" spans="1:8" x14ac:dyDescent="0.2">
      <c r="A106" s="78" t="s">
        <v>58</v>
      </c>
      <c r="B106" s="79"/>
      <c r="C106" s="80"/>
      <c r="D106" s="77">
        <f>D105+D101</f>
        <v>2113561.65</v>
      </c>
      <c r="E106" s="42"/>
      <c r="F106" s="42"/>
      <c r="G106" s="42"/>
      <c r="H106" s="42"/>
    </row>
    <row r="107" spans="1:8" x14ac:dyDescent="0.2">
      <c r="A107" s="84"/>
      <c r="B107" s="84"/>
      <c r="C107" s="85"/>
      <c r="D107" s="81"/>
      <c r="E107" s="42"/>
      <c r="F107" s="42"/>
      <c r="G107" s="42"/>
      <c r="H107" s="42"/>
    </row>
    <row r="108" spans="1:8" x14ac:dyDescent="0.2">
      <c r="A108" s="84"/>
      <c r="B108" s="84"/>
      <c r="C108" s="85"/>
      <c r="D108" s="81">
        <f>[5]Charters!E214</f>
        <v>2113561.64</v>
      </c>
      <c r="E108" s="42"/>
      <c r="F108" s="42"/>
      <c r="G108" s="42"/>
      <c r="H108" s="42"/>
    </row>
    <row r="109" spans="1:8" x14ac:dyDescent="0.2">
      <c r="A109" s="84"/>
      <c r="B109" s="84"/>
      <c r="C109" s="85"/>
      <c r="D109" s="81">
        <f>D106</f>
        <v>2113561.65</v>
      </c>
      <c r="E109" s="42"/>
      <c r="F109" s="42"/>
      <c r="G109" s="42"/>
      <c r="H109" s="42"/>
    </row>
    <row r="110" spans="1:8" x14ac:dyDescent="0.2">
      <c r="C110" s="83"/>
      <c r="D110" s="42">
        <f>D108-D109</f>
        <v>-0.01</v>
      </c>
      <c r="E110" s="42"/>
      <c r="F110" s="42"/>
      <c r="G110" s="42"/>
      <c r="H110" s="42"/>
    </row>
    <row r="111" spans="1:8" x14ac:dyDescent="0.2">
      <c r="C111" s="83"/>
      <c r="D111" s="42">
        <f>D109-D110</f>
        <v>2113561.66</v>
      </c>
      <c r="E111" s="42"/>
      <c r="F111" s="42"/>
      <c r="G111" s="42"/>
      <c r="H111" s="42"/>
    </row>
  </sheetData>
  <mergeCells count="4">
    <mergeCell ref="A52:D52"/>
    <mergeCell ref="A106:C106"/>
    <mergeCell ref="A53:D53"/>
    <mergeCell ref="A54:D54"/>
  </mergeCells>
  <phoneticPr fontId="1" type="noConversion"/>
  <printOptions horizontalCentered="1" verticalCentered="1"/>
  <pageMargins left="0.5" right="0.5" top="0.5" bottom="0.5" header="0.25" footer="0.25"/>
  <pageSetup orientation="portrait" verticalDpi="300" r:id="rId1"/>
  <headerFooter alignWithMargins="0">
    <oddHeader>&amp;R&amp;8Current as of: &amp;D</oddHeader>
    <oddFooter>&amp;L&amp;8USOE, School Finance</oddFooter>
  </headerFooter>
  <picture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>
    <pageSetUpPr fitToPage="1"/>
  </sheetPr>
  <dimension ref="A1:H112"/>
  <sheetViews>
    <sheetView topLeftCell="A49" workbookViewId="0">
      <selection activeCell="C12" sqref="C12"/>
    </sheetView>
  </sheetViews>
  <sheetFormatPr defaultColWidth="9.140625" defaultRowHeight="12.75" x14ac:dyDescent="0.2"/>
  <cols>
    <col min="1" max="1" width="31.85546875" style="82" customWidth="1"/>
    <col min="2" max="2" width="16.140625" style="82" customWidth="1"/>
    <col min="3" max="4" width="14.85546875" style="82" customWidth="1"/>
    <col min="5" max="5" width="7" style="82" customWidth="1"/>
    <col min="6" max="6" width="19.7109375" style="82" customWidth="1"/>
    <col min="7" max="7" width="5.7109375" style="82" customWidth="1"/>
    <col min="8" max="8" width="18" style="82" customWidth="1"/>
    <col min="9" max="16384" width="9.140625" style="82"/>
  </cols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"/>
      <c r="B3" s="1"/>
      <c r="C3" s="1"/>
      <c r="D3" s="1"/>
      <c r="E3" s="1"/>
      <c r="F3" s="1"/>
      <c r="G3" s="1"/>
      <c r="H3" s="1"/>
    </row>
    <row r="4" spans="1:8" x14ac:dyDescent="0.2">
      <c r="A4" s="1"/>
      <c r="B4" s="1"/>
      <c r="C4" s="1"/>
      <c r="D4" s="1"/>
      <c r="E4" s="1"/>
      <c r="F4" s="1"/>
      <c r="G4" s="1"/>
      <c r="H4" s="1"/>
    </row>
    <row r="5" spans="1:8" x14ac:dyDescent="0.2">
      <c r="A5" s="1"/>
      <c r="B5" s="1"/>
      <c r="C5" s="1"/>
      <c r="D5" s="1"/>
      <c r="E5" s="1"/>
      <c r="F5" s="1"/>
      <c r="G5" s="1"/>
      <c r="H5" s="1"/>
    </row>
    <row r="6" spans="1:8" x14ac:dyDescent="0.2">
      <c r="A6" s="1"/>
      <c r="B6" s="1"/>
      <c r="C6" s="1"/>
      <c r="D6" s="1"/>
      <c r="E6" s="1"/>
      <c r="F6" s="1"/>
      <c r="G6" s="1"/>
      <c r="H6" s="1"/>
    </row>
    <row r="7" spans="1:8" x14ac:dyDescent="0.2">
      <c r="A7" s="1"/>
      <c r="B7" s="1"/>
      <c r="C7" s="1"/>
      <c r="D7" s="1"/>
      <c r="E7" s="1"/>
      <c r="F7" s="1"/>
      <c r="G7" s="1"/>
      <c r="H7" s="1"/>
    </row>
    <row r="8" spans="1:8" x14ac:dyDescent="0.2">
      <c r="A8" s="1"/>
      <c r="B8" s="1"/>
      <c r="C8" s="1"/>
      <c r="D8" s="1"/>
      <c r="E8" s="1"/>
      <c r="F8" s="1"/>
      <c r="G8" s="1"/>
      <c r="H8" s="1"/>
    </row>
    <row r="9" spans="1:8" x14ac:dyDescent="0.2">
      <c r="A9" s="1"/>
      <c r="B9" s="1"/>
      <c r="C9" s="1"/>
      <c r="D9" s="1"/>
      <c r="E9" s="1"/>
      <c r="F9" s="1"/>
      <c r="G9" s="1"/>
      <c r="H9" s="1"/>
    </row>
    <row r="10" spans="1:8" x14ac:dyDescent="0.2">
      <c r="A10" s="1"/>
      <c r="B10" s="1"/>
      <c r="C10" s="1"/>
      <c r="D10" s="1"/>
      <c r="E10" s="1"/>
      <c r="F10" s="1"/>
      <c r="G10" s="1"/>
      <c r="H10" s="1"/>
    </row>
    <row r="11" spans="1:8" x14ac:dyDescent="0.2">
      <c r="A11" s="1"/>
      <c r="B11" s="1"/>
      <c r="C11" s="1"/>
      <c r="D11" s="1"/>
      <c r="E11" s="1"/>
      <c r="F11" s="1"/>
      <c r="G11" s="1"/>
      <c r="H11" s="1"/>
    </row>
    <row r="12" spans="1:8" x14ac:dyDescent="0.2">
      <c r="A12" s="1"/>
      <c r="B12" s="1"/>
      <c r="C12" s="1"/>
      <c r="D12" s="1"/>
      <c r="E12" s="1"/>
      <c r="F12" s="1"/>
      <c r="G12" s="1"/>
      <c r="H12" s="1"/>
    </row>
    <row r="13" spans="1:8" x14ac:dyDescent="0.2">
      <c r="A13" s="1"/>
      <c r="B13" s="1"/>
      <c r="C13" s="1"/>
      <c r="D13" s="1"/>
      <c r="E13" s="1"/>
      <c r="F13" s="1"/>
      <c r="G13" s="1"/>
      <c r="H13" s="1"/>
    </row>
    <row r="14" spans="1:8" x14ac:dyDescent="0.2">
      <c r="A14" s="1"/>
      <c r="B14" s="1"/>
      <c r="C14" s="1"/>
      <c r="D14" s="1"/>
      <c r="E14" s="1"/>
      <c r="F14" s="1"/>
      <c r="G14" s="1"/>
      <c r="H14" s="1"/>
    </row>
    <row r="15" spans="1:8" x14ac:dyDescent="0.2">
      <c r="A15" s="1"/>
      <c r="B15" s="1"/>
      <c r="C15" s="1"/>
      <c r="D15" s="1"/>
      <c r="E15" s="1"/>
      <c r="F15" s="1"/>
      <c r="G15" s="1"/>
      <c r="H15" s="1"/>
    </row>
    <row r="16" spans="1:8" x14ac:dyDescent="0.2">
      <c r="A16" s="1"/>
      <c r="B16" s="1"/>
      <c r="C16" s="1"/>
      <c r="D16" s="1"/>
      <c r="E16" s="1"/>
      <c r="F16" s="1"/>
      <c r="G16" s="1"/>
      <c r="H16" s="1"/>
    </row>
    <row r="17" spans="1:8" x14ac:dyDescent="0.2">
      <c r="A17" s="1"/>
      <c r="B17" s="1"/>
      <c r="C17" s="1"/>
      <c r="D17" s="1"/>
      <c r="E17" s="1"/>
      <c r="F17" s="1"/>
      <c r="G17" s="1"/>
      <c r="H17" s="1"/>
    </row>
    <row r="18" spans="1:8" x14ac:dyDescent="0.2">
      <c r="A18" s="1"/>
      <c r="B18" s="1"/>
      <c r="C18" s="1"/>
      <c r="D18" s="1"/>
      <c r="E18" s="1"/>
      <c r="F18" s="1"/>
      <c r="G18" s="1"/>
      <c r="H18" s="1"/>
    </row>
    <row r="19" spans="1:8" x14ac:dyDescent="0.2">
      <c r="A19" s="1"/>
      <c r="B19" s="1"/>
      <c r="C19" s="1"/>
      <c r="D19" s="1"/>
      <c r="E19" s="1"/>
      <c r="F19" s="1"/>
      <c r="G19" s="1"/>
      <c r="H19" s="1"/>
    </row>
    <row r="20" spans="1:8" x14ac:dyDescent="0.2">
      <c r="A20" s="1"/>
      <c r="B20" s="1"/>
      <c r="C20" s="1"/>
      <c r="D20" s="1"/>
      <c r="E20" s="1"/>
      <c r="F20" s="1"/>
      <c r="G20" s="1"/>
      <c r="H20" s="1"/>
    </row>
    <row r="21" spans="1:8" x14ac:dyDescent="0.2">
      <c r="A21" s="1"/>
      <c r="B21" s="1"/>
      <c r="C21" s="1"/>
      <c r="D21" s="1"/>
      <c r="E21" s="1"/>
      <c r="F21" s="1"/>
      <c r="G21" s="1"/>
      <c r="H21" s="1"/>
    </row>
    <row r="22" spans="1:8" x14ac:dyDescent="0.2">
      <c r="A22" s="1"/>
      <c r="B22" s="1"/>
      <c r="C22" s="1"/>
      <c r="D22" s="4"/>
      <c r="E22" s="1"/>
      <c r="F22" s="1"/>
      <c r="G22" s="1"/>
      <c r="H22" s="1"/>
    </row>
    <row r="23" spans="1:8" x14ac:dyDescent="0.2">
      <c r="A23" s="1"/>
      <c r="B23" s="1"/>
      <c r="C23" s="1"/>
      <c r="D23" s="1"/>
      <c r="E23" s="1"/>
      <c r="F23" s="1"/>
      <c r="G23" s="1"/>
      <c r="H23" s="1"/>
    </row>
    <row r="24" spans="1:8" x14ac:dyDescent="0.2">
      <c r="A24" s="1"/>
      <c r="B24" s="1"/>
      <c r="C24" s="1"/>
      <c r="D24" s="1"/>
      <c r="E24" s="1"/>
      <c r="F24" s="1"/>
      <c r="G24" s="1"/>
      <c r="H24" s="1"/>
    </row>
    <row r="25" spans="1:8" x14ac:dyDescent="0.2">
      <c r="A25" s="1"/>
      <c r="B25" s="1"/>
      <c r="C25" s="1"/>
      <c r="D25" s="1"/>
      <c r="E25" s="1"/>
      <c r="F25" s="1"/>
      <c r="G25" s="1"/>
      <c r="H25" s="1"/>
    </row>
    <row r="26" spans="1:8" x14ac:dyDescent="0.2">
      <c r="A26" s="1"/>
      <c r="B26" s="1"/>
      <c r="C26" s="1"/>
      <c r="D26" s="1"/>
      <c r="E26" s="1"/>
      <c r="F26" s="1"/>
      <c r="G26" s="1"/>
      <c r="H26" s="1"/>
    </row>
    <row r="27" spans="1:8" x14ac:dyDescent="0.2">
      <c r="A27" s="1"/>
      <c r="B27" s="1"/>
      <c r="C27" s="1"/>
      <c r="D27" s="1"/>
      <c r="E27" s="1"/>
      <c r="F27" s="1"/>
      <c r="G27" s="1"/>
      <c r="H27" s="1"/>
    </row>
    <row r="28" spans="1:8" x14ac:dyDescent="0.2">
      <c r="A28" s="1"/>
      <c r="B28" s="1"/>
      <c r="C28" s="1"/>
      <c r="D28" s="1"/>
      <c r="E28" s="1"/>
      <c r="F28" s="1"/>
      <c r="G28" s="1"/>
      <c r="H28" s="1"/>
    </row>
    <row r="29" spans="1:8" x14ac:dyDescent="0.2">
      <c r="A29" s="1"/>
      <c r="B29" s="1"/>
      <c r="C29" s="1"/>
      <c r="D29" s="1"/>
      <c r="E29" s="1"/>
      <c r="F29" s="1"/>
      <c r="G29" s="1"/>
      <c r="H29" s="1"/>
    </row>
    <row r="30" spans="1:8" x14ac:dyDescent="0.2">
      <c r="A30" s="1"/>
      <c r="B30" s="1"/>
      <c r="C30" s="1"/>
      <c r="D30" s="1"/>
      <c r="E30" s="1"/>
      <c r="F30" s="1"/>
      <c r="G30" s="1"/>
      <c r="H30" s="1"/>
    </row>
    <row r="31" spans="1:8" x14ac:dyDescent="0.2">
      <c r="A31" s="1"/>
      <c r="B31" s="1"/>
      <c r="C31" s="1"/>
      <c r="D31" s="1"/>
      <c r="E31" s="1"/>
      <c r="F31" s="1"/>
      <c r="G31" s="1"/>
      <c r="H31" s="1"/>
    </row>
    <row r="32" spans="1:8" x14ac:dyDescent="0.2">
      <c r="A32" s="1"/>
      <c r="B32" s="1"/>
      <c r="C32" s="1"/>
      <c r="D32" s="1"/>
      <c r="E32" s="1"/>
      <c r="F32" s="1"/>
      <c r="G32" s="1"/>
      <c r="H32" s="1"/>
    </row>
    <row r="33" spans="1:8" x14ac:dyDescent="0.2">
      <c r="A33" s="1"/>
      <c r="B33" s="1"/>
      <c r="C33" s="1"/>
      <c r="D33" s="1"/>
      <c r="E33" s="1"/>
      <c r="F33" s="1"/>
      <c r="G33" s="1"/>
      <c r="H33" s="1"/>
    </row>
    <row r="34" spans="1:8" x14ac:dyDescent="0.2">
      <c r="A34" s="1"/>
      <c r="B34" s="1"/>
      <c r="C34" s="1"/>
      <c r="D34" s="1"/>
      <c r="E34" s="1"/>
      <c r="F34" s="1"/>
      <c r="G34" s="1"/>
      <c r="H34" s="1"/>
    </row>
    <row r="35" spans="1:8" x14ac:dyDescent="0.2">
      <c r="A35" s="1"/>
      <c r="B35" s="1"/>
      <c r="C35" s="1"/>
      <c r="D35" s="1"/>
      <c r="E35" s="1"/>
      <c r="F35" s="1"/>
      <c r="G35" s="1"/>
      <c r="H35" s="1"/>
    </row>
    <row r="36" spans="1:8" x14ac:dyDescent="0.2">
      <c r="A36" s="1"/>
      <c r="B36" s="1"/>
      <c r="C36" s="1"/>
      <c r="D36" s="1"/>
      <c r="E36" s="1"/>
      <c r="F36" s="1"/>
      <c r="G36" s="1"/>
      <c r="H36" s="1"/>
    </row>
    <row r="37" spans="1:8" x14ac:dyDescent="0.2">
      <c r="A37" s="1"/>
      <c r="B37" s="1"/>
      <c r="C37" s="1"/>
      <c r="D37" s="1"/>
      <c r="E37" s="1"/>
      <c r="F37" s="1"/>
      <c r="G37" s="1"/>
      <c r="H37" s="1"/>
    </row>
    <row r="38" spans="1:8" x14ac:dyDescent="0.2">
      <c r="A38" s="1"/>
      <c r="B38" s="1"/>
      <c r="C38" s="1"/>
      <c r="D38" s="1"/>
      <c r="E38" s="1"/>
      <c r="F38" s="1"/>
      <c r="G38" s="1"/>
      <c r="H38" s="1"/>
    </row>
    <row r="39" spans="1:8" x14ac:dyDescent="0.2">
      <c r="A39" s="1"/>
      <c r="B39" s="1"/>
      <c r="C39" s="1"/>
      <c r="D39" s="1"/>
      <c r="E39" s="1"/>
      <c r="F39" s="1"/>
      <c r="G39" s="1"/>
      <c r="H39" s="1"/>
    </row>
    <row r="40" spans="1:8" x14ac:dyDescent="0.2">
      <c r="A40" s="1"/>
      <c r="B40" s="1"/>
      <c r="C40" s="1"/>
      <c r="D40" s="1"/>
      <c r="E40" s="1"/>
      <c r="F40" s="1"/>
      <c r="G40" s="1"/>
      <c r="H40" s="1"/>
    </row>
    <row r="41" spans="1:8" x14ac:dyDescent="0.2">
      <c r="A41" s="1"/>
      <c r="B41" s="1"/>
      <c r="C41" s="1"/>
      <c r="D41" s="1"/>
      <c r="E41" s="1"/>
      <c r="F41" s="1"/>
      <c r="G41" s="1"/>
      <c r="H41" s="1"/>
    </row>
    <row r="42" spans="1:8" x14ac:dyDescent="0.2">
      <c r="A42" s="1"/>
      <c r="B42" s="1"/>
      <c r="C42" s="1"/>
      <c r="D42" s="1"/>
      <c r="E42" s="1"/>
      <c r="F42" s="1"/>
      <c r="G42" s="1"/>
      <c r="H42" s="1"/>
    </row>
    <row r="43" spans="1:8" x14ac:dyDescent="0.2">
      <c r="A43" s="1"/>
      <c r="B43" s="1"/>
      <c r="C43" s="1"/>
      <c r="D43" s="1"/>
      <c r="E43" s="1"/>
      <c r="F43" s="1"/>
      <c r="G43" s="1"/>
      <c r="H43" s="1"/>
    </row>
    <row r="44" spans="1:8" x14ac:dyDescent="0.2">
      <c r="A44" s="1"/>
      <c r="B44" s="1"/>
      <c r="C44" s="1"/>
      <c r="D44" s="1"/>
      <c r="E44" s="1"/>
      <c r="F44" s="1"/>
      <c r="G44" s="1"/>
      <c r="H44" s="1"/>
    </row>
    <row r="45" spans="1:8" x14ac:dyDescent="0.2">
      <c r="A45" s="1"/>
      <c r="B45" s="1"/>
      <c r="C45" s="1"/>
      <c r="D45" s="1"/>
      <c r="E45" s="1"/>
      <c r="F45" s="1"/>
      <c r="G45" s="1"/>
      <c r="H45" s="1"/>
    </row>
    <row r="46" spans="1:8" x14ac:dyDescent="0.2">
      <c r="A46" s="1"/>
      <c r="B46" s="1"/>
      <c r="C46" s="1"/>
      <c r="D46" s="1"/>
      <c r="E46" s="1"/>
      <c r="F46" s="1"/>
      <c r="G46" s="1"/>
      <c r="H46" s="1"/>
    </row>
    <row r="47" spans="1:8" x14ac:dyDescent="0.2">
      <c r="A47" s="1"/>
      <c r="B47" s="1"/>
      <c r="C47" s="1"/>
      <c r="D47" s="1"/>
      <c r="E47" s="1"/>
      <c r="F47" s="1"/>
      <c r="G47" s="1"/>
      <c r="H47" s="1"/>
    </row>
    <row r="48" spans="1:8" x14ac:dyDescent="0.2">
      <c r="A48" s="4"/>
      <c r="B48" s="4"/>
      <c r="C48" s="5"/>
      <c r="D48" s="3"/>
      <c r="E48" s="1"/>
      <c r="F48" s="2"/>
      <c r="G48" s="1"/>
      <c r="H48" s="1"/>
    </row>
    <row r="49" spans="1:8" x14ac:dyDescent="0.2">
      <c r="A49" s="1"/>
      <c r="B49" s="4"/>
      <c r="C49" s="5"/>
      <c r="D49" s="3"/>
      <c r="E49" s="1"/>
      <c r="F49" s="1"/>
      <c r="G49" s="1"/>
      <c r="H49" s="1"/>
    </row>
    <row r="50" spans="1:8" x14ac:dyDescent="0.2">
      <c r="A50" s="1"/>
      <c r="B50" s="1"/>
      <c r="C50" s="1"/>
      <c r="D50" s="2"/>
      <c r="E50" s="1"/>
      <c r="F50" s="1"/>
      <c r="G50" s="1"/>
      <c r="H50" s="1"/>
    </row>
    <row r="51" spans="1:8" x14ac:dyDescent="0.2">
      <c r="A51" s="1"/>
      <c r="B51" s="1"/>
      <c r="C51" s="1"/>
      <c r="D51" s="1"/>
      <c r="E51" s="1"/>
      <c r="F51" s="1"/>
      <c r="G51" s="1"/>
      <c r="H51" s="1"/>
    </row>
    <row r="52" spans="1:8" x14ac:dyDescent="0.2">
      <c r="A52" s="1"/>
      <c r="B52" s="1"/>
      <c r="C52" s="1"/>
      <c r="D52" s="1"/>
      <c r="E52" s="1"/>
      <c r="F52" s="1"/>
      <c r="G52" s="1"/>
      <c r="H52" s="1"/>
    </row>
    <row r="53" spans="1:8" x14ac:dyDescent="0.2">
      <c r="A53" s="11" t="s">
        <v>1</v>
      </c>
      <c r="B53" s="12"/>
      <c r="C53" s="12"/>
      <c r="D53" s="13"/>
      <c r="E53" s="8"/>
      <c r="F53" s="8"/>
      <c r="G53" s="8"/>
      <c r="H53" s="8"/>
    </row>
    <row r="54" spans="1:8" x14ac:dyDescent="0.2">
      <c r="A54" s="14" t="s">
        <v>15</v>
      </c>
      <c r="B54" s="15"/>
      <c r="C54" s="15"/>
      <c r="D54" s="16"/>
      <c r="E54" s="8"/>
      <c r="F54" s="8"/>
      <c r="G54" s="8"/>
      <c r="H54" s="8"/>
    </row>
    <row r="55" spans="1:8" x14ac:dyDescent="0.2">
      <c r="A55" s="17" t="s">
        <v>62</v>
      </c>
      <c r="B55" s="18"/>
      <c r="C55" s="18"/>
      <c r="D55" s="19"/>
      <c r="E55" s="8"/>
      <c r="F55" s="8"/>
      <c r="G55" s="8"/>
      <c r="H55" s="8"/>
    </row>
    <row r="56" spans="1:8" x14ac:dyDescent="0.2">
      <c r="A56" s="20"/>
      <c r="B56" s="21"/>
      <c r="C56" s="22"/>
      <c r="D56" s="23"/>
      <c r="E56" s="8"/>
      <c r="F56" s="8" t="s">
        <v>34</v>
      </c>
      <c r="G56" s="8"/>
      <c r="H56" s="8"/>
    </row>
    <row r="57" spans="1:8" ht="15.75" x14ac:dyDescent="0.25">
      <c r="A57" s="24" t="s">
        <v>2</v>
      </c>
      <c r="B57" s="25" t="str">
        <f>[1]Charters!B60</f>
        <v>Open Classroom</v>
      </c>
      <c r="C57" s="26"/>
      <c r="D57" s="27"/>
      <c r="E57" s="8"/>
      <c r="F57" s="8"/>
      <c r="G57" s="8"/>
      <c r="H57" s="8"/>
    </row>
    <row r="58" spans="1:8" x14ac:dyDescent="0.2">
      <c r="A58" s="24"/>
      <c r="B58" s="28"/>
      <c r="C58" s="26"/>
      <c r="D58" s="27"/>
      <c r="E58" s="8"/>
      <c r="F58" s="8"/>
      <c r="G58" s="8"/>
      <c r="H58" s="8"/>
    </row>
    <row r="59" spans="1:8" x14ac:dyDescent="0.2">
      <c r="A59" s="29" t="s">
        <v>0</v>
      </c>
      <c r="B59" s="30">
        <f>[1]Charters!$E$6</f>
        <v>3184</v>
      </c>
      <c r="C59" s="26"/>
      <c r="D59" s="31"/>
      <c r="E59" s="8"/>
      <c r="F59" s="8"/>
      <c r="G59" s="8"/>
      <c r="H59" s="8"/>
    </row>
    <row r="60" spans="1:8" x14ac:dyDescent="0.2">
      <c r="A60" s="32"/>
      <c r="B60" s="6"/>
      <c r="C60" s="33"/>
      <c r="D60" s="34" t="s">
        <v>3</v>
      </c>
      <c r="E60" s="8"/>
      <c r="F60" s="8"/>
      <c r="G60" s="8"/>
      <c r="H60" s="8"/>
    </row>
    <row r="61" spans="1:8" x14ac:dyDescent="0.2">
      <c r="A61" s="29" t="s">
        <v>19</v>
      </c>
      <c r="B61" s="35" t="str">
        <f>[1]Charters!A60</f>
        <v>8D</v>
      </c>
      <c r="C61" s="36" t="s">
        <v>4</v>
      </c>
      <c r="D61" s="37" t="s">
        <v>5</v>
      </c>
      <c r="E61" s="8"/>
      <c r="F61" s="8"/>
      <c r="G61" s="8"/>
      <c r="H61" s="8"/>
    </row>
    <row r="62" spans="1:8" x14ac:dyDescent="0.2">
      <c r="A62" s="38" t="s">
        <v>6</v>
      </c>
      <c r="B62" s="39"/>
      <c r="C62" s="40"/>
      <c r="D62" s="41"/>
      <c r="E62" s="8"/>
      <c r="F62" s="8"/>
      <c r="G62" s="8"/>
      <c r="H62" s="8"/>
    </row>
    <row r="63" spans="1:8" x14ac:dyDescent="0.2">
      <c r="A63" s="38" t="s">
        <v>7</v>
      </c>
      <c r="B63" s="39"/>
      <c r="C63" s="40"/>
      <c r="D63" s="41"/>
      <c r="E63" s="8"/>
      <c r="F63" s="42" t="s">
        <v>23</v>
      </c>
      <c r="G63" s="8"/>
      <c r="H63" s="42" t="s">
        <v>26</v>
      </c>
    </row>
    <row r="64" spans="1:8" x14ac:dyDescent="0.2">
      <c r="A64" s="20" t="s">
        <v>8</v>
      </c>
      <c r="B64" s="43"/>
      <c r="C64" s="44">
        <f>[1]Charters!C520</f>
        <v>315.00799999999998</v>
      </c>
      <c r="D64" s="45">
        <f>[1]Charters!E520</f>
        <v>1002986.31</v>
      </c>
      <c r="E64" s="8"/>
      <c r="F64" s="42">
        <f>[1]Charters!E675</f>
        <v>1091053.52</v>
      </c>
      <c r="G64" s="8"/>
      <c r="H64" s="42">
        <f>[2]Charters!E214</f>
        <v>1346534.55</v>
      </c>
    </row>
    <row r="65" spans="1:8" x14ac:dyDescent="0.2">
      <c r="A65" s="20" t="s">
        <v>14</v>
      </c>
      <c r="B65" s="43"/>
      <c r="C65" s="44">
        <f>[1]Charters!F520</f>
        <v>27.658999999999999</v>
      </c>
      <c r="D65" s="45">
        <f>[1]Charters!H520</f>
        <v>88067.21</v>
      </c>
      <c r="E65" s="8"/>
      <c r="F65" s="42">
        <f>SUM(D64:D66)</f>
        <v>1091053.52</v>
      </c>
      <c r="G65" s="8"/>
      <c r="H65" s="42">
        <f>D77</f>
        <v>1346534.55</v>
      </c>
    </row>
    <row r="66" spans="1:8" x14ac:dyDescent="0.2">
      <c r="A66" s="20" t="s">
        <v>32</v>
      </c>
      <c r="B66" s="43"/>
      <c r="C66" s="44">
        <f>[1]Charters!C213</f>
        <v>0</v>
      </c>
      <c r="D66" s="45">
        <f>[1]Charters!E213</f>
        <v>0</v>
      </c>
      <c r="E66" s="8"/>
      <c r="F66" s="42">
        <f>+F64-F65</f>
        <v>0</v>
      </c>
      <c r="G66" s="8"/>
      <c r="H66" s="42">
        <f>+H64-H65</f>
        <v>0</v>
      </c>
    </row>
    <row r="67" spans="1:8" x14ac:dyDescent="0.2">
      <c r="A67" s="38" t="s">
        <v>9</v>
      </c>
      <c r="B67" s="39"/>
      <c r="C67" s="46"/>
      <c r="D67" s="47"/>
      <c r="E67" s="8"/>
      <c r="F67" s="8"/>
      <c r="G67" s="8"/>
      <c r="H67" s="8"/>
    </row>
    <row r="68" spans="1:8" x14ac:dyDescent="0.2">
      <c r="A68" s="20" t="s">
        <v>10</v>
      </c>
      <c r="B68" s="43"/>
      <c r="C68" s="40">
        <f>[3]Charters!C59</f>
        <v>35.292000000000002</v>
      </c>
      <c r="D68" s="41">
        <f>[3]Charters!E59</f>
        <v>112370.51</v>
      </c>
      <c r="E68" s="8"/>
      <c r="F68" s="42" t="s">
        <v>24</v>
      </c>
      <c r="G68" s="8"/>
      <c r="H68" s="8"/>
    </row>
    <row r="69" spans="1:8" x14ac:dyDescent="0.2">
      <c r="A69" s="48" t="s">
        <v>11</v>
      </c>
      <c r="B69" s="43"/>
      <c r="C69" s="40">
        <f>[3]Charters!F59</f>
        <v>4.9800000000000004</v>
      </c>
      <c r="D69" s="49">
        <f>[3]Charters!H59</f>
        <v>15856.32</v>
      </c>
      <c r="E69" s="8"/>
      <c r="F69" s="42">
        <f>[3]Charters!N371</f>
        <v>133635.96</v>
      </c>
      <c r="G69" s="8"/>
      <c r="H69" s="8"/>
    </row>
    <row r="70" spans="1:8" x14ac:dyDescent="0.2">
      <c r="A70" s="48" t="s">
        <v>12</v>
      </c>
      <c r="B70" s="43"/>
      <c r="C70" s="40">
        <f>[3]Charters!C214</f>
        <v>0</v>
      </c>
      <c r="D70" s="41">
        <f>[3]Charters!E214</f>
        <v>0</v>
      </c>
      <c r="E70" s="8"/>
      <c r="F70" s="42">
        <f>SUM(D68:D74)</f>
        <v>133635.96</v>
      </c>
      <c r="G70" s="8"/>
      <c r="H70" s="8"/>
    </row>
    <row r="71" spans="1:8" x14ac:dyDescent="0.2">
      <c r="A71" s="20" t="s">
        <v>13</v>
      </c>
      <c r="B71" s="43"/>
      <c r="C71" s="40">
        <f>[3]Charters!F214</f>
        <v>0.70899999999999996</v>
      </c>
      <c r="D71" s="41">
        <f>[3]Charters!H214</f>
        <v>2259</v>
      </c>
      <c r="E71" s="8"/>
      <c r="F71" s="42">
        <f>+F69-F70</f>
        <v>0</v>
      </c>
      <c r="G71" s="8"/>
      <c r="H71" s="8"/>
    </row>
    <row r="72" spans="1:8" x14ac:dyDescent="0.2">
      <c r="A72" s="48" t="s">
        <v>54</v>
      </c>
      <c r="B72" s="43"/>
      <c r="C72" s="40">
        <f>[3]Charters!C371</f>
        <v>0.98899999999999999</v>
      </c>
      <c r="D72" s="41">
        <f>[3]Charters!E371</f>
        <v>3150.13</v>
      </c>
      <c r="E72" s="8"/>
      <c r="F72" s="8"/>
      <c r="G72" s="8"/>
      <c r="H72" s="8"/>
    </row>
    <row r="73" spans="1:8" x14ac:dyDescent="0.2">
      <c r="A73" s="48" t="s">
        <v>55</v>
      </c>
      <c r="B73" s="43"/>
      <c r="C73" s="40">
        <f>[3]Charters!F371</f>
        <v>0</v>
      </c>
      <c r="D73" s="41">
        <f>[3]Charters!H371</f>
        <v>0</v>
      </c>
      <c r="E73" s="8"/>
      <c r="F73" s="42" t="s">
        <v>25</v>
      </c>
      <c r="G73" s="8"/>
      <c r="H73" s="8"/>
    </row>
    <row r="74" spans="1:8" x14ac:dyDescent="0.2">
      <c r="A74" s="48" t="s">
        <v>56</v>
      </c>
      <c r="B74" s="43"/>
      <c r="C74" s="40">
        <f>[3]Charters!I371</f>
        <v>0</v>
      </c>
      <c r="D74" s="41">
        <f>[3]Charters!K371</f>
        <v>0</v>
      </c>
      <c r="E74" s="8"/>
      <c r="F74" s="42">
        <f>[2]Charters!H60</f>
        <v>255481.03</v>
      </c>
      <c r="G74" s="8"/>
      <c r="H74" s="8"/>
    </row>
    <row r="75" spans="1:8" x14ac:dyDescent="0.2">
      <c r="A75" s="20" t="s">
        <v>49</v>
      </c>
      <c r="B75" s="43"/>
      <c r="C75" s="40">
        <f>[3]Charters!C527</f>
        <v>6.3</v>
      </c>
      <c r="D75" s="41">
        <f>[3]Charters!E527</f>
        <v>20059</v>
      </c>
      <c r="E75" s="8"/>
      <c r="F75" s="42">
        <f>SUM(D68:D76)</f>
        <v>255481.03</v>
      </c>
      <c r="G75" s="8"/>
      <c r="H75" s="8"/>
    </row>
    <row r="76" spans="1:8" x14ac:dyDescent="0.2">
      <c r="A76" s="20" t="s">
        <v>50</v>
      </c>
      <c r="B76" s="43"/>
      <c r="C76" s="40">
        <f>[2]Charters!C60</f>
        <v>31.968</v>
      </c>
      <c r="D76" s="41">
        <f>[2]Charters!E60</f>
        <v>101786.07</v>
      </c>
      <c r="E76" s="8"/>
      <c r="F76" s="42">
        <f>+F74-F75</f>
        <v>0</v>
      </c>
      <c r="G76" s="8"/>
      <c r="H76" s="8"/>
    </row>
    <row r="77" spans="1:8" x14ac:dyDescent="0.2">
      <c r="A77" s="50"/>
      <c r="B77" s="51" t="s">
        <v>16</v>
      </c>
      <c r="C77" s="52">
        <f>SUM(C64:C76)</f>
        <v>422.90499999999997</v>
      </c>
      <c r="D77" s="53">
        <f>SUM(D64:D76)</f>
        <v>1346534.55</v>
      </c>
      <c r="E77" s="8"/>
      <c r="F77" s="8"/>
      <c r="G77" s="8"/>
      <c r="H77" s="8"/>
    </row>
    <row r="78" spans="1:8" x14ac:dyDescent="0.2">
      <c r="A78" s="54" t="s">
        <v>17</v>
      </c>
      <c r="B78" s="39"/>
      <c r="C78" s="55"/>
      <c r="D78" s="47"/>
      <c r="E78" s="8"/>
      <c r="F78" s="8"/>
      <c r="G78" s="8"/>
      <c r="H78" s="42" t="s">
        <v>29</v>
      </c>
    </row>
    <row r="79" spans="1:8" x14ac:dyDescent="0.2">
      <c r="A79" s="20" t="s">
        <v>33</v>
      </c>
      <c r="B79" s="43"/>
      <c r="C79" s="56"/>
      <c r="D79" s="57">
        <f>[4]Charters!C60</f>
        <v>3902.89</v>
      </c>
      <c r="E79" s="8"/>
      <c r="F79" s="8"/>
      <c r="G79" s="8"/>
      <c r="H79" s="42">
        <f>[4]Charters!F1000</f>
        <v>2305537.5099999998</v>
      </c>
    </row>
    <row r="80" spans="1:8" x14ac:dyDescent="0.2">
      <c r="A80" s="58" t="s">
        <v>35</v>
      </c>
      <c r="B80" s="43"/>
      <c r="C80" s="56"/>
      <c r="D80" s="41">
        <f>+[4]Charters!F381</f>
        <v>1516.13</v>
      </c>
      <c r="E80" s="8"/>
      <c r="F80" s="8"/>
      <c r="G80" s="8"/>
      <c r="H80" s="42">
        <f>SUM(D77:D96)</f>
        <v>2305537.5099999998</v>
      </c>
    </row>
    <row r="81" spans="1:8" x14ac:dyDescent="0.2">
      <c r="A81" s="59" t="s">
        <v>36</v>
      </c>
      <c r="B81" s="43"/>
      <c r="C81" s="56"/>
      <c r="D81" s="41">
        <f>[4]Charters!E220</f>
        <v>16395</v>
      </c>
      <c r="E81" s="8"/>
      <c r="F81" s="8"/>
      <c r="G81" s="8"/>
      <c r="H81" s="42">
        <f>+H79-H80</f>
        <v>0</v>
      </c>
    </row>
    <row r="82" spans="1:8" x14ac:dyDescent="0.2">
      <c r="A82" s="59" t="s">
        <v>52</v>
      </c>
      <c r="B82" s="43"/>
      <c r="C82" s="56"/>
      <c r="D82" s="41">
        <f>[4]Charters!G381</f>
        <v>0</v>
      </c>
      <c r="E82" s="8"/>
      <c r="F82" s="42" t="s">
        <v>27</v>
      </c>
      <c r="G82" s="8"/>
      <c r="H82" s="42"/>
    </row>
    <row r="83" spans="1:8" x14ac:dyDescent="0.2">
      <c r="A83" s="20" t="s">
        <v>37</v>
      </c>
      <c r="B83" s="43"/>
      <c r="C83" s="56"/>
      <c r="D83" s="41">
        <f>[4]Charters!E537</f>
        <v>26453</v>
      </c>
      <c r="E83" s="8"/>
      <c r="F83" s="42">
        <f>[4]Charters!E220</f>
        <v>16395</v>
      </c>
      <c r="G83" s="8"/>
      <c r="H83" s="8"/>
    </row>
    <row r="84" spans="1:8" x14ac:dyDescent="0.2">
      <c r="A84" s="20" t="s">
        <v>38</v>
      </c>
      <c r="B84" s="43"/>
      <c r="C84" s="56"/>
      <c r="D84" s="41">
        <f>[4]Charters!F537</f>
        <v>0</v>
      </c>
      <c r="E84" s="8"/>
      <c r="F84" s="42">
        <f>SUM(D81:D81)</f>
        <v>16395</v>
      </c>
      <c r="G84" s="8"/>
      <c r="H84" s="8"/>
    </row>
    <row r="85" spans="1:8" x14ac:dyDescent="0.2">
      <c r="A85" s="59" t="s">
        <v>40</v>
      </c>
      <c r="B85" s="43"/>
      <c r="C85" s="56"/>
      <c r="D85" s="41">
        <f>[4]Charters!G537</f>
        <v>0</v>
      </c>
      <c r="E85" s="8"/>
      <c r="F85" s="42">
        <f>+F83-F84</f>
        <v>0</v>
      </c>
      <c r="G85" s="8"/>
      <c r="H85" s="8"/>
    </row>
    <row r="86" spans="1:8" x14ac:dyDescent="0.2">
      <c r="A86" s="20" t="s">
        <v>41</v>
      </c>
      <c r="B86" s="43"/>
      <c r="C86" s="56"/>
      <c r="D86" s="41">
        <f>[4]Charters!C691</f>
        <v>748374</v>
      </c>
      <c r="E86" s="8"/>
      <c r="F86" s="42" t="s">
        <v>28</v>
      </c>
      <c r="G86" s="8"/>
      <c r="H86" s="8"/>
    </row>
    <row r="87" spans="1:8" x14ac:dyDescent="0.2">
      <c r="A87" s="20" t="s">
        <v>42</v>
      </c>
      <c r="B87" s="43"/>
      <c r="C87" s="56"/>
      <c r="D87" s="41">
        <f>[4]Charters!D691</f>
        <v>112116.48</v>
      </c>
      <c r="E87" s="8"/>
      <c r="F87" s="42">
        <f>[4]Charters!D537</f>
        <v>17911.13</v>
      </c>
      <c r="G87" s="8"/>
      <c r="H87" s="8"/>
    </row>
    <row r="88" spans="1:8" x14ac:dyDescent="0.2">
      <c r="A88" s="20" t="s">
        <v>44</v>
      </c>
      <c r="B88" s="43"/>
      <c r="C88" s="56"/>
      <c r="D88" s="41">
        <f>[4]Charters!E691</f>
        <v>37400</v>
      </c>
      <c r="E88" s="8"/>
      <c r="F88" s="42">
        <f>SUM(D80:D82)</f>
        <v>17911.13</v>
      </c>
      <c r="G88" s="8"/>
      <c r="H88" s="8"/>
    </row>
    <row r="89" spans="1:8" x14ac:dyDescent="0.2">
      <c r="A89" s="59" t="s">
        <v>43</v>
      </c>
      <c r="B89" s="43"/>
      <c r="C89" s="56"/>
      <c r="D89" s="41">
        <f>[4]Charters!F691</f>
        <v>12261.24</v>
      </c>
      <c r="E89" s="8"/>
      <c r="F89" s="42">
        <f>+F87-F88</f>
        <v>0</v>
      </c>
      <c r="G89" s="8"/>
      <c r="H89" s="8"/>
    </row>
    <row r="90" spans="1:8" x14ac:dyDescent="0.2">
      <c r="A90" s="59" t="s">
        <v>45</v>
      </c>
      <c r="B90" s="43"/>
      <c r="C90" s="56"/>
      <c r="D90" s="41">
        <f>[4]Charters!C537</f>
        <v>0</v>
      </c>
      <c r="E90" s="8"/>
      <c r="F90" s="8"/>
      <c r="G90" s="8"/>
      <c r="H90" s="8"/>
    </row>
    <row r="91" spans="1:8" x14ac:dyDescent="0.2">
      <c r="A91" s="59" t="s">
        <v>46</v>
      </c>
      <c r="B91" s="43"/>
      <c r="C91" s="56"/>
      <c r="D91" s="41">
        <f>[4]Charters!C847</f>
        <v>0</v>
      </c>
      <c r="E91" s="8"/>
      <c r="F91" s="8"/>
      <c r="G91" s="8"/>
      <c r="H91" s="42" t="s">
        <v>31</v>
      </c>
    </row>
    <row r="92" spans="1:8" x14ac:dyDescent="0.2">
      <c r="A92" s="59" t="s">
        <v>51</v>
      </c>
      <c r="B92" s="43"/>
      <c r="C92" s="56"/>
      <c r="D92" s="60">
        <f>[4]Charters!D847</f>
        <v>584.22</v>
      </c>
      <c r="E92" s="42"/>
      <c r="F92" s="42"/>
      <c r="G92" s="42"/>
      <c r="H92" s="42">
        <f>[4]Charters!D1306</f>
        <v>2309845.16</v>
      </c>
    </row>
    <row r="93" spans="1:8" x14ac:dyDescent="0.2">
      <c r="A93" s="20" t="s">
        <v>47</v>
      </c>
      <c r="B93" s="43"/>
      <c r="C93" s="56"/>
      <c r="D93" s="60">
        <f>[4]Charters!E847</f>
        <v>0</v>
      </c>
      <c r="E93" s="42"/>
      <c r="F93" s="42"/>
      <c r="G93" s="42"/>
      <c r="H93" s="42">
        <f>D102</f>
        <v>2309845.16</v>
      </c>
    </row>
    <row r="94" spans="1:8" x14ac:dyDescent="0.2">
      <c r="A94" s="20" t="s">
        <v>57</v>
      </c>
      <c r="B94" s="43"/>
      <c r="C94" s="56"/>
      <c r="D94" s="60">
        <f>[4]Charters!C1000</f>
        <v>0</v>
      </c>
      <c r="E94" s="42"/>
      <c r="F94" s="42"/>
      <c r="G94" s="42"/>
      <c r="H94" s="42">
        <f>+H92-H93</f>
        <v>0</v>
      </c>
    </row>
    <row r="95" spans="1:8" x14ac:dyDescent="0.2">
      <c r="A95" s="59" t="s">
        <v>53</v>
      </c>
      <c r="B95" s="43"/>
      <c r="C95" s="56"/>
      <c r="D95" s="60">
        <f>[4]Charters!D1000</f>
        <v>0</v>
      </c>
      <c r="E95" s="42"/>
      <c r="F95" s="42" t="s">
        <v>30</v>
      </c>
      <c r="G95" s="42"/>
      <c r="H95" s="42"/>
    </row>
    <row r="96" spans="1:8" x14ac:dyDescent="0.2">
      <c r="A96" s="59" t="s">
        <v>59</v>
      </c>
      <c r="B96" s="43"/>
      <c r="C96" s="56"/>
      <c r="D96" s="60">
        <f>[4]Charters!E1000</f>
        <v>0</v>
      </c>
      <c r="E96" s="42"/>
      <c r="F96" s="42"/>
      <c r="G96" s="42"/>
      <c r="H96" s="42"/>
    </row>
    <row r="97" spans="1:8" x14ac:dyDescent="0.2">
      <c r="A97" s="38" t="s">
        <v>18</v>
      </c>
      <c r="B97" s="61"/>
      <c r="C97" s="62"/>
      <c r="D97" s="87"/>
      <c r="E97" s="42"/>
      <c r="F97" s="42">
        <f>[4]Charters!C1306</f>
        <v>4307.6499999999996</v>
      </c>
      <c r="G97" s="42"/>
      <c r="H97" s="42"/>
    </row>
    <row r="98" spans="1:8" x14ac:dyDescent="0.2">
      <c r="A98" s="59" t="s">
        <v>39</v>
      </c>
      <c r="B98" s="43"/>
      <c r="C98" s="56"/>
      <c r="D98" s="41">
        <f>[4]Charters!C1153</f>
        <v>4307.6499999999996</v>
      </c>
      <c r="E98" s="42"/>
      <c r="F98" s="42">
        <f>SUM(D98:D101)</f>
        <v>4307.6499999999996</v>
      </c>
      <c r="G98" s="42"/>
      <c r="H98" s="42"/>
    </row>
    <row r="99" spans="1:8" x14ac:dyDescent="0.2">
      <c r="A99" s="59" t="s">
        <v>48</v>
      </c>
      <c r="B99" s="43"/>
      <c r="C99" s="56"/>
      <c r="D99" s="41">
        <f>[4]Charters!D1153</f>
        <v>0</v>
      </c>
      <c r="E99" s="42"/>
      <c r="F99" s="42">
        <f>+F97-F98</f>
        <v>0</v>
      </c>
      <c r="G99" s="42"/>
      <c r="H99" s="42"/>
    </row>
    <row r="100" spans="1:8" x14ac:dyDescent="0.2">
      <c r="A100" s="59" t="s">
        <v>60</v>
      </c>
      <c r="B100" s="43"/>
      <c r="C100" s="56"/>
      <c r="D100" s="41">
        <f>[4]Charters!E1153</f>
        <v>0</v>
      </c>
      <c r="E100" s="42"/>
      <c r="F100" s="42"/>
      <c r="G100" s="42"/>
      <c r="H100" s="42"/>
    </row>
    <row r="101" spans="1:8" x14ac:dyDescent="0.2">
      <c r="A101" s="59" t="s">
        <v>61</v>
      </c>
      <c r="B101" s="43"/>
      <c r="C101" s="56"/>
      <c r="D101" s="41">
        <f>[4]Charters!F1153</f>
        <v>0</v>
      </c>
      <c r="E101" s="42"/>
      <c r="F101" s="42"/>
      <c r="G101" s="42"/>
      <c r="H101" s="42"/>
    </row>
    <row r="102" spans="1:8" ht="13.5" thickBot="1" x14ac:dyDescent="0.25">
      <c r="A102" s="64"/>
      <c r="B102" s="65"/>
      <c r="C102" s="66"/>
      <c r="D102" s="67">
        <f>SUM(D77:D101)</f>
        <v>2309845.16</v>
      </c>
      <c r="E102" s="42"/>
      <c r="F102" s="42"/>
      <c r="G102" s="42"/>
      <c r="H102" s="42"/>
    </row>
    <row r="103" spans="1:8" ht="13.5" thickTop="1" x14ac:dyDescent="0.2">
      <c r="A103" s="68"/>
      <c r="B103" s="43"/>
      <c r="C103" s="56"/>
      <c r="D103" s="86"/>
      <c r="E103" s="42"/>
      <c r="F103" s="42"/>
      <c r="G103" s="42"/>
      <c r="H103" s="42"/>
    </row>
    <row r="104" spans="1:8" x14ac:dyDescent="0.2">
      <c r="A104" s="38" t="s">
        <v>20</v>
      </c>
      <c r="B104" s="39"/>
      <c r="C104" s="70"/>
      <c r="D104" s="71" t="s">
        <v>21</v>
      </c>
      <c r="E104" s="42"/>
      <c r="F104" s="42"/>
      <c r="G104" s="42"/>
      <c r="H104" s="42"/>
    </row>
    <row r="105" spans="1:8" x14ac:dyDescent="0.2">
      <c r="A105" s="72" t="s">
        <v>22</v>
      </c>
      <c r="B105" s="73"/>
      <c r="C105" s="74"/>
      <c r="D105" s="41">
        <f>[5]Charters!C59</f>
        <v>884.59</v>
      </c>
      <c r="E105" s="42"/>
      <c r="F105" s="42"/>
      <c r="G105" s="42"/>
      <c r="H105" s="42"/>
    </row>
    <row r="106" spans="1:8" x14ac:dyDescent="0.2">
      <c r="A106" s="75"/>
      <c r="B106" s="61"/>
      <c r="C106" s="76"/>
      <c r="D106" s="77">
        <f>SUM(D105:D105)</f>
        <v>884.59</v>
      </c>
      <c r="E106" s="42"/>
      <c r="F106" s="42"/>
      <c r="G106" s="42"/>
      <c r="H106" s="42"/>
    </row>
    <row r="107" spans="1:8" x14ac:dyDescent="0.2">
      <c r="A107" s="78" t="s">
        <v>58</v>
      </c>
      <c r="B107" s="79"/>
      <c r="C107" s="80"/>
      <c r="D107" s="77">
        <f>D106+D102</f>
        <v>2310729.75</v>
      </c>
      <c r="E107" s="42"/>
      <c r="F107" s="42"/>
      <c r="G107" s="42"/>
      <c r="H107" s="42"/>
    </row>
    <row r="108" spans="1:8" x14ac:dyDescent="0.2">
      <c r="A108" s="84"/>
      <c r="B108" s="84"/>
      <c r="C108" s="85"/>
      <c r="D108" s="81"/>
      <c r="E108" s="42"/>
      <c r="F108" s="42"/>
      <c r="G108" s="42"/>
      <c r="H108" s="42"/>
    </row>
    <row r="109" spans="1:8" x14ac:dyDescent="0.2">
      <c r="A109" s="84"/>
      <c r="B109" s="84"/>
      <c r="C109" s="85"/>
      <c r="D109" s="81">
        <f>[5]Charters!E215</f>
        <v>2310729.75</v>
      </c>
      <c r="E109" s="42"/>
      <c r="F109" s="42"/>
      <c r="G109" s="42"/>
      <c r="H109" s="42"/>
    </row>
    <row r="110" spans="1:8" x14ac:dyDescent="0.2">
      <c r="A110" s="84"/>
      <c r="B110" s="84"/>
      <c r="C110" s="85"/>
      <c r="D110" s="81">
        <f>D107</f>
        <v>2310729.75</v>
      </c>
      <c r="E110" s="42"/>
      <c r="F110" s="42"/>
      <c r="G110" s="42"/>
      <c r="H110" s="42"/>
    </row>
    <row r="111" spans="1:8" x14ac:dyDescent="0.2">
      <c r="C111" s="83"/>
      <c r="D111" s="42">
        <f>D109-D110</f>
        <v>0</v>
      </c>
      <c r="E111" s="42"/>
      <c r="F111" s="42"/>
      <c r="G111" s="42"/>
      <c r="H111" s="42"/>
    </row>
    <row r="112" spans="1:8" x14ac:dyDescent="0.2">
      <c r="C112" s="83"/>
      <c r="D112" s="42">
        <f>D110-D111</f>
        <v>2310729.75</v>
      </c>
      <c r="E112" s="42"/>
      <c r="F112" s="42"/>
      <c r="G112" s="42"/>
      <c r="H112" s="42"/>
    </row>
  </sheetData>
  <mergeCells count="4">
    <mergeCell ref="A53:D53"/>
    <mergeCell ref="A107:C107"/>
    <mergeCell ref="A54:D54"/>
    <mergeCell ref="A55:D55"/>
  </mergeCells>
  <phoneticPr fontId="1" type="noConversion"/>
  <printOptions horizontalCentered="1" verticalCentered="1"/>
  <pageMargins left="0.5" right="0.5" top="0.5" bottom="0.5" header="0.25" footer="0.25"/>
  <pageSetup orientation="portrait" verticalDpi="300" r:id="rId1"/>
  <headerFooter alignWithMargins="0">
    <oddHeader>&amp;R&amp;8Current as of: &amp;D</oddHeader>
    <oddFooter>&amp;L&amp;8USOE, School Finance</oddFooter>
  </headerFooter>
  <picture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>
    <pageSetUpPr fitToPage="1"/>
  </sheetPr>
  <dimension ref="A1:H113"/>
  <sheetViews>
    <sheetView topLeftCell="A51" workbookViewId="0">
      <selection activeCell="C12" sqref="C12"/>
    </sheetView>
  </sheetViews>
  <sheetFormatPr defaultColWidth="9.140625" defaultRowHeight="12.75" x14ac:dyDescent="0.2"/>
  <cols>
    <col min="1" max="1" width="31.85546875" style="82" customWidth="1"/>
    <col min="2" max="2" width="16.28515625" style="82" customWidth="1"/>
    <col min="3" max="4" width="14.85546875" style="82" customWidth="1"/>
    <col min="5" max="5" width="7" style="82" customWidth="1"/>
    <col min="6" max="6" width="19.7109375" style="82" customWidth="1"/>
    <col min="7" max="7" width="5.7109375" style="82" customWidth="1"/>
    <col min="8" max="8" width="18" style="82" customWidth="1"/>
    <col min="9" max="16384" width="9.140625" style="82"/>
  </cols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"/>
      <c r="B3" s="1"/>
      <c r="C3" s="1"/>
      <c r="D3" s="1"/>
      <c r="E3" s="1"/>
      <c r="F3" s="1"/>
      <c r="G3" s="1"/>
      <c r="H3" s="1"/>
    </row>
    <row r="4" spans="1:8" x14ac:dyDescent="0.2">
      <c r="A4" s="1"/>
      <c r="B4" s="1"/>
      <c r="C4" s="1"/>
      <c r="D4" s="1"/>
      <c r="E4" s="1"/>
      <c r="F4" s="1"/>
      <c r="G4" s="1"/>
      <c r="H4" s="1"/>
    </row>
    <row r="5" spans="1:8" x14ac:dyDescent="0.2">
      <c r="A5" s="1"/>
      <c r="B5" s="1"/>
      <c r="C5" s="1"/>
      <c r="D5" s="1"/>
      <c r="E5" s="1"/>
      <c r="F5" s="1"/>
      <c r="G5" s="1"/>
      <c r="H5" s="1"/>
    </row>
    <row r="6" spans="1:8" x14ac:dyDescent="0.2">
      <c r="A6" s="1"/>
      <c r="B6" s="1"/>
      <c r="C6" s="1"/>
      <c r="D6" s="1"/>
      <c r="E6" s="1"/>
      <c r="F6" s="1"/>
      <c r="G6" s="1"/>
      <c r="H6" s="1"/>
    </row>
    <row r="7" spans="1:8" x14ac:dyDescent="0.2">
      <c r="A7" s="1"/>
      <c r="B7" s="1"/>
      <c r="C7" s="1"/>
      <c r="D7" s="1"/>
      <c r="E7" s="1"/>
      <c r="F7" s="1"/>
      <c r="G7" s="1"/>
      <c r="H7" s="1"/>
    </row>
    <row r="8" spans="1:8" x14ac:dyDescent="0.2">
      <c r="A8" s="1"/>
      <c r="B8" s="1"/>
      <c r="C8" s="1"/>
      <c r="D8" s="1"/>
      <c r="E8" s="1"/>
      <c r="F8" s="1"/>
      <c r="G8" s="1"/>
      <c r="H8" s="1"/>
    </row>
    <row r="9" spans="1:8" x14ac:dyDescent="0.2">
      <c r="A9" s="1"/>
      <c r="B9" s="1"/>
      <c r="C9" s="1"/>
      <c r="D9" s="1"/>
      <c r="E9" s="1"/>
      <c r="F9" s="1"/>
      <c r="G9" s="1"/>
      <c r="H9" s="1"/>
    </row>
    <row r="10" spans="1:8" x14ac:dyDescent="0.2">
      <c r="A10" s="1"/>
      <c r="B10" s="1"/>
      <c r="C10" s="1"/>
      <c r="D10" s="1"/>
      <c r="E10" s="1"/>
      <c r="F10" s="1"/>
      <c r="G10" s="1"/>
      <c r="H10" s="1"/>
    </row>
    <row r="11" spans="1:8" x14ac:dyDescent="0.2">
      <c r="A11" s="1"/>
      <c r="B11" s="1"/>
      <c r="C11" s="1"/>
      <c r="D11" s="1"/>
      <c r="E11" s="1"/>
      <c r="F11" s="1"/>
      <c r="G11" s="1"/>
      <c r="H11" s="1"/>
    </row>
    <row r="12" spans="1:8" x14ac:dyDescent="0.2">
      <c r="A12" s="1"/>
      <c r="B12" s="1"/>
      <c r="C12" s="1"/>
      <c r="D12" s="1"/>
      <c r="E12" s="1"/>
      <c r="F12" s="1"/>
      <c r="G12" s="1"/>
      <c r="H12" s="1"/>
    </row>
    <row r="13" spans="1:8" x14ac:dyDescent="0.2">
      <c r="A13" s="1"/>
      <c r="B13" s="1"/>
      <c r="C13" s="1"/>
      <c r="D13" s="1"/>
      <c r="E13" s="1"/>
      <c r="F13" s="1"/>
      <c r="G13" s="1"/>
      <c r="H13" s="1"/>
    </row>
    <row r="14" spans="1:8" x14ac:dyDescent="0.2">
      <c r="A14" s="1"/>
      <c r="B14" s="1"/>
      <c r="C14" s="1"/>
      <c r="D14" s="1"/>
      <c r="E14" s="1"/>
      <c r="F14" s="1"/>
      <c r="G14" s="1"/>
      <c r="H14" s="1"/>
    </row>
    <row r="15" spans="1:8" x14ac:dyDescent="0.2">
      <c r="A15" s="1"/>
      <c r="B15" s="1"/>
      <c r="C15" s="1"/>
      <c r="D15" s="1"/>
      <c r="E15" s="1"/>
      <c r="F15" s="1"/>
      <c r="G15" s="1"/>
      <c r="H15" s="1"/>
    </row>
    <row r="16" spans="1:8" x14ac:dyDescent="0.2">
      <c r="A16" s="1"/>
      <c r="B16" s="1"/>
      <c r="C16" s="1"/>
      <c r="D16" s="1"/>
      <c r="E16" s="1"/>
      <c r="F16" s="1"/>
      <c r="G16" s="1"/>
      <c r="H16" s="1"/>
    </row>
    <row r="17" spans="1:8" x14ac:dyDescent="0.2">
      <c r="A17" s="1"/>
      <c r="B17" s="1"/>
      <c r="C17" s="1"/>
      <c r="D17" s="1"/>
      <c r="E17" s="1"/>
      <c r="F17" s="1"/>
      <c r="G17" s="1"/>
      <c r="H17" s="1"/>
    </row>
    <row r="18" spans="1:8" x14ac:dyDescent="0.2">
      <c r="A18" s="1"/>
      <c r="B18" s="1"/>
      <c r="C18" s="1"/>
      <c r="D18" s="1"/>
      <c r="E18" s="1"/>
      <c r="F18" s="1"/>
      <c r="G18" s="1"/>
      <c r="H18" s="1"/>
    </row>
    <row r="19" spans="1:8" x14ac:dyDescent="0.2">
      <c r="A19" s="1"/>
      <c r="B19" s="1"/>
      <c r="C19" s="1"/>
      <c r="D19" s="1"/>
      <c r="E19" s="1"/>
      <c r="F19" s="1"/>
      <c r="G19" s="1"/>
      <c r="H19" s="1"/>
    </row>
    <row r="20" spans="1:8" x14ac:dyDescent="0.2">
      <c r="A20" s="1"/>
      <c r="B20" s="1"/>
      <c r="C20" s="1"/>
      <c r="D20" s="1"/>
      <c r="E20" s="1"/>
      <c r="F20" s="1"/>
      <c r="G20" s="1"/>
      <c r="H20" s="1"/>
    </row>
    <row r="21" spans="1:8" x14ac:dyDescent="0.2">
      <c r="A21" s="1"/>
      <c r="B21" s="1"/>
      <c r="C21" s="1"/>
      <c r="D21" s="1"/>
      <c r="E21" s="1"/>
      <c r="F21" s="1"/>
      <c r="G21" s="1"/>
      <c r="H21" s="1"/>
    </row>
    <row r="22" spans="1:8" x14ac:dyDescent="0.2">
      <c r="A22" s="1"/>
      <c r="B22" s="1"/>
      <c r="C22" s="1"/>
      <c r="D22" s="4"/>
      <c r="E22" s="1"/>
      <c r="F22" s="1"/>
      <c r="G22" s="1"/>
      <c r="H22" s="1"/>
    </row>
    <row r="23" spans="1:8" x14ac:dyDescent="0.2">
      <c r="A23" s="1"/>
      <c r="B23" s="1"/>
      <c r="C23" s="1"/>
      <c r="D23" s="1"/>
      <c r="E23" s="1"/>
      <c r="F23" s="1"/>
      <c r="G23" s="1"/>
      <c r="H23" s="1"/>
    </row>
    <row r="24" spans="1:8" x14ac:dyDescent="0.2">
      <c r="A24" s="1"/>
      <c r="B24" s="1"/>
      <c r="C24" s="1"/>
      <c r="D24" s="1"/>
      <c r="E24" s="1"/>
      <c r="F24" s="1"/>
      <c r="G24" s="1"/>
      <c r="H24" s="1"/>
    </row>
    <row r="25" spans="1:8" x14ac:dyDescent="0.2">
      <c r="A25" s="1"/>
      <c r="B25" s="1"/>
      <c r="C25" s="1"/>
      <c r="D25" s="1"/>
      <c r="E25" s="1"/>
      <c r="F25" s="1"/>
      <c r="G25" s="1"/>
      <c r="H25" s="1"/>
    </row>
    <row r="26" spans="1:8" x14ac:dyDescent="0.2">
      <c r="A26" s="1"/>
      <c r="B26" s="1"/>
      <c r="C26" s="1"/>
      <c r="D26" s="1"/>
      <c r="E26" s="1"/>
      <c r="F26" s="1"/>
      <c r="G26" s="1"/>
      <c r="H26" s="1"/>
    </row>
    <row r="27" spans="1:8" x14ac:dyDescent="0.2">
      <c r="A27" s="1"/>
      <c r="B27" s="1"/>
      <c r="C27" s="1"/>
      <c r="D27" s="1"/>
      <c r="E27" s="1"/>
      <c r="F27" s="1"/>
      <c r="G27" s="1"/>
      <c r="H27" s="1"/>
    </row>
    <row r="28" spans="1:8" x14ac:dyDescent="0.2">
      <c r="A28" s="1"/>
      <c r="B28" s="1"/>
      <c r="C28" s="1"/>
      <c r="D28" s="1"/>
      <c r="E28" s="1"/>
      <c r="F28" s="1"/>
      <c r="G28" s="1"/>
      <c r="H28" s="1"/>
    </row>
    <row r="29" spans="1:8" x14ac:dyDescent="0.2">
      <c r="A29" s="1"/>
      <c r="B29" s="1"/>
      <c r="C29" s="1"/>
      <c r="D29" s="1"/>
      <c r="E29" s="1"/>
      <c r="F29" s="1"/>
      <c r="G29" s="1"/>
      <c r="H29" s="1"/>
    </row>
    <row r="30" spans="1:8" x14ac:dyDescent="0.2">
      <c r="A30" s="1"/>
      <c r="B30" s="1"/>
      <c r="C30" s="1"/>
      <c r="D30" s="1"/>
      <c r="E30" s="1"/>
      <c r="F30" s="1"/>
      <c r="G30" s="1"/>
      <c r="H30" s="1"/>
    </row>
    <row r="31" spans="1:8" x14ac:dyDescent="0.2">
      <c r="A31" s="1"/>
      <c r="B31" s="1"/>
      <c r="C31" s="1"/>
      <c r="D31" s="1"/>
      <c r="E31" s="1"/>
      <c r="F31" s="1"/>
      <c r="G31" s="1"/>
      <c r="H31" s="1"/>
    </row>
    <row r="32" spans="1:8" x14ac:dyDescent="0.2">
      <c r="A32" s="1"/>
      <c r="B32" s="1"/>
      <c r="C32" s="1"/>
      <c r="D32" s="1"/>
      <c r="E32" s="1"/>
      <c r="F32" s="1"/>
      <c r="G32" s="1"/>
      <c r="H32" s="1"/>
    </row>
    <row r="33" spans="1:8" x14ac:dyDescent="0.2">
      <c r="A33" s="1"/>
      <c r="B33" s="1"/>
      <c r="C33" s="1"/>
      <c r="D33" s="1"/>
      <c r="E33" s="1"/>
      <c r="F33" s="1"/>
      <c r="G33" s="1"/>
      <c r="H33" s="1"/>
    </row>
    <row r="34" spans="1:8" x14ac:dyDescent="0.2">
      <c r="A34" s="1"/>
      <c r="B34" s="1"/>
      <c r="C34" s="1"/>
      <c r="D34" s="1"/>
      <c r="E34" s="1"/>
      <c r="F34" s="1"/>
      <c r="G34" s="1"/>
      <c r="H34" s="1"/>
    </row>
    <row r="35" spans="1:8" x14ac:dyDescent="0.2">
      <c r="A35" s="1"/>
      <c r="B35" s="1"/>
      <c r="C35" s="1"/>
      <c r="D35" s="1"/>
      <c r="E35" s="1"/>
      <c r="F35" s="1"/>
      <c r="G35" s="1"/>
      <c r="H35" s="1"/>
    </row>
    <row r="36" spans="1:8" x14ac:dyDescent="0.2">
      <c r="A36" s="1"/>
      <c r="B36" s="1"/>
      <c r="C36" s="1"/>
      <c r="D36" s="1"/>
      <c r="E36" s="1"/>
      <c r="F36" s="1"/>
      <c r="G36" s="1"/>
      <c r="H36" s="1"/>
    </row>
    <row r="37" spans="1:8" x14ac:dyDescent="0.2">
      <c r="A37" s="1"/>
      <c r="B37" s="1"/>
      <c r="C37" s="1"/>
      <c r="D37" s="1"/>
      <c r="E37" s="1"/>
      <c r="F37" s="1"/>
      <c r="G37" s="1"/>
      <c r="H37" s="1"/>
    </row>
    <row r="38" spans="1:8" x14ac:dyDescent="0.2">
      <c r="A38" s="1"/>
      <c r="B38" s="1"/>
      <c r="C38" s="1"/>
      <c r="D38" s="1"/>
      <c r="E38" s="1"/>
      <c r="F38" s="1"/>
      <c r="G38" s="1"/>
      <c r="H38" s="1"/>
    </row>
    <row r="39" spans="1:8" x14ac:dyDescent="0.2">
      <c r="A39" s="1"/>
      <c r="B39" s="1"/>
      <c r="C39" s="1"/>
      <c r="D39" s="1"/>
      <c r="E39" s="1"/>
      <c r="F39" s="1"/>
      <c r="G39" s="1"/>
      <c r="H39" s="1"/>
    </row>
    <row r="40" spans="1:8" x14ac:dyDescent="0.2">
      <c r="A40" s="1"/>
      <c r="B40" s="1"/>
      <c r="C40" s="1"/>
      <c r="D40" s="1"/>
      <c r="E40" s="1"/>
      <c r="F40" s="1"/>
      <c r="G40" s="1"/>
      <c r="H40" s="1"/>
    </row>
    <row r="41" spans="1:8" x14ac:dyDescent="0.2">
      <c r="A41" s="1"/>
      <c r="B41" s="1"/>
      <c r="C41" s="1"/>
      <c r="D41" s="1"/>
      <c r="E41" s="1"/>
      <c r="F41" s="1"/>
      <c r="G41" s="1"/>
      <c r="H41" s="1"/>
    </row>
    <row r="42" spans="1:8" x14ac:dyDescent="0.2">
      <c r="A42" s="1"/>
      <c r="B42" s="1"/>
      <c r="C42" s="1"/>
      <c r="D42" s="1"/>
      <c r="E42" s="1"/>
      <c r="F42" s="1"/>
      <c r="G42" s="1"/>
      <c r="H42" s="1"/>
    </row>
    <row r="43" spans="1:8" x14ac:dyDescent="0.2">
      <c r="A43" s="1"/>
      <c r="B43" s="1"/>
      <c r="C43" s="1"/>
      <c r="D43" s="1"/>
      <c r="E43" s="1"/>
      <c r="F43" s="1"/>
      <c r="G43" s="1"/>
      <c r="H43" s="1"/>
    </row>
    <row r="44" spans="1:8" x14ac:dyDescent="0.2">
      <c r="A44" s="1"/>
      <c r="B44" s="1"/>
      <c r="C44" s="1"/>
      <c r="D44" s="1"/>
      <c r="E44" s="1"/>
      <c r="F44" s="1"/>
      <c r="G44" s="1"/>
      <c r="H44" s="1"/>
    </row>
    <row r="45" spans="1:8" x14ac:dyDescent="0.2">
      <c r="A45" s="1"/>
      <c r="B45" s="1"/>
      <c r="C45" s="1"/>
      <c r="D45" s="1"/>
      <c r="E45" s="1"/>
      <c r="F45" s="1"/>
      <c r="G45" s="1"/>
      <c r="H45" s="1"/>
    </row>
    <row r="46" spans="1:8" x14ac:dyDescent="0.2">
      <c r="A46" s="1"/>
      <c r="B46" s="1"/>
      <c r="C46" s="1"/>
      <c r="D46" s="1"/>
      <c r="E46" s="1"/>
      <c r="F46" s="1"/>
      <c r="G46" s="1"/>
      <c r="H46" s="1"/>
    </row>
    <row r="47" spans="1:8" x14ac:dyDescent="0.2">
      <c r="A47" s="1"/>
      <c r="B47" s="1"/>
      <c r="C47" s="1"/>
      <c r="D47" s="1"/>
      <c r="E47" s="1"/>
      <c r="F47" s="1"/>
      <c r="G47" s="1"/>
      <c r="H47" s="1"/>
    </row>
    <row r="48" spans="1:8" x14ac:dyDescent="0.2">
      <c r="A48" s="1"/>
      <c r="B48" s="1"/>
      <c r="C48" s="1"/>
      <c r="D48" s="1"/>
      <c r="E48" s="1"/>
      <c r="F48" s="1"/>
      <c r="G48" s="1"/>
      <c r="H48" s="1"/>
    </row>
    <row r="49" spans="1:8" x14ac:dyDescent="0.2">
      <c r="A49" s="1"/>
      <c r="B49" s="1"/>
      <c r="C49" s="1"/>
      <c r="D49" s="1"/>
      <c r="E49" s="1"/>
      <c r="F49" s="1"/>
      <c r="G49" s="1"/>
      <c r="H49" s="1"/>
    </row>
    <row r="50" spans="1:8" x14ac:dyDescent="0.2">
      <c r="A50" s="4"/>
      <c r="B50" s="4"/>
      <c r="C50" s="5"/>
      <c r="D50" s="3"/>
      <c r="E50" s="1"/>
      <c r="F50" s="2"/>
      <c r="G50" s="1"/>
      <c r="H50" s="1"/>
    </row>
    <row r="51" spans="1:8" x14ac:dyDescent="0.2">
      <c r="A51" s="4"/>
      <c r="B51" s="4"/>
      <c r="C51" s="5"/>
      <c r="D51" s="3"/>
      <c r="E51" s="1"/>
      <c r="F51" s="1"/>
      <c r="G51" s="1"/>
      <c r="H51" s="1"/>
    </row>
    <row r="52" spans="1:8" x14ac:dyDescent="0.2">
      <c r="A52" s="1"/>
      <c r="B52" s="1"/>
      <c r="C52" s="1"/>
      <c r="D52" s="2"/>
      <c r="E52" s="1"/>
      <c r="F52" s="1"/>
      <c r="G52" s="1"/>
      <c r="H52" s="1"/>
    </row>
    <row r="53" spans="1:8" x14ac:dyDescent="0.2">
      <c r="A53" s="1"/>
      <c r="B53" s="1"/>
      <c r="C53" s="1"/>
      <c r="D53" s="1"/>
      <c r="E53" s="1"/>
      <c r="F53" s="1"/>
      <c r="G53" s="1"/>
      <c r="H53" s="1"/>
    </row>
    <row r="54" spans="1:8" x14ac:dyDescent="0.2">
      <c r="A54" s="11" t="s">
        <v>1</v>
      </c>
      <c r="B54" s="12"/>
      <c r="C54" s="12"/>
      <c r="D54" s="13"/>
      <c r="E54" s="8"/>
      <c r="F54" s="8"/>
      <c r="G54" s="8"/>
      <c r="H54" s="8"/>
    </row>
    <row r="55" spans="1:8" x14ac:dyDescent="0.2">
      <c r="A55" s="14" t="s">
        <v>15</v>
      </c>
      <c r="B55" s="15"/>
      <c r="C55" s="15"/>
      <c r="D55" s="16"/>
      <c r="E55" s="8"/>
      <c r="F55" s="8"/>
      <c r="G55" s="8"/>
      <c r="H55" s="8"/>
    </row>
    <row r="56" spans="1:8" x14ac:dyDescent="0.2">
      <c r="A56" s="17" t="s">
        <v>62</v>
      </c>
      <c r="B56" s="18"/>
      <c r="C56" s="18"/>
      <c r="D56" s="19"/>
      <c r="E56" s="8"/>
      <c r="F56" s="8"/>
      <c r="G56" s="8"/>
      <c r="H56" s="8"/>
    </row>
    <row r="57" spans="1:8" x14ac:dyDescent="0.2">
      <c r="A57" s="20"/>
      <c r="B57" s="21"/>
      <c r="C57" s="22"/>
      <c r="D57" s="23"/>
      <c r="E57" s="8"/>
      <c r="F57" s="8" t="s">
        <v>34</v>
      </c>
      <c r="G57" s="8"/>
      <c r="H57" s="8"/>
    </row>
    <row r="58" spans="1:8" ht="15.75" x14ac:dyDescent="0.25">
      <c r="A58" s="24" t="s">
        <v>2</v>
      </c>
      <c r="B58" s="25" t="str">
        <f>[1]Charters!B61</f>
        <v>Canyon Rim Academy</v>
      </c>
      <c r="C58" s="26"/>
      <c r="D58" s="27"/>
      <c r="E58" s="8"/>
      <c r="F58" s="8"/>
      <c r="G58" s="8"/>
      <c r="H58" s="8"/>
    </row>
    <row r="59" spans="1:8" x14ac:dyDescent="0.2">
      <c r="A59" s="24"/>
      <c r="B59" s="28"/>
      <c r="C59" s="26"/>
      <c r="D59" s="27"/>
      <c r="E59" s="8"/>
      <c r="F59" s="8"/>
      <c r="G59" s="8"/>
      <c r="H59" s="8"/>
    </row>
    <row r="60" spans="1:8" x14ac:dyDescent="0.2">
      <c r="A60" s="29" t="s">
        <v>0</v>
      </c>
      <c r="B60" s="30">
        <f>[1]Charters!$E$6</f>
        <v>3184</v>
      </c>
      <c r="C60" s="26"/>
      <c r="D60" s="31"/>
      <c r="E60" s="8"/>
      <c r="F60" s="8"/>
      <c r="G60" s="8"/>
      <c r="H60" s="8"/>
    </row>
    <row r="61" spans="1:8" x14ac:dyDescent="0.2">
      <c r="A61" s="32"/>
      <c r="B61" s="6"/>
      <c r="C61" s="33"/>
      <c r="D61" s="34" t="s">
        <v>3</v>
      </c>
      <c r="E61" s="8"/>
      <c r="F61" s="8"/>
      <c r="G61" s="8"/>
      <c r="H61" s="8"/>
    </row>
    <row r="62" spans="1:8" x14ac:dyDescent="0.2">
      <c r="A62" s="29" t="s">
        <v>19</v>
      </c>
      <c r="B62" s="35" t="str">
        <f>[1]Charters!A61</f>
        <v>9D</v>
      </c>
      <c r="C62" s="36" t="s">
        <v>4</v>
      </c>
      <c r="D62" s="37" t="s">
        <v>5</v>
      </c>
      <c r="E62" s="8"/>
      <c r="F62" s="8"/>
      <c r="G62" s="8"/>
      <c r="H62" s="8"/>
    </row>
    <row r="63" spans="1:8" x14ac:dyDescent="0.2">
      <c r="A63" s="38" t="s">
        <v>6</v>
      </c>
      <c r="B63" s="39"/>
      <c r="C63" s="40"/>
      <c r="D63" s="41"/>
      <c r="E63" s="8"/>
      <c r="F63" s="8"/>
      <c r="G63" s="8"/>
      <c r="H63" s="8"/>
    </row>
    <row r="64" spans="1:8" x14ac:dyDescent="0.2">
      <c r="A64" s="38" t="s">
        <v>7</v>
      </c>
      <c r="B64" s="39"/>
      <c r="C64" s="40"/>
      <c r="D64" s="41"/>
      <c r="E64" s="8"/>
      <c r="F64" s="42" t="s">
        <v>23</v>
      </c>
      <c r="G64" s="8"/>
      <c r="H64" s="42" t="s">
        <v>26</v>
      </c>
    </row>
    <row r="65" spans="1:8" x14ac:dyDescent="0.2">
      <c r="A65" s="20" t="s">
        <v>8</v>
      </c>
      <c r="B65" s="43"/>
      <c r="C65" s="44">
        <f>[1]Charters!C521</f>
        <v>443.84300000000002</v>
      </c>
      <c r="D65" s="45">
        <f>[1]Charters!E521</f>
        <v>1413197.17</v>
      </c>
      <c r="E65" s="8"/>
      <c r="F65" s="42">
        <f>[1]Charters!E676</f>
        <v>1530595.7</v>
      </c>
      <c r="G65" s="8"/>
      <c r="H65" s="42">
        <f>[2]Charters!E215</f>
        <v>1854256.33</v>
      </c>
    </row>
    <row r="66" spans="1:8" x14ac:dyDescent="0.2">
      <c r="A66" s="20" t="s">
        <v>14</v>
      </c>
      <c r="B66" s="43"/>
      <c r="C66" s="44">
        <f>[1]Charters!F521</f>
        <v>36.871000000000002</v>
      </c>
      <c r="D66" s="45">
        <f>[1]Charters!H521</f>
        <v>117398.53</v>
      </c>
      <c r="E66" s="8"/>
      <c r="F66" s="42">
        <f>SUM(D65:D67)</f>
        <v>1530595.7</v>
      </c>
      <c r="G66" s="8"/>
      <c r="H66" s="42">
        <f>D78</f>
        <v>1854256.33</v>
      </c>
    </row>
    <row r="67" spans="1:8" x14ac:dyDescent="0.2">
      <c r="A67" s="20" t="s">
        <v>32</v>
      </c>
      <c r="B67" s="43"/>
      <c r="C67" s="44">
        <f>[1]Charters!C214</f>
        <v>0</v>
      </c>
      <c r="D67" s="45">
        <f>[1]Charters!E214</f>
        <v>0</v>
      </c>
      <c r="E67" s="8"/>
      <c r="F67" s="42">
        <f>+F65-F66</f>
        <v>0</v>
      </c>
      <c r="G67" s="8"/>
      <c r="H67" s="42">
        <f>+H65-H66</f>
        <v>0</v>
      </c>
    </row>
    <row r="68" spans="1:8" x14ac:dyDescent="0.2">
      <c r="A68" s="38" t="s">
        <v>9</v>
      </c>
      <c r="B68" s="39"/>
      <c r="C68" s="46"/>
      <c r="D68" s="47"/>
      <c r="E68" s="8"/>
      <c r="F68" s="8"/>
      <c r="G68" s="8"/>
      <c r="H68" s="8"/>
    </row>
    <row r="69" spans="1:8" x14ac:dyDescent="0.2">
      <c r="A69" s="20" t="s">
        <v>10</v>
      </c>
      <c r="B69" s="43"/>
      <c r="C69" s="40">
        <f>[3]Charters!C60</f>
        <v>49.311</v>
      </c>
      <c r="D69" s="41">
        <f>[3]Charters!E60</f>
        <v>157007.43</v>
      </c>
      <c r="E69" s="8"/>
      <c r="F69" s="42" t="s">
        <v>24</v>
      </c>
      <c r="G69" s="8"/>
      <c r="H69" s="8"/>
    </row>
    <row r="70" spans="1:8" x14ac:dyDescent="0.2">
      <c r="A70" s="48" t="s">
        <v>11</v>
      </c>
      <c r="B70" s="43"/>
      <c r="C70" s="40">
        <f>[3]Charters!F60</f>
        <v>3.66</v>
      </c>
      <c r="D70" s="49">
        <f>[3]Charters!H60</f>
        <v>11653.44</v>
      </c>
      <c r="E70" s="8"/>
      <c r="F70" s="42">
        <f>[3]Charters!N372</f>
        <v>175350.2</v>
      </c>
      <c r="G70" s="8"/>
      <c r="H70" s="8"/>
    </row>
    <row r="71" spans="1:8" x14ac:dyDescent="0.2">
      <c r="A71" s="48" t="s">
        <v>12</v>
      </c>
      <c r="B71" s="43"/>
      <c r="C71" s="40">
        <f>[3]Charters!C215</f>
        <v>0</v>
      </c>
      <c r="D71" s="41">
        <f>[3]Charters!E215</f>
        <v>0</v>
      </c>
      <c r="E71" s="8"/>
      <c r="F71" s="42">
        <f>SUM(D69:D75)</f>
        <v>175350.2</v>
      </c>
      <c r="G71" s="8"/>
      <c r="H71" s="8"/>
    </row>
    <row r="72" spans="1:8" x14ac:dyDescent="0.2">
      <c r="A72" s="20" t="s">
        <v>13</v>
      </c>
      <c r="B72" s="43"/>
      <c r="C72" s="40">
        <f>[3]Charters!F215</f>
        <v>0.92300000000000004</v>
      </c>
      <c r="D72" s="41">
        <f>[3]Charters!H215</f>
        <v>2939.17</v>
      </c>
      <c r="E72" s="8"/>
      <c r="F72" s="42">
        <f>+F70-F71</f>
        <v>0</v>
      </c>
      <c r="G72" s="8"/>
      <c r="H72" s="8"/>
    </row>
    <row r="73" spans="1:8" x14ac:dyDescent="0.2">
      <c r="A73" s="48" t="s">
        <v>54</v>
      </c>
      <c r="B73" s="43"/>
      <c r="C73" s="40">
        <f>[3]Charters!C372</f>
        <v>1.1779999999999999</v>
      </c>
      <c r="D73" s="41">
        <f>[3]Charters!E372</f>
        <v>3750.16</v>
      </c>
      <c r="E73" s="8"/>
      <c r="F73" s="8"/>
      <c r="G73" s="8"/>
      <c r="H73" s="8"/>
    </row>
    <row r="74" spans="1:8" x14ac:dyDescent="0.2">
      <c r="A74" s="48" t="s">
        <v>55</v>
      </c>
      <c r="B74" s="43"/>
      <c r="C74" s="40">
        <f>[3]Charters!F372</f>
        <v>0</v>
      </c>
      <c r="D74" s="41">
        <f>[3]Charters!H372</f>
        <v>0</v>
      </c>
      <c r="E74" s="8"/>
      <c r="F74" s="42" t="s">
        <v>25</v>
      </c>
      <c r="G74" s="8"/>
      <c r="H74" s="8"/>
    </row>
    <row r="75" spans="1:8" x14ac:dyDescent="0.2">
      <c r="A75" s="48" t="s">
        <v>56</v>
      </c>
      <c r="B75" s="43"/>
      <c r="C75" s="40">
        <f>[3]Charters!I372</f>
        <v>0</v>
      </c>
      <c r="D75" s="41">
        <f>[3]Charters!K372</f>
        <v>0</v>
      </c>
      <c r="E75" s="8"/>
      <c r="F75" s="42">
        <f>[2]Charters!H61</f>
        <v>323660.63</v>
      </c>
      <c r="G75" s="8"/>
      <c r="H75" s="8"/>
    </row>
    <row r="76" spans="1:8" x14ac:dyDescent="0.2">
      <c r="A76" s="20" t="s">
        <v>49</v>
      </c>
      <c r="B76" s="43"/>
      <c r="C76" s="40">
        <f>[3]Charters!C528</f>
        <v>0</v>
      </c>
      <c r="D76" s="41">
        <f>[3]Charters!E528</f>
        <v>0</v>
      </c>
      <c r="E76" s="8"/>
      <c r="F76" s="42">
        <f>SUM(D69:D77)</f>
        <v>323660.63</v>
      </c>
      <c r="G76" s="8"/>
      <c r="H76" s="8"/>
    </row>
    <row r="77" spans="1:8" x14ac:dyDescent="0.2">
      <c r="A77" s="20" t="s">
        <v>50</v>
      </c>
      <c r="B77" s="43"/>
      <c r="C77" s="40">
        <f>[2]Charters!C61</f>
        <v>46.58</v>
      </c>
      <c r="D77" s="41">
        <f>[2]Charters!E61</f>
        <v>148310.43</v>
      </c>
      <c r="E77" s="8"/>
      <c r="F77" s="42">
        <f>+F75-F76</f>
        <v>0</v>
      </c>
      <c r="G77" s="8"/>
      <c r="H77" s="8"/>
    </row>
    <row r="78" spans="1:8" x14ac:dyDescent="0.2">
      <c r="A78" s="50"/>
      <c r="B78" s="51" t="s">
        <v>16</v>
      </c>
      <c r="C78" s="52">
        <f>SUM(C65:C77)</f>
        <v>582.36599999999999</v>
      </c>
      <c r="D78" s="53">
        <f>SUM(D65:D77)</f>
        <v>1854256.33</v>
      </c>
      <c r="E78" s="8"/>
      <c r="F78" s="8"/>
      <c r="G78" s="8"/>
      <c r="H78" s="8"/>
    </row>
    <row r="79" spans="1:8" x14ac:dyDescent="0.2">
      <c r="A79" s="54" t="s">
        <v>17</v>
      </c>
      <c r="B79" s="39"/>
      <c r="C79" s="55"/>
      <c r="D79" s="47"/>
      <c r="E79" s="8"/>
      <c r="F79" s="8"/>
      <c r="G79" s="8"/>
      <c r="H79" s="42" t="s">
        <v>29</v>
      </c>
    </row>
    <row r="80" spans="1:8" x14ac:dyDescent="0.2">
      <c r="A80" s="20" t="s">
        <v>33</v>
      </c>
      <c r="B80" s="43"/>
      <c r="C80" s="56"/>
      <c r="D80" s="57">
        <f>[4]Charters!C61</f>
        <v>5374.5</v>
      </c>
      <c r="E80" s="8"/>
      <c r="F80" s="8"/>
      <c r="G80" s="8"/>
      <c r="H80" s="42">
        <f>[4]Charters!F1001</f>
        <v>3181561.01</v>
      </c>
    </row>
    <row r="81" spans="1:8" x14ac:dyDescent="0.2">
      <c r="A81" s="58" t="s">
        <v>35</v>
      </c>
      <c r="B81" s="43"/>
      <c r="C81" s="56"/>
      <c r="D81" s="41">
        <f>+[4]Charters!F382</f>
        <v>2136.21</v>
      </c>
      <c r="E81" s="8"/>
      <c r="F81" s="8"/>
      <c r="G81" s="8"/>
      <c r="H81" s="42">
        <f>SUM(D78:D97)</f>
        <v>3181561.01</v>
      </c>
    </row>
    <row r="82" spans="1:8" x14ac:dyDescent="0.2">
      <c r="A82" s="59" t="s">
        <v>36</v>
      </c>
      <c r="B82" s="43"/>
      <c r="C82" s="56"/>
      <c r="D82" s="41">
        <f>[4]Charters!E221</f>
        <v>15431</v>
      </c>
      <c r="E82" s="8"/>
      <c r="F82" s="8"/>
      <c r="G82" s="8"/>
      <c r="H82" s="42">
        <f>+H80-H81</f>
        <v>0</v>
      </c>
    </row>
    <row r="83" spans="1:8" x14ac:dyDescent="0.2">
      <c r="A83" s="59" t="s">
        <v>52</v>
      </c>
      <c r="B83" s="43"/>
      <c r="C83" s="56"/>
      <c r="D83" s="41">
        <f>[4]Charters!G382</f>
        <v>0</v>
      </c>
      <c r="E83" s="8"/>
      <c r="F83" s="42" t="s">
        <v>27</v>
      </c>
      <c r="G83" s="8"/>
      <c r="H83" s="42"/>
    </row>
    <row r="84" spans="1:8" x14ac:dyDescent="0.2">
      <c r="A84" s="20" t="s">
        <v>37</v>
      </c>
      <c r="B84" s="43"/>
      <c r="C84" s="56"/>
      <c r="D84" s="41">
        <f>[4]Charters!E538</f>
        <v>37892</v>
      </c>
      <c r="E84" s="8"/>
      <c r="F84" s="42">
        <f>[4]Charters!E221</f>
        <v>15431</v>
      </c>
      <c r="G84" s="8"/>
      <c r="H84" s="8"/>
    </row>
    <row r="85" spans="1:8" x14ac:dyDescent="0.2">
      <c r="A85" s="20" t="s">
        <v>38</v>
      </c>
      <c r="B85" s="43"/>
      <c r="C85" s="56"/>
      <c r="D85" s="41">
        <f>[4]Charters!F538</f>
        <v>0</v>
      </c>
      <c r="E85" s="8"/>
      <c r="F85" s="42">
        <f>SUM(D82:D82)</f>
        <v>15431</v>
      </c>
      <c r="G85" s="8"/>
      <c r="H85" s="8"/>
    </row>
    <row r="86" spans="1:8" x14ac:dyDescent="0.2">
      <c r="A86" s="59" t="s">
        <v>40</v>
      </c>
      <c r="B86" s="43"/>
      <c r="C86" s="56"/>
      <c r="D86" s="41">
        <f>[4]Charters!G538</f>
        <v>0</v>
      </c>
      <c r="E86" s="8"/>
      <c r="F86" s="42">
        <f>+F84-F85</f>
        <v>0</v>
      </c>
      <c r="G86" s="8"/>
      <c r="H86" s="8"/>
    </row>
    <row r="87" spans="1:8" x14ac:dyDescent="0.2">
      <c r="A87" s="20" t="s">
        <v>41</v>
      </c>
      <c r="B87" s="43"/>
      <c r="C87" s="56"/>
      <c r="D87" s="41">
        <f>[4]Charters!C692</f>
        <v>1060530</v>
      </c>
      <c r="E87" s="8"/>
      <c r="F87" s="42" t="s">
        <v>28</v>
      </c>
      <c r="G87" s="8"/>
      <c r="H87" s="8"/>
    </row>
    <row r="88" spans="1:8" x14ac:dyDescent="0.2">
      <c r="A88" s="20" t="s">
        <v>42</v>
      </c>
      <c r="B88" s="43"/>
      <c r="C88" s="56"/>
      <c r="D88" s="41">
        <f>[4]Charters!D692</f>
        <v>108702.08</v>
      </c>
      <c r="E88" s="8"/>
      <c r="F88" s="42">
        <f>[4]Charters!D538</f>
        <v>17567.21</v>
      </c>
      <c r="G88" s="8"/>
      <c r="H88" s="8"/>
    </row>
    <row r="89" spans="1:8" x14ac:dyDescent="0.2">
      <c r="A89" s="20" t="s">
        <v>44</v>
      </c>
      <c r="B89" s="43"/>
      <c r="C89" s="56"/>
      <c r="D89" s="41">
        <f>[4]Charters!E692</f>
        <v>53000</v>
      </c>
      <c r="E89" s="8"/>
      <c r="F89" s="42">
        <f>SUM(D81:D83)</f>
        <v>17567.21</v>
      </c>
      <c r="G89" s="8"/>
      <c r="H89" s="8"/>
    </row>
    <row r="90" spans="1:8" x14ac:dyDescent="0.2">
      <c r="A90" s="59" t="s">
        <v>43</v>
      </c>
      <c r="B90" s="43"/>
      <c r="C90" s="56"/>
      <c r="D90" s="41">
        <f>[4]Charters!F692</f>
        <v>13691.11</v>
      </c>
      <c r="E90" s="8"/>
      <c r="F90" s="42">
        <f>+F88-F89</f>
        <v>0</v>
      </c>
      <c r="G90" s="8"/>
      <c r="H90" s="8"/>
    </row>
    <row r="91" spans="1:8" x14ac:dyDescent="0.2">
      <c r="A91" s="59" t="s">
        <v>45</v>
      </c>
      <c r="B91" s="43"/>
      <c r="C91" s="56"/>
      <c r="D91" s="41">
        <f>[4]Charters!C538</f>
        <v>0</v>
      </c>
      <c r="E91" s="8"/>
      <c r="F91" s="8"/>
      <c r="G91" s="8"/>
      <c r="H91" s="8"/>
    </row>
    <row r="92" spans="1:8" x14ac:dyDescent="0.2">
      <c r="A92" s="59" t="s">
        <v>46</v>
      </c>
      <c r="B92" s="43"/>
      <c r="C92" s="56"/>
      <c r="D92" s="41">
        <f>[4]Charters!C848</f>
        <v>0</v>
      </c>
      <c r="E92" s="8"/>
      <c r="F92" s="8"/>
      <c r="G92" s="8"/>
      <c r="H92" s="42" t="s">
        <v>31</v>
      </c>
    </row>
    <row r="93" spans="1:8" x14ac:dyDescent="0.2">
      <c r="A93" s="59" t="s">
        <v>51</v>
      </c>
      <c r="B93" s="43"/>
      <c r="C93" s="56"/>
      <c r="D93" s="60">
        <f>[4]Charters!D848</f>
        <v>749.78</v>
      </c>
      <c r="E93" s="42"/>
      <c r="F93" s="42"/>
      <c r="G93" s="42"/>
      <c r="H93" s="42">
        <f>[4]Charters!D1307</f>
        <v>3185367.77</v>
      </c>
    </row>
    <row r="94" spans="1:8" x14ac:dyDescent="0.2">
      <c r="A94" s="20" t="s">
        <v>47</v>
      </c>
      <c r="B94" s="43"/>
      <c r="C94" s="56"/>
      <c r="D94" s="60">
        <f>[4]Charters!E848</f>
        <v>29798</v>
      </c>
      <c r="E94" s="42"/>
      <c r="F94" s="42"/>
      <c r="G94" s="42"/>
      <c r="H94" s="42">
        <f>D103</f>
        <v>3185367.77</v>
      </c>
    </row>
    <row r="95" spans="1:8" x14ac:dyDescent="0.2">
      <c r="A95" s="20" t="s">
        <v>57</v>
      </c>
      <c r="B95" s="43"/>
      <c r="C95" s="56"/>
      <c r="D95" s="60">
        <f>[4]Charters!C1001</f>
        <v>0</v>
      </c>
      <c r="E95" s="42"/>
      <c r="F95" s="42"/>
      <c r="G95" s="42"/>
      <c r="H95" s="42">
        <f>+H93-H94</f>
        <v>0</v>
      </c>
    </row>
    <row r="96" spans="1:8" x14ac:dyDescent="0.2">
      <c r="A96" s="59" t="s">
        <v>53</v>
      </c>
      <c r="B96" s="43"/>
      <c r="C96" s="56"/>
      <c r="D96" s="60">
        <f>[4]Charters!D1001</f>
        <v>0</v>
      </c>
      <c r="E96" s="42"/>
      <c r="F96" s="42" t="s">
        <v>30</v>
      </c>
      <c r="G96" s="42"/>
      <c r="H96" s="42"/>
    </row>
    <row r="97" spans="1:8" x14ac:dyDescent="0.2">
      <c r="A97" s="59" t="s">
        <v>59</v>
      </c>
      <c r="B97" s="43"/>
      <c r="C97" s="56"/>
      <c r="D97" s="60">
        <f>[4]Charters!E1001</f>
        <v>0</v>
      </c>
      <c r="E97" s="42"/>
      <c r="F97" s="42"/>
      <c r="G97" s="42"/>
      <c r="H97" s="42"/>
    </row>
    <row r="98" spans="1:8" x14ac:dyDescent="0.2">
      <c r="A98" s="38" t="s">
        <v>18</v>
      </c>
      <c r="B98" s="61"/>
      <c r="C98" s="62"/>
      <c r="D98" s="87"/>
      <c r="E98" s="42"/>
      <c r="F98" s="42">
        <f>[4]Charters!C1307</f>
        <v>3806.76</v>
      </c>
      <c r="G98" s="42"/>
      <c r="H98" s="42"/>
    </row>
    <row r="99" spans="1:8" x14ac:dyDescent="0.2">
      <c r="A99" s="59" t="s">
        <v>39</v>
      </c>
      <c r="B99" s="43"/>
      <c r="C99" s="56"/>
      <c r="D99" s="41">
        <f>[4]Charters!C1154</f>
        <v>3806.76</v>
      </c>
      <c r="E99" s="42"/>
      <c r="F99" s="42">
        <f>SUM(D99:D102)</f>
        <v>3806.76</v>
      </c>
      <c r="G99" s="42"/>
      <c r="H99" s="42"/>
    </row>
    <row r="100" spans="1:8" x14ac:dyDescent="0.2">
      <c r="A100" s="59" t="s">
        <v>48</v>
      </c>
      <c r="B100" s="43"/>
      <c r="C100" s="56"/>
      <c r="D100" s="41">
        <f>[4]Charters!D1154</f>
        <v>0</v>
      </c>
      <c r="E100" s="42"/>
      <c r="F100" s="42">
        <f>+F98-F99</f>
        <v>0</v>
      </c>
      <c r="G100" s="42"/>
      <c r="H100" s="42"/>
    </row>
    <row r="101" spans="1:8" x14ac:dyDescent="0.2">
      <c r="A101" s="59" t="s">
        <v>60</v>
      </c>
      <c r="B101" s="43"/>
      <c r="C101" s="56"/>
      <c r="D101" s="41">
        <f>[4]Charters!E1154</f>
        <v>0</v>
      </c>
      <c r="E101" s="42"/>
      <c r="F101" s="42"/>
      <c r="G101" s="42"/>
      <c r="H101" s="42"/>
    </row>
    <row r="102" spans="1:8" x14ac:dyDescent="0.2">
      <c r="A102" s="59" t="s">
        <v>61</v>
      </c>
      <c r="B102" s="43"/>
      <c r="C102" s="56"/>
      <c r="D102" s="41">
        <f>[4]Charters!F1154</f>
        <v>0</v>
      </c>
      <c r="E102" s="42"/>
      <c r="F102" s="42"/>
      <c r="G102" s="42"/>
      <c r="H102" s="42"/>
    </row>
    <row r="103" spans="1:8" ht="13.5" thickBot="1" x14ac:dyDescent="0.25">
      <c r="A103" s="64"/>
      <c r="B103" s="65"/>
      <c r="C103" s="66"/>
      <c r="D103" s="67">
        <f>SUM(D78:D102)</f>
        <v>3185367.77</v>
      </c>
      <c r="E103" s="42"/>
      <c r="F103" s="42"/>
      <c r="G103" s="42"/>
      <c r="H103" s="42"/>
    </row>
    <row r="104" spans="1:8" ht="13.5" thickTop="1" x14ac:dyDescent="0.2">
      <c r="A104" s="68"/>
      <c r="B104" s="43"/>
      <c r="C104" s="56"/>
      <c r="D104" s="86"/>
      <c r="E104" s="42"/>
      <c r="F104" s="42"/>
      <c r="G104" s="42"/>
      <c r="H104" s="42"/>
    </row>
    <row r="105" spans="1:8" x14ac:dyDescent="0.2">
      <c r="A105" s="38" t="s">
        <v>20</v>
      </c>
      <c r="B105" s="39"/>
      <c r="C105" s="70"/>
      <c r="D105" s="71" t="s">
        <v>21</v>
      </c>
      <c r="E105" s="42"/>
      <c r="F105" s="42"/>
      <c r="G105" s="42"/>
      <c r="H105" s="42"/>
    </row>
    <row r="106" spans="1:8" x14ac:dyDescent="0.2">
      <c r="A106" s="72" t="s">
        <v>22</v>
      </c>
      <c r="B106" s="73"/>
      <c r="C106" s="74"/>
      <c r="D106" s="41">
        <f>[5]Charters!C60</f>
        <v>1224.22</v>
      </c>
      <c r="E106" s="42"/>
      <c r="F106" s="42"/>
      <c r="G106" s="42"/>
      <c r="H106" s="42"/>
    </row>
    <row r="107" spans="1:8" x14ac:dyDescent="0.2">
      <c r="A107" s="75"/>
      <c r="B107" s="61"/>
      <c r="C107" s="76"/>
      <c r="D107" s="77">
        <f>SUM(D106:D106)</f>
        <v>1224.22</v>
      </c>
      <c r="E107" s="42"/>
      <c r="F107" s="42"/>
      <c r="G107" s="42"/>
      <c r="H107" s="42"/>
    </row>
    <row r="108" spans="1:8" x14ac:dyDescent="0.2">
      <c r="A108" s="78" t="s">
        <v>58</v>
      </c>
      <c r="B108" s="79"/>
      <c r="C108" s="80"/>
      <c r="D108" s="77">
        <f>D107+D103</f>
        <v>3186591.99</v>
      </c>
      <c r="E108" s="42"/>
      <c r="F108" s="42"/>
      <c r="G108" s="42"/>
      <c r="H108" s="42"/>
    </row>
    <row r="109" spans="1:8" x14ac:dyDescent="0.2">
      <c r="A109" s="84"/>
      <c r="B109" s="84"/>
      <c r="C109" s="85"/>
      <c r="D109" s="81"/>
      <c r="E109" s="42"/>
      <c r="F109" s="42"/>
      <c r="G109" s="42"/>
      <c r="H109" s="42"/>
    </row>
    <row r="110" spans="1:8" x14ac:dyDescent="0.2">
      <c r="A110" s="84"/>
      <c r="B110" s="84"/>
      <c r="C110" s="85"/>
      <c r="D110" s="81">
        <f>[5]Charters!E216</f>
        <v>3186591.99</v>
      </c>
      <c r="E110" s="42"/>
      <c r="F110" s="42"/>
      <c r="G110" s="42"/>
      <c r="H110" s="42"/>
    </row>
    <row r="111" spans="1:8" x14ac:dyDescent="0.2">
      <c r="A111" s="84"/>
      <c r="B111" s="84"/>
      <c r="C111" s="85"/>
      <c r="D111" s="81">
        <f>D108</f>
        <v>3186591.99</v>
      </c>
      <c r="E111" s="42"/>
      <c r="F111" s="42"/>
      <c r="G111" s="42"/>
      <c r="H111" s="42"/>
    </row>
    <row r="112" spans="1:8" x14ac:dyDescent="0.2">
      <c r="C112" s="83"/>
      <c r="D112" s="42">
        <f>D110-D111</f>
        <v>0</v>
      </c>
      <c r="E112" s="42"/>
      <c r="F112" s="42"/>
      <c r="G112" s="42"/>
      <c r="H112" s="42"/>
    </row>
    <row r="113" spans="3:8" x14ac:dyDescent="0.2">
      <c r="C113" s="83"/>
      <c r="D113" s="42">
        <f>D111-D112</f>
        <v>3186591.99</v>
      </c>
      <c r="E113" s="42"/>
      <c r="F113" s="42"/>
      <c r="G113" s="42"/>
      <c r="H113" s="42"/>
    </row>
  </sheetData>
  <mergeCells count="4">
    <mergeCell ref="A54:D54"/>
    <mergeCell ref="A108:C108"/>
    <mergeCell ref="A55:D55"/>
    <mergeCell ref="A56:D56"/>
  </mergeCells>
  <phoneticPr fontId="1" type="noConversion"/>
  <printOptions horizontalCentered="1" verticalCentered="1"/>
  <pageMargins left="0.5" right="0.5" top="0.5" bottom="0.5" header="0.25" footer="0.25"/>
  <pageSetup orientation="portrait" verticalDpi="300" r:id="rId1"/>
  <headerFooter alignWithMargins="0">
    <oddHeader>&amp;R&amp;8Current as of: &amp;D</oddHeader>
    <oddFooter>&amp;L&amp;8USOE, School Finance</oddFooter>
  </headerFooter>
  <picture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>
    <pageSetUpPr fitToPage="1"/>
  </sheetPr>
  <dimension ref="A1:H114"/>
  <sheetViews>
    <sheetView topLeftCell="A51" workbookViewId="0">
      <selection activeCell="C12" sqref="C12"/>
    </sheetView>
  </sheetViews>
  <sheetFormatPr defaultColWidth="9.140625" defaultRowHeight="12.75" x14ac:dyDescent="0.2"/>
  <cols>
    <col min="1" max="1" width="31.85546875" style="82" customWidth="1"/>
    <col min="2" max="2" width="16.140625" style="82" customWidth="1"/>
    <col min="3" max="4" width="14.85546875" style="82" customWidth="1"/>
    <col min="5" max="5" width="7" style="82" customWidth="1"/>
    <col min="6" max="6" width="19.7109375" style="82" customWidth="1"/>
    <col min="7" max="7" width="5.7109375" style="82" customWidth="1"/>
    <col min="8" max="8" width="18" style="82" customWidth="1"/>
    <col min="9" max="16384" width="9.140625" style="82"/>
  </cols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"/>
      <c r="B3" s="1"/>
      <c r="C3" s="1"/>
      <c r="D3" s="1"/>
      <c r="E3" s="1"/>
      <c r="F3" s="1"/>
      <c r="G3" s="1"/>
      <c r="H3" s="1"/>
    </row>
    <row r="4" spans="1:8" x14ac:dyDescent="0.2">
      <c r="A4" s="1"/>
      <c r="B4" s="1"/>
      <c r="C4" s="1"/>
      <c r="D4" s="1"/>
      <c r="E4" s="1"/>
      <c r="F4" s="1"/>
      <c r="G4" s="1"/>
      <c r="H4" s="1"/>
    </row>
    <row r="5" spans="1:8" x14ac:dyDescent="0.2">
      <c r="A5" s="1"/>
      <c r="B5" s="1"/>
      <c r="C5" s="1"/>
      <c r="D5" s="1"/>
      <c r="E5" s="1"/>
      <c r="F5" s="1"/>
      <c r="G5" s="1"/>
      <c r="H5" s="1"/>
    </row>
    <row r="6" spans="1:8" x14ac:dyDescent="0.2">
      <c r="A6" s="1"/>
      <c r="B6" s="1"/>
      <c r="C6" s="1"/>
      <c r="D6" s="1"/>
      <c r="E6" s="1"/>
      <c r="F6" s="1"/>
      <c r="G6" s="1"/>
      <c r="H6" s="1"/>
    </row>
    <row r="7" spans="1:8" x14ac:dyDescent="0.2">
      <c r="A7" s="1"/>
      <c r="B7" s="1"/>
      <c r="C7" s="1"/>
      <c r="D7" s="1"/>
      <c r="E7" s="1"/>
      <c r="F7" s="1"/>
      <c r="G7" s="1"/>
      <c r="H7" s="1"/>
    </row>
    <row r="8" spans="1:8" x14ac:dyDescent="0.2">
      <c r="A8" s="1"/>
      <c r="B8" s="1"/>
      <c r="C8" s="1"/>
      <c r="D8" s="1"/>
      <c r="E8" s="1"/>
      <c r="F8" s="1"/>
      <c r="G8" s="1"/>
      <c r="H8" s="1"/>
    </row>
    <row r="9" spans="1:8" x14ac:dyDescent="0.2">
      <c r="A9" s="1"/>
      <c r="B9" s="1"/>
      <c r="C9" s="1"/>
      <c r="D9" s="1"/>
      <c r="E9" s="1"/>
      <c r="F9" s="1"/>
      <c r="G9" s="1"/>
      <c r="H9" s="1"/>
    </row>
    <row r="10" spans="1:8" x14ac:dyDescent="0.2">
      <c r="A10" s="1"/>
      <c r="B10" s="1"/>
      <c r="C10" s="1"/>
      <c r="D10" s="1"/>
      <c r="E10" s="1"/>
      <c r="F10" s="1"/>
      <c r="G10" s="1"/>
      <c r="H10" s="1"/>
    </row>
    <row r="11" spans="1:8" x14ac:dyDescent="0.2">
      <c r="A11" s="1"/>
      <c r="B11" s="1"/>
      <c r="C11" s="1"/>
      <c r="D11" s="1"/>
      <c r="E11" s="1"/>
      <c r="F11" s="1"/>
      <c r="G11" s="1"/>
      <c r="H11" s="1"/>
    </row>
    <row r="12" spans="1:8" x14ac:dyDescent="0.2">
      <c r="A12" s="1"/>
      <c r="B12" s="1"/>
      <c r="C12" s="1"/>
      <c r="D12" s="1"/>
      <c r="E12" s="1"/>
      <c r="F12" s="1"/>
      <c r="G12" s="1"/>
      <c r="H12" s="1"/>
    </row>
    <row r="13" spans="1:8" x14ac:dyDescent="0.2">
      <c r="A13" s="1"/>
      <c r="B13" s="1"/>
      <c r="C13" s="1"/>
      <c r="D13" s="1"/>
      <c r="E13" s="1"/>
      <c r="F13" s="1"/>
      <c r="G13" s="1"/>
      <c r="H13" s="1"/>
    </row>
    <row r="14" spans="1:8" x14ac:dyDescent="0.2">
      <c r="A14" s="1"/>
      <c r="B14" s="1"/>
      <c r="C14" s="1"/>
      <c r="D14" s="1"/>
      <c r="E14" s="1"/>
      <c r="F14" s="1"/>
      <c r="G14" s="1"/>
      <c r="H14" s="1"/>
    </row>
    <row r="15" spans="1:8" x14ac:dyDescent="0.2">
      <c r="A15" s="1"/>
      <c r="B15" s="1"/>
      <c r="C15" s="1"/>
      <c r="D15" s="1"/>
      <c r="E15" s="1"/>
      <c r="F15" s="1"/>
      <c r="G15" s="1"/>
      <c r="H15" s="1"/>
    </row>
    <row r="16" spans="1:8" x14ac:dyDescent="0.2">
      <c r="A16" s="1"/>
      <c r="B16" s="1"/>
      <c r="C16" s="1"/>
      <c r="D16" s="1"/>
      <c r="E16" s="1"/>
      <c r="F16" s="1"/>
      <c r="G16" s="1"/>
      <c r="H16" s="1"/>
    </row>
    <row r="17" spans="1:8" x14ac:dyDescent="0.2">
      <c r="A17" s="1"/>
      <c r="B17" s="1"/>
      <c r="C17" s="1"/>
      <c r="D17" s="1"/>
      <c r="E17" s="1"/>
      <c r="F17" s="1"/>
      <c r="G17" s="1"/>
      <c r="H17" s="1"/>
    </row>
    <row r="18" spans="1:8" x14ac:dyDescent="0.2">
      <c r="A18" s="1"/>
      <c r="B18" s="1"/>
      <c r="C18" s="1"/>
      <c r="D18" s="1"/>
      <c r="E18" s="1"/>
      <c r="F18" s="1"/>
      <c r="G18" s="1"/>
      <c r="H18" s="1"/>
    </row>
    <row r="19" spans="1:8" x14ac:dyDescent="0.2">
      <c r="A19" s="1"/>
      <c r="B19" s="1"/>
      <c r="C19" s="1"/>
      <c r="D19" s="1"/>
      <c r="E19" s="1"/>
      <c r="F19" s="1"/>
      <c r="G19" s="1"/>
      <c r="H19" s="1"/>
    </row>
    <row r="20" spans="1:8" x14ac:dyDescent="0.2">
      <c r="A20" s="1"/>
      <c r="B20" s="1"/>
      <c r="C20" s="1"/>
      <c r="D20" s="1"/>
      <c r="E20" s="1"/>
      <c r="F20" s="1"/>
      <c r="G20" s="1"/>
      <c r="H20" s="1"/>
    </row>
    <row r="21" spans="1:8" x14ac:dyDescent="0.2">
      <c r="A21" s="1"/>
      <c r="B21" s="1"/>
      <c r="C21" s="1"/>
      <c r="D21" s="1"/>
      <c r="E21" s="1"/>
      <c r="F21" s="1"/>
      <c r="G21" s="1"/>
      <c r="H21" s="1"/>
    </row>
    <row r="22" spans="1:8" x14ac:dyDescent="0.2">
      <c r="A22" s="1"/>
      <c r="B22" s="1"/>
      <c r="C22" s="1"/>
      <c r="D22" s="4"/>
      <c r="E22" s="1"/>
      <c r="F22" s="1"/>
      <c r="G22" s="1"/>
      <c r="H22" s="1"/>
    </row>
    <row r="23" spans="1:8" x14ac:dyDescent="0.2">
      <c r="A23" s="1"/>
      <c r="B23" s="1"/>
      <c r="C23" s="1"/>
      <c r="D23" s="1"/>
      <c r="E23" s="1"/>
      <c r="F23" s="1"/>
      <c r="G23" s="1"/>
      <c r="H23" s="1"/>
    </row>
    <row r="24" spans="1:8" x14ac:dyDescent="0.2">
      <c r="A24" s="1"/>
      <c r="B24" s="1"/>
      <c r="C24" s="1"/>
      <c r="D24" s="1"/>
      <c r="E24" s="1"/>
      <c r="F24" s="1"/>
      <c r="G24" s="1"/>
      <c r="H24" s="1"/>
    </row>
    <row r="25" spans="1:8" x14ac:dyDescent="0.2">
      <c r="A25" s="1"/>
      <c r="B25" s="1"/>
      <c r="C25" s="1"/>
      <c r="D25" s="1"/>
      <c r="E25" s="1"/>
      <c r="F25" s="1"/>
      <c r="G25" s="1"/>
      <c r="H25" s="1"/>
    </row>
    <row r="26" spans="1:8" x14ac:dyDescent="0.2">
      <c r="A26" s="1"/>
      <c r="B26" s="1"/>
      <c r="C26" s="1"/>
      <c r="D26" s="1"/>
      <c r="E26" s="1"/>
      <c r="F26" s="1"/>
      <c r="G26" s="1"/>
      <c r="H26" s="1"/>
    </row>
    <row r="27" spans="1:8" x14ac:dyDescent="0.2">
      <c r="A27" s="1"/>
      <c r="B27" s="1"/>
      <c r="C27" s="1"/>
      <c r="D27" s="1"/>
      <c r="E27" s="1"/>
      <c r="F27" s="1"/>
      <c r="G27" s="1"/>
      <c r="H27" s="1"/>
    </row>
    <row r="28" spans="1:8" x14ac:dyDescent="0.2">
      <c r="A28" s="1"/>
      <c r="B28" s="1"/>
      <c r="C28" s="1"/>
      <c r="D28" s="1"/>
      <c r="E28" s="1"/>
      <c r="F28" s="1"/>
      <c r="G28" s="1"/>
      <c r="H28" s="1"/>
    </row>
    <row r="29" spans="1:8" x14ac:dyDescent="0.2">
      <c r="A29" s="1"/>
      <c r="B29" s="1"/>
      <c r="C29" s="1"/>
      <c r="D29" s="1"/>
      <c r="E29" s="1"/>
      <c r="F29" s="1"/>
      <c r="G29" s="1"/>
      <c r="H29" s="1"/>
    </row>
    <row r="30" spans="1:8" x14ac:dyDescent="0.2">
      <c r="A30" s="1"/>
      <c r="B30" s="1"/>
      <c r="C30" s="1"/>
      <c r="D30" s="1"/>
      <c r="E30" s="1"/>
      <c r="F30" s="1"/>
      <c r="G30" s="1"/>
      <c r="H30" s="1"/>
    </row>
    <row r="31" spans="1:8" x14ac:dyDescent="0.2">
      <c r="A31" s="1"/>
      <c r="B31" s="1"/>
      <c r="C31" s="1"/>
      <c r="D31" s="1"/>
      <c r="E31" s="1"/>
      <c r="F31" s="1"/>
      <c r="G31" s="1"/>
      <c r="H31" s="1"/>
    </row>
    <row r="32" spans="1:8" x14ac:dyDescent="0.2">
      <c r="A32" s="1"/>
      <c r="B32" s="1"/>
      <c r="C32" s="1"/>
      <c r="D32" s="1"/>
      <c r="E32" s="1"/>
      <c r="F32" s="1"/>
      <c r="G32" s="1"/>
      <c r="H32" s="1"/>
    </row>
    <row r="33" spans="1:8" x14ac:dyDescent="0.2">
      <c r="A33" s="1"/>
      <c r="B33" s="1"/>
      <c r="C33" s="1"/>
      <c r="D33" s="1"/>
      <c r="E33" s="1"/>
      <c r="F33" s="1"/>
      <c r="G33" s="1"/>
      <c r="H33" s="1"/>
    </row>
    <row r="34" spans="1:8" x14ac:dyDescent="0.2">
      <c r="A34" s="1"/>
      <c r="B34" s="1"/>
      <c r="C34" s="1"/>
      <c r="D34" s="1"/>
      <c r="E34" s="1"/>
      <c r="F34" s="1"/>
      <c r="G34" s="1"/>
      <c r="H34" s="1"/>
    </row>
    <row r="35" spans="1:8" x14ac:dyDescent="0.2">
      <c r="A35" s="1"/>
      <c r="B35" s="1"/>
      <c r="C35" s="1"/>
      <c r="D35" s="1"/>
      <c r="E35" s="1"/>
      <c r="F35" s="1"/>
      <c r="G35" s="1"/>
      <c r="H35" s="1"/>
    </row>
    <row r="36" spans="1:8" x14ac:dyDescent="0.2">
      <c r="A36" s="1"/>
      <c r="B36" s="1"/>
      <c r="C36" s="1"/>
      <c r="D36" s="1"/>
      <c r="E36" s="1"/>
      <c r="F36" s="1"/>
      <c r="G36" s="1"/>
      <c r="H36" s="1"/>
    </row>
    <row r="37" spans="1:8" x14ac:dyDescent="0.2">
      <c r="A37" s="1"/>
      <c r="B37" s="1"/>
      <c r="C37" s="1"/>
      <c r="D37" s="1"/>
      <c r="E37" s="1"/>
      <c r="F37" s="1"/>
      <c r="G37" s="1"/>
      <c r="H37" s="1"/>
    </row>
    <row r="38" spans="1:8" x14ac:dyDescent="0.2">
      <c r="A38" s="1"/>
      <c r="B38" s="1"/>
      <c r="C38" s="1"/>
      <c r="D38" s="1"/>
      <c r="E38" s="1"/>
      <c r="F38" s="1"/>
      <c r="G38" s="1"/>
      <c r="H38" s="1"/>
    </row>
    <row r="39" spans="1:8" x14ac:dyDescent="0.2">
      <c r="A39" s="1"/>
      <c r="B39" s="1"/>
      <c r="C39" s="1"/>
      <c r="D39" s="1"/>
      <c r="E39" s="1"/>
      <c r="F39" s="1"/>
      <c r="G39" s="1"/>
      <c r="H39" s="1"/>
    </row>
    <row r="40" spans="1:8" x14ac:dyDescent="0.2">
      <c r="A40" s="1"/>
      <c r="B40" s="1"/>
      <c r="C40" s="1"/>
      <c r="D40" s="1"/>
      <c r="E40" s="1"/>
      <c r="F40" s="1"/>
      <c r="G40" s="1"/>
      <c r="H40" s="1"/>
    </row>
    <row r="41" spans="1:8" x14ac:dyDescent="0.2">
      <c r="A41" s="1"/>
      <c r="B41" s="1"/>
      <c r="C41" s="1"/>
      <c r="D41" s="1"/>
      <c r="E41" s="1"/>
      <c r="F41" s="1"/>
      <c r="G41" s="1"/>
      <c r="H41" s="1"/>
    </row>
    <row r="42" spans="1:8" x14ac:dyDescent="0.2">
      <c r="A42" s="1"/>
      <c r="B42" s="1"/>
      <c r="C42" s="1"/>
      <c r="D42" s="1"/>
      <c r="E42" s="1"/>
      <c r="F42" s="1"/>
      <c r="G42" s="1"/>
      <c r="H42" s="1"/>
    </row>
    <row r="43" spans="1:8" x14ac:dyDescent="0.2">
      <c r="A43" s="1"/>
      <c r="B43" s="1"/>
      <c r="C43" s="1"/>
      <c r="D43" s="1"/>
      <c r="E43" s="1"/>
      <c r="F43" s="1"/>
      <c r="G43" s="1"/>
      <c r="H43" s="1"/>
    </row>
    <row r="44" spans="1:8" x14ac:dyDescent="0.2">
      <c r="A44" s="1"/>
      <c r="B44" s="1"/>
      <c r="C44" s="1"/>
      <c r="D44" s="1"/>
      <c r="E44" s="1"/>
      <c r="F44" s="1"/>
      <c r="G44" s="1"/>
      <c r="H44" s="1"/>
    </row>
    <row r="45" spans="1:8" x14ac:dyDescent="0.2">
      <c r="A45" s="1"/>
      <c r="B45" s="1"/>
      <c r="C45" s="1"/>
      <c r="D45" s="1"/>
      <c r="E45" s="1"/>
      <c r="F45" s="1"/>
      <c r="G45" s="1"/>
      <c r="H45" s="1"/>
    </row>
    <row r="46" spans="1:8" x14ac:dyDescent="0.2">
      <c r="A46" s="1"/>
      <c r="B46" s="1"/>
      <c r="C46" s="1"/>
      <c r="D46" s="1"/>
      <c r="E46" s="1"/>
      <c r="F46" s="1"/>
      <c r="G46" s="1"/>
      <c r="H46" s="1"/>
    </row>
    <row r="47" spans="1:8" x14ac:dyDescent="0.2">
      <c r="A47" s="1"/>
      <c r="B47" s="1"/>
      <c r="C47" s="1"/>
      <c r="D47" s="1"/>
      <c r="E47" s="1"/>
      <c r="F47" s="1"/>
      <c r="G47" s="1"/>
      <c r="H47" s="1"/>
    </row>
    <row r="48" spans="1:8" x14ac:dyDescent="0.2">
      <c r="A48" s="1"/>
      <c r="B48" s="1"/>
      <c r="C48" s="1"/>
      <c r="D48" s="1"/>
      <c r="E48" s="1"/>
      <c r="F48" s="1"/>
      <c r="G48" s="1"/>
      <c r="H48" s="1"/>
    </row>
    <row r="49" spans="1:8" x14ac:dyDescent="0.2">
      <c r="A49" s="1"/>
      <c r="B49" s="1"/>
      <c r="C49" s="1"/>
      <c r="D49" s="1"/>
      <c r="E49" s="1"/>
      <c r="F49" s="1"/>
      <c r="G49" s="1"/>
      <c r="H49" s="1"/>
    </row>
    <row r="50" spans="1:8" x14ac:dyDescent="0.2">
      <c r="A50" s="1"/>
      <c r="B50" s="1"/>
      <c r="C50" s="1"/>
      <c r="D50" s="1"/>
      <c r="E50" s="1"/>
      <c r="F50" s="1"/>
      <c r="G50" s="1"/>
      <c r="H50" s="1"/>
    </row>
    <row r="51" spans="1:8" x14ac:dyDescent="0.2">
      <c r="A51" s="1"/>
      <c r="B51" s="1"/>
      <c r="C51" s="1"/>
      <c r="D51" s="1"/>
      <c r="E51" s="1"/>
      <c r="F51" s="1"/>
      <c r="G51" s="1"/>
      <c r="H51" s="1"/>
    </row>
    <row r="52" spans="1:8" x14ac:dyDescent="0.2">
      <c r="A52" s="1"/>
      <c r="B52" s="1"/>
      <c r="C52" s="1"/>
      <c r="D52" s="1"/>
      <c r="E52" s="1"/>
      <c r="F52" s="1"/>
      <c r="G52" s="1"/>
      <c r="H52" s="1"/>
    </row>
    <row r="53" spans="1:8" x14ac:dyDescent="0.2">
      <c r="A53" s="1"/>
      <c r="B53" s="1"/>
      <c r="C53" s="1"/>
      <c r="D53" s="1"/>
      <c r="E53" s="1"/>
      <c r="F53" s="1"/>
      <c r="G53" s="1"/>
      <c r="H53" s="1"/>
    </row>
    <row r="54" spans="1:8" x14ac:dyDescent="0.2">
      <c r="A54" s="1"/>
      <c r="B54" s="1"/>
      <c r="C54" s="1"/>
      <c r="D54" s="1"/>
      <c r="E54" s="1"/>
      <c r="F54" s="1"/>
      <c r="G54" s="1"/>
      <c r="H54" s="1"/>
    </row>
    <row r="55" spans="1:8" x14ac:dyDescent="0.2">
      <c r="A55" s="11" t="s">
        <v>1</v>
      </c>
      <c r="B55" s="12"/>
      <c r="C55" s="12"/>
      <c r="D55" s="13"/>
      <c r="E55" s="8"/>
      <c r="F55" s="8"/>
      <c r="G55" s="8"/>
      <c r="H55" s="8"/>
    </row>
    <row r="56" spans="1:8" x14ac:dyDescent="0.2">
      <c r="A56" s="14" t="s">
        <v>15</v>
      </c>
      <c r="B56" s="15"/>
      <c r="C56" s="15"/>
      <c r="D56" s="16"/>
      <c r="E56" s="8"/>
      <c r="F56" s="8"/>
      <c r="G56" s="8"/>
      <c r="H56" s="8"/>
    </row>
    <row r="57" spans="1:8" x14ac:dyDescent="0.2">
      <c r="A57" s="17" t="s">
        <v>62</v>
      </c>
      <c r="B57" s="18"/>
      <c r="C57" s="18"/>
      <c r="D57" s="19"/>
      <c r="E57" s="8"/>
      <c r="F57" s="8"/>
      <c r="G57" s="8"/>
      <c r="H57" s="8"/>
    </row>
    <row r="58" spans="1:8" x14ac:dyDescent="0.2">
      <c r="A58" s="20"/>
      <c r="B58" s="21"/>
      <c r="C58" s="22"/>
      <c r="D58" s="23"/>
      <c r="E58" s="8"/>
      <c r="F58" s="8" t="s">
        <v>34</v>
      </c>
      <c r="G58" s="8"/>
      <c r="H58" s="8"/>
    </row>
    <row r="59" spans="1:8" ht="15.75" x14ac:dyDescent="0.25">
      <c r="A59" s="24" t="s">
        <v>2</v>
      </c>
      <c r="B59" s="25" t="str">
        <f>[1]Charters!B62</f>
        <v>Guadalupe School</v>
      </c>
      <c r="C59" s="26"/>
      <c r="D59" s="27"/>
      <c r="E59" s="8"/>
      <c r="F59" s="8"/>
      <c r="G59" s="8"/>
      <c r="H59" s="8"/>
    </row>
    <row r="60" spans="1:8" x14ac:dyDescent="0.2">
      <c r="A60" s="24"/>
      <c r="B60" s="28"/>
      <c r="C60" s="26"/>
      <c r="D60" s="27"/>
      <c r="E60" s="8"/>
      <c r="F60" s="8"/>
      <c r="G60" s="8"/>
      <c r="H60" s="8"/>
    </row>
    <row r="61" spans="1:8" x14ac:dyDescent="0.2">
      <c r="A61" s="29" t="s">
        <v>0</v>
      </c>
      <c r="B61" s="30">
        <f>[1]Charters!$E$6</f>
        <v>3184</v>
      </c>
      <c r="C61" s="26"/>
      <c r="D61" s="31"/>
      <c r="E61" s="8"/>
      <c r="F61" s="8"/>
      <c r="G61" s="8"/>
      <c r="H61" s="8"/>
    </row>
    <row r="62" spans="1:8" x14ac:dyDescent="0.2">
      <c r="A62" s="32"/>
      <c r="B62" s="6"/>
      <c r="C62" s="33"/>
      <c r="D62" s="34" t="s">
        <v>3</v>
      </c>
      <c r="E62" s="8"/>
      <c r="F62" s="8"/>
      <c r="G62" s="8"/>
      <c r="H62" s="8"/>
    </row>
    <row r="63" spans="1:8" x14ac:dyDescent="0.2">
      <c r="A63" s="29" t="s">
        <v>19</v>
      </c>
      <c r="B63" s="35" t="str">
        <f>[1]Charters!A62</f>
        <v>1E</v>
      </c>
      <c r="C63" s="36" t="s">
        <v>4</v>
      </c>
      <c r="D63" s="37" t="s">
        <v>5</v>
      </c>
      <c r="E63" s="8"/>
      <c r="F63" s="8"/>
      <c r="G63" s="8"/>
      <c r="H63" s="8"/>
    </row>
    <row r="64" spans="1:8" x14ac:dyDescent="0.2">
      <c r="A64" s="38" t="s">
        <v>6</v>
      </c>
      <c r="B64" s="39"/>
      <c r="C64" s="40"/>
      <c r="D64" s="41"/>
      <c r="E64" s="8"/>
      <c r="F64" s="8"/>
      <c r="G64" s="8"/>
      <c r="H64" s="8"/>
    </row>
    <row r="65" spans="1:8" x14ac:dyDescent="0.2">
      <c r="A65" s="38" t="s">
        <v>7</v>
      </c>
      <c r="B65" s="39"/>
      <c r="C65" s="40"/>
      <c r="D65" s="41"/>
      <c r="E65" s="8"/>
      <c r="F65" s="42" t="s">
        <v>23</v>
      </c>
      <c r="G65" s="8"/>
      <c r="H65" s="42" t="s">
        <v>26</v>
      </c>
    </row>
    <row r="66" spans="1:8" x14ac:dyDescent="0.2">
      <c r="A66" s="20" t="s">
        <v>8</v>
      </c>
      <c r="B66" s="43"/>
      <c r="C66" s="44">
        <f>[1]Charters!C522</f>
        <v>248.38</v>
      </c>
      <c r="D66" s="45">
        <f>[1]Charters!E522</f>
        <v>790841.92</v>
      </c>
      <c r="E66" s="8"/>
      <c r="F66" s="42">
        <f>[1]Charters!E677</f>
        <v>848836.73</v>
      </c>
      <c r="G66" s="8"/>
      <c r="H66" s="42">
        <f>[2]Charters!E216</f>
        <v>1041474.13</v>
      </c>
    </row>
    <row r="67" spans="1:8" x14ac:dyDescent="0.2">
      <c r="A67" s="20" t="s">
        <v>14</v>
      </c>
      <c r="B67" s="43"/>
      <c r="C67" s="44">
        <f>[1]Charters!F522</f>
        <v>18.213999999999999</v>
      </c>
      <c r="D67" s="45">
        <f>[1]Charters!H522</f>
        <v>57994.81</v>
      </c>
      <c r="E67" s="8"/>
      <c r="F67" s="42">
        <f>SUM(D66:D68)</f>
        <v>848836.73</v>
      </c>
      <c r="G67" s="8"/>
      <c r="H67" s="42">
        <f>D79</f>
        <v>1041474.13</v>
      </c>
    </row>
    <row r="68" spans="1:8" x14ac:dyDescent="0.2">
      <c r="A68" s="20" t="s">
        <v>32</v>
      </c>
      <c r="B68" s="43"/>
      <c r="C68" s="44">
        <f>[1]Charters!C215</f>
        <v>0</v>
      </c>
      <c r="D68" s="45">
        <f>[1]Charters!E215</f>
        <v>0</v>
      </c>
      <c r="E68" s="8"/>
      <c r="F68" s="42">
        <f>+F66-F67</f>
        <v>0</v>
      </c>
      <c r="G68" s="8"/>
      <c r="H68" s="42">
        <f>+H66-H67</f>
        <v>0</v>
      </c>
    </row>
    <row r="69" spans="1:8" x14ac:dyDescent="0.2">
      <c r="A69" s="38" t="s">
        <v>9</v>
      </c>
      <c r="B69" s="39"/>
      <c r="C69" s="46"/>
      <c r="D69" s="47"/>
      <c r="E69" s="8"/>
      <c r="F69" s="8"/>
      <c r="G69" s="8"/>
      <c r="H69" s="8"/>
    </row>
    <row r="70" spans="1:8" x14ac:dyDescent="0.2">
      <c r="A70" s="20" t="s">
        <v>10</v>
      </c>
      <c r="B70" s="43"/>
      <c r="C70" s="40">
        <f>[3]Charters!C61</f>
        <v>31.27</v>
      </c>
      <c r="D70" s="41">
        <f>[3]Charters!E61</f>
        <v>99562.61</v>
      </c>
      <c r="E70" s="8"/>
      <c r="F70" s="42" t="s">
        <v>24</v>
      </c>
      <c r="G70" s="8"/>
      <c r="H70" s="8"/>
    </row>
    <row r="71" spans="1:8" x14ac:dyDescent="0.2">
      <c r="A71" s="48" t="s">
        <v>11</v>
      </c>
      <c r="B71" s="43"/>
      <c r="C71" s="40">
        <f>[3]Charters!F61</f>
        <v>1.99</v>
      </c>
      <c r="D71" s="49">
        <f>[3]Charters!H61</f>
        <v>6336.16</v>
      </c>
      <c r="E71" s="8"/>
      <c r="F71" s="42">
        <f>[3]Charters!N373</f>
        <v>109657.83</v>
      </c>
      <c r="G71" s="8"/>
      <c r="H71" s="8"/>
    </row>
    <row r="72" spans="1:8" x14ac:dyDescent="0.2">
      <c r="A72" s="48" t="s">
        <v>12</v>
      </c>
      <c r="B72" s="43"/>
      <c r="C72" s="40">
        <f>[3]Charters!C216</f>
        <v>0</v>
      </c>
      <c r="D72" s="41">
        <f>[3]Charters!E216</f>
        <v>0</v>
      </c>
      <c r="E72" s="8"/>
      <c r="F72" s="42">
        <f>SUM(D70:D76)</f>
        <v>109657.83</v>
      </c>
      <c r="G72" s="8"/>
      <c r="H72" s="8"/>
    </row>
    <row r="73" spans="1:8" x14ac:dyDescent="0.2">
      <c r="A73" s="20" t="s">
        <v>13</v>
      </c>
      <c r="B73" s="43"/>
      <c r="C73" s="40">
        <f>[3]Charters!F216</f>
        <v>0.70899999999999996</v>
      </c>
      <c r="D73" s="41">
        <f>[3]Charters!H216</f>
        <v>2259</v>
      </c>
      <c r="E73" s="8"/>
      <c r="F73" s="42">
        <f>+F71-F72</f>
        <v>0</v>
      </c>
      <c r="G73" s="8"/>
      <c r="H73" s="8"/>
    </row>
    <row r="74" spans="1:8" x14ac:dyDescent="0.2">
      <c r="A74" s="48" t="s">
        <v>54</v>
      </c>
      <c r="B74" s="43"/>
      <c r="C74" s="40">
        <f>[3]Charters!C373</f>
        <v>0.47099999999999997</v>
      </c>
      <c r="D74" s="41">
        <f>[3]Charters!E373</f>
        <v>1500.06</v>
      </c>
      <c r="E74" s="8"/>
      <c r="F74" s="8"/>
      <c r="G74" s="8"/>
      <c r="H74" s="8"/>
    </row>
    <row r="75" spans="1:8" x14ac:dyDescent="0.2">
      <c r="A75" s="48" t="s">
        <v>55</v>
      </c>
      <c r="B75" s="43"/>
      <c r="C75" s="40">
        <f>[3]Charters!F373</f>
        <v>0</v>
      </c>
      <c r="D75" s="41">
        <f>[3]Charters!H373</f>
        <v>0</v>
      </c>
      <c r="E75" s="8"/>
      <c r="F75" s="42" t="s">
        <v>25</v>
      </c>
      <c r="G75" s="8"/>
      <c r="H75" s="8"/>
    </row>
    <row r="76" spans="1:8" x14ac:dyDescent="0.2">
      <c r="A76" s="48" t="s">
        <v>56</v>
      </c>
      <c r="B76" s="43"/>
      <c r="C76" s="40">
        <f>[3]Charters!I373</f>
        <v>0</v>
      </c>
      <c r="D76" s="41">
        <f>[3]Charters!K373</f>
        <v>0</v>
      </c>
      <c r="E76" s="8"/>
      <c r="F76" s="42">
        <f>[2]Charters!H62</f>
        <v>192637.4</v>
      </c>
      <c r="G76" s="8"/>
      <c r="H76" s="8"/>
    </row>
    <row r="77" spans="1:8" x14ac:dyDescent="0.2">
      <c r="A77" s="20" t="s">
        <v>49</v>
      </c>
      <c r="B77" s="43"/>
      <c r="C77" s="40">
        <f>[3]Charters!C529</f>
        <v>0</v>
      </c>
      <c r="D77" s="41">
        <f>[3]Charters!E529</f>
        <v>0</v>
      </c>
      <c r="E77" s="8"/>
      <c r="F77" s="42">
        <f>SUM(D70:D78)</f>
        <v>192637.4</v>
      </c>
      <c r="G77" s="8"/>
      <c r="H77" s="8"/>
    </row>
    <row r="78" spans="1:8" x14ac:dyDescent="0.2">
      <c r="A78" s="20" t="s">
        <v>50</v>
      </c>
      <c r="B78" s="43"/>
      <c r="C78" s="40">
        <f>[2]Charters!C62</f>
        <v>26.061</v>
      </c>
      <c r="D78" s="41">
        <f>[2]Charters!E62</f>
        <v>82979.570000000007</v>
      </c>
      <c r="E78" s="8"/>
      <c r="F78" s="42">
        <f>+F76-F77</f>
        <v>0</v>
      </c>
      <c r="G78" s="8"/>
      <c r="H78" s="8"/>
    </row>
    <row r="79" spans="1:8" x14ac:dyDescent="0.2">
      <c r="A79" s="50"/>
      <c r="B79" s="51" t="s">
        <v>16</v>
      </c>
      <c r="C79" s="52">
        <f>SUM(C66:C78)</f>
        <v>327.09500000000003</v>
      </c>
      <c r="D79" s="53">
        <f>SUM(D66:D78)</f>
        <v>1041474.13</v>
      </c>
      <c r="E79" s="8"/>
      <c r="F79" s="8"/>
      <c r="G79" s="8"/>
      <c r="H79" s="8"/>
    </row>
    <row r="80" spans="1:8" x14ac:dyDescent="0.2">
      <c r="A80" s="54" t="s">
        <v>17</v>
      </c>
      <c r="B80" s="39"/>
      <c r="C80" s="55"/>
      <c r="D80" s="47"/>
      <c r="E80" s="8"/>
      <c r="F80" s="8"/>
      <c r="G80" s="8"/>
      <c r="H80" s="42" t="s">
        <v>29</v>
      </c>
    </row>
    <row r="81" spans="1:8" x14ac:dyDescent="0.2">
      <c r="A81" s="20" t="s">
        <v>33</v>
      </c>
      <c r="B81" s="43"/>
      <c r="C81" s="56"/>
      <c r="D81" s="57">
        <f>[4]Charters!C62</f>
        <v>3018.68</v>
      </c>
      <c r="E81" s="8"/>
      <c r="F81" s="8"/>
      <c r="G81" s="8"/>
      <c r="H81" s="42">
        <f>[4]Charters!F1002</f>
        <v>1893426.2</v>
      </c>
    </row>
    <row r="82" spans="1:8" x14ac:dyDescent="0.2">
      <c r="A82" s="58" t="s">
        <v>35</v>
      </c>
      <c r="B82" s="43"/>
      <c r="C82" s="56"/>
      <c r="D82" s="41">
        <f>+[4]Charters!F383</f>
        <v>0</v>
      </c>
      <c r="E82" s="8"/>
      <c r="F82" s="8"/>
      <c r="G82" s="8"/>
      <c r="H82" s="42">
        <f>SUM(D79:D98)</f>
        <v>1893426.2</v>
      </c>
    </row>
    <row r="83" spans="1:8" x14ac:dyDescent="0.2">
      <c r="A83" s="59" t="s">
        <v>36</v>
      </c>
      <c r="B83" s="43"/>
      <c r="C83" s="56"/>
      <c r="D83" s="41">
        <f>[4]Charters!E222</f>
        <v>73099</v>
      </c>
      <c r="E83" s="8"/>
      <c r="F83" s="8"/>
      <c r="G83" s="8"/>
      <c r="H83" s="42">
        <f>+H81-H82</f>
        <v>0</v>
      </c>
    </row>
    <row r="84" spans="1:8" x14ac:dyDescent="0.2">
      <c r="A84" s="59" t="s">
        <v>52</v>
      </c>
      <c r="B84" s="43"/>
      <c r="C84" s="56"/>
      <c r="D84" s="41">
        <f>[4]Charters!G383</f>
        <v>0</v>
      </c>
      <c r="E84" s="8"/>
      <c r="F84" s="42" t="s">
        <v>27</v>
      </c>
      <c r="G84" s="8"/>
      <c r="H84" s="42"/>
    </row>
    <row r="85" spans="1:8" x14ac:dyDescent="0.2">
      <c r="A85" s="20" t="s">
        <v>37</v>
      </c>
      <c r="B85" s="43"/>
      <c r="C85" s="56"/>
      <c r="D85" s="41">
        <f>[4]Charters!E539</f>
        <v>21448</v>
      </c>
      <c r="E85" s="8"/>
      <c r="F85" s="42">
        <f>[4]Charters!E222</f>
        <v>73099</v>
      </c>
      <c r="G85" s="8"/>
      <c r="H85" s="8"/>
    </row>
    <row r="86" spans="1:8" x14ac:dyDescent="0.2">
      <c r="A86" s="20" t="s">
        <v>38</v>
      </c>
      <c r="B86" s="43"/>
      <c r="C86" s="56"/>
      <c r="D86" s="41">
        <f>[4]Charters!F539</f>
        <v>0</v>
      </c>
      <c r="E86" s="8"/>
      <c r="F86" s="42">
        <f>SUM(D83:D83)</f>
        <v>73099</v>
      </c>
      <c r="G86" s="8"/>
      <c r="H86" s="8"/>
    </row>
    <row r="87" spans="1:8" x14ac:dyDescent="0.2">
      <c r="A87" s="59" t="s">
        <v>40</v>
      </c>
      <c r="B87" s="43"/>
      <c r="C87" s="56"/>
      <c r="D87" s="41">
        <f>[4]Charters!G539</f>
        <v>0</v>
      </c>
      <c r="E87" s="8"/>
      <c r="F87" s="42">
        <f>+F85-F86</f>
        <v>0</v>
      </c>
      <c r="G87" s="8"/>
      <c r="H87" s="8"/>
    </row>
    <row r="88" spans="1:8" x14ac:dyDescent="0.2">
      <c r="A88" s="20" t="s">
        <v>41</v>
      </c>
      <c r="B88" s="43"/>
      <c r="C88" s="56"/>
      <c r="D88" s="41">
        <f>[4]Charters!C693</f>
        <v>592296</v>
      </c>
      <c r="E88" s="8"/>
      <c r="F88" s="42" t="s">
        <v>28</v>
      </c>
      <c r="G88" s="8"/>
      <c r="H88" s="8"/>
    </row>
    <row r="89" spans="1:8" x14ac:dyDescent="0.2">
      <c r="A89" s="20" t="s">
        <v>42</v>
      </c>
      <c r="B89" s="43"/>
      <c r="C89" s="56"/>
      <c r="D89" s="41">
        <f>[4]Charters!D693</f>
        <v>84091.83</v>
      </c>
      <c r="E89" s="8"/>
      <c r="F89" s="42">
        <f>[4]Charters!D539</f>
        <v>73099</v>
      </c>
      <c r="G89" s="8"/>
      <c r="H89" s="8"/>
    </row>
    <row r="90" spans="1:8" x14ac:dyDescent="0.2">
      <c r="A90" s="20" t="s">
        <v>44</v>
      </c>
      <c r="B90" s="43"/>
      <c r="C90" s="56"/>
      <c r="D90" s="41">
        <f>[4]Charters!E693</f>
        <v>29600</v>
      </c>
      <c r="E90" s="8"/>
      <c r="F90" s="42">
        <f>SUM(D82:D84)</f>
        <v>73099</v>
      </c>
      <c r="G90" s="8"/>
      <c r="H90" s="8"/>
    </row>
    <row r="91" spans="1:8" x14ac:dyDescent="0.2">
      <c r="A91" s="59" t="s">
        <v>43</v>
      </c>
      <c r="B91" s="43"/>
      <c r="C91" s="56"/>
      <c r="D91" s="41">
        <f>[4]Charters!F693</f>
        <v>15152.66</v>
      </c>
      <c r="E91" s="8"/>
      <c r="F91" s="42">
        <f>+F89-F90</f>
        <v>0</v>
      </c>
      <c r="G91" s="8"/>
      <c r="H91" s="8"/>
    </row>
    <row r="92" spans="1:8" x14ac:dyDescent="0.2">
      <c r="A92" s="59" t="s">
        <v>45</v>
      </c>
      <c r="B92" s="43"/>
      <c r="C92" s="56"/>
      <c r="D92" s="41">
        <f>[4]Charters!C539</f>
        <v>0</v>
      </c>
      <c r="E92" s="8"/>
      <c r="F92" s="8"/>
      <c r="G92" s="8"/>
      <c r="H92" s="8"/>
    </row>
    <row r="93" spans="1:8" x14ac:dyDescent="0.2">
      <c r="A93" s="59" t="s">
        <v>46</v>
      </c>
      <c r="B93" s="43"/>
      <c r="C93" s="56"/>
      <c r="D93" s="41">
        <f>[4]Charters!C849</f>
        <v>0</v>
      </c>
      <c r="E93" s="8"/>
      <c r="F93" s="8"/>
      <c r="G93" s="8"/>
      <c r="H93" s="42" t="s">
        <v>31</v>
      </c>
    </row>
    <row r="94" spans="1:8" x14ac:dyDescent="0.2">
      <c r="A94" s="59" t="s">
        <v>51</v>
      </c>
      <c r="B94" s="43"/>
      <c r="C94" s="56"/>
      <c r="D94" s="60">
        <f>[4]Charters!D849</f>
        <v>513.9</v>
      </c>
      <c r="E94" s="42"/>
      <c r="F94" s="42"/>
      <c r="G94" s="42"/>
      <c r="H94" s="42">
        <f>[4]Charters!D1308</f>
        <v>1901478.22</v>
      </c>
    </row>
    <row r="95" spans="1:8" x14ac:dyDescent="0.2">
      <c r="A95" s="20" t="s">
        <v>47</v>
      </c>
      <c r="B95" s="43"/>
      <c r="C95" s="56"/>
      <c r="D95" s="60">
        <f>[4]Charters!E849</f>
        <v>32732</v>
      </c>
      <c r="E95" s="42"/>
      <c r="F95" s="42"/>
      <c r="G95" s="42"/>
      <c r="H95" s="42">
        <f>D104</f>
        <v>1901478.22</v>
      </c>
    </row>
    <row r="96" spans="1:8" x14ac:dyDescent="0.2">
      <c r="A96" s="20" t="s">
        <v>57</v>
      </c>
      <c r="B96" s="43"/>
      <c r="C96" s="56"/>
      <c r="D96" s="60">
        <f>[4]Charters!C1002</f>
        <v>0</v>
      </c>
      <c r="E96" s="42"/>
      <c r="F96" s="42"/>
      <c r="G96" s="42"/>
      <c r="H96" s="42">
        <f>+H94-H95</f>
        <v>0</v>
      </c>
    </row>
    <row r="97" spans="1:8" x14ac:dyDescent="0.2">
      <c r="A97" s="59" t="s">
        <v>53</v>
      </c>
      <c r="B97" s="43"/>
      <c r="C97" s="56"/>
      <c r="D97" s="60">
        <f>[4]Charters!D1002</f>
        <v>0</v>
      </c>
      <c r="E97" s="42"/>
      <c r="F97" s="42" t="s">
        <v>30</v>
      </c>
      <c r="G97" s="42"/>
      <c r="H97" s="42"/>
    </row>
    <row r="98" spans="1:8" x14ac:dyDescent="0.2">
      <c r="A98" s="59" t="s">
        <v>59</v>
      </c>
      <c r="B98" s="43"/>
      <c r="C98" s="56"/>
      <c r="D98" s="60">
        <f>[4]Charters!E1002</f>
        <v>0</v>
      </c>
      <c r="E98" s="42"/>
      <c r="F98" s="42"/>
      <c r="G98" s="42"/>
      <c r="H98" s="42"/>
    </row>
    <row r="99" spans="1:8" x14ac:dyDescent="0.2">
      <c r="A99" s="38" t="s">
        <v>18</v>
      </c>
      <c r="B99" s="61"/>
      <c r="C99" s="62"/>
      <c r="D99" s="87"/>
      <c r="E99" s="42"/>
      <c r="F99" s="42">
        <f>[4]Charters!C1308</f>
        <v>8052.02</v>
      </c>
      <c r="G99" s="42"/>
      <c r="H99" s="42"/>
    </row>
    <row r="100" spans="1:8" x14ac:dyDescent="0.2">
      <c r="A100" s="59" t="s">
        <v>39</v>
      </c>
      <c r="B100" s="43"/>
      <c r="C100" s="56"/>
      <c r="D100" s="41">
        <f>[4]Charters!C1155</f>
        <v>3052.02</v>
      </c>
      <c r="E100" s="42"/>
      <c r="F100" s="42">
        <f>SUM(D100:D103)</f>
        <v>8052.02</v>
      </c>
      <c r="G100" s="42"/>
      <c r="H100" s="42"/>
    </row>
    <row r="101" spans="1:8" x14ac:dyDescent="0.2">
      <c r="A101" s="59" t="s">
        <v>48</v>
      </c>
      <c r="B101" s="43"/>
      <c r="C101" s="56"/>
      <c r="D101" s="41">
        <f>[4]Charters!D1155</f>
        <v>0</v>
      </c>
      <c r="E101" s="42"/>
      <c r="F101" s="42">
        <f>+F99-F100</f>
        <v>0</v>
      </c>
      <c r="G101" s="42"/>
      <c r="H101" s="42"/>
    </row>
    <row r="102" spans="1:8" x14ac:dyDescent="0.2">
      <c r="A102" s="59" t="s">
        <v>60</v>
      </c>
      <c r="B102" s="43"/>
      <c r="C102" s="56"/>
      <c r="D102" s="41">
        <f>[4]Charters!E1155</f>
        <v>0</v>
      </c>
      <c r="E102" s="42"/>
      <c r="F102" s="42"/>
      <c r="G102" s="42"/>
      <c r="H102" s="42"/>
    </row>
    <row r="103" spans="1:8" x14ac:dyDescent="0.2">
      <c r="A103" s="59" t="s">
        <v>61</v>
      </c>
      <c r="B103" s="43"/>
      <c r="C103" s="56"/>
      <c r="D103" s="41">
        <f>[4]Charters!F1155</f>
        <v>5000</v>
      </c>
      <c r="E103" s="42"/>
      <c r="F103" s="42"/>
      <c r="G103" s="42"/>
      <c r="H103" s="42"/>
    </row>
    <row r="104" spans="1:8" ht="13.5" thickBot="1" x14ac:dyDescent="0.25">
      <c r="A104" s="64"/>
      <c r="B104" s="65"/>
      <c r="C104" s="66"/>
      <c r="D104" s="67">
        <f>SUM(D79:D103)</f>
        <v>1901478.22</v>
      </c>
      <c r="E104" s="42"/>
      <c r="F104" s="42"/>
      <c r="G104" s="42"/>
      <c r="H104" s="42"/>
    </row>
    <row r="105" spans="1:8" ht="13.5" thickTop="1" x14ac:dyDescent="0.2">
      <c r="A105" s="68"/>
      <c r="B105" s="43"/>
      <c r="C105" s="56"/>
      <c r="D105" s="86"/>
      <c r="E105" s="42"/>
      <c r="F105" s="42"/>
      <c r="G105" s="42"/>
      <c r="H105" s="42"/>
    </row>
    <row r="106" spans="1:8" x14ac:dyDescent="0.2">
      <c r="A106" s="38" t="s">
        <v>20</v>
      </c>
      <c r="B106" s="39"/>
      <c r="C106" s="70"/>
      <c r="D106" s="71" t="s">
        <v>21</v>
      </c>
      <c r="E106" s="42"/>
      <c r="F106" s="42"/>
      <c r="G106" s="42"/>
      <c r="H106" s="42"/>
    </row>
    <row r="107" spans="1:8" x14ac:dyDescent="0.2">
      <c r="A107" s="72" t="s">
        <v>22</v>
      </c>
      <c r="B107" s="73"/>
      <c r="C107" s="74"/>
      <c r="D107" s="41">
        <f>[5]Charters!C61</f>
        <v>736.01</v>
      </c>
      <c r="E107" s="42"/>
      <c r="F107" s="42"/>
      <c r="G107" s="42"/>
      <c r="H107" s="42"/>
    </row>
    <row r="108" spans="1:8" x14ac:dyDescent="0.2">
      <c r="A108" s="75"/>
      <c r="B108" s="61"/>
      <c r="C108" s="76"/>
      <c r="D108" s="77">
        <f>SUM(D107:D107)</f>
        <v>736.01</v>
      </c>
      <c r="E108" s="42"/>
      <c r="F108" s="42"/>
      <c r="G108" s="42"/>
      <c r="H108" s="42"/>
    </row>
    <row r="109" spans="1:8" x14ac:dyDescent="0.2">
      <c r="A109" s="78" t="s">
        <v>58</v>
      </c>
      <c r="B109" s="79"/>
      <c r="C109" s="80"/>
      <c r="D109" s="77">
        <f>D108+D104</f>
        <v>1902214.23</v>
      </c>
      <c r="E109" s="42"/>
      <c r="F109" s="42"/>
      <c r="G109" s="42"/>
      <c r="H109" s="42"/>
    </row>
    <row r="110" spans="1:8" x14ac:dyDescent="0.2">
      <c r="A110" s="84"/>
      <c r="B110" s="84"/>
      <c r="C110" s="85"/>
      <c r="D110" s="81"/>
      <c r="E110" s="42"/>
      <c r="F110" s="42"/>
      <c r="G110" s="42"/>
      <c r="H110" s="42"/>
    </row>
    <row r="111" spans="1:8" x14ac:dyDescent="0.2">
      <c r="A111" s="84"/>
      <c r="B111" s="84"/>
      <c r="C111" s="85"/>
      <c r="D111" s="81">
        <f>[5]Charters!E217</f>
        <v>1902214.23</v>
      </c>
      <c r="E111" s="42"/>
      <c r="F111" s="42"/>
      <c r="G111" s="42"/>
      <c r="H111" s="42"/>
    </row>
    <row r="112" spans="1:8" x14ac:dyDescent="0.2">
      <c r="A112" s="84"/>
      <c r="B112" s="84"/>
      <c r="C112" s="85"/>
      <c r="D112" s="81">
        <f>D109</f>
        <v>1902214.23</v>
      </c>
      <c r="E112" s="42"/>
      <c r="F112" s="42"/>
      <c r="G112" s="42"/>
      <c r="H112" s="42"/>
    </row>
    <row r="113" spans="3:8" x14ac:dyDescent="0.2">
      <c r="C113" s="83"/>
      <c r="D113" s="42">
        <f>D111-D112</f>
        <v>0</v>
      </c>
      <c r="E113" s="42"/>
      <c r="F113" s="42"/>
      <c r="G113" s="42"/>
      <c r="H113" s="42"/>
    </row>
    <row r="114" spans="3:8" x14ac:dyDescent="0.2">
      <c r="C114" s="83"/>
      <c r="D114" s="42">
        <f>D112-D113</f>
        <v>1902214.23</v>
      </c>
      <c r="E114" s="42"/>
      <c r="F114" s="42"/>
      <c r="G114" s="42"/>
      <c r="H114" s="42"/>
    </row>
  </sheetData>
  <mergeCells count="4">
    <mergeCell ref="A56:D56"/>
    <mergeCell ref="A57:D57"/>
    <mergeCell ref="A55:D55"/>
    <mergeCell ref="A109:C109"/>
  </mergeCells>
  <phoneticPr fontId="1" type="noConversion"/>
  <printOptions horizontalCentered="1" verticalCentered="1"/>
  <pageMargins left="0.5" right="0.5" top="0.5" bottom="0.5" header="0.25" footer="0.25"/>
  <pageSetup orientation="portrait" verticalDpi="300" r:id="rId1"/>
  <headerFooter alignWithMargins="0">
    <oddHeader>&amp;R&amp;8Current as of: &amp;D</oddHeader>
    <oddFooter>&amp;L&amp;8USOE, School Finance</oddFooter>
  </headerFooter>
  <picture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>
    <pageSetUpPr fitToPage="1"/>
  </sheetPr>
  <dimension ref="A1:H114"/>
  <sheetViews>
    <sheetView topLeftCell="A55" workbookViewId="0">
      <selection activeCell="C12" sqref="C12"/>
    </sheetView>
  </sheetViews>
  <sheetFormatPr defaultColWidth="9.140625" defaultRowHeight="12.75" x14ac:dyDescent="0.2"/>
  <cols>
    <col min="1" max="1" width="31.85546875" style="82" customWidth="1"/>
    <col min="2" max="2" width="16.42578125" style="82" customWidth="1"/>
    <col min="3" max="4" width="14.85546875" style="82" customWidth="1"/>
    <col min="5" max="5" width="7" style="82" customWidth="1"/>
    <col min="6" max="6" width="19.7109375" style="82" customWidth="1"/>
    <col min="7" max="7" width="5.7109375" style="82" customWidth="1"/>
    <col min="8" max="8" width="18" style="82" customWidth="1"/>
    <col min="9" max="16384" width="9.140625" style="82"/>
  </cols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"/>
      <c r="B3" s="1"/>
      <c r="C3" s="1"/>
      <c r="D3" s="1"/>
      <c r="E3" s="1"/>
      <c r="F3" s="1"/>
      <c r="G3" s="1"/>
      <c r="H3" s="1"/>
    </row>
    <row r="4" spans="1:8" x14ac:dyDescent="0.2">
      <c r="A4" s="1"/>
      <c r="B4" s="1"/>
      <c r="C4" s="1"/>
      <c r="D4" s="1"/>
      <c r="E4" s="1"/>
      <c r="F4" s="1"/>
      <c r="G4" s="1"/>
      <c r="H4" s="1"/>
    </row>
    <row r="5" spans="1:8" x14ac:dyDescent="0.2">
      <c r="A5" s="1"/>
      <c r="B5" s="1"/>
      <c r="C5" s="1"/>
      <c r="D5" s="1"/>
      <c r="E5" s="1"/>
      <c r="F5" s="1"/>
      <c r="G5" s="1"/>
      <c r="H5" s="1"/>
    </row>
    <row r="6" spans="1:8" x14ac:dyDescent="0.2">
      <c r="A6" s="1"/>
      <c r="B6" s="1"/>
      <c r="C6" s="1"/>
      <c r="D6" s="1"/>
      <c r="E6" s="1"/>
      <c r="F6" s="1"/>
      <c r="G6" s="1"/>
      <c r="H6" s="1"/>
    </row>
    <row r="7" spans="1:8" x14ac:dyDescent="0.2">
      <c r="A7" s="1"/>
      <c r="B7" s="1"/>
      <c r="C7" s="1"/>
      <c r="D7" s="1"/>
      <c r="E7" s="1"/>
      <c r="F7" s="1"/>
      <c r="G7" s="1"/>
      <c r="H7" s="1"/>
    </row>
    <row r="8" spans="1:8" x14ac:dyDescent="0.2">
      <c r="A8" s="1"/>
      <c r="B8" s="1"/>
      <c r="C8" s="1"/>
      <c r="D8" s="1"/>
      <c r="E8" s="1"/>
      <c r="F8" s="1"/>
      <c r="G8" s="1"/>
      <c r="H8" s="1"/>
    </row>
    <row r="9" spans="1:8" x14ac:dyDescent="0.2">
      <c r="A9" s="1"/>
      <c r="B9" s="1"/>
      <c r="C9" s="1"/>
      <c r="D9" s="1"/>
      <c r="E9" s="1"/>
      <c r="F9" s="1"/>
      <c r="G9" s="1"/>
      <c r="H9" s="1"/>
    </row>
    <row r="10" spans="1:8" x14ac:dyDescent="0.2">
      <c r="A10" s="1"/>
      <c r="B10" s="1"/>
      <c r="C10" s="1"/>
      <c r="D10" s="1"/>
      <c r="E10" s="1"/>
      <c r="F10" s="1"/>
      <c r="G10" s="1"/>
      <c r="H10" s="1"/>
    </row>
    <row r="11" spans="1:8" x14ac:dyDescent="0.2">
      <c r="A11" s="1"/>
      <c r="B11" s="1"/>
      <c r="C11" s="1"/>
      <c r="D11" s="1"/>
      <c r="E11" s="1"/>
      <c r="F11" s="1"/>
      <c r="G11" s="1"/>
      <c r="H11" s="1"/>
    </row>
    <row r="12" spans="1:8" x14ac:dyDescent="0.2">
      <c r="A12" s="1"/>
      <c r="B12" s="1"/>
      <c r="C12" s="1"/>
      <c r="D12" s="1"/>
      <c r="E12" s="1"/>
      <c r="F12" s="1"/>
      <c r="G12" s="1"/>
      <c r="H12" s="1"/>
    </row>
    <row r="13" spans="1:8" x14ac:dyDescent="0.2">
      <c r="A13" s="1"/>
      <c r="B13" s="1"/>
      <c r="C13" s="1"/>
      <c r="D13" s="1"/>
      <c r="E13" s="1"/>
      <c r="F13" s="1"/>
      <c r="G13" s="1"/>
      <c r="H13" s="1"/>
    </row>
    <row r="14" spans="1:8" x14ac:dyDescent="0.2">
      <c r="A14" s="1"/>
      <c r="B14" s="1"/>
      <c r="C14" s="1"/>
      <c r="D14" s="1"/>
      <c r="E14" s="1"/>
      <c r="F14" s="1"/>
      <c r="G14" s="1"/>
      <c r="H14" s="1"/>
    </row>
    <row r="15" spans="1:8" x14ac:dyDescent="0.2">
      <c r="A15" s="1"/>
      <c r="B15" s="1"/>
      <c r="C15" s="1"/>
      <c r="D15" s="1"/>
      <c r="E15" s="1"/>
      <c r="F15" s="1"/>
      <c r="G15" s="1"/>
      <c r="H15" s="1"/>
    </row>
    <row r="16" spans="1:8" x14ac:dyDescent="0.2">
      <c r="A16" s="1"/>
      <c r="B16" s="1"/>
      <c r="C16" s="1"/>
      <c r="D16" s="1"/>
      <c r="E16" s="1"/>
      <c r="F16" s="1"/>
      <c r="G16" s="1"/>
      <c r="H16" s="1"/>
    </row>
    <row r="17" spans="1:8" x14ac:dyDescent="0.2">
      <c r="A17" s="1"/>
      <c r="B17" s="1"/>
      <c r="C17" s="1"/>
      <c r="D17" s="1"/>
      <c r="E17" s="1"/>
      <c r="F17" s="1"/>
      <c r="G17" s="1"/>
      <c r="H17" s="1"/>
    </row>
    <row r="18" spans="1:8" x14ac:dyDescent="0.2">
      <c r="A18" s="1"/>
      <c r="B18" s="1"/>
      <c r="C18" s="1"/>
      <c r="D18" s="1"/>
      <c r="E18" s="1"/>
      <c r="F18" s="1"/>
      <c r="G18" s="1"/>
      <c r="H18" s="1"/>
    </row>
    <row r="19" spans="1:8" x14ac:dyDescent="0.2">
      <c r="A19" s="1"/>
      <c r="B19" s="1"/>
      <c r="C19" s="1"/>
      <c r="D19" s="1"/>
      <c r="E19" s="1"/>
      <c r="F19" s="1"/>
      <c r="G19" s="1"/>
      <c r="H19" s="1"/>
    </row>
    <row r="20" spans="1:8" x14ac:dyDescent="0.2">
      <c r="A20" s="1"/>
      <c r="B20" s="1"/>
      <c r="C20" s="1"/>
      <c r="D20" s="1"/>
      <c r="E20" s="1"/>
      <c r="F20" s="1"/>
      <c r="G20" s="1"/>
      <c r="H20" s="1"/>
    </row>
    <row r="21" spans="1:8" x14ac:dyDescent="0.2">
      <c r="A21" s="1"/>
      <c r="B21" s="1"/>
      <c r="C21" s="1"/>
      <c r="D21" s="1"/>
      <c r="E21" s="1"/>
      <c r="F21" s="1"/>
      <c r="G21" s="1"/>
      <c r="H21" s="1"/>
    </row>
    <row r="22" spans="1:8" x14ac:dyDescent="0.2">
      <c r="A22" s="1"/>
      <c r="B22" s="1"/>
      <c r="C22" s="1"/>
      <c r="D22" s="4"/>
      <c r="E22" s="1"/>
      <c r="F22" s="1"/>
      <c r="G22" s="1"/>
      <c r="H22" s="1"/>
    </row>
    <row r="23" spans="1:8" x14ac:dyDescent="0.2">
      <c r="A23" s="1"/>
      <c r="B23" s="1"/>
      <c r="C23" s="1"/>
      <c r="D23" s="1"/>
      <c r="E23" s="1"/>
      <c r="F23" s="1"/>
      <c r="G23" s="1"/>
      <c r="H23" s="1"/>
    </row>
    <row r="24" spans="1:8" x14ac:dyDescent="0.2">
      <c r="A24" s="1"/>
      <c r="B24" s="1"/>
      <c r="C24" s="1"/>
      <c r="D24" s="1"/>
      <c r="E24" s="1"/>
      <c r="F24" s="1"/>
      <c r="G24" s="1"/>
      <c r="H24" s="1"/>
    </row>
    <row r="25" spans="1:8" x14ac:dyDescent="0.2">
      <c r="A25" s="1"/>
      <c r="B25" s="1"/>
      <c r="C25" s="1"/>
      <c r="D25" s="1"/>
      <c r="E25" s="1"/>
      <c r="F25" s="1"/>
      <c r="G25" s="1"/>
      <c r="H25" s="1"/>
    </row>
    <row r="26" spans="1:8" x14ac:dyDescent="0.2">
      <c r="A26" s="1"/>
      <c r="B26" s="1"/>
      <c r="C26" s="1"/>
      <c r="D26" s="1"/>
      <c r="E26" s="1"/>
      <c r="F26" s="1"/>
      <c r="G26" s="1"/>
      <c r="H26" s="1"/>
    </row>
    <row r="27" spans="1:8" x14ac:dyDescent="0.2">
      <c r="A27" s="1"/>
      <c r="B27" s="1"/>
      <c r="C27" s="1"/>
      <c r="D27" s="1"/>
      <c r="E27" s="1"/>
      <c r="F27" s="1"/>
      <c r="G27" s="1"/>
      <c r="H27" s="1"/>
    </row>
    <row r="28" spans="1:8" x14ac:dyDescent="0.2">
      <c r="A28" s="1"/>
      <c r="B28" s="1"/>
      <c r="C28" s="1"/>
      <c r="D28" s="1"/>
      <c r="E28" s="1"/>
      <c r="F28" s="1"/>
      <c r="G28" s="1"/>
      <c r="H28" s="1"/>
    </row>
    <row r="29" spans="1:8" x14ac:dyDescent="0.2">
      <c r="A29" s="1"/>
      <c r="B29" s="1"/>
      <c r="C29" s="1"/>
      <c r="D29" s="1"/>
      <c r="E29" s="1"/>
      <c r="F29" s="1"/>
      <c r="G29" s="1"/>
      <c r="H29" s="1"/>
    </row>
    <row r="30" spans="1:8" x14ac:dyDescent="0.2">
      <c r="A30" s="1"/>
      <c r="B30" s="1"/>
      <c r="C30" s="1"/>
      <c r="D30" s="1"/>
      <c r="E30" s="1"/>
      <c r="F30" s="1"/>
      <c r="G30" s="1"/>
      <c r="H30" s="1"/>
    </row>
    <row r="31" spans="1:8" x14ac:dyDescent="0.2">
      <c r="A31" s="1"/>
      <c r="B31" s="1"/>
      <c r="C31" s="1"/>
      <c r="D31" s="1"/>
      <c r="E31" s="1"/>
      <c r="F31" s="1"/>
      <c r="G31" s="1"/>
      <c r="H31" s="1"/>
    </row>
    <row r="32" spans="1:8" x14ac:dyDescent="0.2">
      <c r="A32" s="1"/>
      <c r="B32" s="1"/>
      <c r="C32" s="1"/>
      <c r="D32" s="1"/>
      <c r="E32" s="1"/>
      <c r="F32" s="1"/>
      <c r="G32" s="1"/>
      <c r="H32" s="1"/>
    </row>
    <row r="33" spans="1:8" x14ac:dyDescent="0.2">
      <c r="A33" s="1"/>
      <c r="B33" s="1"/>
      <c r="C33" s="1"/>
      <c r="D33" s="1"/>
      <c r="E33" s="1"/>
      <c r="F33" s="1"/>
      <c r="G33" s="1"/>
      <c r="H33" s="1"/>
    </row>
    <row r="34" spans="1:8" x14ac:dyDescent="0.2">
      <c r="A34" s="1"/>
      <c r="B34" s="1"/>
      <c r="C34" s="1"/>
      <c r="D34" s="1"/>
      <c r="E34" s="1"/>
      <c r="F34" s="1"/>
      <c r="G34" s="1"/>
      <c r="H34" s="1"/>
    </row>
    <row r="35" spans="1:8" x14ac:dyDescent="0.2">
      <c r="A35" s="1"/>
      <c r="B35" s="1"/>
      <c r="C35" s="1"/>
      <c r="D35" s="1"/>
      <c r="E35" s="1"/>
      <c r="F35" s="1"/>
      <c r="G35" s="1"/>
      <c r="H35" s="1"/>
    </row>
    <row r="36" spans="1:8" x14ac:dyDescent="0.2">
      <c r="A36" s="1"/>
      <c r="B36" s="1"/>
      <c r="C36" s="1"/>
      <c r="D36" s="1"/>
      <c r="E36" s="1"/>
      <c r="F36" s="1"/>
      <c r="G36" s="1"/>
      <c r="H36" s="1"/>
    </row>
    <row r="37" spans="1:8" x14ac:dyDescent="0.2">
      <c r="A37" s="1"/>
      <c r="B37" s="1"/>
      <c r="C37" s="1"/>
      <c r="D37" s="1"/>
      <c r="E37" s="1"/>
      <c r="F37" s="1"/>
      <c r="G37" s="1"/>
      <c r="H37" s="1"/>
    </row>
    <row r="38" spans="1:8" x14ac:dyDescent="0.2">
      <c r="A38" s="1"/>
      <c r="B38" s="1"/>
      <c r="C38" s="1"/>
      <c r="D38" s="1"/>
      <c r="E38" s="1"/>
      <c r="F38" s="1"/>
      <c r="G38" s="1"/>
      <c r="H38" s="1"/>
    </row>
    <row r="39" spans="1:8" x14ac:dyDescent="0.2">
      <c r="A39" s="1"/>
      <c r="B39" s="1"/>
      <c r="C39" s="1"/>
      <c r="D39" s="1"/>
      <c r="E39" s="1"/>
      <c r="F39" s="1"/>
      <c r="G39" s="1"/>
      <c r="H39" s="1"/>
    </row>
    <row r="40" spans="1:8" x14ac:dyDescent="0.2">
      <c r="A40" s="1"/>
      <c r="B40" s="1"/>
      <c r="C40" s="1"/>
      <c r="D40" s="1"/>
      <c r="E40" s="1"/>
      <c r="F40" s="1"/>
      <c r="G40" s="1"/>
      <c r="H40" s="1"/>
    </row>
    <row r="41" spans="1:8" x14ac:dyDescent="0.2">
      <c r="A41" s="1"/>
      <c r="B41" s="1"/>
      <c r="C41" s="1"/>
      <c r="D41" s="1"/>
      <c r="E41" s="1"/>
      <c r="F41" s="1"/>
      <c r="G41" s="1"/>
      <c r="H41" s="1"/>
    </row>
    <row r="42" spans="1:8" x14ac:dyDescent="0.2">
      <c r="A42" s="1"/>
      <c r="B42" s="1"/>
      <c r="C42" s="1"/>
      <c r="D42" s="1"/>
      <c r="E42" s="1"/>
      <c r="F42" s="1"/>
      <c r="G42" s="1"/>
      <c r="H42" s="1"/>
    </row>
    <row r="43" spans="1:8" x14ac:dyDescent="0.2">
      <c r="A43" s="1"/>
      <c r="B43" s="1"/>
      <c r="C43" s="1"/>
      <c r="D43" s="1"/>
      <c r="E43" s="1"/>
      <c r="F43" s="1"/>
      <c r="G43" s="1"/>
      <c r="H43" s="1"/>
    </row>
    <row r="44" spans="1:8" x14ac:dyDescent="0.2">
      <c r="A44" s="1"/>
      <c r="B44" s="1"/>
      <c r="C44" s="1"/>
      <c r="D44" s="1"/>
      <c r="E44" s="1"/>
      <c r="F44" s="1"/>
      <c r="G44" s="1"/>
      <c r="H44" s="1"/>
    </row>
    <row r="45" spans="1:8" x14ac:dyDescent="0.2">
      <c r="A45" s="1"/>
      <c r="B45" s="1"/>
      <c r="C45" s="1"/>
      <c r="D45" s="1"/>
      <c r="E45" s="1"/>
      <c r="F45" s="1"/>
      <c r="G45" s="1"/>
      <c r="H45" s="1"/>
    </row>
    <row r="46" spans="1:8" x14ac:dyDescent="0.2">
      <c r="A46" s="1"/>
      <c r="B46" s="1"/>
      <c r="C46" s="1"/>
      <c r="D46" s="1"/>
      <c r="E46" s="1"/>
      <c r="F46" s="1"/>
      <c r="G46" s="1"/>
      <c r="H46" s="1"/>
    </row>
    <row r="47" spans="1:8" x14ac:dyDescent="0.2">
      <c r="A47" s="1"/>
      <c r="B47" s="1"/>
      <c r="C47" s="1"/>
      <c r="D47" s="1"/>
      <c r="E47" s="1"/>
      <c r="F47" s="1"/>
      <c r="G47" s="1"/>
      <c r="H47" s="1"/>
    </row>
    <row r="48" spans="1:8" x14ac:dyDescent="0.2">
      <c r="A48" s="1"/>
      <c r="B48" s="1"/>
      <c r="C48" s="1"/>
      <c r="D48" s="1"/>
      <c r="E48" s="1"/>
      <c r="F48" s="1"/>
      <c r="G48" s="1"/>
      <c r="H48" s="1"/>
    </row>
    <row r="49" spans="1:8" x14ac:dyDescent="0.2">
      <c r="A49" s="1"/>
      <c r="B49" s="1"/>
      <c r="C49" s="1"/>
      <c r="D49" s="1"/>
      <c r="E49" s="1"/>
      <c r="F49" s="1"/>
      <c r="G49" s="1"/>
      <c r="H49" s="1"/>
    </row>
    <row r="50" spans="1:8" x14ac:dyDescent="0.2">
      <c r="A50" s="1"/>
      <c r="B50" s="1"/>
      <c r="C50" s="1"/>
      <c r="D50" s="1"/>
      <c r="E50" s="1"/>
      <c r="F50" s="1"/>
      <c r="G50" s="1"/>
      <c r="H50" s="1"/>
    </row>
    <row r="51" spans="1:8" x14ac:dyDescent="0.2">
      <c r="A51" s="1"/>
      <c r="B51" s="1"/>
      <c r="C51" s="1"/>
      <c r="D51" s="1"/>
      <c r="E51" s="1"/>
      <c r="F51" s="1"/>
      <c r="G51" s="1"/>
      <c r="H51" s="1"/>
    </row>
    <row r="52" spans="1:8" x14ac:dyDescent="0.2">
      <c r="A52" s="1"/>
      <c r="B52" s="1"/>
      <c r="C52" s="1"/>
      <c r="D52" s="1"/>
      <c r="E52" s="1"/>
      <c r="F52" s="1"/>
      <c r="G52" s="1"/>
      <c r="H52" s="1"/>
    </row>
    <row r="53" spans="1:8" x14ac:dyDescent="0.2">
      <c r="A53" s="1"/>
      <c r="B53" s="1"/>
      <c r="C53" s="1"/>
      <c r="D53" s="1"/>
      <c r="E53" s="1"/>
      <c r="F53" s="1"/>
      <c r="G53" s="1"/>
      <c r="H53" s="1"/>
    </row>
    <row r="54" spans="1:8" x14ac:dyDescent="0.2">
      <c r="A54" s="1"/>
      <c r="B54" s="1"/>
      <c r="C54" s="1"/>
      <c r="D54" s="1"/>
      <c r="E54" s="1"/>
      <c r="F54" s="1"/>
      <c r="G54" s="1"/>
      <c r="H54" s="1"/>
    </row>
    <row r="55" spans="1:8" x14ac:dyDescent="0.2">
      <c r="A55" s="1"/>
      <c r="B55" s="1"/>
      <c r="C55" s="1"/>
      <c r="D55" s="1"/>
      <c r="E55" s="1"/>
      <c r="F55" s="1"/>
      <c r="G55" s="1"/>
      <c r="H55" s="1"/>
    </row>
    <row r="56" spans="1:8" x14ac:dyDescent="0.2">
      <c r="A56" s="11" t="s">
        <v>1</v>
      </c>
      <c r="B56" s="12"/>
      <c r="C56" s="12"/>
      <c r="D56" s="13"/>
      <c r="E56" s="8"/>
      <c r="F56" s="8"/>
      <c r="G56" s="8"/>
      <c r="H56" s="8"/>
    </row>
    <row r="57" spans="1:8" x14ac:dyDescent="0.2">
      <c r="A57" s="14" t="s">
        <v>15</v>
      </c>
      <c r="B57" s="15"/>
      <c r="C57" s="15"/>
      <c r="D57" s="16"/>
      <c r="E57" s="8"/>
      <c r="F57" s="8"/>
      <c r="G57" s="8"/>
      <c r="H57" s="8"/>
    </row>
    <row r="58" spans="1:8" x14ac:dyDescent="0.2">
      <c r="A58" s="17" t="s">
        <v>62</v>
      </c>
      <c r="B58" s="18"/>
      <c r="C58" s="18"/>
      <c r="D58" s="19"/>
      <c r="E58" s="8"/>
      <c r="F58" s="8"/>
      <c r="G58" s="8"/>
      <c r="H58" s="8"/>
    </row>
    <row r="59" spans="1:8" x14ac:dyDescent="0.2">
      <c r="A59" s="20"/>
      <c r="B59" s="21"/>
      <c r="C59" s="22"/>
      <c r="D59" s="23"/>
      <c r="E59" s="8"/>
      <c r="F59" s="8" t="s">
        <v>34</v>
      </c>
      <c r="G59" s="8"/>
      <c r="H59" s="8"/>
    </row>
    <row r="60" spans="1:8" ht="15.75" x14ac:dyDescent="0.25">
      <c r="A60" s="24" t="s">
        <v>2</v>
      </c>
      <c r="B60" s="25" t="str">
        <f>[1]Charters!B63</f>
        <v>Karl G Maeser Prep Academy</v>
      </c>
      <c r="C60" s="26"/>
      <c r="D60" s="27"/>
      <c r="E60" s="8"/>
      <c r="F60" s="8"/>
      <c r="G60" s="8"/>
      <c r="H60" s="8"/>
    </row>
    <row r="61" spans="1:8" x14ac:dyDescent="0.2">
      <c r="A61" s="24"/>
      <c r="B61" s="28"/>
      <c r="C61" s="26"/>
      <c r="D61" s="27"/>
      <c r="E61" s="8"/>
      <c r="F61" s="8"/>
      <c r="G61" s="8"/>
      <c r="H61" s="8"/>
    </row>
    <row r="62" spans="1:8" x14ac:dyDescent="0.2">
      <c r="A62" s="29" t="s">
        <v>0</v>
      </c>
      <c r="B62" s="30">
        <f>[1]Charters!$E$6</f>
        <v>3184</v>
      </c>
      <c r="C62" s="26"/>
      <c r="D62" s="31"/>
      <c r="E62" s="8"/>
      <c r="F62" s="8"/>
      <c r="G62" s="8"/>
      <c r="H62" s="8"/>
    </row>
    <row r="63" spans="1:8" x14ac:dyDescent="0.2">
      <c r="A63" s="32"/>
      <c r="B63" s="6"/>
      <c r="C63" s="33"/>
      <c r="D63" s="34" t="s">
        <v>3</v>
      </c>
      <c r="E63" s="8"/>
      <c r="F63" s="8"/>
      <c r="G63" s="8"/>
      <c r="H63" s="8"/>
    </row>
    <row r="64" spans="1:8" x14ac:dyDescent="0.2">
      <c r="A64" s="29" t="s">
        <v>19</v>
      </c>
      <c r="B64" s="35" t="str">
        <f>[1]Charters!A63</f>
        <v>2E</v>
      </c>
      <c r="C64" s="36" t="s">
        <v>4</v>
      </c>
      <c r="D64" s="37" t="s">
        <v>5</v>
      </c>
      <c r="E64" s="8"/>
      <c r="F64" s="8"/>
      <c r="G64" s="8"/>
      <c r="H64" s="8"/>
    </row>
    <row r="65" spans="1:8" x14ac:dyDescent="0.2">
      <c r="A65" s="38" t="s">
        <v>6</v>
      </c>
      <c r="B65" s="39"/>
      <c r="C65" s="40"/>
      <c r="D65" s="41"/>
      <c r="E65" s="8"/>
      <c r="F65" s="8"/>
      <c r="G65" s="8"/>
      <c r="H65" s="8"/>
    </row>
    <row r="66" spans="1:8" x14ac:dyDescent="0.2">
      <c r="A66" s="38" t="s">
        <v>7</v>
      </c>
      <c r="B66" s="39"/>
      <c r="C66" s="40"/>
      <c r="D66" s="41"/>
      <c r="E66" s="8"/>
      <c r="F66" s="42" t="s">
        <v>23</v>
      </c>
      <c r="G66" s="8"/>
      <c r="H66" s="42" t="s">
        <v>26</v>
      </c>
    </row>
    <row r="67" spans="1:8" x14ac:dyDescent="0.2">
      <c r="A67" s="20" t="s">
        <v>8</v>
      </c>
      <c r="B67" s="43"/>
      <c r="C67" s="44">
        <f>[1]Charters!C523</f>
        <v>706.755</v>
      </c>
      <c r="D67" s="45">
        <f>[1]Charters!E523</f>
        <v>2250308.4500000002</v>
      </c>
      <c r="E67" s="8"/>
      <c r="F67" s="42">
        <f>[1]Charters!E678</f>
        <v>2390729.9500000002</v>
      </c>
      <c r="G67" s="8"/>
      <c r="H67" s="42">
        <f>[2]Charters!E217</f>
        <v>2628732.69</v>
      </c>
    </row>
    <row r="68" spans="1:8" x14ac:dyDescent="0.2">
      <c r="A68" s="20" t="s">
        <v>14</v>
      </c>
      <c r="B68" s="43"/>
      <c r="C68" s="44">
        <f>[1]Charters!F523</f>
        <v>44.101999999999997</v>
      </c>
      <c r="D68" s="45">
        <f>[1]Charters!H523</f>
        <v>140421.5</v>
      </c>
      <c r="E68" s="8"/>
      <c r="F68" s="42">
        <f>SUM(D67:D69)</f>
        <v>2390729.9500000002</v>
      </c>
      <c r="G68" s="8"/>
      <c r="H68" s="42">
        <f>D80</f>
        <v>2628732.69</v>
      </c>
    </row>
    <row r="69" spans="1:8" x14ac:dyDescent="0.2">
      <c r="A69" s="20" t="s">
        <v>32</v>
      </c>
      <c r="B69" s="43"/>
      <c r="C69" s="44">
        <f>[1]Charters!C216</f>
        <v>0</v>
      </c>
      <c r="D69" s="45">
        <f>[1]Charters!E216</f>
        <v>0</v>
      </c>
      <c r="E69" s="8"/>
      <c r="F69" s="42">
        <f>+F67-F68</f>
        <v>0</v>
      </c>
      <c r="G69" s="8"/>
      <c r="H69" s="42">
        <f>+H67-H68</f>
        <v>0</v>
      </c>
    </row>
    <row r="70" spans="1:8" x14ac:dyDescent="0.2">
      <c r="A70" s="38" t="s">
        <v>9</v>
      </c>
      <c r="B70" s="39"/>
      <c r="C70" s="46"/>
      <c r="D70" s="47"/>
      <c r="E70" s="8"/>
      <c r="F70" s="8"/>
      <c r="G70" s="8"/>
      <c r="H70" s="8"/>
    </row>
    <row r="71" spans="1:8" x14ac:dyDescent="0.2">
      <c r="A71" s="20" t="s">
        <v>10</v>
      </c>
      <c r="B71" s="43"/>
      <c r="C71" s="40">
        <f>[3]Charters!C62</f>
        <v>46.497</v>
      </c>
      <c r="D71" s="41">
        <f>[3]Charters!E62</f>
        <v>148045.32999999999</v>
      </c>
      <c r="E71" s="8"/>
      <c r="F71" s="42" t="s">
        <v>24</v>
      </c>
      <c r="G71" s="8"/>
      <c r="H71" s="8"/>
    </row>
    <row r="72" spans="1:8" x14ac:dyDescent="0.2">
      <c r="A72" s="48" t="s">
        <v>11</v>
      </c>
      <c r="B72" s="43"/>
      <c r="C72" s="40">
        <f>[3]Charters!F62</f>
        <v>0</v>
      </c>
      <c r="D72" s="49">
        <f>[3]Charters!H62</f>
        <v>0</v>
      </c>
      <c r="E72" s="8"/>
      <c r="F72" s="42">
        <f>[3]Charters!N374</f>
        <v>152854.44</v>
      </c>
      <c r="G72" s="8"/>
      <c r="H72" s="8"/>
    </row>
    <row r="73" spans="1:8" x14ac:dyDescent="0.2">
      <c r="A73" s="48" t="s">
        <v>12</v>
      </c>
      <c r="B73" s="43"/>
      <c r="C73" s="40">
        <f>[3]Charters!C217</f>
        <v>0</v>
      </c>
      <c r="D73" s="41">
        <f>[3]Charters!E217</f>
        <v>0</v>
      </c>
      <c r="E73" s="8"/>
      <c r="F73" s="42">
        <f>SUM(D71:D77)</f>
        <v>152854.44</v>
      </c>
      <c r="G73" s="8"/>
      <c r="H73" s="8"/>
    </row>
    <row r="74" spans="1:8" x14ac:dyDescent="0.2">
      <c r="A74" s="20" t="s">
        <v>13</v>
      </c>
      <c r="B74" s="43"/>
      <c r="C74" s="40">
        <f>[3]Charters!F217</f>
        <v>0.70899999999999996</v>
      </c>
      <c r="D74" s="41">
        <f>[3]Charters!H217</f>
        <v>2259</v>
      </c>
      <c r="E74" s="8"/>
      <c r="F74" s="42">
        <f>+F72-F73</f>
        <v>0</v>
      </c>
      <c r="G74" s="8"/>
      <c r="H74" s="8"/>
    </row>
    <row r="75" spans="1:8" x14ac:dyDescent="0.2">
      <c r="A75" s="48" t="s">
        <v>54</v>
      </c>
      <c r="B75" s="43"/>
      <c r="C75" s="40">
        <f>[3]Charters!C374</f>
        <v>0.80100000000000005</v>
      </c>
      <c r="D75" s="41">
        <f>[3]Charters!E374</f>
        <v>2550.11</v>
      </c>
      <c r="E75" s="8"/>
      <c r="F75" s="8"/>
      <c r="G75" s="8"/>
      <c r="H75" s="8"/>
    </row>
    <row r="76" spans="1:8" x14ac:dyDescent="0.2">
      <c r="A76" s="48" t="s">
        <v>55</v>
      </c>
      <c r="B76" s="43"/>
      <c r="C76" s="40">
        <f>[3]Charters!F374</f>
        <v>0</v>
      </c>
      <c r="D76" s="41">
        <f>[3]Charters!H374</f>
        <v>0</v>
      </c>
      <c r="E76" s="8"/>
      <c r="F76" s="42" t="s">
        <v>25</v>
      </c>
      <c r="G76" s="8"/>
      <c r="H76" s="8"/>
    </row>
    <row r="77" spans="1:8" x14ac:dyDescent="0.2">
      <c r="A77" s="48" t="s">
        <v>56</v>
      </c>
      <c r="B77" s="43"/>
      <c r="C77" s="40">
        <f>[3]Charters!I374</f>
        <v>0</v>
      </c>
      <c r="D77" s="41">
        <f>[3]Charters!K374</f>
        <v>0</v>
      </c>
      <c r="E77" s="8"/>
      <c r="F77" s="42">
        <f>[2]Charters!H63</f>
        <v>238002.74</v>
      </c>
      <c r="G77" s="8"/>
      <c r="H77" s="8"/>
    </row>
    <row r="78" spans="1:8" x14ac:dyDescent="0.2">
      <c r="A78" s="20" t="s">
        <v>49</v>
      </c>
      <c r="B78" s="43"/>
      <c r="C78" s="40">
        <f>[3]Charters!C530</f>
        <v>8.3539999999999992</v>
      </c>
      <c r="D78" s="41">
        <f>[3]Charters!E530</f>
        <v>26599.77</v>
      </c>
      <c r="E78" s="8"/>
      <c r="F78" s="42">
        <f>SUM(D71:D79)</f>
        <v>238002.74</v>
      </c>
      <c r="G78" s="8"/>
      <c r="H78" s="8"/>
    </row>
    <row r="79" spans="1:8" x14ac:dyDescent="0.2">
      <c r="A79" s="20" t="s">
        <v>50</v>
      </c>
      <c r="B79" s="43"/>
      <c r="C79" s="40">
        <f>[2]Charters!C63</f>
        <v>18.388000000000002</v>
      </c>
      <c r="D79" s="41">
        <f>[2]Charters!E63</f>
        <v>58548.53</v>
      </c>
      <c r="E79" s="8"/>
      <c r="F79" s="42">
        <f>+F77-F78</f>
        <v>0</v>
      </c>
      <c r="G79" s="8"/>
      <c r="H79" s="8"/>
    </row>
    <row r="80" spans="1:8" x14ac:dyDescent="0.2">
      <c r="A80" s="50"/>
      <c r="B80" s="51" t="s">
        <v>16</v>
      </c>
      <c r="C80" s="52">
        <f>SUM(C67:C79)</f>
        <v>825.60599999999999</v>
      </c>
      <c r="D80" s="53">
        <f>SUM(D67:D79)</f>
        <v>2628732.69</v>
      </c>
      <c r="E80" s="8"/>
      <c r="F80" s="8"/>
      <c r="G80" s="8"/>
      <c r="H80" s="8"/>
    </row>
    <row r="81" spans="1:8" x14ac:dyDescent="0.2">
      <c r="A81" s="54" t="s">
        <v>17</v>
      </c>
      <c r="B81" s="39"/>
      <c r="C81" s="55"/>
      <c r="D81" s="47"/>
      <c r="E81" s="8"/>
      <c r="F81" s="8"/>
      <c r="G81" s="8"/>
      <c r="H81" s="42" t="s">
        <v>29</v>
      </c>
    </row>
    <row r="82" spans="1:8" x14ac:dyDescent="0.2">
      <c r="A82" s="20" t="s">
        <v>33</v>
      </c>
      <c r="B82" s="43"/>
      <c r="C82" s="56"/>
      <c r="D82" s="57">
        <f>[4]Charters!C63</f>
        <v>7619.3</v>
      </c>
      <c r="E82" s="8"/>
      <c r="F82" s="8"/>
      <c r="G82" s="8"/>
      <c r="H82" s="42">
        <f>[4]Charters!F1003</f>
        <v>4311013.7300000004</v>
      </c>
    </row>
    <row r="83" spans="1:8" x14ac:dyDescent="0.2">
      <c r="A83" s="58" t="s">
        <v>35</v>
      </c>
      <c r="B83" s="43"/>
      <c r="C83" s="56"/>
      <c r="D83" s="41">
        <f>+[4]Charters!F384</f>
        <v>10724.38</v>
      </c>
      <c r="E83" s="8"/>
      <c r="F83" s="8"/>
      <c r="G83" s="8"/>
      <c r="H83" s="42">
        <f>SUM(D80:D99)</f>
        <v>4311013.7300000004</v>
      </c>
    </row>
    <row r="84" spans="1:8" x14ac:dyDescent="0.2">
      <c r="A84" s="59" t="s">
        <v>36</v>
      </c>
      <c r="B84" s="43"/>
      <c r="C84" s="56"/>
      <c r="D84" s="41">
        <f>[4]Charters!E223</f>
        <v>19743</v>
      </c>
      <c r="E84" s="8"/>
      <c r="F84" s="8"/>
      <c r="G84" s="8"/>
      <c r="H84" s="42">
        <f>+H82-H83</f>
        <v>0</v>
      </c>
    </row>
    <row r="85" spans="1:8" x14ac:dyDescent="0.2">
      <c r="A85" s="59" t="s">
        <v>52</v>
      </c>
      <c r="B85" s="43"/>
      <c r="C85" s="56"/>
      <c r="D85" s="41">
        <f>[4]Charters!G384</f>
        <v>9784.2800000000007</v>
      </c>
      <c r="E85" s="8"/>
      <c r="F85" s="42" t="s">
        <v>27</v>
      </c>
      <c r="G85" s="8"/>
      <c r="H85" s="42"/>
    </row>
    <row r="86" spans="1:8" x14ac:dyDescent="0.2">
      <c r="A86" s="20" t="s">
        <v>37</v>
      </c>
      <c r="B86" s="43"/>
      <c r="C86" s="56"/>
      <c r="D86" s="41">
        <f>[4]Charters!E540</f>
        <v>45042</v>
      </c>
      <c r="E86" s="8"/>
      <c r="F86" s="42">
        <f>[4]Charters!E223</f>
        <v>19743</v>
      </c>
      <c r="G86" s="8"/>
      <c r="H86" s="8"/>
    </row>
    <row r="87" spans="1:8" x14ac:dyDescent="0.2">
      <c r="A87" s="20" t="s">
        <v>38</v>
      </c>
      <c r="B87" s="43"/>
      <c r="C87" s="56"/>
      <c r="D87" s="41">
        <f>[4]Charters!F540</f>
        <v>0</v>
      </c>
      <c r="E87" s="8"/>
      <c r="F87" s="42">
        <f>SUM(D84:D84)</f>
        <v>19743</v>
      </c>
      <c r="G87" s="8"/>
      <c r="H87" s="8"/>
    </row>
    <row r="88" spans="1:8" x14ac:dyDescent="0.2">
      <c r="A88" s="59" t="s">
        <v>40</v>
      </c>
      <c r="B88" s="43"/>
      <c r="C88" s="56"/>
      <c r="D88" s="41">
        <f>[4]Charters!G540</f>
        <v>0</v>
      </c>
      <c r="E88" s="8"/>
      <c r="F88" s="42">
        <f>+F86-F87</f>
        <v>0</v>
      </c>
      <c r="G88" s="8"/>
      <c r="H88" s="8"/>
    </row>
    <row r="89" spans="1:8" x14ac:dyDescent="0.2">
      <c r="A89" s="20" t="s">
        <v>41</v>
      </c>
      <c r="B89" s="43"/>
      <c r="C89" s="56"/>
      <c r="D89" s="41">
        <f>[4]Charters!C694</f>
        <v>1254627</v>
      </c>
      <c r="E89" s="8"/>
      <c r="F89" s="42" t="s">
        <v>28</v>
      </c>
      <c r="G89" s="8"/>
      <c r="H89" s="8"/>
    </row>
    <row r="90" spans="1:8" x14ac:dyDescent="0.2">
      <c r="A90" s="20" t="s">
        <v>42</v>
      </c>
      <c r="B90" s="43"/>
      <c r="C90" s="56"/>
      <c r="D90" s="41">
        <f>[4]Charters!D694</f>
        <v>201217.92000000001</v>
      </c>
      <c r="E90" s="8"/>
      <c r="F90" s="42">
        <f>[4]Charters!D540</f>
        <v>40251.660000000003</v>
      </c>
      <c r="G90" s="8"/>
      <c r="H90" s="8"/>
    </row>
    <row r="91" spans="1:8" x14ac:dyDescent="0.2">
      <c r="A91" s="20" t="s">
        <v>44</v>
      </c>
      <c r="B91" s="43"/>
      <c r="C91" s="56"/>
      <c r="D91" s="41">
        <f>[4]Charters!E694</f>
        <v>62700</v>
      </c>
      <c r="E91" s="8"/>
      <c r="F91" s="42">
        <f>SUM(D83:D85)</f>
        <v>40251.660000000003</v>
      </c>
      <c r="G91" s="8"/>
      <c r="H91" s="8"/>
    </row>
    <row r="92" spans="1:8" x14ac:dyDescent="0.2">
      <c r="A92" s="59" t="s">
        <v>43</v>
      </c>
      <c r="B92" s="43"/>
      <c r="C92" s="56"/>
      <c r="D92" s="41">
        <f>[4]Charters!F694</f>
        <v>0</v>
      </c>
      <c r="E92" s="8"/>
      <c r="F92" s="42">
        <f>+F90-F91</f>
        <v>0</v>
      </c>
      <c r="G92" s="8"/>
      <c r="H92" s="8"/>
    </row>
    <row r="93" spans="1:8" x14ac:dyDescent="0.2">
      <c r="A93" s="59" t="s">
        <v>45</v>
      </c>
      <c r="B93" s="43"/>
      <c r="C93" s="56"/>
      <c r="D93" s="41">
        <f>[4]Charters!C540</f>
        <v>0</v>
      </c>
      <c r="E93" s="8"/>
      <c r="F93" s="8"/>
      <c r="G93" s="8"/>
      <c r="H93" s="8"/>
    </row>
    <row r="94" spans="1:8" x14ac:dyDescent="0.2">
      <c r="A94" s="59" t="s">
        <v>46</v>
      </c>
      <c r="B94" s="43"/>
      <c r="C94" s="56"/>
      <c r="D94" s="41">
        <f>[4]Charters!C850</f>
        <v>0</v>
      </c>
      <c r="E94" s="42"/>
      <c r="F94" s="42"/>
      <c r="G94" s="42"/>
      <c r="H94" s="42" t="s">
        <v>31</v>
      </c>
    </row>
    <row r="95" spans="1:8" x14ac:dyDescent="0.2">
      <c r="A95" s="59" t="s">
        <v>51</v>
      </c>
      <c r="B95" s="43"/>
      <c r="C95" s="56"/>
      <c r="D95" s="60">
        <f>[4]Charters!D850</f>
        <v>845.99</v>
      </c>
      <c r="E95" s="42"/>
      <c r="F95" s="42"/>
      <c r="G95" s="42"/>
      <c r="H95" s="42">
        <f>[4]Charters!D1309</f>
        <v>4318432.3099999996</v>
      </c>
    </row>
    <row r="96" spans="1:8" x14ac:dyDescent="0.2">
      <c r="A96" s="20" t="s">
        <v>47</v>
      </c>
      <c r="B96" s="43"/>
      <c r="C96" s="56"/>
      <c r="D96" s="60">
        <f>[4]Charters!E850</f>
        <v>0</v>
      </c>
      <c r="E96" s="42"/>
      <c r="F96" s="42"/>
      <c r="G96" s="42"/>
      <c r="H96" s="42">
        <f>D105</f>
        <v>4318432.3099999996</v>
      </c>
    </row>
    <row r="97" spans="1:8" x14ac:dyDescent="0.2">
      <c r="A97" s="20" t="s">
        <v>57</v>
      </c>
      <c r="B97" s="43"/>
      <c r="C97" s="56"/>
      <c r="D97" s="60">
        <f>[4]Charters!C1003</f>
        <v>29066.17</v>
      </c>
      <c r="E97" s="42"/>
      <c r="F97" s="42"/>
      <c r="G97" s="42"/>
      <c r="H97" s="42">
        <f>+H95-H96</f>
        <v>0</v>
      </c>
    </row>
    <row r="98" spans="1:8" x14ac:dyDescent="0.2">
      <c r="A98" s="59" t="s">
        <v>53</v>
      </c>
      <c r="B98" s="43"/>
      <c r="C98" s="56"/>
      <c r="D98" s="60">
        <f>[4]Charters!D1003</f>
        <v>40911</v>
      </c>
      <c r="E98" s="42"/>
      <c r="F98" s="42" t="s">
        <v>30</v>
      </c>
      <c r="G98" s="42"/>
      <c r="H98" s="42"/>
    </row>
    <row r="99" spans="1:8" x14ac:dyDescent="0.2">
      <c r="A99" s="59" t="s">
        <v>59</v>
      </c>
      <c r="B99" s="43"/>
      <c r="C99" s="56"/>
      <c r="D99" s="60">
        <f>[4]Charters!E1003</f>
        <v>0</v>
      </c>
      <c r="E99" s="42"/>
      <c r="F99" s="42"/>
      <c r="G99" s="42"/>
      <c r="H99" s="42"/>
    </row>
    <row r="100" spans="1:8" x14ac:dyDescent="0.2">
      <c r="A100" s="38" t="s">
        <v>18</v>
      </c>
      <c r="B100" s="61"/>
      <c r="C100" s="62"/>
      <c r="D100" s="87"/>
      <c r="E100" s="42"/>
      <c r="F100" s="42">
        <f>[4]Charters!C1309</f>
        <v>7418.58</v>
      </c>
      <c r="G100" s="42"/>
      <c r="H100" s="42"/>
    </row>
    <row r="101" spans="1:8" x14ac:dyDescent="0.2">
      <c r="A101" s="59" t="s">
        <v>39</v>
      </c>
      <c r="B101" s="43"/>
      <c r="C101" s="56"/>
      <c r="D101" s="41">
        <f>[4]Charters!C1156</f>
        <v>7418.58</v>
      </c>
      <c r="E101" s="42"/>
      <c r="F101" s="42">
        <f>SUM(D101:D104)</f>
        <v>7418.58</v>
      </c>
      <c r="G101" s="42"/>
      <c r="H101" s="42"/>
    </row>
    <row r="102" spans="1:8" x14ac:dyDescent="0.2">
      <c r="A102" s="59" t="s">
        <v>48</v>
      </c>
      <c r="B102" s="43"/>
      <c r="C102" s="56"/>
      <c r="D102" s="41">
        <f>[4]Charters!D1156</f>
        <v>0</v>
      </c>
      <c r="E102" s="42"/>
      <c r="F102" s="42">
        <f>+F100-F101</f>
        <v>0</v>
      </c>
      <c r="G102" s="42"/>
      <c r="H102" s="42"/>
    </row>
    <row r="103" spans="1:8" x14ac:dyDescent="0.2">
      <c r="A103" s="59" t="s">
        <v>60</v>
      </c>
      <c r="B103" s="43"/>
      <c r="C103" s="56"/>
      <c r="D103" s="41">
        <f>[4]Charters!E1156</f>
        <v>0</v>
      </c>
      <c r="E103" s="42"/>
      <c r="F103" s="42"/>
      <c r="G103" s="42"/>
      <c r="H103" s="42"/>
    </row>
    <row r="104" spans="1:8" x14ac:dyDescent="0.2">
      <c r="A104" s="59" t="s">
        <v>61</v>
      </c>
      <c r="B104" s="43"/>
      <c r="C104" s="56"/>
      <c r="D104" s="41">
        <f>[4]Charters!F1156</f>
        <v>0</v>
      </c>
      <c r="E104" s="42"/>
      <c r="F104" s="42"/>
      <c r="G104" s="42"/>
      <c r="H104" s="42"/>
    </row>
    <row r="105" spans="1:8" ht="13.5" thickBot="1" x14ac:dyDescent="0.25">
      <c r="A105" s="64"/>
      <c r="B105" s="65"/>
      <c r="C105" s="66"/>
      <c r="D105" s="67">
        <f>SUM(D80:D104)</f>
        <v>4318432.3099999996</v>
      </c>
      <c r="E105" s="42"/>
      <c r="F105" s="42"/>
      <c r="G105" s="42"/>
      <c r="H105" s="42"/>
    </row>
    <row r="106" spans="1:8" ht="13.5" thickTop="1" x14ac:dyDescent="0.2">
      <c r="A106" s="68"/>
      <c r="B106" s="43"/>
      <c r="C106" s="56"/>
      <c r="D106" s="86"/>
      <c r="E106" s="42"/>
      <c r="F106" s="42"/>
      <c r="G106" s="42"/>
      <c r="H106" s="42"/>
    </row>
    <row r="107" spans="1:8" x14ac:dyDescent="0.2">
      <c r="A107" s="38" t="s">
        <v>20</v>
      </c>
      <c r="B107" s="39"/>
      <c r="C107" s="70"/>
      <c r="D107" s="71" t="s">
        <v>21</v>
      </c>
      <c r="E107" s="42"/>
      <c r="F107" s="42"/>
      <c r="G107" s="42"/>
      <c r="H107" s="42"/>
    </row>
    <row r="108" spans="1:8" x14ac:dyDescent="0.2">
      <c r="A108" s="72" t="s">
        <v>22</v>
      </c>
      <c r="B108" s="73"/>
      <c r="C108" s="74"/>
      <c r="D108" s="41">
        <f>[5]Charters!C62</f>
        <v>1436.48</v>
      </c>
      <c r="E108" s="42"/>
      <c r="F108" s="42"/>
      <c r="G108" s="42"/>
      <c r="H108" s="42"/>
    </row>
    <row r="109" spans="1:8" x14ac:dyDescent="0.2">
      <c r="A109" s="75"/>
      <c r="B109" s="61"/>
      <c r="C109" s="76"/>
      <c r="D109" s="77">
        <f>SUM(D108:D108)</f>
        <v>1436.48</v>
      </c>
      <c r="E109" s="42"/>
      <c r="F109" s="42"/>
      <c r="G109" s="42"/>
      <c r="H109" s="42"/>
    </row>
    <row r="110" spans="1:8" x14ac:dyDescent="0.2">
      <c r="A110" s="78" t="s">
        <v>58</v>
      </c>
      <c r="B110" s="79"/>
      <c r="C110" s="80"/>
      <c r="D110" s="77">
        <f>D109+D105</f>
        <v>4319868.79</v>
      </c>
      <c r="E110" s="42"/>
      <c r="F110" s="42"/>
      <c r="G110" s="42"/>
      <c r="H110" s="42"/>
    </row>
    <row r="111" spans="1:8" x14ac:dyDescent="0.2">
      <c r="A111" s="84"/>
      <c r="B111" s="84"/>
      <c r="C111" s="85"/>
      <c r="D111" s="81"/>
      <c r="E111" s="42"/>
      <c r="F111" s="42"/>
      <c r="G111" s="42"/>
      <c r="H111" s="42"/>
    </row>
    <row r="112" spans="1:8" x14ac:dyDescent="0.2">
      <c r="A112" s="84"/>
      <c r="B112" s="84"/>
      <c r="C112" s="85"/>
      <c r="D112" s="81">
        <f>[5]Charters!E218</f>
        <v>4319868.79</v>
      </c>
      <c r="E112" s="42"/>
      <c r="F112" s="42"/>
      <c r="G112" s="42"/>
      <c r="H112" s="42"/>
    </row>
    <row r="113" spans="1:8" x14ac:dyDescent="0.2">
      <c r="A113" s="84"/>
      <c r="B113" s="84"/>
      <c r="C113" s="85"/>
      <c r="D113" s="81">
        <f>D110</f>
        <v>4319868.79</v>
      </c>
      <c r="E113" s="42"/>
      <c r="F113" s="42"/>
      <c r="G113" s="42"/>
      <c r="H113" s="42"/>
    </row>
    <row r="114" spans="1:8" x14ac:dyDescent="0.2">
      <c r="C114" s="83"/>
      <c r="D114" s="42">
        <f>D112-D113</f>
        <v>0</v>
      </c>
      <c r="E114" s="42"/>
      <c r="F114" s="42"/>
      <c r="G114" s="42"/>
      <c r="H114" s="42"/>
    </row>
  </sheetData>
  <mergeCells count="4">
    <mergeCell ref="A110:C110"/>
    <mergeCell ref="A57:D57"/>
    <mergeCell ref="A58:D58"/>
    <mergeCell ref="A56:D56"/>
  </mergeCells>
  <phoneticPr fontId="1" type="noConversion"/>
  <printOptions horizontalCentered="1" verticalCentered="1"/>
  <pageMargins left="0.5" right="0.5" top="0.5" bottom="0.5" header="0.25" footer="0.25"/>
  <pageSetup orientation="portrait" verticalDpi="300" r:id="rId1"/>
  <headerFooter alignWithMargins="0">
    <oddHeader>&amp;R&amp;8Current as of: &amp;D</oddHeader>
    <oddFooter>&amp;L&amp;8USOE, School Finance</oddFooter>
  </headerFooter>
  <picture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>
    <pageSetUpPr fitToPage="1"/>
  </sheetPr>
  <dimension ref="A1:H115"/>
  <sheetViews>
    <sheetView topLeftCell="A56" workbookViewId="0">
      <selection activeCell="C12" sqref="C12"/>
    </sheetView>
  </sheetViews>
  <sheetFormatPr defaultColWidth="9.140625" defaultRowHeight="12.75" x14ac:dyDescent="0.2"/>
  <cols>
    <col min="1" max="1" width="31.85546875" style="82" customWidth="1"/>
    <col min="2" max="2" width="16.28515625" style="82" customWidth="1"/>
    <col min="3" max="4" width="14.85546875" style="82" customWidth="1"/>
    <col min="5" max="5" width="7" style="82" customWidth="1"/>
    <col min="6" max="6" width="19.7109375" style="82" customWidth="1"/>
    <col min="7" max="7" width="5.7109375" style="82" customWidth="1"/>
    <col min="8" max="8" width="18" style="82" customWidth="1"/>
    <col min="9" max="16384" width="9.140625" style="82"/>
  </cols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"/>
      <c r="B3" s="1"/>
      <c r="C3" s="1"/>
      <c r="D3" s="1"/>
      <c r="E3" s="1"/>
      <c r="F3" s="1"/>
      <c r="G3" s="1"/>
      <c r="H3" s="1"/>
    </row>
    <row r="4" spans="1:8" x14ac:dyDescent="0.2">
      <c r="A4" s="1"/>
      <c r="B4" s="1"/>
      <c r="C4" s="1"/>
      <c r="D4" s="1"/>
      <c r="E4" s="1"/>
      <c r="F4" s="1"/>
      <c r="G4" s="1"/>
      <c r="H4" s="1"/>
    </row>
    <row r="5" spans="1:8" x14ac:dyDescent="0.2">
      <c r="A5" s="1"/>
      <c r="B5" s="1"/>
      <c r="C5" s="1"/>
      <c r="D5" s="1"/>
      <c r="E5" s="1"/>
      <c r="F5" s="1"/>
      <c r="G5" s="1"/>
      <c r="H5" s="1"/>
    </row>
    <row r="6" spans="1:8" x14ac:dyDescent="0.2">
      <c r="A6" s="1"/>
      <c r="B6" s="1"/>
      <c r="C6" s="1"/>
      <c r="D6" s="1"/>
      <c r="E6" s="1"/>
      <c r="F6" s="1"/>
      <c r="G6" s="1"/>
      <c r="H6" s="1"/>
    </row>
    <row r="7" spans="1:8" x14ac:dyDescent="0.2">
      <c r="A7" s="1"/>
      <c r="B7" s="1"/>
      <c r="C7" s="1"/>
      <c r="D7" s="1"/>
      <c r="E7" s="1"/>
      <c r="F7" s="1"/>
      <c r="G7" s="1"/>
      <c r="H7" s="1"/>
    </row>
    <row r="8" spans="1:8" x14ac:dyDescent="0.2">
      <c r="A8" s="1"/>
      <c r="B8" s="1"/>
      <c r="C8" s="1"/>
      <c r="D8" s="1"/>
      <c r="E8" s="1"/>
      <c r="F8" s="1"/>
      <c r="G8" s="1"/>
      <c r="H8" s="1"/>
    </row>
    <row r="9" spans="1:8" x14ac:dyDescent="0.2">
      <c r="A9" s="1"/>
      <c r="B9" s="1"/>
      <c r="C9" s="1"/>
      <c r="D9" s="1"/>
      <c r="E9" s="1"/>
      <c r="F9" s="1"/>
      <c r="G9" s="1"/>
      <c r="H9" s="1"/>
    </row>
    <row r="10" spans="1:8" x14ac:dyDescent="0.2">
      <c r="A10" s="1"/>
      <c r="B10" s="1"/>
      <c r="C10" s="1"/>
      <c r="D10" s="1"/>
      <c r="E10" s="1"/>
      <c r="F10" s="1"/>
      <c r="G10" s="1"/>
      <c r="H10" s="1"/>
    </row>
    <row r="11" spans="1:8" x14ac:dyDescent="0.2">
      <c r="A11" s="1"/>
      <c r="B11" s="1"/>
      <c r="C11" s="1"/>
      <c r="D11" s="1"/>
      <c r="E11" s="1"/>
      <c r="F11" s="1"/>
      <c r="G11" s="1"/>
      <c r="H11" s="1"/>
    </row>
    <row r="12" spans="1:8" x14ac:dyDescent="0.2">
      <c r="A12" s="1"/>
      <c r="B12" s="1"/>
      <c r="C12" s="1"/>
      <c r="D12" s="1"/>
      <c r="E12" s="1"/>
      <c r="F12" s="1"/>
      <c r="G12" s="1"/>
      <c r="H12" s="1"/>
    </row>
    <row r="13" spans="1:8" x14ac:dyDescent="0.2">
      <c r="A13" s="1"/>
      <c r="B13" s="1"/>
      <c r="C13" s="1"/>
      <c r="D13" s="1"/>
      <c r="E13" s="1"/>
      <c r="F13" s="1"/>
      <c r="G13" s="1"/>
      <c r="H13" s="1"/>
    </row>
    <row r="14" spans="1:8" x14ac:dyDescent="0.2">
      <c r="A14" s="1"/>
      <c r="B14" s="1"/>
      <c r="C14" s="1"/>
      <c r="D14" s="1"/>
      <c r="E14" s="1"/>
      <c r="F14" s="1"/>
      <c r="G14" s="1"/>
      <c r="H14" s="1"/>
    </row>
    <row r="15" spans="1:8" x14ac:dyDescent="0.2">
      <c r="A15" s="1"/>
      <c r="B15" s="1"/>
      <c r="C15" s="1"/>
      <c r="D15" s="1"/>
      <c r="E15" s="1"/>
      <c r="F15" s="1"/>
      <c r="G15" s="1"/>
      <c r="H15" s="1"/>
    </row>
    <row r="16" spans="1:8" x14ac:dyDescent="0.2">
      <c r="A16" s="1"/>
      <c r="B16" s="1"/>
      <c r="C16" s="1"/>
      <c r="D16" s="1"/>
      <c r="E16" s="1"/>
      <c r="F16" s="1"/>
      <c r="G16" s="1"/>
      <c r="H16" s="1"/>
    </row>
    <row r="17" spans="1:8" x14ac:dyDescent="0.2">
      <c r="A17" s="1"/>
      <c r="B17" s="1"/>
      <c r="C17" s="1"/>
      <c r="D17" s="1"/>
      <c r="E17" s="1"/>
      <c r="F17" s="1"/>
      <c r="G17" s="1"/>
      <c r="H17" s="1"/>
    </row>
    <row r="18" spans="1:8" x14ac:dyDescent="0.2">
      <c r="A18" s="1"/>
      <c r="B18" s="1"/>
      <c r="C18" s="1"/>
      <c r="D18" s="1"/>
      <c r="E18" s="1"/>
      <c r="F18" s="1"/>
      <c r="G18" s="1"/>
      <c r="H18" s="1"/>
    </row>
    <row r="19" spans="1:8" x14ac:dyDescent="0.2">
      <c r="A19" s="1"/>
      <c r="B19" s="1"/>
      <c r="C19" s="1"/>
      <c r="D19" s="1"/>
      <c r="E19" s="1"/>
      <c r="F19" s="1"/>
      <c r="G19" s="1"/>
      <c r="H19" s="1"/>
    </row>
    <row r="20" spans="1:8" x14ac:dyDescent="0.2">
      <c r="A20" s="1"/>
      <c r="B20" s="1"/>
      <c r="C20" s="1"/>
      <c r="D20" s="1"/>
      <c r="E20" s="1"/>
      <c r="F20" s="1"/>
      <c r="G20" s="1"/>
      <c r="H20" s="1"/>
    </row>
    <row r="21" spans="1:8" x14ac:dyDescent="0.2">
      <c r="A21" s="1"/>
      <c r="B21" s="1"/>
      <c r="C21" s="1"/>
      <c r="D21" s="1"/>
      <c r="E21" s="1"/>
      <c r="F21" s="1"/>
      <c r="G21" s="1"/>
      <c r="H21" s="1"/>
    </row>
    <row r="22" spans="1:8" x14ac:dyDescent="0.2">
      <c r="A22" s="1"/>
      <c r="B22" s="1"/>
      <c r="C22" s="1"/>
      <c r="D22" s="4"/>
      <c r="E22" s="1"/>
      <c r="F22" s="1"/>
      <c r="G22" s="1"/>
      <c r="H22" s="1"/>
    </row>
    <row r="23" spans="1:8" x14ac:dyDescent="0.2">
      <c r="A23" s="1"/>
      <c r="B23" s="1"/>
      <c r="C23" s="1"/>
      <c r="D23" s="1"/>
      <c r="E23" s="1"/>
      <c r="F23" s="1"/>
      <c r="G23" s="1"/>
      <c r="H23" s="1"/>
    </row>
    <row r="24" spans="1:8" x14ac:dyDescent="0.2">
      <c r="A24" s="1"/>
      <c r="B24" s="1"/>
      <c r="C24" s="1"/>
      <c r="D24" s="1"/>
      <c r="E24" s="1"/>
      <c r="F24" s="1"/>
      <c r="G24" s="1"/>
      <c r="H24" s="1"/>
    </row>
    <row r="25" spans="1:8" x14ac:dyDescent="0.2">
      <c r="A25" s="1"/>
      <c r="B25" s="1"/>
      <c r="C25" s="1"/>
      <c r="D25" s="1"/>
      <c r="E25" s="1"/>
      <c r="F25" s="1"/>
      <c r="G25" s="1"/>
      <c r="H25" s="1"/>
    </row>
    <row r="26" spans="1:8" x14ac:dyDescent="0.2">
      <c r="A26" s="1"/>
      <c r="B26" s="1"/>
      <c r="C26" s="1"/>
      <c r="D26" s="1"/>
      <c r="E26" s="1"/>
      <c r="F26" s="1"/>
      <c r="G26" s="1"/>
      <c r="H26" s="1"/>
    </row>
    <row r="27" spans="1:8" x14ac:dyDescent="0.2">
      <c r="A27" s="1"/>
      <c r="B27" s="1"/>
      <c r="C27" s="1"/>
      <c r="D27" s="1"/>
      <c r="E27" s="1"/>
      <c r="F27" s="1"/>
      <c r="G27" s="1"/>
      <c r="H27" s="1"/>
    </row>
    <row r="28" spans="1:8" x14ac:dyDescent="0.2">
      <c r="A28" s="1"/>
      <c r="B28" s="1"/>
      <c r="C28" s="1"/>
      <c r="D28" s="1"/>
      <c r="E28" s="1"/>
      <c r="F28" s="1"/>
      <c r="G28" s="1"/>
      <c r="H28" s="1"/>
    </row>
    <row r="29" spans="1:8" x14ac:dyDescent="0.2">
      <c r="A29" s="1"/>
      <c r="B29" s="1"/>
      <c r="C29" s="1"/>
      <c r="D29" s="1"/>
      <c r="E29" s="1"/>
      <c r="F29" s="1"/>
      <c r="G29" s="1"/>
      <c r="H29" s="1"/>
    </row>
    <row r="30" spans="1:8" x14ac:dyDescent="0.2">
      <c r="A30" s="1"/>
      <c r="B30" s="1"/>
      <c r="C30" s="1"/>
      <c r="D30" s="1"/>
      <c r="E30" s="1"/>
      <c r="F30" s="1"/>
      <c r="G30" s="1"/>
      <c r="H30" s="1"/>
    </row>
    <row r="31" spans="1:8" x14ac:dyDescent="0.2">
      <c r="A31" s="1"/>
      <c r="B31" s="1"/>
      <c r="C31" s="1"/>
      <c r="D31" s="1"/>
      <c r="E31" s="1"/>
      <c r="F31" s="1"/>
      <c r="G31" s="1"/>
      <c r="H31" s="1"/>
    </row>
    <row r="32" spans="1:8" x14ac:dyDescent="0.2">
      <c r="A32" s="1"/>
      <c r="B32" s="1"/>
      <c r="C32" s="1"/>
      <c r="D32" s="1"/>
      <c r="E32" s="1"/>
      <c r="F32" s="1"/>
      <c r="G32" s="1"/>
      <c r="H32" s="1"/>
    </row>
    <row r="33" spans="1:8" x14ac:dyDescent="0.2">
      <c r="A33" s="1"/>
      <c r="B33" s="1"/>
      <c r="C33" s="1"/>
      <c r="D33" s="1"/>
      <c r="E33" s="1"/>
      <c r="F33" s="1"/>
      <c r="G33" s="1"/>
      <c r="H33" s="1"/>
    </row>
    <row r="34" spans="1:8" x14ac:dyDescent="0.2">
      <c r="A34" s="1"/>
      <c r="B34" s="1"/>
      <c r="C34" s="1"/>
      <c r="D34" s="1"/>
      <c r="E34" s="1"/>
      <c r="F34" s="1"/>
      <c r="G34" s="1"/>
      <c r="H34" s="1"/>
    </row>
    <row r="35" spans="1:8" x14ac:dyDescent="0.2">
      <c r="A35" s="1"/>
      <c r="B35" s="1"/>
      <c r="C35" s="1"/>
      <c r="D35" s="1"/>
      <c r="E35" s="1"/>
      <c r="F35" s="1"/>
      <c r="G35" s="1"/>
      <c r="H35" s="1"/>
    </row>
    <row r="36" spans="1:8" x14ac:dyDescent="0.2">
      <c r="A36" s="1"/>
      <c r="B36" s="1"/>
      <c r="C36" s="1"/>
      <c r="D36" s="1"/>
      <c r="E36" s="1"/>
      <c r="F36" s="1"/>
      <c r="G36" s="1"/>
      <c r="H36" s="1"/>
    </row>
    <row r="37" spans="1:8" x14ac:dyDescent="0.2">
      <c r="A37" s="1"/>
      <c r="B37" s="1"/>
      <c r="C37" s="1"/>
      <c r="D37" s="1"/>
      <c r="E37" s="1"/>
      <c r="F37" s="1"/>
      <c r="G37" s="1"/>
      <c r="H37" s="1"/>
    </row>
    <row r="38" spans="1:8" x14ac:dyDescent="0.2">
      <c r="A38" s="1"/>
      <c r="B38" s="1"/>
      <c r="C38" s="1"/>
      <c r="D38" s="1"/>
      <c r="E38" s="1"/>
      <c r="F38" s="1"/>
      <c r="G38" s="1"/>
      <c r="H38" s="1"/>
    </row>
    <row r="39" spans="1:8" x14ac:dyDescent="0.2">
      <c r="A39" s="1"/>
      <c r="B39" s="1"/>
      <c r="C39" s="1"/>
      <c r="D39" s="1"/>
      <c r="E39" s="1"/>
      <c r="F39" s="1"/>
      <c r="G39" s="1"/>
      <c r="H39" s="1"/>
    </row>
    <row r="40" spans="1:8" x14ac:dyDescent="0.2">
      <c r="A40" s="1"/>
      <c r="B40" s="1"/>
      <c r="C40" s="1"/>
      <c r="D40" s="1"/>
      <c r="E40" s="1"/>
      <c r="F40" s="1"/>
      <c r="G40" s="1"/>
      <c r="H40" s="1"/>
    </row>
    <row r="41" spans="1:8" x14ac:dyDescent="0.2">
      <c r="A41" s="1"/>
      <c r="B41" s="1"/>
      <c r="C41" s="1"/>
      <c r="D41" s="1"/>
      <c r="E41" s="1"/>
      <c r="F41" s="1"/>
      <c r="G41" s="1"/>
      <c r="H41" s="1"/>
    </row>
    <row r="42" spans="1:8" x14ac:dyDescent="0.2">
      <c r="A42" s="1"/>
      <c r="B42" s="1"/>
      <c r="C42" s="1"/>
      <c r="D42" s="1"/>
      <c r="E42" s="1"/>
      <c r="F42" s="1"/>
      <c r="G42" s="1"/>
      <c r="H42" s="1"/>
    </row>
    <row r="43" spans="1:8" x14ac:dyDescent="0.2">
      <c r="A43" s="1"/>
      <c r="B43" s="1"/>
      <c r="C43" s="1"/>
      <c r="D43" s="1"/>
      <c r="E43" s="1"/>
      <c r="F43" s="1"/>
      <c r="G43" s="1"/>
      <c r="H43" s="1"/>
    </row>
    <row r="44" spans="1:8" x14ac:dyDescent="0.2">
      <c r="A44" s="1"/>
      <c r="B44" s="1"/>
      <c r="C44" s="1"/>
      <c r="D44" s="1"/>
      <c r="E44" s="1"/>
      <c r="F44" s="1"/>
      <c r="G44" s="1"/>
      <c r="H44" s="1"/>
    </row>
    <row r="45" spans="1:8" x14ac:dyDescent="0.2">
      <c r="A45" s="1"/>
      <c r="B45" s="1"/>
      <c r="C45" s="1"/>
      <c r="D45" s="1"/>
      <c r="E45" s="1"/>
      <c r="F45" s="1"/>
      <c r="G45" s="1"/>
      <c r="H45" s="1"/>
    </row>
    <row r="46" spans="1:8" x14ac:dyDescent="0.2">
      <c r="A46" s="1"/>
      <c r="B46" s="1"/>
      <c r="C46" s="1"/>
      <c r="D46" s="1"/>
      <c r="E46" s="1"/>
      <c r="F46" s="1"/>
      <c r="G46" s="1"/>
      <c r="H46" s="1"/>
    </row>
    <row r="47" spans="1:8" x14ac:dyDescent="0.2">
      <c r="A47" s="1"/>
      <c r="B47" s="1"/>
      <c r="C47" s="1"/>
      <c r="D47" s="1"/>
      <c r="E47" s="1"/>
      <c r="F47" s="1"/>
      <c r="G47" s="1"/>
      <c r="H47" s="1"/>
    </row>
    <row r="48" spans="1:8" x14ac:dyDescent="0.2">
      <c r="A48" s="1"/>
      <c r="B48" s="1"/>
      <c r="C48" s="1"/>
      <c r="D48" s="1"/>
      <c r="E48" s="1"/>
      <c r="F48" s="1"/>
      <c r="G48" s="1"/>
      <c r="H48" s="1"/>
    </row>
    <row r="49" spans="1:8" x14ac:dyDescent="0.2">
      <c r="A49" s="1"/>
      <c r="B49" s="1"/>
      <c r="C49" s="1"/>
      <c r="D49" s="1"/>
      <c r="E49" s="1"/>
      <c r="F49" s="1"/>
      <c r="G49" s="1"/>
      <c r="H49" s="1"/>
    </row>
    <row r="50" spans="1:8" x14ac:dyDescent="0.2">
      <c r="A50" s="1"/>
      <c r="B50" s="1"/>
      <c r="C50" s="1"/>
      <c r="D50" s="1"/>
      <c r="E50" s="1"/>
      <c r="F50" s="1"/>
      <c r="G50" s="1"/>
      <c r="H50" s="1"/>
    </row>
    <row r="51" spans="1:8" x14ac:dyDescent="0.2">
      <c r="A51" s="1"/>
      <c r="B51" s="1"/>
      <c r="C51" s="1"/>
      <c r="D51" s="1"/>
      <c r="E51" s="1"/>
      <c r="F51" s="1"/>
      <c r="G51" s="1"/>
      <c r="H51" s="1"/>
    </row>
    <row r="52" spans="1:8" x14ac:dyDescent="0.2">
      <c r="A52" s="1"/>
      <c r="B52" s="1"/>
      <c r="C52" s="1"/>
      <c r="D52" s="1"/>
      <c r="E52" s="1"/>
      <c r="F52" s="1"/>
      <c r="G52" s="1"/>
      <c r="H52" s="1"/>
    </row>
    <row r="53" spans="1:8" x14ac:dyDescent="0.2">
      <c r="A53" s="1"/>
      <c r="B53" s="1"/>
      <c r="C53" s="1"/>
      <c r="D53" s="1"/>
      <c r="E53" s="1"/>
      <c r="F53" s="1"/>
      <c r="G53" s="1"/>
      <c r="H53" s="1"/>
    </row>
    <row r="54" spans="1:8" x14ac:dyDescent="0.2">
      <c r="A54" s="1"/>
      <c r="B54" s="1"/>
      <c r="C54" s="1"/>
      <c r="D54" s="1"/>
      <c r="E54" s="1"/>
      <c r="F54" s="1"/>
      <c r="G54" s="1"/>
      <c r="H54" s="1"/>
    </row>
    <row r="55" spans="1:8" x14ac:dyDescent="0.2">
      <c r="A55" s="1"/>
      <c r="B55" s="1"/>
      <c r="C55" s="1"/>
      <c r="D55" s="1"/>
      <c r="E55" s="1"/>
      <c r="F55" s="1"/>
      <c r="G55" s="1"/>
      <c r="H55" s="1"/>
    </row>
    <row r="56" spans="1:8" x14ac:dyDescent="0.2">
      <c r="A56" s="1"/>
      <c r="B56" s="1"/>
      <c r="C56" s="1"/>
      <c r="D56" s="1"/>
      <c r="E56" s="1"/>
      <c r="F56" s="1"/>
      <c r="G56" s="1"/>
      <c r="H56" s="1"/>
    </row>
    <row r="57" spans="1:8" x14ac:dyDescent="0.2">
      <c r="A57" s="11" t="s">
        <v>1</v>
      </c>
      <c r="B57" s="12"/>
      <c r="C57" s="12"/>
      <c r="D57" s="13"/>
      <c r="E57" s="8"/>
      <c r="F57" s="8"/>
      <c r="G57" s="8"/>
      <c r="H57" s="8"/>
    </row>
    <row r="58" spans="1:8" x14ac:dyDescent="0.2">
      <c r="A58" s="14" t="s">
        <v>15</v>
      </c>
      <c r="B58" s="15"/>
      <c r="C58" s="15"/>
      <c r="D58" s="16"/>
      <c r="E58" s="8"/>
      <c r="F58" s="8"/>
      <c r="G58" s="8"/>
      <c r="H58" s="8"/>
    </row>
    <row r="59" spans="1:8" x14ac:dyDescent="0.2">
      <c r="A59" s="17" t="s">
        <v>62</v>
      </c>
      <c r="B59" s="18"/>
      <c r="C59" s="18"/>
      <c r="D59" s="19"/>
      <c r="E59" s="8"/>
      <c r="F59" s="8"/>
      <c r="G59" s="8"/>
      <c r="H59" s="8"/>
    </row>
    <row r="60" spans="1:8" x14ac:dyDescent="0.2">
      <c r="A60" s="20"/>
      <c r="B60" s="21"/>
      <c r="C60" s="22"/>
      <c r="D60" s="23"/>
      <c r="E60" s="8"/>
      <c r="F60" s="8" t="s">
        <v>34</v>
      </c>
      <c r="G60" s="8"/>
      <c r="H60" s="8"/>
    </row>
    <row r="61" spans="1:8" ht="15.75" x14ac:dyDescent="0.25">
      <c r="A61" s="24" t="s">
        <v>2</v>
      </c>
      <c r="B61" s="25" t="str">
        <f>[1]Charters!B64</f>
        <v>C.S. Lewis Academy</v>
      </c>
      <c r="C61" s="26"/>
      <c r="D61" s="27"/>
      <c r="E61" s="8"/>
      <c r="F61" s="8"/>
      <c r="G61" s="8"/>
      <c r="H61" s="8"/>
    </row>
    <row r="62" spans="1:8" x14ac:dyDescent="0.2">
      <c r="A62" s="24"/>
      <c r="B62" s="28"/>
      <c r="C62" s="26"/>
      <c r="D62" s="27"/>
      <c r="E62" s="8"/>
      <c r="F62" s="8"/>
      <c r="G62" s="8"/>
      <c r="H62" s="8"/>
    </row>
    <row r="63" spans="1:8" x14ac:dyDescent="0.2">
      <c r="A63" s="29" t="s">
        <v>0</v>
      </c>
      <c r="B63" s="30">
        <f>[1]Charters!$E$6</f>
        <v>3184</v>
      </c>
      <c r="C63" s="26"/>
      <c r="D63" s="31"/>
      <c r="E63" s="8"/>
      <c r="F63" s="8"/>
      <c r="G63" s="8"/>
      <c r="H63" s="8"/>
    </row>
    <row r="64" spans="1:8" x14ac:dyDescent="0.2">
      <c r="A64" s="32"/>
      <c r="B64" s="6"/>
      <c r="C64" s="33"/>
      <c r="D64" s="34" t="s">
        <v>3</v>
      </c>
      <c r="E64" s="8"/>
      <c r="F64" s="8"/>
      <c r="G64" s="8"/>
      <c r="H64" s="8"/>
    </row>
    <row r="65" spans="1:8" x14ac:dyDescent="0.2">
      <c r="A65" s="29" t="s">
        <v>19</v>
      </c>
      <c r="B65" s="35" t="str">
        <f>[1]Charters!A64</f>
        <v>3E</v>
      </c>
      <c r="C65" s="36" t="s">
        <v>4</v>
      </c>
      <c r="D65" s="37" t="s">
        <v>5</v>
      </c>
      <c r="E65" s="8"/>
      <c r="F65" s="8"/>
      <c r="G65" s="8"/>
      <c r="H65" s="8"/>
    </row>
    <row r="66" spans="1:8" x14ac:dyDescent="0.2">
      <c r="A66" s="38" t="s">
        <v>6</v>
      </c>
      <c r="B66" s="39"/>
      <c r="C66" s="40"/>
      <c r="D66" s="41"/>
      <c r="E66" s="8"/>
      <c r="F66" s="8"/>
      <c r="G66" s="8"/>
      <c r="H66" s="8"/>
    </row>
    <row r="67" spans="1:8" x14ac:dyDescent="0.2">
      <c r="A67" s="38" t="s">
        <v>7</v>
      </c>
      <c r="B67" s="39"/>
      <c r="C67" s="40"/>
      <c r="D67" s="41"/>
      <c r="E67" s="8"/>
      <c r="F67" s="42" t="s">
        <v>23</v>
      </c>
      <c r="G67" s="8"/>
      <c r="H67" s="42" t="s">
        <v>26</v>
      </c>
    </row>
    <row r="68" spans="1:8" x14ac:dyDescent="0.2">
      <c r="A68" s="20" t="s">
        <v>8</v>
      </c>
      <c r="B68" s="43"/>
      <c r="C68" s="44">
        <f>[1]Charters!C524</f>
        <v>242.46700000000001</v>
      </c>
      <c r="D68" s="45">
        <f>[1]Charters!E524</f>
        <v>772015.59</v>
      </c>
      <c r="E68" s="8"/>
      <c r="F68" s="42">
        <f>[1]Charters!E679</f>
        <v>805969.61</v>
      </c>
      <c r="G68" s="8"/>
      <c r="H68" s="42">
        <f>[2]Charters!E218</f>
        <v>1070721.06</v>
      </c>
    </row>
    <row r="69" spans="1:8" x14ac:dyDescent="0.2">
      <c r="A69" s="20" t="s">
        <v>14</v>
      </c>
      <c r="B69" s="43"/>
      <c r="C69" s="44">
        <f>[1]Charters!F524</f>
        <v>10.664</v>
      </c>
      <c r="D69" s="45">
        <f>[1]Charters!H524</f>
        <v>33954.019999999997</v>
      </c>
      <c r="E69" s="8"/>
      <c r="F69" s="42">
        <f>SUM(D68:D70)</f>
        <v>805969.61</v>
      </c>
      <c r="G69" s="8"/>
      <c r="H69" s="42">
        <f>D81</f>
        <v>1070721.06</v>
      </c>
    </row>
    <row r="70" spans="1:8" x14ac:dyDescent="0.2">
      <c r="A70" s="20" t="s">
        <v>32</v>
      </c>
      <c r="B70" s="43"/>
      <c r="C70" s="44">
        <f>[1]Charters!C217</f>
        <v>0</v>
      </c>
      <c r="D70" s="45">
        <f>[1]Charters!E217</f>
        <v>0</v>
      </c>
      <c r="E70" s="8"/>
      <c r="F70" s="42">
        <f>+F68-F69</f>
        <v>0</v>
      </c>
      <c r="G70" s="8"/>
      <c r="H70" s="42">
        <f>+H68-H69</f>
        <v>0</v>
      </c>
    </row>
    <row r="71" spans="1:8" x14ac:dyDescent="0.2">
      <c r="A71" s="38" t="s">
        <v>9</v>
      </c>
      <c r="B71" s="39"/>
      <c r="C71" s="46"/>
      <c r="D71" s="47"/>
      <c r="E71" s="8"/>
      <c r="F71" s="8"/>
      <c r="G71" s="8"/>
      <c r="H71" s="8"/>
    </row>
    <row r="72" spans="1:8" x14ac:dyDescent="0.2">
      <c r="A72" s="20" t="s">
        <v>10</v>
      </c>
      <c r="B72" s="43"/>
      <c r="C72" s="40">
        <f>[3]Charters!C63</f>
        <v>53.481000000000002</v>
      </c>
      <c r="D72" s="41">
        <f>[3]Charters!E63</f>
        <v>170282.71</v>
      </c>
      <c r="E72" s="8"/>
      <c r="F72" s="42" t="s">
        <v>24</v>
      </c>
      <c r="G72" s="8"/>
      <c r="H72" s="8"/>
    </row>
    <row r="73" spans="1:8" x14ac:dyDescent="0.2">
      <c r="A73" s="48" t="s">
        <v>11</v>
      </c>
      <c r="B73" s="43"/>
      <c r="C73" s="40">
        <f>[3]Charters!F63</f>
        <v>1.86</v>
      </c>
      <c r="D73" s="49">
        <f>[3]Charters!H63</f>
        <v>5922.24</v>
      </c>
      <c r="E73" s="8"/>
      <c r="F73" s="42">
        <f>[3]Charters!N375</f>
        <v>182274.02</v>
      </c>
      <c r="G73" s="8"/>
      <c r="H73" s="8"/>
    </row>
    <row r="74" spans="1:8" x14ac:dyDescent="0.2">
      <c r="A74" s="48" t="s">
        <v>12</v>
      </c>
      <c r="B74" s="43"/>
      <c r="C74" s="40">
        <f>[3]Charters!C218</f>
        <v>0</v>
      </c>
      <c r="D74" s="41">
        <f>[3]Charters!E218</f>
        <v>0</v>
      </c>
      <c r="E74" s="8"/>
      <c r="F74" s="42">
        <f>SUM(D72:D78)</f>
        <v>182274.02</v>
      </c>
      <c r="G74" s="8"/>
      <c r="H74" s="8"/>
    </row>
    <row r="75" spans="1:8" x14ac:dyDescent="0.2">
      <c r="A75" s="20" t="s">
        <v>13</v>
      </c>
      <c r="B75" s="43"/>
      <c r="C75" s="40">
        <f>[3]Charters!F218</f>
        <v>0.89300000000000002</v>
      </c>
      <c r="D75" s="41">
        <f>[3]Charters!H218</f>
        <v>2843.94</v>
      </c>
      <c r="E75" s="8"/>
      <c r="F75" s="42">
        <f>+F73-F74</f>
        <v>0</v>
      </c>
      <c r="G75" s="8"/>
      <c r="H75" s="8"/>
    </row>
    <row r="76" spans="1:8" x14ac:dyDescent="0.2">
      <c r="A76" s="48" t="s">
        <v>54</v>
      </c>
      <c r="B76" s="43"/>
      <c r="C76" s="40">
        <f>[3]Charters!C375</f>
        <v>1.0129999999999999</v>
      </c>
      <c r="D76" s="41">
        <f>[3]Charters!E375</f>
        <v>3225.13</v>
      </c>
      <c r="E76" s="8"/>
      <c r="F76" s="8"/>
      <c r="G76" s="8"/>
      <c r="H76" s="8"/>
    </row>
    <row r="77" spans="1:8" x14ac:dyDescent="0.2">
      <c r="A77" s="48" t="s">
        <v>55</v>
      </c>
      <c r="B77" s="43"/>
      <c r="C77" s="40">
        <f>[3]Charters!F375</f>
        <v>0</v>
      </c>
      <c r="D77" s="41">
        <f>[3]Charters!H375</f>
        <v>0</v>
      </c>
      <c r="E77" s="8"/>
      <c r="F77" s="42" t="s">
        <v>25</v>
      </c>
      <c r="G77" s="8"/>
      <c r="H77" s="8"/>
    </row>
    <row r="78" spans="1:8" x14ac:dyDescent="0.2">
      <c r="A78" s="48" t="s">
        <v>56</v>
      </c>
      <c r="B78" s="43"/>
      <c r="C78" s="40">
        <f>[3]Charters!I375</f>
        <v>0</v>
      </c>
      <c r="D78" s="41">
        <f>[3]Charters!K375</f>
        <v>0</v>
      </c>
      <c r="E78" s="8"/>
      <c r="F78" s="42">
        <f>[2]Charters!H64</f>
        <v>264751.45</v>
      </c>
      <c r="G78" s="8"/>
      <c r="H78" s="8"/>
    </row>
    <row r="79" spans="1:8" x14ac:dyDescent="0.2">
      <c r="A79" s="20" t="s">
        <v>49</v>
      </c>
      <c r="B79" s="43"/>
      <c r="C79" s="40">
        <f>[3]Charters!C531</f>
        <v>0</v>
      </c>
      <c r="D79" s="41">
        <f>[3]Charters!E531</f>
        <v>0</v>
      </c>
      <c r="E79" s="8"/>
      <c r="F79" s="42">
        <f>SUM(D72:D80)</f>
        <v>264751.45</v>
      </c>
      <c r="G79" s="8"/>
      <c r="H79" s="8"/>
    </row>
    <row r="80" spans="1:8" x14ac:dyDescent="0.2">
      <c r="A80" s="20" t="s">
        <v>50</v>
      </c>
      <c r="B80" s="43"/>
      <c r="C80" s="40">
        <f>[2]Charters!C64</f>
        <v>25.904</v>
      </c>
      <c r="D80" s="41">
        <f>[2]Charters!E64</f>
        <v>82477.429999999993</v>
      </c>
      <c r="E80" s="8"/>
      <c r="F80" s="42">
        <f>+F78-F79</f>
        <v>0</v>
      </c>
      <c r="G80" s="8"/>
      <c r="H80" s="8"/>
    </row>
    <row r="81" spans="1:8" x14ac:dyDescent="0.2">
      <c r="A81" s="50"/>
      <c r="B81" s="51" t="s">
        <v>16</v>
      </c>
      <c r="C81" s="52">
        <f>SUM(C68:C80)</f>
        <v>336.28199999999998</v>
      </c>
      <c r="D81" s="53">
        <f>SUM(D68:D80)</f>
        <v>1070721.06</v>
      </c>
      <c r="E81" s="8"/>
      <c r="F81" s="8"/>
      <c r="G81" s="8"/>
      <c r="H81" s="8"/>
    </row>
    <row r="82" spans="1:8" x14ac:dyDescent="0.2">
      <c r="A82" s="54" t="s">
        <v>17</v>
      </c>
      <c r="B82" s="39"/>
      <c r="C82" s="55"/>
      <c r="D82" s="47"/>
      <c r="E82" s="8"/>
      <c r="F82" s="8"/>
      <c r="G82" s="8"/>
      <c r="H82" s="42" t="s">
        <v>29</v>
      </c>
    </row>
    <row r="83" spans="1:8" x14ac:dyDescent="0.2">
      <c r="A83" s="20" t="s">
        <v>33</v>
      </c>
      <c r="B83" s="43"/>
      <c r="C83" s="56"/>
      <c r="D83" s="57">
        <f>[4]Charters!C64</f>
        <v>3103.45</v>
      </c>
      <c r="E83" s="8"/>
      <c r="F83" s="8"/>
      <c r="G83" s="8"/>
      <c r="H83" s="42">
        <f>[4]Charters!F1004</f>
        <v>1835333.52</v>
      </c>
    </row>
    <row r="84" spans="1:8" x14ac:dyDescent="0.2">
      <c r="A84" s="58" t="s">
        <v>35</v>
      </c>
      <c r="B84" s="43"/>
      <c r="C84" s="56"/>
      <c r="D84" s="41">
        <f>+[4]Charters!F385</f>
        <v>1166.99</v>
      </c>
      <c r="E84" s="8"/>
      <c r="F84" s="8"/>
      <c r="G84" s="8"/>
      <c r="H84" s="42">
        <f>SUM(D81:D100)</f>
        <v>1835333.52</v>
      </c>
    </row>
    <row r="85" spans="1:8" x14ac:dyDescent="0.2">
      <c r="A85" s="59" t="s">
        <v>36</v>
      </c>
      <c r="B85" s="43"/>
      <c r="C85" s="56"/>
      <c r="D85" s="41">
        <f>[4]Charters!E224</f>
        <v>15939</v>
      </c>
      <c r="E85" s="8"/>
      <c r="F85" s="8"/>
      <c r="G85" s="8"/>
      <c r="H85" s="42">
        <f>+H83-H84</f>
        <v>0</v>
      </c>
    </row>
    <row r="86" spans="1:8" x14ac:dyDescent="0.2">
      <c r="A86" s="59" t="s">
        <v>52</v>
      </c>
      <c r="B86" s="43"/>
      <c r="C86" s="56"/>
      <c r="D86" s="41">
        <f>[4]Charters!G385</f>
        <v>0</v>
      </c>
      <c r="E86" s="8"/>
      <c r="F86" s="42" t="s">
        <v>27</v>
      </c>
      <c r="G86" s="8"/>
      <c r="H86" s="42"/>
    </row>
    <row r="87" spans="1:8" x14ac:dyDescent="0.2">
      <c r="A87" s="20" t="s">
        <v>37</v>
      </c>
      <c r="B87" s="43"/>
      <c r="C87" s="56"/>
      <c r="D87" s="41">
        <f>[4]Charters!E541</f>
        <v>20996</v>
      </c>
      <c r="E87" s="8"/>
      <c r="F87" s="42">
        <f>[4]Charters!E224</f>
        <v>15939</v>
      </c>
      <c r="G87" s="8"/>
      <c r="H87" s="8"/>
    </row>
    <row r="88" spans="1:8" x14ac:dyDescent="0.2">
      <c r="A88" s="20" t="s">
        <v>38</v>
      </c>
      <c r="B88" s="43"/>
      <c r="C88" s="56"/>
      <c r="D88" s="41">
        <f>[4]Charters!F541</f>
        <v>0</v>
      </c>
      <c r="E88" s="8"/>
      <c r="F88" s="42">
        <f>SUM(D85:D85)</f>
        <v>15939</v>
      </c>
      <c r="G88" s="8"/>
      <c r="H88" s="8"/>
    </row>
    <row r="89" spans="1:8" x14ac:dyDescent="0.2">
      <c r="A89" s="59" t="s">
        <v>40</v>
      </c>
      <c r="B89" s="43"/>
      <c r="C89" s="56"/>
      <c r="D89" s="41">
        <f>[4]Charters!G541</f>
        <v>0</v>
      </c>
      <c r="E89" s="8"/>
      <c r="F89" s="42">
        <f>+F87-F88</f>
        <v>0</v>
      </c>
      <c r="G89" s="8"/>
      <c r="H89" s="8"/>
    </row>
    <row r="90" spans="1:8" x14ac:dyDescent="0.2">
      <c r="A90" s="20" t="s">
        <v>41</v>
      </c>
      <c r="B90" s="43"/>
      <c r="C90" s="56"/>
      <c r="D90" s="41">
        <f>[4]Charters!C695</f>
        <v>592296</v>
      </c>
      <c r="E90" s="8"/>
      <c r="F90" s="42" t="s">
        <v>28</v>
      </c>
      <c r="G90" s="8"/>
      <c r="H90" s="8"/>
    </row>
    <row r="91" spans="1:8" x14ac:dyDescent="0.2">
      <c r="A91" s="20" t="s">
        <v>42</v>
      </c>
      <c r="B91" s="43"/>
      <c r="C91" s="56"/>
      <c r="D91" s="41">
        <f>[4]Charters!D695</f>
        <v>73502.720000000001</v>
      </c>
      <c r="E91" s="8"/>
      <c r="F91" s="42">
        <f>[4]Charters!D541</f>
        <v>17105.990000000002</v>
      </c>
      <c r="G91" s="8"/>
      <c r="H91" s="8"/>
    </row>
    <row r="92" spans="1:8" x14ac:dyDescent="0.2">
      <c r="A92" s="20" t="s">
        <v>44</v>
      </c>
      <c r="B92" s="43"/>
      <c r="C92" s="56"/>
      <c r="D92" s="41">
        <f>[4]Charters!E695</f>
        <v>29600</v>
      </c>
      <c r="E92" s="8"/>
      <c r="F92" s="42">
        <f>SUM(D84:D86)</f>
        <v>17105.990000000002</v>
      </c>
      <c r="G92" s="8"/>
      <c r="H92" s="8"/>
    </row>
    <row r="93" spans="1:8" x14ac:dyDescent="0.2">
      <c r="A93" s="59" t="s">
        <v>43</v>
      </c>
      <c r="B93" s="43"/>
      <c r="C93" s="56"/>
      <c r="D93" s="41">
        <f>[4]Charters!F695</f>
        <v>10842.63</v>
      </c>
      <c r="E93" s="8"/>
      <c r="F93" s="42">
        <f>+F91-F92</f>
        <v>0</v>
      </c>
      <c r="G93" s="8"/>
      <c r="H93" s="8"/>
    </row>
    <row r="94" spans="1:8" x14ac:dyDescent="0.2">
      <c r="A94" s="59" t="s">
        <v>45</v>
      </c>
      <c r="B94" s="43"/>
      <c r="C94" s="56"/>
      <c r="D94" s="41">
        <f>[4]Charters!C541</f>
        <v>0</v>
      </c>
      <c r="E94" s="8"/>
      <c r="F94" s="8"/>
      <c r="G94" s="8"/>
      <c r="H94" s="8"/>
    </row>
    <row r="95" spans="1:8" x14ac:dyDescent="0.2">
      <c r="A95" s="59" t="s">
        <v>46</v>
      </c>
      <c r="B95" s="43"/>
      <c r="C95" s="56"/>
      <c r="D95" s="41">
        <f>[4]Charters!C851</f>
        <v>0</v>
      </c>
      <c r="E95" s="42"/>
      <c r="F95" s="42"/>
      <c r="G95" s="42"/>
      <c r="H95" s="42" t="s">
        <v>31</v>
      </c>
    </row>
    <row r="96" spans="1:8" x14ac:dyDescent="0.2">
      <c r="A96" s="59" t="s">
        <v>51</v>
      </c>
      <c r="B96" s="43"/>
      <c r="C96" s="56"/>
      <c r="D96" s="60">
        <f>[4]Charters!D851</f>
        <v>437.67</v>
      </c>
      <c r="E96" s="42"/>
      <c r="F96" s="42"/>
      <c r="G96" s="42"/>
      <c r="H96" s="42">
        <f>[4]Charters!D1310</f>
        <v>1837837.97</v>
      </c>
    </row>
    <row r="97" spans="1:8" x14ac:dyDescent="0.2">
      <c r="A97" s="20" t="s">
        <v>47</v>
      </c>
      <c r="B97" s="43"/>
      <c r="C97" s="56"/>
      <c r="D97" s="60">
        <f>[4]Charters!E851</f>
        <v>16728</v>
      </c>
      <c r="E97" s="42"/>
      <c r="F97" s="42"/>
      <c r="G97" s="42"/>
      <c r="H97" s="42">
        <f>D106</f>
        <v>1837837.97</v>
      </c>
    </row>
    <row r="98" spans="1:8" x14ac:dyDescent="0.2">
      <c r="A98" s="20" t="s">
        <v>57</v>
      </c>
      <c r="B98" s="43"/>
      <c r="C98" s="56"/>
      <c r="D98" s="60">
        <f>[4]Charters!C1004</f>
        <v>0</v>
      </c>
      <c r="E98" s="42"/>
      <c r="F98" s="42"/>
      <c r="G98" s="42"/>
      <c r="H98" s="42">
        <f>+H96-H97</f>
        <v>0</v>
      </c>
    </row>
    <row r="99" spans="1:8" x14ac:dyDescent="0.2">
      <c r="A99" s="59" t="s">
        <v>53</v>
      </c>
      <c r="B99" s="43"/>
      <c r="C99" s="56"/>
      <c r="D99" s="60">
        <f>[4]Charters!D1004</f>
        <v>0</v>
      </c>
      <c r="E99" s="42"/>
      <c r="F99" s="42" t="s">
        <v>30</v>
      </c>
      <c r="G99" s="42"/>
      <c r="H99" s="42"/>
    </row>
    <row r="100" spans="1:8" x14ac:dyDescent="0.2">
      <c r="A100" s="59" t="s">
        <v>59</v>
      </c>
      <c r="B100" s="43"/>
      <c r="C100" s="56"/>
      <c r="D100" s="60">
        <f>[4]Charters!E1004</f>
        <v>0</v>
      </c>
      <c r="E100" s="42"/>
      <c r="F100" s="42"/>
      <c r="G100" s="42"/>
      <c r="H100" s="42"/>
    </row>
    <row r="101" spans="1:8" x14ac:dyDescent="0.2">
      <c r="A101" s="38" t="s">
        <v>18</v>
      </c>
      <c r="B101" s="61"/>
      <c r="C101" s="62"/>
      <c r="D101" s="87"/>
      <c r="E101" s="42"/>
      <c r="F101" s="42">
        <f>[4]Charters!C1310</f>
        <v>2504.4499999999998</v>
      </c>
      <c r="G101" s="42"/>
      <c r="H101" s="42"/>
    </row>
    <row r="102" spans="1:8" x14ac:dyDescent="0.2">
      <c r="A102" s="59" t="s">
        <v>39</v>
      </c>
      <c r="B102" s="43"/>
      <c r="C102" s="56"/>
      <c r="D102" s="41">
        <f>[4]Charters!C1157</f>
        <v>2504.4499999999998</v>
      </c>
      <c r="E102" s="42"/>
      <c r="F102" s="42">
        <f>SUM(D102:D105)</f>
        <v>2504.4499999999998</v>
      </c>
      <c r="G102" s="42"/>
      <c r="H102" s="42"/>
    </row>
    <row r="103" spans="1:8" x14ac:dyDescent="0.2">
      <c r="A103" s="59" t="s">
        <v>48</v>
      </c>
      <c r="B103" s="43"/>
      <c r="C103" s="56"/>
      <c r="D103" s="41">
        <f>[4]Charters!D1157</f>
        <v>0</v>
      </c>
      <c r="E103" s="42"/>
      <c r="F103" s="42">
        <f>+F101-F102</f>
        <v>0</v>
      </c>
      <c r="G103" s="42"/>
      <c r="H103" s="42"/>
    </row>
    <row r="104" spans="1:8" x14ac:dyDescent="0.2">
      <c r="A104" s="59" t="s">
        <v>60</v>
      </c>
      <c r="B104" s="43"/>
      <c r="C104" s="56"/>
      <c r="D104" s="41">
        <f>[4]Charters!E1157</f>
        <v>0</v>
      </c>
      <c r="E104" s="42"/>
      <c r="F104" s="42"/>
      <c r="G104" s="42"/>
      <c r="H104" s="42"/>
    </row>
    <row r="105" spans="1:8" x14ac:dyDescent="0.2">
      <c r="A105" s="59" t="s">
        <v>61</v>
      </c>
      <c r="B105" s="43"/>
      <c r="C105" s="56"/>
      <c r="D105" s="41">
        <f>[4]Charters!F1157</f>
        <v>0</v>
      </c>
      <c r="E105" s="42"/>
      <c r="F105" s="42"/>
      <c r="G105" s="42"/>
      <c r="H105" s="42"/>
    </row>
    <row r="106" spans="1:8" ht="13.5" thickBot="1" x14ac:dyDescent="0.25">
      <c r="A106" s="64"/>
      <c r="B106" s="65"/>
      <c r="C106" s="66"/>
      <c r="D106" s="67">
        <f>SUM(D81:D105)</f>
        <v>1837837.97</v>
      </c>
      <c r="E106" s="42"/>
      <c r="F106" s="42"/>
      <c r="G106" s="42"/>
      <c r="H106" s="42"/>
    </row>
    <row r="107" spans="1:8" ht="13.5" thickTop="1" x14ac:dyDescent="0.2">
      <c r="A107" s="68"/>
      <c r="B107" s="43"/>
      <c r="C107" s="56"/>
      <c r="D107" s="86"/>
      <c r="E107" s="42"/>
      <c r="F107" s="42"/>
      <c r="G107" s="42"/>
      <c r="H107" s="42"/>
    </row>
    <row r="108" spans="1:8" x14ac:dyDescent="0.2">
      <c r="A108" s="38" t="s">
        <v>20</v>
      </c>
      <c r="B108" s="39"/>
      <c r="C108" s="70"/>
      <c r="D108" s="71" t="s">
        <v>21</v>
      </c>
      <c r="E108" s="42"/>
      <c r="F108" s="42"/>
      <c r="G108" s="42"/>
      <c r="H108" s="42"/>
    </row>
    <row r="109" spans="1:8" x14ac:dyDescent="0.2">
      <c r="A109" s="72" t="s">
        <v>22</v>
      </c>
      <c r="B109" s="73"/>
      <c r="C109" s="74"/>
      <c r="D109" s="41">
        <f>[5]Charters!C63</f>
        <v>568.32000000000005</v>
      </c>
      <c r="E109" s="42"/>
      <c r="F109" s="42"/>
      <c r="G109" s="42"/>
      <c r="H109" s="42"/>
    </row>
    <row r="110" spans="1:8" x14ac:dyDescent="0.2">
      <c r="A110" s="75"/>
      <c r="B110" s="61"/>
      <c r="C110" s="76"/>
      <c r="D110" s="77">
        <f>SUM(D109:D109)</f>
        <v>568.32000000000005</v>
      </c>
      <c r="E110" s="42"/>
      <c r="F110" s="42"/>
      <c r="G110" s="42"/>
      <c r="H110" s="42"/>
    </row>
    <row r="111" spans="1:8" x14ac:dyDescent="0.2">
      <c r="A111" s="78" t="s">
        <v>58</v>
      </c>
      <c r="B111" s="79"/>
      <c r="C111" s="80"/>
      <c r="D111" s="77">
        <f>D110+D106</f>
        <v>1838406.29</v>
      </c>
      <c r="E111" s="42"/>
      <c r="F111" s="42"/>
      <c r="G111" s="42"/>
      <c r="H111" s="42"/>
    </row>
    <row r="112" spans="1:8" x14ac:dyDescent="0.2">
      <c r="A112" s="84"/>
      <c r="B112" s="84"/>
      <c r="C112" s="85"/>
      <c r="D112" s="81"/>
      <c r="E112" s="42"/>
      <c r="F112" s="42"/>
      <c r="G112" s="42"/>
      <c r="H112" s="42"/>
    </row>
    <row r="113" spans="1:8" x14ac:dyDescent="0.2">
      <c r="A113" s="84"/>
      <c r="B113" s="84"/>
      <c r="C113" s="85"/>
      <c r="D113" s="81">
        <f>[5]Charters!E219</f>
        <v>1838406.29</v>
      </c>
      <c r="E113" s="42"/>
      <c r="F113" s="42"/>
      <c r="G113" s="42"/>
      <c r="H113" s="42"/>
    </row>
    <row r="114" spans="1:8" x14ac:dyDescent="0.2">
      <c r="A114" s="84"/>
      <c r="B114" s="84"/>
      <c r="C114" s="85"/>
      <c r="D114" s="81">
        <f>D111</f>
        <v>1838406.29</v>
      </c>
      <c r="E114" s="42"/>
      <c r="F114" s="42"/>
      <c r="G114" s="42"/>
      <c r="H114" s="42"/>
    </row>
    <row r="115" spans="1:8" x14ac:dyDescent="0.2">
      <c r="C115" s="83"/>
      <c r="D115" s="42">
        <f>D113-D114</f>
        <v>0</v>
      </c>
      <c r="E115" s="42"/>
      <c r="F115" s="42"/>
      <c r="G115" s="42"/>
      <c r="H115" s="42"/>
    </row>
  </sheetData>
  <mergeCells count="4">
    <mergeCell ref="A111:C111"/>
    <mergeCell ref="A58:D58"/>
    <mergeCell ref="A59:D59"/>
    <mergeCell ref="A57:D57"/>
  </mergeCells>
  <phoneticPr fontId="1" type="noConversion"/>
  <printOptions horizontalCentered="1" verticalCentered="1"/>
  <pageMargins left="0.5" right="0.5" top="0.5" bottom="0.5" header="0.25" footer="0.25"/>
  <pageSetup orientation="portrait" verticalDpi="300" r:id="rId1"/>
  <headerFooter alignWithMargins="0">
    <oddHeader>&amp;R&amp;8Current as of: &amp;D</oddHeader>
    <oddFooter>&amp;L&amp;8USOE, School Finance</oddFooter>
  </headerFooter>
  <picture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>
    <pageSetUpPr fitToPage="1"/>
  </sheetPr>
  <dimension ref="A1:H116"/>
  <sheetViews>
    <sheetView topLeftCell="A54" workbookViewId="0">
      <selection activeCell="C12" sqref="C12"/>
    </sheetView>
  </sheetViews>
  <sheetFormatPr defaultColWidth="9.140625" defaultRowHeight="12.75" x14ac:dyDescent="0.2"/>
  <cols>
    <col min="1" max="1" width="31.85546875" style="82" customWidth="1"/>
    <col min="2" max="2" width="16.42578125" style="82" customWidth="1"/>
    <col min="3" max="4" width="14.85546875" style="82" customWidth="1"/>
    <col min="5" max="5" width="7" style="82" customWidth="1"/>
    <col min="6" max="6" width="19.7109375" style="82" customWidth="1"/>
    <col min="7" max="7" width="5.7109375" style="82" customWidth="1"/>
    <col min="8" max="8" width="18" style="82" customWidth="1"/>
    <col min="9" max="16384" width="9.140625" style="82"/>
  </cols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"/>
      <c r="B3" s="1"/>
      <c r="C3" s="1"/>
      <c r="D3" s="1"/>
      <c r="E3" s="1"/>
      <c r="F3" s="1"/>
      <c r="G3" s="1"/>
      <c r="H3" s="1"/>
    </row>
    <row r="4" spans="1:8" x14ac:dyDescent="0.2">
      <c r="A4" s="1"/>
      <c r="B4" s="1"/>
      <c r="C4" s="1"/>
      <c r="D4" s="1"/>
      <c r="E4" s="1"/>
      <c r="F4" s="1"/>
      <c r="G4" s="1"/>
      <c r="H4" s="1"/>
    </row>
    <row r="5" spans="1:8" x14ac:dyDescent="0.2">
      <c r="A5" s="1"/>
      <c r="B5" s="1"/>
      <c r="C5" s="1"/>
      <c r="D5" s="1"/>
      <c r="E5" s="1"/>
      <c r="F5" s="1"/>
      <c r="G5" s="1"/>
      <c r="H5" s="1"/>
    </row>
    <row r="6" spans="1:8" x14ac:dyDescent="0.2">
      <c r="A6" s="1"/>
      <c r="B6" s="1"/>
      <c r="C6" s="1"/>
      <c r="D6" s="1"/>
      <c r="E6" s="1"/>
      <c r="F6" s="1"/>
      <c r="G6" s="1"/>
      <c r="H6" s="1"/>
    </row>
    <row r="7" spans="1:8" x14ac:dyDescent="0.2">
      <c r="A7" s="1"/>
      <c r="B7" s="1"/>
      <c r="C7" s="1"/>
      <c r="D7" s="1"/>
      <c r="E7" s="1"/>
      <c r="F7" s="1"/>
      <c r="G7" s="1"/>
      <c r="H7" s="1"/>
    </row>
    <row r="8" spans="1:8" x14ac:dyDescent="0.2">
      <c r="A8" s="1"/>
      <c r="B8" s="1"/>
      <c r="C8" s="1"/>
      <c r="D8" s="1"/>
      <c r="E8" s="1"/>
      <c r="F8" s="1"/>
      <c r="G8" s="1"/>
      <c r="H8" s="1"/>
    </row>
    <row r="9" spans="1:8" x14ac:dyDescent="0.2">
      <c r="A9" s="1"/>
      <c r="B9" s="1"/>
      <c r="C9" s="1"/>
      <c r="D9" s="1"/>
      <c r="E9" s="1"/>
      <c r="F9" s="1"/>
      <c r="G9" s="1"/>
      <c r="H9" s="1"/>
    </row>
    <row r="10" spans="1:8" x14ac:dyDescent="0.2">
      <c r="A10" s="1"/>
      <c r="B10" s="1"/>
      <c r="C10" s="1"/>
      <c r="D10" s="1"/>
      <c r="E10" s="1"/>
      <c r="F10" s="1"/>
      <c r="G10" s="1"/>
      <c r="H10" s="1"/>
    </row>
    <row r="11" spans="1:8" x14ac:dyDescent="0.2">
      <c r="A11" s="1"/>
      <c r="B11" s="1"/>
      <c r="C11" s="1"/>
      <c r="D11" s="1"/>
      <c r="E11" s="1"/>
      <c r="F11" s="1"/>
      <c r="G11" s="1"/>
      <c r="H11" s="1"/>
    </row>
    <row r="12" spans="1:8" x14ac:dyDescent="0.2">
      <c r="A12" s="1"/>
      <c r="B12" s="1"/>
      <c r="C12" s="1"/>
      <c r="D12" s="1"/>
      <c r="E12" s="1"/>
      <c r="F12" s="1"/>
      <c r="G12" s="1"/>
      <c r="H12" s="1"/>
    </row>
    <row r="13" spans="1:8" x14ac:dyDescent="0.2">
      <c r="A13" s="1"/>
      <c r="B13" s="1"/>
      <c r="C13" s="1"/>
      <c r="D13" s="1"/>
      <c r="E13" s="1"/>
      <c r="F13" s="1"/>
      <c r="G13" s="1"/>
      <c r="H13" s="1"/>
    </row>
    <row r="14" spans="1:8" x14ac:dyDescent="0.2">
      <c r="A14" s="1"/>
      <c r="B14" s="1"/>
      <c r="C14" s="1"/>
      <c r="D14" s="1"/>
      <c r="E14" s="1"/>
      <c r="F14" s="1"/>
      <c r="G14" s="1"/>
      <c r="H14" s="1"/>
    </row>
    <row r="15" spans="1:8" x14ac:dyDescent="0.2">
      <c r="A15" s="1"/>
      <c r="B15" s="1"/>
      <c r="C15" s="1"/>
      <c r="D15" s="1"/>
      <c r="E15" s="1"/>
      <c r="F15" s="1"/>
      <c r="G15" s="1"/>
      <c r="H15" s="1"/>
    </row>
    <row r="16" spans="1:8" x14ac:dyDescent="0.2">
      <c r="A16" s="1"/>
      <c r="B16" s="1"/>
      <c r="C16" s="1"/>
      <c r="D16" s="1"/>
      <c r="E16" s="1"/>
      <c r="F16" s="1"/>
      <c r="G16" s="1"/>
      <c r="H16" s="1"/>
    </row>
    <row r="17" spans="1:8" x14ac:dyDescent="0.2">
      <c r="A17" s="1"/>
      <c r="B17" s="1"/>
      <c r="C17" s="1"/>
      <c r="D17" s="1"/>
      <c r="E17" s="1"/>
      <c r="F17" s="1"/>
      <c r="G17" s="1"/>
      <c r="H17" s="1"/>
    </row>
    <row r="18" spans="1:8" x14ac:dyDescent="0.2">
      <c r="A18" s="1"/>
      <c r="B18" s="1"/>
      <c r="C18" s="1"/>
      <c r="D18" s="1"/>
      <c r="E18" s="1"/>
      <c r="F18" s="1"/>
      <c r="G18" s="1"/>
      <c r="H18" s="1"/>
    </row>
    <row r="19" spans="1:8" x14ac:dyDescent="0.2">
      <c r="A19" s="1"/>
      <c r="B19" s="1"/>
      <c r="C19" s="1"/>
      <c r="D19" s="1"/>
      <c r="E19" s="1"/>
      <c r="F19" s="1"/>
      <c r="G19" s="1"/>
      <c r="H19" s="1"/>
    </row>
    <row r="20" spans="1:8" x14ac:dyDescent="0.2">
      <c r="A20" s="1"/>
      <c r="B20" s="1"/>
      <c r="C20" s="1"/>
      <c r="D20" s="1"/>
      <c r="E20" s="1"/>
      <c r="F20" s="1"/>
      <c r="G20" s="1"/>
      <c r="H20" s="1"/>
    </row>
    <row r="21" spans="1:8" x14ac:dyDescent="0.2">
      <c r="A21" s="1"/>
      <c r="B21" s="1"/>
      <c r="C21" s="1"/>
      <c r="D21" s="1"/>
      <c r="E21" s="1"/>
      <c r="F21" s="1"/>
      <c r="G21" s="1"/>
      <c r="H21" s="1"/>
    </row>
    <row r="22" spans="1:8" x14ac:dyDescent="0.2">
      <c r="A22" s="1"/>
      <c r="B22" s="1"/>
      <c r="C22" s="1"/>
      <c r="D22" s="4"/>
      <c r="E22" s="1"/>
      <c r="F22" s="1"/>
      <c r="G22" s="1"/>
      <c r="H22" s="1"/>
    </row>
    <row r="23" spans="1:8" x14ac:dyDescent="0.2">
      <c r="A23" s="1"/>
      <c r="B23" s="1"/>
      <c r="C23" s="1"/>
      <c r="D23" s="1"/>
      <c r="E23" s="1"/>
      <c r="F23" s="1"/>
      <c r="G23" s="1"/>
      <c r="H23" s="1"/>
    </row>
    <row r="24" spans="1:8" x14ac:dyDescent="0.2">
      <c r="A24" s="1"/>
      <c r="B24" s="1"/>
      <c r="C24" s="1"/>
      <c r="D24" s="1"/>
      <c r="E24" s="1"/>
      <c r="F24" s="1"/>
      <c r="G24" s="1"/>
      <c r="H24" s="1"/>
    </row>
    <row r="25" spans="1:8" x14ac:dyDescent="0.2">
      <c r="A25" s="1"/>
      <c r="B25" s="1"/>
      <c r="C25" s="1"/>
      <c r="D25" s="1"/>
      <c r="E25" s="1"/>
      <c r="F25" s="1"/>
      <c r="G25" s="1"/>
      <c r="H25" s="1"/>
    </row>
    <row r="26" spans="1:8" x14ac:dyDescent="0.2">
      <c r="A26" s="1"/>
      <c r="B26" s="1"/>
      <c r="C26" s="1"/>
      <c r="D26" s="1"/>
      <c r="E26" s="1"/>
      <c r="F26" s="1"/>
      <c r="G26" s="1"/>
      <c r="H26" s="1"/>
    </row>
    <row r="27" spans="1:8" x14ac:dyDescent="0.2">
      <c r="A27" s="1"/>
      <c r="B27" s="1"/>
      <c r="C27" s="1"/>
      <c r="D27" s="1"/>
      <c r="E27" s="1"/>
      <c r="F27" s="1"/>
      <c r="G27" s="1"/>
      <c r="H27" s="1"/>
    </row>
    <row r="28" spans="1:8" x14ac:dyDescent="0.2">
      <c r="A28" s="1"/>
      <c r="B28" s="1"/>
      <c r="C28" s="1"/>
      <c r="D28" s="1"/>
      <c r="E28" s="1"/>
      <c r="F28" s="1"/>
      <c r="G28" s="1"/>
      <c r="H28" s="1"/>
    </row>
    <row r="29" spans="1:8" x14ac:dyDescent="0.2">
      <c r="A29" s="1"/>
      <c r="B29" s="1"/>
      <c r="C29" s="1"/>
      <c r="D29" s="1"/>
      <c r="E29" s="1"/>
      <c r="F29" s="1"/>
      <c r="G29" s="1"/>
      <c r="H29" s="1"/>
    </row>
    <row r="30" spans="1:8" x14ac:dyDescent="0.2">
      <c r="A30" s="1"/>
      <c r="B30" s="1"/>
      <c r="C30" s="1"/>
      <c r="D30" s="1"/>
      <c r="E30" s="1"/>
      <c r="F30" s="1"/>
      <c r="G30" s="1"/>
      <c r="H30" s="1"/>
    </row>
    <row r="31" spans="1:8" x14ac:dyDescent="0.2">
      <c r="A31" s="1"/>
      <c r="B31" s="1"/>
      <c r="C31" s="1"/>
      <c r="D31" s="1"/>
      <c r="E31" s="1"/>
      <c r="F31" s="1"/>
      <c r="G31" s="1"/>
      <c r="H31" s="1"/>
    </row>
    <row r="32" spans="1:8" x14ac:dyDescent="0.2">
      <c r="A32" s="1"/>
      <c r="B32" s="1"/>
      <c r="C32" s="1"/>
      <c r="D32" s="1"/>
      <c r="E32" s="1"/>
      <c r="F32" s="1"/>
      <c r="G32" s="1"/>
      <c r="H32" s="1"/>
    </row>
    <row r="33" spans="1:8" x14ac:dyDescent="0.2">
      <c r="A33" s="1"/>
      <c r="B33" s="1"/>
      <c r="C33" s="1"/>
      <c r="D33" s="1"/>
      <c r="E33" s="1"/>
      <c r="F33" s="1"/>
      <c r="G33" s="1"/>
      <c r="H33" s="1"/>
    </row>
    <row r="34" spans="1:8" x14ac:dyDescent="0.2">
      <c r="A34" s="1"/>
      <c r="B34" s="1"/>
      <c r="C34" s="1"/>
      <c r="D34" s="1"/>
      <c r="E34" s="1"/>
      <c r="F34" s="1"/>
      <c r="G34" s="1"/>
      <c r="H34" s="1"/>
    </row>
    <row r="35" spans="1:8" x14ac:dyDescent="0.2">
      <c r="A35" s="1"/>
      <c r="B35" s="1"/>
      <c r="C35" s="1"/>
      <c r="D35" s="1"/>
      <c r="E35" s="1"/>
      <c r="F35" s="1"/>
      <c r="G35" s="1"/>
      <c r="H35" s="1"/>
    </row>
    <row r="36" spans="1:8" x14ac:dyDescent="0.2">
      <c r="A36" s="1"/>
      <c r="B36" s="1"/>
      <c r="C36" s="1"/>
      <c r="D36" s="1"/>
      <c r="E36" s="1"/>
      <c r="F36" s="1"/>
      <c r="G36" s="1"/>
      <c r="H36" s="1"/>
    </row>
    <row r="37" spans="1:8" x14ac:dyDescent="0.2">
      <c r="A37" s="1"/>
      <c r="B37" s="1"/>
      <c r="C37" s="1"/>
      <c r="D37" s="1"/>
      <c r="E37" s="1"/>
      <c r="F37" s="1"/>
      <c r="G37" s="1"/>
      <c r="H37" s="1"/>
    </row>
    <row r="38" spans="1:8" x14ac:dyDescent="0.2">
      <c r="A38" s="1"/>
      <c r="B38" s="1"/>
      <c r="C38" s="1"/>
      <c r="D38" s="1"/>
      <c r="E38" s="1"/>
      <c r="F38" s="1"/>
      <c r="G38" s="1"/>
      <c r="H38" s="1"/>
    </row>
    <row r="39" spans="1:8" x14ac:dyDescent="0.2">
      <c r="A39" s="1"/>
      <c r="B39" s="1"/>
      <c r="C39" s="1"/>
      <c r="D39" s="1"/>
      <c r="E39" s="1"/>
      <c r="F39" s="1"/>
      <c r="G39" s="1"/>
      <c r="H39" s="1"/>
    </row>
    <row r="40" spans="1:8" x14ac:dyDescent="0.2">
      <c r="A40" s="1"/>
      <c r="B40" s="1"/>
      <c r="C40" s="1"/>
      <c r="D40" s="1"/>
      <c r="E40" s="1"/>
      <c r="F40" s="1"/>
      <c r="G40" s="1"/>
      <c r="H40" s="1"/>
    </row>
    <row r="41" spans="1:8" x14ac:dyDescent="0.2">
      <c r="A41" s="1"/>
      <c r="B41" s="1"/>
      <c r="C41" s="1"/>
      <c r="D41" s="1"/>
      <c r="E41" s="1"/>
      <c r="F41" s="1"/>
      <c r="G41" s="1"/>
      <c r="H41" s="1"/>
    </row>
    <row r="42" spans="1:8" x14ac:dyDescent="0.2">
      <c r="A42" s="1"/>
      <c r="B42" s="1"/>
      <c r="C42" s="1"/>
      <c r="D42" s="1"/>
      <c r="E42" s="1"/>
      <c r="F42" s="1"/>
      <c r="G42" s="1"/>
      <c r="H42" s="1"/>
    </row>
    <row r="43" spans="1:8" x14ac:dyDescent="0.2">
      <c r="A43" s="1"/>
      <c r="B43" s="1"/>
      <c r="C43" s="1"/>
      <c r="D43" s="1"/>
      <c r="E43" s="1"/>
      <c r="F43" s="1"/>
      <c r="G43" s="1"/>
      <c r="H43" s="1"/>
    </row>
    <row r="44" spans="1:8" x14ac:dyDescent="0.2">
      <c r="A44" s="1"/>
      <c r="B44" s="1"/>
      <c r="C44" s="1"/>
      <c r="D44" s="1"/>
      <c r="E44" s="1"/>
      <c r="F44" s="1"/>
      <c r="G44" s="1"/>
      <c r="H44" s="1"/>
    </row>
    <row r="45" spans="1:8" x14ac:dyDescent="0.2">
      <c r="A45" s="1"/>
      <c r="B45" s="1"/>
      <c r="C45" s="1"/>
      <c r="D45" s="1"/>
      <c r="E45" s="1"/>
      <c r="F45" s="1"/>
      <c r="G45" s="1"/>
      <c r="H45" s="1"/>
    </row>
    <row r="46" spans="1:8" x14ac:dyDescent="0.2">
      <c r="A46" s="1"/>
      <c r="B46" s="1"/>
      <c r="C46" s="1"/>
      <c r="D46" s="1"/>
      <c r="E46" s="1"/>
      <c r="F46" s="1"/>
      <c r="G46" s="1"/>
      <c r="H46" s="1"/>
    </row>
    <row r="47" spans="1:8" x14ac:dyDescent="0.2">
      <c r="A47" s="1"/>
      <c r="B47" s="1"/>
      <c r="C47" s="1"/>
      <c r="D47" s="1"/>
      <c r="E47" s="1"/>
      <c r="F47" s="1"/>
      <c r="G47" s="1"/>
      <c r="H47" s="1"/>
    </row>
    <row r="48" spans="1:8" x14ac:dyDescent="0.2">
      <c r="A48" s="1"/>
      <c r="B48" s="1"/>
      <c r="C48" s="1"/>
      <c r="D48" s="1"/>
      <c r="E48" s="1"/>
      <c r="F48" s="1"/>
      <c r="G48" s="1"/>
      <c r="H48" s="1"/>
    </row>
    <row r="49" spans="1:8" x14ac:dyDescent="0.2">
      <c r="A49" s="1"/>
      <c r="B49" s="1"/>
      <c r="C49" s="1"/>
      <c r="D49" s="1"/>
      <c r="E49" s="1"/>
      <c r="F49" s="1"/>
      <c r="G49" s="1"/>
      <c r="H49" s="1"/>
    </row>
    <row r="50" spans="1:8" x14ac:dyDescent="0.2">
      <c r="A50" s="1"/>
      <c r="B50" s="1"/>
      <c r="C50" s="1"/>
      <c r="D50" s="1"/>
      <c r="E50" s="1"/>
      <c r="F50" s="1"/>
      <c r="G50" s="1"/>
      <c r="H50" s="1"/>
    </row>
    <row r="51" spans="1:8" x14ac:dyDescent="0.2">
      <c r="A51" s="1"/>
      <c r="B51" s="1"/>
      <c r="C51" s="1"/>
      <c r="D51" s="1"/>
      <c r="E51" s="1"/>
      <c r="F51" s="1"/>
      <c r="G51" s="1"/>
      <c r="H51" s="1"/>
    </row>
    <row r="52" spans="1:8" x14ac:dyDescent="0.2">
      <c r="A52" s="1"/>
      <c r="B52" s="1"/>
      <c r="C52" s="1"/>
      <c r="D52" s="1"/>
      <c r="E52" s="1"/>
      <c r="F52" s="1"/>
      <c r="G52" s="1"/>
      <c r="H52" s="1"/>
    </row>
    <row r="53" spans="1:8" x14ac:dyDescent="0.2">
      <c r="A53" s="1"/>
      <c r="B53" s="1"/>
      <c r="C53" s="1"/>
      <c r="D53" s="1"/>
      <c r="E53" s="1"/>
      <c r="F53" s="1"/>
      <c r="G53" s="1"/>
      <c r="H53" s="1"/>
    </row>
    <row r="54" spans="1:8" x14ac:dyDescent="0.2">
      <c r="A54" s="1"/>
      <c r="B54" s="1"/>
      <c r="C54" s="1"/>
      <c r="D54" s="1"/>
      <c r="E54" s="1"/>
      <c r="F54" s="1"/>
      <c r="G54" s="1"/>
      <c r="H54" s="1"/>
    </row>
    <row r="55" spans="1:8" x14ac:dyDescent="0.2">
      <c r="A55" s="1"/>
      <c r="B55" s="1"/>
      <c r="C55" s="1"/>
      <c r="D55" s="1"/>
      <c r="E55" s="1"/>
      <c r="F55" s="1"/>
      <c r="G55" s="1"/>
      <c r="H55" s="1"/>
    </row>
    <row r="56" spans="1:8" x14ac:dyDescent="0.2">
      <c r="A56" s="1"/>
      <c r="B56" s="1"/>
      <c r="C56" s="1"/>
      <c r="D56" s="1"/>
      <c r="E56" s="1"/>
      <c r="F56" s="1"/>
      <c r="G56" s="1"/>
      <c r="H56" s="1"/>
    </row>
    <row r="57" spans="1:8" x14ac:dyDescent="0.2">
      <c r="A57" s="1"/>
      <c r="B57" s="1"/>
      <c r="C57" s="1"/>
      <c r="D57" s="1"/>
      <c r="E57" s="1"/>
      <c r="F57" s="1"/>
      <c r="G57" s="1"/>
      <c r="H57" s="1"/>
    </row>
    <row r="58" spans="1:8" x14ac:dyDescent="0.2">
      <c r="A58" s="11" t="s">
        <v>1</v>
      </c>
      <c r="B58" s="12"/>
      <c r="C58" s="12"/>
      <c r="D58" s="13"/>
      <c r="E58" s="8"/>
      <c r="F58" s="8"/>
      <c r="G58" s="8"/>
      <c r="H58" s="8"/>
    </row>
    <row r="59" spans="1:8" x14ac:dyDescent="0.2">
      <c r="A59" s="14" t="s">
        <v>15</v>
      </c>
      <c r="B59" s="15"/>
      <c r="C59" s="15"/>
      <c r="D59" s="16"/>
      <c r="E59" s="8"/>
      <c r="F59" s="8"/>
      <c r="G59" s="8"/>
      <c r="H59" s="8"/>
    </row>
    <row r="60" spans="1:8" x14ac:dyDescent="0.2">
      <c r="A60" s="17" t="s">
        <v>62</v>
      </c>
      <c r="B60" s="18"/>
      <c r="C60" s="18"/>
      <c r="D60" s="19"/>
      <c r="E60" s="8"/>
      <c r="F60" s="8"/>
      <c r="G60" s="8"/>
      <c r="H60" s="8"/>
    </row>
    <row r="61" spans="1:8" x14ac:dyDescent="0.2">
      <c r="A61" s="20"/>
      <c r="B61" s="21"/>
      <c r="C61" s="22"/>
      <c r="D61" s="23"/>
      <c r="E61" s="8"/>
      <c r="F61" s="8" t="s">
        <v>34</v>
      </c>
      <c r="G61" s="8"/>
      <c r="H61" s="8"/>
    </row>
    <row r="62" spans="1:8" ht="15.75" x14ac:dyDescent="0.25">
      <c r="A62" s="24" t="s">
        <v>2</v>
      </c>
      <c r="B62" s="25" t="str">
        <f>[1]Charters!B65</f>
        <v>Dual Immersion Academy</v>
      </c>
      <c r="C62" s="26"/>
      <c r="D62" s="27"/>
      <c r="E62" s="8"/>
      <c r="F62" s="8"/>
      <c r="G62" s="8"/>
      <c r="H62" s="8"/>
    </row>
    <row r="63" spans="1:8" x14ac:dyDescent="0.2">
      <c r="A63" s="24"/>
      <c r="B63" s="28"/>
      <c r="C63" s="26"/>
      <c r="D63" s="27"/>
      <c r="E63" s="8"/>
      <c r="F63" s="8"/>
      <c r="G63" s="8"/>
      <c r="H63" s="8"/>
    </row>
    <row r="64" spans="1:8" x14ac:dyDescent="0.2">
      <c r="A64" s="29" t="s">
        <v>0</v>
      </c>
      <c r="B64" s="30">
        <f>[1]Charters!$E$6</f>
        <v>3184</v>
      </c>
      <c r="C64" s="26"/>
      <c r="D64" s="31"/>
      <c r="E64" s="8"/>
      <c r="F64" s="8"/>
      <c r="G64" s="8"/>
      <c r="H64" s="8"/>
    </row>
    <row r="65" spans="1:8" x14ac:dyDescent="0.2">
      <c r="A65" s="32"/>
      <c r="B65" s="6"/>
      <c r="C65" s="33"/>
      <c r="D65" s="34" t="s">
        <v>3</v>
      </c>
      <c r="E65" s="8"/>
      <c r="F65" s="8"/>
      <c r="G65" s="8"/>
      <c r="H65" s="8"/>
    </row>
    <row r="66" spans="1:8" x14ac:dyDescent="0.2">
      <c r="A66" s="29" t="s">
        <v>19</v>
      </c>
      <c r="B66" s="35" t="str">
        <f>[1]Charters!A65</f>
        <v>4E</v>
      </c>
      <c r="C66" s="36" t="s">
        <v>4</v>
      </c>
      <c r="D66" s="37" t="s">
        <v>5</v>
      </c>
      <c r="E66" s="8"/>
      <c r="F66" s="8"/>
      <c r="G66" s="8"/>
      <c r="H66" s="8"/>
    </row>
    <row r="67" spans="1:8" x14ac:dyDescent="0.2">
      <c r="A67" s="38" t="s">
        <v>6</v>
      </c>
      <c r="B67" s="39"/>
      <c r="C67" s="40"/>
      <c r="D67" s="41"/>
      <c r="E67" s="8"/>
      <c r="F67" s="8"/>
      <c r="G67" s="8"/>
      <c r="H67" s="8"/>
    </row>
    <row r="68" spans="1:8" x14ac:dyDescent="0.2">
      <c r="A68" s="38" t="s">
        <v>7</v>
      </c>
      <c r="B68" s="39"/>
      <c r="C68" s="40"/>
      <c r="D68" s="41"/>
      <c r="E68" s="8"/>
      <c r="F68" s="42" t="s">
        <v>23</v>
      </c>
      <c r="G68" s="8"/>
      <c r="H68" s="42" t="s">
        <v>26</v>
      </c>
    </row>
    <row r="69" spans="1:8" x14ac:dyDescent="0.2">
      <c r="A69" s="20" t="s">
        <v>8</v>
      </c>
      <c r="B69" s="43"/>
      <c r="C69" s="44">
        <f>[1]Charters!C525</f>
        <v>398.85700000000003</v>
      </c>
      <c r="D69" s="45">
        <f>[1]Charters!E525</f>
        <v>1269961.3999999999</v>
      </c>
      <c r="E69" s="8"/>
      <c r="F69" s="42">
        <f>[1]Charters!E680</f>
        <v>1336418.48</v>
      </c>
      <c r="G69" s="8"/>
      <c r="H69" s="42">
        <f>[2]Charters!E219</f>
        <v>1618500.33</v>
      </c>
    </row>
    <row r="70" spans="1:8" x14ac:dyDescent="0.2">
      <c r="A70" s="20" t="s">
        <v>14</v>
      </c>
      <c r="B70" s="43"/>
      <c r="C70" s="44">
        <f>[1]Charters!F525</f>
        <v>20.872</v>
      </c>
      <c r="D70" s="45">
        <f>[1]Charters!H525</f>
        <v>66457.08</v>
      </c>
      <c r="E70" s="8"/>
      <c r="F70" s="42">
        <f>SUM(D69:D71)</f>
        <v>1336418.48</v>
      </c>
      <c r="G70" s="8"/>
      <c r="H70" s="42">
        <f>D82</f>
        <v>1618500.33</v>
      </c>
    </row>
    <row r="71" spans="1:8" x14ac:dyDescent="0.2">
      <c r="A71" s="20" t="s">
        <v>32</v>
      </c>
      <c r="B71" s="43"/>
      <c r="C71" s="44">
        <f>[1]Charters!C218</f>
        <v>0</v>
      </c>
      <c r="D71" s="45">
        <f>[1]Charters!E218</f>
        <v>0</v>
      </c>
      <c r="E71" s="8"/>
      <c r="F71" s="42">
        <f>+F69-F70</f>
        <v>0</v>
      </c>
      <c r="G71" s="8"/>
      <c r="H71" s="42">
        <f>+H69-H70</f>
        <v>0</v>
      </c>
    </row>
    <row r="72" spans="1:8" x14ac:dyDescent="0.2">
      <c r="A72" s="38" t="s">
        <v>9</v>
      </c>
      <c r="B72" s="39"/>
      <c r="C72" s="46"/>
      <c r="D72" s="47"/>
      <c r="E72" s="8"/>
      <c r="F72" s="8"/>
      <c r="G72" s="8"/>
      <c r="H72" s="8"/>
    </row>
    <row r="73" spans="1:8" x14ac:dyDescent="0.2">
      <c r="A73" s="20" t="s">
        <v>10</v>
      </c>
      <c r="B73" s="43"/>
      <c r="C73" s="40">
        <f>[3]Charters!C64</f>
        <v>43.774000000000001</v>
      </c>
      <c r="D73" s="41">
        <f>[3]Charters!E64</f>
        <v>139376.4</v>
      </c>
      <c r="E73" s="8"/>
      <c r="F73" s="42" t="s">
        <v>24</v>
      </c>
      <c r="G73" s="8"/>
      <c r="H73" s="8"/>
    </row>
    <row r="74" spans="1:8" x14ac:dyDescent="0.2">
      <c r="A74" s="48" t="s">
        <v>11</v>
      </c>
      <c r="B74" s="43"/>
      <c r="C74" s="40">
        <f>[3]Charters!F64</f>
        <v>2</v>
      </c>
      <c r="D74" s="49">
        <f>[3]Charters!H64</f>
        <v>6368</v>
      </c>
      <c r="E74" s="8"/>
      <c r="F74" s="42">
        <f>[3]Charters!N376</f>
        <v>152278.57999999999</v>
      </c>
      <c r="G74" s="8"/>
      <c r="H74" s="8"/>
    </row>
    <row r="75" spans="1:8" x14ac:dyDescent="0.2">
      <c r="A75" s="48" t="s">
        <v>12</v>
      </c>
      <c r="B75" s="43"/>
      <c r="C75" s="40">
        <f>[3]Charters!C219</f>
        <v>0</v>
      </c>
      <c r="D75" s="41">
        <f>[3]Charters!E219</f>
        <v>0</v>
      </c>
      <c r="E75" s="8"/>
      <c r="F75" s="42">
        <f>SUM(D73:D79)</f>
        <v>152278.57999999999</v>
      </c>
      <c r="G75" s="8"/>
      <c r="H75" s="8"/>
    </row>
    <row r="76" spans="1:8" x14ac:dyDescent="0.2">
      <c r="A76" s="20" t="s">
        <v>13</v>
      </c>
      <c r="B76" s="43"/>
      <c r="C76" s="40">
        <f>[3]Charters!F219</f>
        <v>0.70899999999999996</v>
      </c>
      <c r="D76" s="41">
        <f>[3]Charters!H219</f>
        <v>2259</v>
      </c>
      <c r="E76" s="8"/>
      <c r="F76" s="42">
        <f>+F74-F75</f>
        <v>0</v>
      </c>
      <c r="G76" s="8"/>
      <c r="H76" s="8"/>
    </row>
    <row r="77" spans="1:8" x14ac:dyDescent="0.2">
      <c r="A77" s="48" t="s">
        <v>54</v>
      </c>
      <c r="B77" s="43"/>
      <c r="C77" s="40">
        <f>[3]Charters!C376</f>
        <v>1.343</v>
      </c>
      <c r="D77" s="41">
        <f>[3]Charters!E376</f>
        <v>4275.18</v>
      </c>
      <c r="E77" s="8"/>
      <c r="F77" s="8"/>
      <c r="G77" s="8"/>
      <c r="H77" s="8"/>
    </row>
    <row r="78" spans="1:8" x14ac:dyDescent="0.2">
      <c r="A78" s="48" t="s">
        <v>55</v>
      </c>
      <c r="B78" s="43"/>
      <c r="C78" s="40">
        <f>[3]Charters!F376</f>
        <v>0</v>
      </c>
      <c r="D78" s="41">
        <f>[3]Charters!H376</f>
        <v>0</v>
      </c>
      <c r="E78" s="8"/>
      <c r="F78" s="42" t="s">
        <v>25</v>
      </c>
      <c r="G78" s="8"/>
      <c r="H78" s="8"/>
    </row>
    <row r="79" spans="1:8" x14ac:dyDescent="0.2">
      <c r="A79" s="48" t="s">
        <v>56</v>
      </c>
      <c r="B79" s="43"/>
      <c r="C79" s="40">
        <f>[3]Charters!I376</f>
        <v>0</v>
      </c>
      <c r="D79" s="41">
        <f>[3]Charters!K376</f>
        <v>0</v>
      </c>
      <c r="E79" s="8"/>
      <c r="F79" s="42">
        <f>[2]Charters!H65</f>
        <v>282081.84999999998</v>
      </c>
      <c r="G79" s="8"/>
      <c r="H79" s="8"/>
    </row>
    <row r="80" spans="1:8" x14ac:dyDescent="0.2">
      <c r="A80" s="20" t="s">
        <v>49</v>
      </c>
      <c r="B80" s="43"/>
      <c r="C80" s="40">
        <f>[3]Charters!C532</f>
        <v>0</v>
      </c>
      <c r="D80" s="41">
        <f>[3]Charters!E532</f>
        <v>0</v>
      </c>
      <c r="E80" s="8"/>
      <c r="F80" s="42">
        <f>SUM(D73:D81)</f>
        <v>282081.84999999998</v>
      </c>
      <c r="G80" s="8"/>
      <c r="H80" s="8"/>
    </row>
    <row r="81" spans="1:8" x14ac:dyDescent="0.2">
      <c r="A81" s="20" t="s">
        <v>50</v>
      </c>
      <c r="B81" s="43"/>
      <c r="C81" s="40">
        <f>[2]Charters!C65</f>
        <v>40.767000000000003</v>
      </c>
      <c r="D81" s="41">
        <f>[2]Charters!E65</f>
        <v>129803.27</v>
      </c>
      <c r="E81" s="8"/>
      <c r="F81" s="42">
        <f>+F79-F80</f>
        <v>0</v>
      </c>
      <c r="G81" s="8"/>
      <c r="H81" s="8"/>
    </row>
    <row r="82" spans="1:8" x14ac:dyDescent="0.2">
      <c r="A82" s="50"/>
      <c r="B82" s="51" t="s">
        <v>16</v>
      </c>
      <c r="C82" s="52">
        <f>SUM(C69:C81)</f>
        <v>508.322</v>
      </c>
      <c r="D82" s="53">
        <f>SUM(D69:D81)</f>
        <v>1618500.33</v>
      </c>
      <c r="E82" s="8"/>
      <c r="F82" s="8"/>
      <c r="G82" s="8"/>
      <c r="H82" s="8"/>
    </row>
    <row r="83" spans="1:8" x14ac:dyDescent="0.2">
      <c r="A83" s="54" t="s">
        <v>17</v>
      </c>
      <c r="B83" s="39"/>
      <c r="C83" s="55"/>
      <c r="D83" s="47"/>
      <c r="E83" s="8"/>
      <c r="F83" s="8"/>
      <c r="G83" s="8"/>
      <c r="H83" s="42" t="s">
        <v>29</v>
      </c>
    </row>
    <row r="84" spans="1:8" x14ac:dyDescent="0.2">
      <c r="A84" s="20" t="s">
        <v>33</v>
      </c>
      <c r="B84" s="43"/>
      <c r="C84" s="56"/>
      <c r="D84" s="57">
        <f>[4]Charters!C65</f>
        <v>4691.17</v>
      </c>
      <c r="E84" s="8"/>
      <c r="F84" s="8"/>
      <c r="G84" s="8"/>
      <c r="H84" s="42">
        <f>[4]Charters!F1005</f>
        <v>2907382.46</v>
      </c>
    </row>
    <row r="85" spans="1:8" x14ac:dyDescent="0.2">
      <c r="A85" s="58" t="s">
        <v>35</v>
      </c>
      <c r="B85" s="43"/>
      <c r="C85" s="56"/>
      <c r="D85" s="41">
        <f>+[4]Charters!F386</f>
        <v>1919.69</v>
      </c>
      <c r="E85" s="8"/>
      <c r="F85" s="8"/>
      <c r="G85" s="8"/>
      <c r="H85" s="42">
        <f>SUM(D82:D101)</f>
        <v>2907382.46</v>
      </c>
    </row>
    <row r="86" spans="1:8" x14ac:dyDescent="0.2">
      <c r="A86" s="59" t="s">
        <v>36</v>
      </c>
      <c r="B86" s="43"/>
      <c r="C86" s="56"/>
      <c r="D86" s="41">
        <f>[4]Charters!E225</f>
        <v>83397</v>
      </c>
      <c r="E86" s="8"/>
      <c r="F86" s="8"/>
      <c r="G86" s="8"/>
      <c r="H86" s="42">
        <f>+H84-H85</f>
        <v>0</v>
      </c>
    </row>
    <row r="87" spans="1:8" x14ac:dyDescent="0.2">
      <c r="A87" s="59" t="s">
        <v>52</v>
      </c>
      <c r="B87" s="43"/>
      <c r="C87" s="56"/>
      <c r="D87" s="41">
        <f>[4]Charters!G386</f>
        <v>0</v>
      </c>
      <c r="E87" s="8"/>
      <c r="F87" s="42" t="s">
        <v>27</v>
      </c>
      <c r="G87" s="8"/>
      <c r="H87" s="42"/>
    </row>
    <row r="88" spans="1:8" x14ac:dyDescent="0.2">
      <c r="A88" s="20" t="s">
        <v>37</v>
      </c>
      <c r="B88" s="43"/>
      <c r="C88" s="56"/>
      <c r="D88" s="41">
        <f>[4]Charters!E542</f>
        <v>34674</v>
      </c>
      <c r="E88" s="8"/>
      <c r="F88" s="42">
        <f>[4]Charters!E225</f>
        <v>83397</v>
      </c>
      <c r="G88" s="8"/>
      <c r="H88" s="8"/>
    </row>
    <row r="89" spans="1:8" x14ac:dyDescent="0.2">
      <c r="A89" s="20" t="s">
        <v>38</v>
      </c>
      <c r="B89" s="43"/>
      <c r="C89" s="56"/>
      <c r="D89" s="41">
        <f>[4]Charters!F542</f>
        <v>0</v>
      </c>
      <c r="E89" s="8"/>
      <c r="F89" s="42">
        <f>SUM(D86:D86)</f>
        <v>83397</v>
      </c>
      <c r="G89" s="8"/>
      <c r="H89" s="8"/>
    </row>
    <row r="90" spans="1:8" x14ac:dyDescent="0.2">
      <c r="A90" s="59" t="s">
        <v>40</v>
      </c>
      <c r="B90" s="43"/>
      <c r="C90" s="56"/>
      <c r="D90" s="41">
        <f>[4]Charters!G542</f>
        <v>0</v>
      </c>
      <c r="E90" s="8"/>
      <c r="F90" s="42">
        <f>+F88-F89</f>
        <v>0</v>
      </c>
      <c r="G90" s="8"/>
      <c r="H90" s="8"/>
    </row>
    <row r="91" spans="1:8" x14ac:dyDescent="0.2">
      <c r="A91" s="20" t="s">
        <v>41</v>
      </c>
      <c r="B91" s="43"/>
      <c r="C91" s="56"/>
      <c r="D91" s="41">
        <f>[4]Charters!C696</f>
        <v>962481</v>
      </c>
      <c r="E91" s="8"/>
      <c r="F91" s="42" t="s">
        <v>28</v>
      </c>
      <c r="G91" s="8"/>
      <c r="H91" s="8"/>
    </row>
    <row r="92" spans="1:8" x14ac:dyDescent="0.2">
      <c r="A92" s="20" t="s">
        <v>42</v>
      </c>
      <c r="B92" s="43"/>
      <c r="C92" s="56"/>
      <c r="D92" s="41">
        <f>[4]Charters!D696</f>
        <v>86539.520000000004</v>
      </c>
      <c r="E92" s="8"/>
      <c r="F92" s="42">
        <f>[4]Charters!D542</f>
        <v>105316.69</v>
      </c>
      <c r="G92" s="8"/>
      <c r="H92" s="8"/>
    </row>
    <row r="93" spans="1:8" x14ac:dyDescent="0.2">
      <c r="A93" s="20" t="s">
        <v>44</v>
      </c>
      <c r="B93" s="43"/>
      <c r="C93" s="56"/>
      <c r="D93" s="41">
        <f>[4]Charters!E696</f>
        <v>48100</v>
      </c>
      <c r="E93" s="8"/>
      <c r="F93" s="42">
        <f>SUM(D85:D87)</f>
        <v>85316.69</v>
      </c>
      <c r="G93" s="8"/>
      <c r="H93" s="8"/>
    </row>
    <row r="94" spans="1:8" x14ac:dyDescent="0.2">
      <c r="A94" s="59" t="s">
        <v>43</v>
      </c>
      <c r="B94" s="43"/>
      <c r="C94" s="56"/>
      <c r="D94" s="41">
        <f>[4]Charters!F696</f>
        <v>23783.360000000001</v>
      </c>
      <c r="E94" s="8"/>
      <c r="F94" s="42">
        <f>+F92-F93</f>
        <v>20000</v>
      </c>
      <c r="G94" s="8"/>
      <c r="H94" s="8"/>
    </row>
    <row r="95" spans="1:8" x14ac:dyDescent="0.2">
      <c r="A95" s="59" t="s">
        <v>45</v>
      </c>
      <c r="B95" s="43"/>
      <c r="C95" s="56"/>
      <c r="D95" s="41">
        <f>[4]Charters!C542</f>
        <v>20000</v>
      </c>
      <c r="E95" s="8"/>
      <c r="F95" s="8"/>
      <c r="G95" s="8"/>
      <c r="H95" s="8"/>
    </row>
    <row r="96" spans="1:8" x14ac:dyDescent="0.2">
      <c r="A96" s="59" t="s">
        <v>46</v>
      </c>
      <c r="B96" s="43"/>
      <c r="C96" s="56"/>
      <c r="D96" s="41">
        <f>[4]Charters!C852</f>
        <v>0</v>
      </c>
      <c r="E96" s="42"/>
      <c r="F96" s="42"/>
      <c r="G96" s="42"/>
      <c r="H96" s="42" t="s">
        <v>31</v>
      </c>
    </row>
    <row r="97" spans="1:8" x14ac:dyDescent="0.2">
      <c r="A97" s="59" t="s">
        <v>51</v>
      </c>
      <c r="B97" s="43"/>
      <c r="C97" s="56"/>
      <c r="D97" s="60">
        <f>[4]Charters!D852</f>
        <v>682.51</v>
      </c>
      <c r="E97" s="42"/>
      <c r="F97" s="42"/>
      <c r="G97" s="42"/>
      <c r="H97" s="42">
        <f>[4]Charters!D1311</f>
        <v>2910407.84</v>
      </c>
    </row>
    <row r="98" spans="1:8" x14ac:dyDescent="0.2">
      <c r="A98" s="20" t="s">
        <v>47</v>
      </c>
      <c r="B98" s="43"/>
      <c r="C98" s="56"/>
      <c r="D98" s="60">
        <f>[4]Charters!E852</f>
        <v>18984</v>
      </c>
      <c r="E98" s="42"/>
      <c r="F98" s="42"/>
      <c r="G98" s="42"/>
      <c r="H98" s="42">
        <f>D107</f>
        <v>2910407.84</v>
      </c>
    </row>
    <row r="99" spans="1:8" x14ac:dyDescent="0.2">
      <c r="A99" s="20" t="s">
        <v>57</v>
      </c>
      <c r="B99" s="43"/>
      <c r="C99" s="56"/>
      <c r="D99" s="60">
        <f>[4]Charters!C1005</f>
        <v>3629.88</v>
      </c>
      <c r="E99" s="42"/>
      <c r="F99" s="42"/>
      <c r="G99" s="42"/>
      <c r="H99" s="42">
        <f>+H97-H98</f>
        <v>0</v>
      </c>
    </row>
    <row r="100" spans="1:8" x14ac:dyDescent="0.2">
      <c r="A100" s="59" t="s">
        <v>53</v>
      </c>
      <c r="B100" s="43"/>
      <c r="C100" s="56"/>
      <c r="D100" s="60">
        <f>[4]Charters!D1005</f>
        <v>0</v>
      </c>
      <c r="E100" s="42"/>
      <c r="F100" s="42" t="s">
        <v>30</v>
      </c>
      <c r="G100" s="42"/>
      <c r="H100" s="42"/>
    </row>
    <row r="101" spans="1:8" x14ac:dyDescent="0.2">
      <c r="A101" s="59" t="s">
        <v>59</v>
      </c>
      <c r="B101" s="43"/>
      <c r="C101" s="56"/>
      <c r="D101" s="60">
        <f>[4]Charters!E1005</f>
        <v>0</v>
      </c>
      <c r="E101" s="42"/>
      <c r="F101" s="42"/>
      <c r="G101" s="42"/>
      <c r="H101" s="42"/>
    </row>
    <row r="102" spans="1:8" x14ac:dyDescent="0.2">
      <c r="A102" s="38" t="s">
        <v>18</v>
      </c>
      <c r="B102" s="61"/>
      <c r="C102" s="62"/>
      <c r="D102" s="87"/>
      <c r="E102" s="42"/>
      <c r="F102" s="42">
        <f>[4]Charters!C1311</f>
        <v>3025.38</v>
      </c>
      <c r="G102" s="42"/>
      <c r="H102" s="42"/>
    </row>
    <row r="103" spans="1:8" x14ac:dyDescent="0.2">
      <c r="A103" s="59" t="s">
        <v>39</v>
      </c>
      <c r="B103" s="43"/>
      <c r="C103" s="56"/>
      <c r="D103" s="41">
        <f>[4]Charters!C1158</f>
        <v>3025.38</v>
      </c>
      <c r="E103" s="42"/>
      <c r="F103" s="42">
        <f>SUM(D103:D106)</f>
        <v>3025.38</v>
      </c>
      <c r="G103" s="42"/>
      <c r="H103" s="42"/>
    </row>
    <row r="104" spans="1:8" x14ac:dyDescent="0.2">
      <c r="A104" s="59" t="s">
        <v>48</v>
      </c>
      <c r="B104" s="43"/>
      <c r="C104" s="56"/>
      <c r="D104" s="41">
        <f>[4]Charters!D1158</f>
        <v>0</v>
      </c>
      <c r="E104" s="42"/>
      <c r="F104" s="42">
        <f>+F102-F103</f>
        <v>0</v>
      </c>
      <c r="G104" s="42"/>
      <c r="H104" s="42"/>
    </row>
    <row r="105" spans="1:8" x14ac:dyDescent="0.2">
      <c r="A105" s="59" t="s">
        <v>60</v>
      </c>
      <c r="B105" s="43"/>
      <c r="C105" s="56"/>
      <c r="D105" s="41">
        <f>[4]Charters!E1158</f>
        <v>0</v>
      </c>
      <c r="E105" s="42"/>
      <c r="F105" s="42"/>
      <c r="G105" s="42"/>
      <c r="H105" s="42"/>
    </row>
    <row r="106" spans="1:8" x14ac:dyDescent="0.2">
      <c r="A106" s="59" t="s">
        <v>61</v>
      </c>
      <c r="B106" s="43"/>
      <c r="C106" s="56"/>
      <c r="D106" s="41">
        <f>[4]Charters!F1158</f>
        <v>0</v>
      </c>
      <c r="E106" s="42"/>
      <c r="F106" s="42"/>
      <c r="G106" s="42"/>
      <c r="H106" s="42"/>
    </row>
    <row r="107" spans="1:8" ht="13.5" thickBot="1" x14ac:dyDescent="0.25">
      <c r="A107" s="64"/>
      <c r="B107" s="65"/>
      <c r="C107" s="66"/>
      <c r="D107" s="67">
        <f>SUM(D82:D106)</f>
        <v>2910407.84</v>
      </c>
      <c r="E107" s="42"/>
      <c r="F107" s="42"/>
      <c r="G107" s="42"/>
      <c r="H107" s="42"/>
    </row>
    <row r="108" spans="1:8" ht="13.5" thickTop="1" x14ac:dyDescent="0.2">
      <c r="A108" s="68"/>
      <c r="B108" s="43"/>
      <c r="C108" s="56"/>
      <c r="D108" s="86"/>
      <c r="E108" s="42"/>
      <c r="F108" s="42"/>
      <c r="G108" s="42"/>
      <c r="H108" s="42"/>
    </row>
    <row r="109" spans="1:8" x14ac:dyDescent="0.2">
      <c r="A109" s="38" t="s">
        <v>20</v>
      </c>
      <c r="B109" s="39"/>
      <c r="C109" s="70"/>
      <c r="D109" s="71" t="s">
        <v>21</v>
      </c>
      <c r="E109" s="42"/>
      <c r="F109" s="42"/>
      <c r="G109" s="42"/>
      <c r="H109" s="42"/>
    </row>
    <row r="110" spans="1:8" x14ac:dyDescent="0.2">
      <c r="A110" s="72" t="s">
        <v>22</v>
      </c>
      <c r="B110" s="73"/>
      <c r="C110" s="74"/>
      <c r="D110" s="41">
        <f>[5]Charters!C64</f>
        <v>1128.7</v>
      </c>
      <c r="E110" s="42"/>
      <c r="F110" s="42"/>
      <c r="G110" s="42"/>
      <c r="H110" s="42"/>
    </row>
    <row r="111" spans="1:8" x14ac:dyDescent="0.2">
      <c r="A111" s="75"/>
      <c r="B111" s="61"/>
      <c r="C111" s="76"/>
      <c r="D111" s="77">
        <f>SUM(D110:D110)</f>
        <v>1128.7</v>
      </c>
      <c r="E111" s="42"/>
      <c r="F111" s="42"/>
      <c r="G111" s="42"/>
      <c r="H111" s="42"/>
    </row>
    <row r="112" spans="1:8" x14ac:dyDescent="0.2">
      <c r="A112" s="78" t="s">
        <v>58</v>
      </c>
      <c r="B112" s="79"/>
      <c r="C112" s="80"/>
      <c r="D112" s="77">
        <f>D111+D107</f>
        <v>2911536.54</v>
      </c>
      <c r="E112" s="42"/>
      <c r="F112" s="42"/>
      <c r="G112" s="42"/>
      <c r="H112" s="42"/>
    </row>
    <row r="113" spans="1:8" x14ac:dyDescent="0.2">
      <c r="A113" s="84"/>
      <c r="B113" s="84"/>
      <c r="C113" s="85"/>
      <c r="D113" s="81"/>
      <c r="E113" s="42"/>
      <c r="F113" s="42"/>
      <c r="G113" s="42"/>
      <c r="H113" s="42"/>
    </row>
    <row r="114" spans="1:8" x14ac:dyDescent="0.2">
      <c r="A114" s="84"/>
      <c r="B114" s="84"/>
      <c r="C114" s="85"/>
      <c r="D114" s="81">
        <f>[5]Charters!E220</f>
        <v>2911536.54</v>
      </c>
      <c r="E114" s="42"/>
      <c r="F114" s="42"/>
      <c r="G114" s="42"/>
      <c r="H114" s="42"/>
    </row>
    <row r="115" spans="1:8" x14ac:dyDescent="0.2">
      <c r="A115" s="84"/>
      <c r="B115" s="84"/>
      <c r="C115" s="85"/>
      <c r="D115" s="81">
        <f>D112</f>
        <v>2911536.54</v>
      </c>
      <c r="E115" s="42"/>
      <c r="F115" s="42"/>
      <c r="G115" s="42"/>
      <c r="H115" s="42"/>
    </row>
    <row r="116" spans="1:8" x14ac:dyDescent="0.2">
      <c r="C116" s="83"/>
      <c r="D116" s="42">
        <f>D114-D115</f>
        <v>0</v>
      </c>
      <c r="E116" s="42"/>
      <c r="F116" s="42"/>
      <c r="G116" s="42"/>
      <c r="H116" s="42"/>
    </row>
  </sheetData>
  <mergeCells count="4">
    <mergeCell ref="A112:C112"/>
    <mergeCell ref="A59:D59"/>
    <mergeCell ref="A60:D60"/>
    <mergeCell ref="A58:D58"/>
  </mergeCells>
  <phoneticPr fontId="1" type="noConversion"/>
  <printOptions horizontalCentered="1" verticalCentered="1"/>
  <pageMargins left="0.5" right="0.5" top="0.5" bottom="0.5" header="0.25" footer="0.25"/>
  <pageSetup orientation="portrait" verticalDpi="300" r:id="rId1"/>
  <headerFooter alignWithMargins="0">
    <oddHeader>&amp;R&amp;8Current as of: &amp;D</oddHeader>
    <oddFooter>&amp;L&amp;8USOE, School Finance</oddFooter>
  </headerFooter>
  <picture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>
    <pageSetUpPr fitToPage="1"/>
  </sheetPr>
  <dimension ref="A1:H117"/>
  <sheetViews>
    <sheetView topLeftCell="A52" workbookViewId="0">
      <selection activeCell="C12" sqref="C12"/>
    </sheetView>
  </sheetViews>
  <sheetFormatPr defaultColWidth="9.140625" defaultRowHeight="12.75" x14ac:dyDescent="0.2"/>
  <cols>
    <col min="1" max="1" width="31.85546875" style="82" customWidth="1"/>
    <col min="2" max="2" width="16.28515625" style="82" customWidth="1"/>
    <col min="3" max="4" width="14.85546875" style="82" customWidth="1"/>
    <col min="5" max="5" width="7" style="82" customWidth="1"/>
    <col min="6" max="6" width="19.7109375" style="82" customWidth="1"/>
    <col min="7" max="7" width="5.7109375" style="82" customWidth="1"/>
    <col min="8" max="8" width="18" style="82" customWidth="1"/>
    <col min="9" max="16384" width="9.140625" style="82"/>
  </cols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"/>
      <c r="B3" s="1"/>
      <c r="C3" s="1"/>
      <c r="D3" s="1"/>
      <c r="E3" s="1"/>
      <c r="F3" s="1"/>
      <c r="G3" s="1"/>
      <c r="H3" s="1"/>
    </row>
    <row r="4" spans="1:8" x14ac:dyDescent="0.2">
      <c r="A4" s="1"/>
      <c r="B4" s="1"/>
      <c r="C4" s="1"/>
      <c r="D4" s="1"/>
      <c r="E4" s="1"/>
      <c r="F4" s="1"/>
      <c r="G4" s="1"/>
      <c r="H4" s="1"/>
    </row>
    <row r="5" spans="1:8" x14ac:dyDescent="0.2">
      <c r="A5" s="1"/>
      <c r="B5" s="1"/>
      <c r="C5" s="1"/>
      <c r="D5" s="1"/>
      <c r="E5" s="1"/>
      <c r="F5" s="1"/>
      <c r="G5" s="1"/>
      <c r="H5" s="1"/>
    </row>
    <row r="6" spans="1:8" x14ac:dyDescent="0.2">
      <c r="A6" s="1"/>
      <c r="B6" s="1"/>
      <c r="C6" s="1"/>
      <c r="D6" s="1"/>
      <c r="E6" s="1"/>
      <c r="F6" s="1"/>
      <c r="G6" s="1"/>
      <c r="H6" s="1"/>
    </row>
    <row r="7" spans="1:8" x14ac:dyDescent="0.2">
      <c r="A7" s="1"/>
      <c r="B7" s="1"/>
      <c r="C7" s="1"/>
      <c r="D7" s="1"/>
      <c r="E7" s="1"/>
      <c r="F7" s="1"/>
      <c r="G7" s="1"/>
      <c r="H7" s="1"/>
    </row>
    <row r="8" spans="1:8" x14ac:dyDescent="0.2">
      <c r="A8" s="1"/>
      <c r="B8" s="1"/>
      <c r="C8" s="1"/>
      <c r="D8" s="1"/>
      <c r="E8" s="1"/>
      <c r="F8" s="1"/>
      <c r="G8" s="1"/>
      <c r="H8" s="1"/>
    </row>
    <row r="9" spans="1:8" x14ac:dyDescent="0.2">
      <c r="A9" s="1"/>
      <c r="B9" s="1"/>
      <c r="C9" s="1"/>
      <c r="D9" s="1"/>
      <c r="E9" s="1"/>
      <c r="F9" s="1"/>
      <c r="G9" s="1"/>
      <c r="H9" s="1"/>
    </row>
    <row r="10" spans="1:8" x14ac:dyDescent="0.2">
      <c r="A10" s="1"/>
      <c r="B10" s="1"/>
      <c r="C10" s="1"/>
      <c r="D10" s="1"/>
      <c r="E10" s="1"/>
      <c r="F10" s="1"/>
      <c r="G10" s="1"/>
      <c r="H10" s="1"/>
    </row>
    <row r="11" spans="1:8" x14ac:dyDescent="0.2">
      <c r="A11" s="1"/>
      <c r="B11" s="1"/>
      <c r="C11" s="1"/>
      <c r="D11" s="1"/>
      <c r="E11" s="1"/>
      <c r="F11" s="1"/>
      <c r="G11" s="1"/>
      <c r="H11" s="1"/>
    </row>
    <row r="12" spans="1:8" x14ac:dyDescent="0.2">
      <c r="A12" s="1"/>
      <c r="B12" s="1"/>
      <c r="C12" s="1"/>
      <c r="D12" s="1"/>
      <c r="E12" s="1"/>
      <c r="F12" s="1"/>
      <c r="G12" s="1"/>
      <c r="H12" s="1"/>
    </row>
    <row r="13" spans="1:8" x14ac:dyDescent="0.2">
      <c r="A13" s="1"/>
      <c r="B13" s="1"/>
      <c r="C13" s="1"/>
      <c r="D13" s="1"/>
      <c r="E13" s="1"/>
      <c r="F13" s="1"/>
      <c r="G13" s="1"/>
      <c r="H13" s="1"/>
    </row>
    <row r="14" spans="1:8" x14ac:dyDescent="0.2">
      <c r="A14" s="1"/>
      <c r="B14" s="1"/>
      <c r="C14" s="1"/>
      <c r="D14" s="1"/>
      <c r="E14" s="1"/>
      <c r="F14" s="1"/>
      <c r="G14" s="1"/>
      <c r="H14" s="1"/>
    </row>
    <row r="15" spans="1:8" x14ac:dyDescent="0.2">
      <c r="A15" s="1"/>
      <c r="B15" s="1"/>
      <c r="C15" s="1"/>
      <c r="D15" s="1"/>
      <c r="E15" s="1"/>
      <c r="F15" s="1"/>
      <c r="G15" s="1"/>
      <c r="H15" s="1"/>
    </row>
    <row r="16" spans="1:8" x14ac:dyDescent="0.2">
      <c r="A16" s="1"/>
      <c r="B16" s="1"/>
      <c r="C16" s="1"/>
      <c r="D16" s="1"/>
      <c r="E16" s="1"/>
      <c r="F16" s="1"/>
      <c r="G16" s="1"/>
      <c r="H16" s="1"/>
    </row>
    <row r="17" spans="1:8" x14ac:dyDescent="0.2">
      <c r="A17" s="1"/>
      <c r="B17" s="1"/>
      <c r="C17" s="1"/>
      <c r="D17" s="1"/>
      <c r="E17" s="1"/>
      <c r="F17" s="1"/>
      <c r="G17" s="1"/>
      <c r="H17" s="1"/>
    </row>
    <row r="18" spans="1:8" x14ac:dyDescent="0.2">
      <c r="A18" s="1"/>
      <c r="B18" s="1"/>
      <c r="C18" s="1"/>
      <c r="D18" s="1"/>
      <c r="E18" s="1"/>
      <c r="F18" s="1"/>
      <c r="G18" s="1"/>
      <c r="H18" s="1"/>
    </row>
    <row r="19" spans="1:8" x14ac:dyDescent="0.2">
      <c r="A19" s="1"/>
      <c r="B19" s="1"/>
      <c r="C19" s="1"/>
      <c r="D19" s="1"/>
      <c r="E19" s="1"/>
      <c r="F19" s="1"/>
      <c r="G19" s="1"/>
      <c r="H19" s="1"/>
    </row>
    <row r="20" spans="1:8" x14ac:dyDescent="0.2">
      <c r="A20" s="1"/>
      <c r="B20" s="1"/>
      <c r="C20" s="1"/>
      <c r="D20" s="1"/>
      <c r="E20" s="1"/>
      <c r="F20" s="1"/>
      <c r="G20" s="1"/>
      <c r="H20" s="1"/>
    </row>
    <row r="21" spans="1:8" x14ac:dyDescent="0.2">
      <c r="A21" s="1"/>
      <c r="B21" s="1"/>
      <c r="C21" s="1"/>
      <c r="D21" s="1"/>
      <c r="E21" s="1"/>
      <c r="F21" s="1"/>
      <c r="G21" s="1"/>
      <c r="H21" s="1"/>
    </row>
    <row r="22" spans="1:8" x14ac:dyDescent="0.2">
      <c r="A22" s="1"/>
      <c r="B22" s="1"/>
      <c r="C22" s="1"/>
      <c r="D22" s="4"/>
      <c r="E22" s="1"/>
      <c r="F22" s="1"/>
      <c r="G22" s="1"/>
      <c r="H22" s="1"/>
    </row>
    <row r="23" spans="1:8" x14ac:dyDescent="0.2">
      <c r="A23" s="1"/>
      <c r="B23" s="1"/>
      <c r="C23" s="1"/>
      <c r="D23" s="1"/>
      <c r="E23" s="1"/>
      <c r="F23" s="1"/>
      <c r="G23" s="1"/>
      <c r="H23" s="1"/>
    </row>
    <row r="24" spans="1:8" x14ac:dyDescent="0.2">
      <c r="A24" s="1"/>
      <c r="B24" s="1"/>
      <c r="C24" s="1"/>
      <c r="D24" s="1"/>
      <c r="E24" s="1"/>
      <c r="F24" s="1"/>
      <c r="G24" s="1"/>
      <c r="H24" s="1"/>
    </row>
    <row r="25" spans="1:8" x14ac:dyDescent="0.2">
      <c r="A25" s="1"/>
      <c r="B25" s="1"/>
      <c r="C25" s="1"/>
      <c r="D25" s="1"/>
      <c r="E25" s="1"/>
      <c r="F25" s="1"/>
      <c r="G25" s="1"/>
      <c r="H25" s="1"/>
    </row>
    <row r="26" spans="1:8" x14ac:dyDescent="0.2">
      <c r="A26" s="1"/>
      <c r="B26" s="1"/>
      <c r="C26" s="1"/>
      <c r="D26" s="1"/>
      <c r="E26" s="1"/>
      <c r="F26" s="1"/>
      <c r="G26" s="1"/>
      <c r="H26" s="1"/>
    </row>
    <row r="27" spans="1:8" x14ac:dyDescent="0.2">
      <c r="A27" s="1"/>
      <c r="B27" s="1"/>
      <c r="C27" s="1"/>
      <c r="D27" s="1"/>
      <c r="E27" s="1"/>
      <c r="F27" s="1"/>
      <c r="G27" s="1"/>
      <c r="H27" s="1"/>
    </row>
    <row r="28" spans="1:8" x14ac:dyDescent="0.2">
      <c r="A28" s="1"/>
      <c r="B28" s="1"/>
      <c r="C28" s="1"/>
      <c r="D28" s="1"/>
      <c r="E28" s="1"/>
      <c r="F28" s="1"/>
      <c r="G28" s="1"/>
      <c r="H28" s="1"/>
    </row>
    <row r="29" spans="1:8" x14ac:dyDescent="0.2">
      <c r="A29" s="1"/>
      <c r="B29" s="1"/>
      <c r="C29" s="1"/>
      <c r="D29" s="1"/>
      <c r="E29" s="1"/>
      <c r="F29" s="1"/>
      <c r="G29" s="1"/>
      <c r="H29" s="1"/>
    </row>
    <row r="30" spans="1:8" x14ac:dyDescent="0.2">
      <c r="A30" s="1"/>
      <c r="B30" s="1"/>
      <c r="C30" s="1"/>
      <c r="D30" s="1"/>
      <c r="E30" s="1"/>
      <c r="F30" s="1"/>
      <c r="G30" s="1"/>
      <c r="H30" s="1"/>
    </row>
    <row r="31" spans="1:8" x14ac:dyDescent="0.2">
      <c r="A31" s="1"/>
      <c r="B31" s="1"/>
      <c r="C31" s="1"/>
      <c r="D31" s="1"/>
      <c r="E31" s="1"/>
      <c r="F31" s="1"/>
      <c r="G31" s="1"/>
      <c r="H31" s="1"/>
    </row>
    <row r="32" spans="1:8" x14ac:dyDescent="0.2">
      <c r="A32" s="1"/>
      <c r="B32" s="1"/>
      <c r="C32" s="1"/>
      <c r="D32" s="1"/>
      <c r="E32" s="1"/>
      <c r="F32" s="1"/>
      <c r="G32" s="1"/>
      <c r="H32" s="1"/>
    </row>
    <row r="33" spans="1:8" x14ac:dyDescent="0.2">
      <c r="A33" s="1"/>
      <c r="B33" s="1"/>
      <c r="C33" s="1"/>
      <c r="D33" s="1"/>
      <c r="E33" s="1"/>
      <c r="F33" s="1"/>
      <c r="G33" s="1"/>
      <c r="H33" s="1"/>
    </row>
    <row r="34" spans="1:8" x14ac:dyDescent="0.2">
      <c r="A34" s="1"/>
      <c r="B34" s="1"/>
      <c r="C34" s="1"/>
      <c r="D34" s="1"/>
      <c r="E34" s="1"/>
      <c r="F34" s="1"/>
      <c r="G34" s="1"/>
      <c r="H34" s="1"/>
    </row>
    <row r="35" spans="1:8" x14ac:dyDescent="0.2">
      <c r="A35" s="1"/>
      <c r="B35" s="1"/>
      <c r="C35" s="1"/>
      <c r="D35" s="1"/>
      <c r="E35" s="1"/>
      <c r="F35" s="1"/>
      <c r="G35" s="1"/>
      <c r="H35" s="1"/>
    </row>
    <row r="36" spans="1:8" x14ac:dyDescent="0.2">
      <c r="A36" s="1"/>
      <c r="B36" s="1"/>
      <c r="C36" s="1"/>
      <c r="D36" s="1"/>
      <c r="E36" s="1"/>
      <c r="F36" s="1"/>
      <c r="G36" s="1"/>
      <c r="H36" s="1"/>
    </row>
    <row r="37" spans="1:8" x14ac:dyDescent="0.2">
      <c r="A37" s="1"/>
      <c r="B37" s="1"/>
      <c r="C37" s="1"/>
      <c r="D37" s="1"/>
      <c r="E37" s="1"/>
      <c r="F37" s="1"/>
      <c r="G37" s="1"/>
      <c r="H37" s="1"/>
    </row>
    <row r="38" spans="1:8" x14ac:dyDescent="0.2">
      <c r="A38" s="1"/>
      <c r="B38" s="1"/>
      <c r="C38" s="1"/>
      <c r="D38" s="1"/>
      <c r="E38" s="1"/>
      <c r="F38" s="1"/>
      <c r="G38" s="1"/>
      <c r="H38" s="1"/>
    </row>
    <row r="39" spans="1:8" x14ac:dyDescent="0.2">
      <c r="A39" s="1"/>
      <c r="B39" s="1"/>
      <c r="C39" s="1"/>
      <c r="D39" s="1"/>
      <c r="E39" s="1"/>
      <c r="F39" s="1"/>
      <c r="G39" s="1"/>
      <c r="H39" s="1"/>
    </row>
    <row r="40" spans="1:8" x14ac:dyDescent="0.2">
      <c r="A40" s="1"/>
      <c r="B40" s="1"/>
      <c r="C40" s="1"/>
      <c r="D40" s="1"/>
      <c r="E40" s="1"/>
      <c r="F40" s="1"/>
      <c r="G40" s="1"/>
      <c r="H40" s="1"/>
    </row>
    <row r="41" spans="1:8" x14ac:dyDescent="0.2">
      <c r="A41" s="1"/>
      <c r="B41" s="1"/>
      <c r="C41" s="1"/>
      <c r="D41" s="1"/>
      <c r="E41" s="1"/>
      <c r="F41" s="1"/>
      <c r="G41" s="1"/>
      <c r="H41" s="1"/>
    </row>
    <row r="42" spans="1:8" x14ac:dyDescent="0.2">
      <c r="A42" s="1"/>
      <c r="B42" s="1"/>
      <c r="C42" s="1"/>
      <c r="D42" s="1"/>
      <c r="E42" s="1"/>
      <c r="F42" s="1"/>
      <c r="G42" s="1"/>
      <c r="H42" s="1"/>
    </row>
    <row r="43" spans="1:8" x14ac:dyDescent="0.2">
      <c r="A43" s="1"/>
      <c r="B43" s="1"/>
      <c r="C43" s="1"/>
      <c r="D43" s="1"/>
      <c r="E43" s="1"/>
      <c r="F43" s="1"/>
      <c r="G43" s="1"/>
      <c r="H43" s="1"/>
    </row>
    <row r="44" spans="1:8" x14ac:dyDescent="0.2">
      <c r="A44" s="1"/>
      <c r="B44" s="1"/>
      <c r="C44" s="1"/>
      <c r="D44" s="1"/>
      <c r="E44" s="1"/>
      <c r="F44" s="1"/>
      <c r="G44" s="1"/>
      <c r="H44" s="1"/>
    </row>
    <row r="45" spans="1:8" x14ac:dyDescent="0.2">
      <c r="A45" s="1"/>
      <c r="B45" s="1"/>
      <c r="C45" s="1"/>
      <c r="D45" s="1"/>
      <c r="E45" s="1"/>
      <c r="F45" s="1"/>
      <c r="G45" s="1"/>
      <c r="H45" s="1"/>
    </row>
    <row r="46" spans="1:8" x14ac:dyDescent="0.2">
      <c r="A46" s="1"/>
      <c r="B46" s="1"/>
      <c r="C46" s="1"/>
      <c r="D46" s="1"/>
      <c r="E46" s="1"/>
      <c r="F46" s="1"/>
      <c r="G46" s="1"/>
      <c r="H46" s="1"/>
    </row>
    <row r="47" spans="1:8" x14ac:dyDescent="0.2">
      <c r="A47" s="1"/>
      <c r="B47" s="1"/>
      <c r="C47" s="1"/>
      <c r="D47" s="1"/>
      <c r="E47" s="1"/>
      <c r="F47" s="1"/>
      <c r="G47" s="1"/>
      <c r="H47" s="1"/>
    </row>
    <row r="48" spans="1:8" x14ac:dyDescent="0.2">
      <c r="A48" s="1"/>
      <c r="B48" s="1"/>
      <c r="C48" s="1"/>
      <c r="D48" s="1"/>
      <c r="E48" s="1"/>
      <c r="F48" s="1"/>
      <c r="G48" s="1"/>
      <c r="H48" s="1"/>
    </row>
    <row r="49" spans="1:8" x14ac:dyDescent="0.2">
      <c r="A49" s="1"/>
      <c r="B49" s="1"/>
      <c r="C49" s="1"/>
      <c r="D49" s="1"/>
      <c r="E49" s="1"/>
      <c r="F49" s="1"/>
      <c r="G49" s="1"/>
      <c r="H49" s="1"/>
    </row>
    <row r="50" spans="1:8" x14ac:dyDescent="0.2">
      <c r="A50" s="1"/>
      <c r="B50" s="1"/>
      <c r="C50" s="1"/>
      <c r="D50" s="1"/>
      <c r="E50" s="1"/>
      <c r="F50" s="1"/>
      <c r="G50" s="1"/>
      <c r="H50" s="1"/>
    </row>
    <row r="51" spans="1:8" x14ac:dyDescent="0.2">
      <c r="A51" s="1"/>
      <c r="B51" s="1"/>
      <c r="C51" s="1"/>
      <c r="D51" s="1"/>
      <c r="E51" s="1"/>
      <c r="F51" s="1"/>
      <c r="G51" s="1"/>
      <c r="H51" s="1"/>
    </row>
    <row r="52" spans="1:8" x14ac:dyDescent="0.2">
      <c r="A52" s="1"/>
      <c r="B52" s="1"/>
      <c r="C52" s="1"/>
      <c r="D52" s="1"/>
      <c r="E52" s="1"/>
      <c r="F52" s="1"/>
      <c r="G52" s="1"/>
      <c r="H52" s="1"/>
    </row>
    <row r="53" spans="1:8" x14ac:dyDescent="0.2">
      <c r="A53" s="1"/>
      <c r="B53" s="1"/>
      <c r="C53" s="1"/>
      <c r="D53" s="1"/>
      <c r="E53" s="1"/>
      <c r="F53" s="1"/>
      <c r="G53" s="1"/>
      <c r="H53" s="1"/>
    </row>
    <row r="54" spans="1:8" x14ac:dyDescent="0.2">
      <c r="A54" s="1"/>
      <c r="B54" s="1"/>
      <c r="C54" s="1"/>
      <c r="D54" s="1"/>
      <c r="E54" s="1"/>
      <c r="F54" s="1"/>
      <c r="G54" s="1"/>
      <c r="H54" s="1"/>
    </row>
    <row r="55" spans="1:8" x14ac:dyDescent="0.2">
      <c r="A55" s="1"/>
      <c r="B55" s="1"/>
      <c r="C55" s="1"/>
      <c r="D55" s="1"/>
      <c r="E55" s="1"/>
      <c r="F55" s="1"/>
      <c r="G55" s="1"/>
      <c r="H55" s="1"/>
    </row>
    <row r="56" spans="1:8" x14ac:dyDescent="0.2">
      <c r="A56" s="1"/>
      <c r="B56" s="1"/>
      <c r="C56" s="1"/>
      <c r="D56" s="1"/>
      <c r="E56" s="1"/>
      <c r="F56" s="1"/>
      <c r="G56" s="1"/>
      <c r="H56" s="1"/>
    </row>
    <row r="57" spans="1:8" x14ac:dyDescent="0.2">
      <c r="A57" s="1"/>
      <c r="B57" s="1"/>
      <c r="C57" s="1"/>
      <c r="D57" s="1"/>
      <c r="E57" s="1"/>
      <c r="F57" s="1"/>
      <c r="G57" s="1"/>
      <c r="H57" s="1"/>
    </row>
    <row r="58" spans="1:8" x14ac:dyDescent="0.2">
      <c r="A58" s="1"/>
      <c r="B58" s="1"/>
      <c r="C58" s="1"/>
      <c r="D58" s="1"/>
      <c r="E58" s="1"/>
      <c r="F58" s="1"/>
      <c r="G58" s="1"/>
      <c r="H58" s="1"/>
    </row>
    <row r="59" spans="1:8" x14ac:dyDescent="0.2">
      <c r="A59" s="11" t="s">
        <v>1</v>
      </c>
      <c r="B59" s="12"/>
      <c r="C59" s="12"/>
      <c r="D59" s="13"/>
      <c r="E59" s="8"/>
      <c r="F59" s="8"/>
      <c r="G59" s="8"/>
      <c r="H59" s="8"/>
    </row>
    <row r="60" spans="1:8" x14ac:dyDescent="0.2">
      <c r="A60" s="14" t="s">
        <v>15</v>
      </c>
      <c r="B60" s="15"/>
      <c r="C60" s="15"/>
      <c r="D60" s="16"/>
      <c r="E60" s="8"/>
      <c r="F60" s="8"/>
      <c r="G60" s="8"/>
      <c r="H60" s="8"/>
    </row>
    <row r="61" spans="1:8" x14ac:dyDescent="0.2">
      <c r="A61" s="17" t="s">
        <v>62</v>
      </c>
      <c r="B61" s="18"/>
      <c r="C61" s="18"/>
      <c r="D61" s="19"/>
      <c r="E61" s="8"/>
      <c r="F61" s="8"/>
      <c r="G61" s="8"/>
      <c r="H61" s="8"/>
    </row>
    <row r="62" spans="1:8" x14ac:dyDescent="0.2">
      <c r="A62" s="20"/>
      <c r="B62" s="21"/>
      <c r="C62" s="22"/>
      <c r="D62" s="23"/>
      <c r="E62" s="8"/>
      <c r="F62" s="8" t="s">
        <v>34</v>
      </c>
      <c r="G62" s="8"/>
      <c r="H62" s="8"/>
    </row>
    <row r="63" spans="1:8" ht="15.75" x14ac:dyDescent="0.25">
      <c r="A63" s="24" t="s">
        <v>2</v>
      </c>
      <c r="B63" s="25" t="str">
        <f>[1]Charters!B66</f>
        <v>Edith Bowen Laboratory School</v>
      </c>
      <c r="C63" s="26"/>
      <c r="D63" s="27"/>
      <c r="E63" s="8"/>
      <c r="F63" s="8"/>
      <c r="G63" s="8"/>
      <c r="H63" s="8"/>
    </row>
    <row r="64" spans="1:8" x14ac:dyDescent="0.2">
      <c r="A64" s="24"/>
      <c r="B64" s="28"/>
      <c r="C64" s="26"/>
      <c r="D64" s="27"/>
      <c r="E64" s="8"/>
      <c r="F64" s="8"/>
      <c r="G64" s="8"/>
      <c r="H64" s="8"/>
    </row>
    <row r="65" spans="1:8" x14ac:dyDescent="0.2">
      <c r="A65" s="29" t="s">
        <v>0</v>
      </c>
      <c r="B65" s="30">
        <f>[1]Charters!$E$6</f>
        <v>3184</v>
      </c>
      <c r="C65" s="26"/>
      <c r="D65" s="31"/>
      <c r="E65" s="8"/>
      <c r="F65" s="8"/>
      <c r="G65" s="8"/>
      <c r="H65" s="8"/>
    </row>
    <row r="66" spans="1:8" x14ac:dyDescent="0.2">
      <c r="A66" s="32"/>
      <c r="B66" s="6"/>
      <c r="C66" s="33"/>
      <c r="D66" s="34" t="s">
        <v>3</v>
      </c>
      <c r="E66" s="8"/>
      <c r="F66" s="8"/>
      <c r="G66" s="8"/>
      <c r="H66" s="8"/>
    </row>
    <row r="67" spans="1:8" x14ac:dyDescent="0.2">
      <c r="A67" s="29" t="s">
        <v>19</v>
      </c>
      <c r="B67" s="35" t="str">
        <f>[1]Charters!A66</f>
        <v>5E</v>
      </c>
      <c r="C67" s="36" t="s">
        <v>4</v>
      </c>
      <c r="D67" s="37" t="s">
        <v>5</v>
      </c>
      <c r="E67" s="8"/>
      <c r="F67" s="8"/>
      <c r="G67" s="8"/>
      <c r="H67" s="8"/>
    </row>
    <row r="68" spans="1:8" x14ac:dyDescent="0.2">
      <c r="A68" s="38" t="s">
        <v>6</v>
      </c>
      <c r="B68" s="39"/>
      <c r="C68" s="40"/>
      <c r="D68" s="41"/>
      <c r="E68" s="8"/>
      <c r="F68" s="8"/>
      <c r="G68" s="8"/>
      <c r="H68" s="8"/>
    </row>
    <row r="69" spans="1:8" x14ac:dyDescent="0.2">
      <c r="A69" s="38" t="s">
        <v>7</v>
      </c>
      <c r="B69" s="39"/>
      <c r="C69" s="40"/>
      <c r="D69" s="41"/>
      <c r="E69" s="8"/>
      <c r="F69" s="42" t="s">
        <v>23</v>
      </c>
      <c r="G69" s="8"/>
      <c r="H69" s="42" t="s">
        <v>26</v>
      </c>
    </row>
    <row r="70" spans="1:8" x14ac:dyDescent="0.2">
      <c r="A70" s="20" t="s">
        <v>8</v>
      </c>
      <c r="B70" s="43"/>
      <c r="C70" s="44">
        <f>[1]Charters!C526</f>
        <v>250.05799999999999</v>
      </c>
      <c r="D70" s="45">
        <f>[1]Charters!E526</f>
        <v>796184.85</v>
      </c>
      <c r="E70" s="8"/>
      <c r="F70" s="42">
        <f>[1]Charters!E681</f>
        <v>879314.51</v>
      </c>
      <c r="G70" s="8"/>
      <c r="H70" s="42">
        <f>[2]Charters!E220</f>
        <v>1108392.69</v>
      </c>
    </row>
    <row r="71" spans="1:8" x14ac:dyDescent="0.2">
      <c r="A71" s="20" t="s">
        <v>14</v>
      </c>
      <c r="B71" s="43"/>
      <c r="C71" s="44">
        <f>[1]Charters!F526</f>
        <v>26.109000000000002</v>
      </c>
      <c r="D71" s="45">
        <f>[1]Charters!H526</f>
        <v>83129.66</v>
      </c>
      <c r="E71" s="8"/>
      <c r="F71" s="42">
        <f>SUM(D70:D72)</f>
        <v>879314.51</v>
      </c>
      <c r="G71" s="8"/>
      <c r="H71" s="42">
        <f>D83</f>
        <v>1108392.69</v>
      </c>
    </row>
    <row r="72" spans="1:8" x14ac:dyDescent="0.2">
      <c r="A72" s="20" t="s">
        <v>32</v>
      </c>
      <c r="B72" s="43"/>
      <c r="C72" s="44">
        <f>[1]Charters!C219</f>
        <v>0</v>
      </c>
      <c r="D72" s="45">
        <f>[1]Charters!E219</f>
        <v>0</v>
      </c>
      <c r="E72" s="8"/>
      <c r="F72" s="42">
        <f>+F70-F71</f>
        <v>0</v>
      </c>
      <c r="G72" s="8"/>
      <c r="H72" s="42">
        <f>+H70-H71</f>
        <v>0</v>
      </c>
    </row>
    <row r="73" spans="1:8" x14ac:dyDescent="0.2">
      <c r="A73" s="38" t="s">
        <v>9</v>
      </c>
      <c r="B73" s="39"/>
      <c r="C73" s="46"/>
      <c r="D73" s="47"/>
      <c r="E73" s="8"/>
      <c r="F73" s="8"/>
      <c r="G73" s="8"/>
      <c r="H73" s="8"/>
    </row>
    <row r="74" spans="1:8" x14ac:dyDescent="0.2">
      <c r="A74" s="20" t="s">
        <v>10</v>
      </c>
      <c r="B74" s="43"/>
      <c r="C74" s="40">
        <f>[3]Charters!C65</f>
        <v>40.409999999999997</v>
      </c>
      <c r="D74" s="41">
        <f>[3]Charters!E65</f>
        <v>128665.3</v>
      </c>
      <c r="E74" s="8"/>
      <c r="F74" s="42" t="s">
        <v>24</v>
      </c>
      <c r="G74" s="8"/>
      <c r="H74" s="8"/>
    </row>
    <row r="75" spans="1:8" x14ac:dyDescent="0.2">
      <c r="A75" s="48" t="s">
        <v>11</v>
      </c>
      <c r="B75" s="43"/>
      <c r="C75" s="40">
        <f>[3]Charters!F65</f>
        <v>3.48</v>
      </c>
      <c r="D75" s="49">
        <f>[3]Charters!H65</f>
        <v>11080.32</v>
      </c>
      <c r="E75" s="8"/>
      <c r="F75" s="42">
        <f>[3]Charters!N377</f>
        <v>145460.26999999999</v>
      </c>
      <c r="G75" s="8"/>
      <c r="H75" s="8"/>
    </row>
    <row r="76" spans="1:8" x14ac:dyDescent="0.2">
      <c r="A76" s="48" t="s">
        <v>12</v>
      </c>
      <c r="B76" s="43"/>
      <c r="C76" s="40">
        <f>[3]Charters!C220</f>
        <v>0</v>
      </c>
      <c r="D76" s="41">
        <f>[3]Charters!E220</f>
        <v>0</v>
      </c>
      <c r="E76" s="8"/>
      <c r="F76" s="42">
        <f>SUM(D74:D80)</f>
        <v>145460.26999999999</v>
      </c>
      <c r="G76" s="8"/>
      <c r="H76" s="8"/>
    </row>
    <row r="77" spans="1:8" x14ac:dyDescent="0.2">
      <c r="A77" s="20" t="s">
        <v>13</v>
      </c>
      <c r="B77" s="43"/>
      <c r="C77" s="40">
        <f>[3]Charters!F220</f>
        <v>0.876</v>
      </c>
      <c r="D77" s="41">
        <f>[3]Charters!H220</f>
        <v>2789.53</v>
      </c>
      <c r="E77" s="8"/>
      <c r="F77" s="42">
        <f>+F75-F76</f>
        <v>0</v>
      </c>
      <c r="G77" s="8"/>
      <c r="H77" s="8"/>
    </row>
    <row r="78" spans="1:8" x14ac:dyDescent="0.2">
      <c r="A78" s="48" t="s">
        <v>54</v>
      </c>
      <c r="B78" s="43"/>
      <c r="C78" s="40">
        <f>[3]Charters!C377</f>
        <v>0.91900000000000004</v>
      </c>
      <c r="D78" s="41">
        <f>[3]Charters!E377</f>
        <v>2925.12</v>
      </c>
      <c r="E78" s="8"/>
      <c r="F78" s="8"/>
      <c r="G78" s="8"/>
      <c r="H78" s="8"/>
    </row>
    <row r="79" spans="1:8" x14ac:dyDescent="0.2">
      <c r="A79" s="48" t="s">
        <v>55</v>
      </c>
      <c r="B79" s="43"/>
      <c r="C79" s="40">
        <f>[3]Charters!F377</f>
        <v>0</v>
      </c>
      <c r="D79" s="41">
        <f>[3]Charters!H377</f>
        <v>0</v>
      </c>
      <c r="E79" s="8"/>
      <c r="F79" s="42" t="s">
        <v>25</v>
      </c>
      <c r="G79" s="8"/>
      <c r="H79" s="8"/>
    </row>
    <row r="80" spans="1:8" x14ac:dyDescent="0.2">
      <c r="A80" s="48" t="s">
        <v>56</v>
      </c>
      <c r="B80" s="43"/>
      <c r="C80" s="40">
        <f>[3]Charters!I377</f>
        <v>0</v>
      </c>
      <c r="D80" s="41">
        <f>[3]Charters!K377</f>
        <v>0</v>
      </c>
      <c r="E80" s="8"/>
      <c r="F80" s="42">
        <f>[2]Charters!H66</f>
        <v>229078.18</v>
      </c>
      <c r="G80" s="8"/>
      <c r="H80" s="8"/>
    </row>
    <row r="81" spans="1:8" x14ac:dyDescent="0.2">
      <c r="A81" s="20" t="s">
        <v>49</v>
      </c>
      <c r="B81" s="43"/>
      <c r="C81" s="40">
        <f>[3]Charters!C533</f>
        <v>0</v>
      </c>
      <c r="D81" s="41">
        <f>[3]Charters!E533</f>
        <v>0</v>
      </c>
      <c r="E81" s="8"/>
      <c r="F81" s="42">
        <f>SUM(D74:D82)</f>
        <v>229078.18</v>
      </c>
      <c r="G81" s="8"/>
      <c r="H81" s="8"/>
    </row>
    <row r="82" spans="1:8" x14ac:dyDescent="0.2">
      <c r="A82" s="20" t="s">
        <v>50</v>
      </c>
      <c r="B82" s="43"/>
      <c r="C82" s="40">
        <f>[2]Charters!C66</f>
        <v>26.262</v>
      </c>
      <c r="D82" s="41">
        <f>[2]Charters!E66</f>
        <v>83617.91</v>
      </c>
      <c r="E82" s="8"/>
      <c r="F82" s="42">
        <f>+F80-F81</f>
        <v>0</v>
      </c>
      <c r="G82" s="8"/>
      <c r="H82" s="8"/>
    </row>
    <row r="83" spans="1:8" x14ac:dyDescent="0.2">
      <c r="A83" s="50"/>
      <c r="B83" s="51" t="s">
        <v>16</v>
      </c>
      <c r="C83" s="52">
        <f>SUM(C70:C82)</f>
        <v>348.11399999999998</v>
      </c>
      <c r="D83" s="53">
        <f>SUM(D70:D82)</f>
        <v>1108392.69</v>
      </c>
      <c r="E83" s="8"/>
      <c r="F83" s="8"/>
      <c r="G83" s="8"/>
      <c r="H83" s="8"/>
    </row>
    <row r="84" spans="1:8" x14ac:dyDescent="0.2">
      <c r="A84" s="54" t="s">
        <v>17</v>
      </c>
      <c r="B84" s="39"/>
      <c r="C84" s="55"/>
      <c r="D84" s="47"/>
      <c r="E84" s="8"/>
      <c r="F84" s="8"/>
      <c r="G84" s="8"/>
      <c r="H84" s="42" t="s">
        <v>29</v>
      </c>
    </row>
    <row r="85" spans="1:8" x14ac:dyDescent="0.2">
      <c r="A85" s="20" t="s">
        <v>33</v>
      </c>
      <c r="B85" s="43"/>
      <c r="C85" s="56"/>
      <c r="D85" s="57">
        <f>[4]Charters!C66</f>
        <v>3212.64</v>
      </c>
      <c r="E85" s="8"/>
      <c r="F85" s="8"/>
      <c r="G85" s="8"/>
      <c r="H85" s="42">
        <f>[4]Charters!F1006</f>
        <v>1929509.59</v>
      </c>
    </row>
    <row r="86" spans="1:8" x14ac:dyDescent="0.2">
      <c r="A86" s="58" t="s">
        <v>35</v>
      </c>
      <c r="B86" s="43"/>
      <c r="C86" s="56"/>
      <c r="D86" s="41">
        <f>+[4]Charters!F387</f>
        <v>1203.53</v>
      </c>
      <c r="E86" s="8"/>
      <c r="F86" s="8"/>
      <c r="G86" s="8"/>
      <c r="H86" s="42">
        <f>SUM(D83:D102)</f>
        <v>1929509.59</v>
      </c>
    </row>
    <row r="87" spans="1:8" x14ac:dyDescent="0.2">
      <c r="A87" s="59" t="s">
        <v>36</v>
      </c>
      <c r="B87" s="43"/>
      <c r="C87" s="56"/>
      <c r="D87" s="41">
        <f>[4]Charters!E226</f>
        <v>13453</v>
      </c>
      <c r="E87" s="8"/>
      <c r="F87" s="8"/>
      <c r="G87" s="8"/>
      <c r="H87" s="42">
        <f>+H85-H86</f>
        <v>0</v>
      </c>
    </row>
    <row r="88" spans="1:8" x14ac:dyDescent="0.2">
      <c r="A88" s="59" t="s">
        <v>52</v>
      </c>
      <c r="B88" s="43"/>
      <c r="C88" s="56"/>
      <c r="D88" s="41">
        <f>[4]Charters!G387</f>
        <v>0</v>
      </c>
      <c r="E88" s="8"/>
      <c r="F88" s="42" t="s">
        <v>27</v>
      </c>
      <c r="G88" s="8"/>
      <c r="H88" s="42"/>
    </row>
    <row r="89" spans="1:8" x14ac:dyDescent="0.2">
      <c r="A89" s="20" t="s">
        <v>37</v>
      </c>
      <c r="B89" s="43"/>
      <c r="C89" s="56"/>
      <c r="D89" s="41">
        <f>[4]Charters!E543</f>
        <v>21734</v>
      </c>
      <c r="E89" s="8"/>
      <c r="F89" s="42">
        <f>[4]Charters!E226</f>
        <v>13453</v>
      </c>
      <c r="G89" s="8"/>
      <c r="H89" s="8"/>
    </row>
    <row r="90" spans="1:8" x14ac:dyDescent="0.2">
      <c r="A90" s="20" t="s">
        <v>38</v>
      </c>
      <c r="B90" s="43"/>
      <c r="C90" s="56"/>
      <c r="D90" s="41">
        <f>[4]Charters!F543</f>
        <v>0</v>
      </c>
      <c r="E90" s="8"/>
      <c r="F90" s="42">
        <f>SUM(D87:D87)</f>
        <v>13453</v>
      </c>
      <c r="G90" s="8"/>
      <c r="H90" s="8"/>
    </row>
    <row r="91" spans="1:8" x14ac:dyDescent="0.2">
      <c r="A91" s="59" t="s">
        <v>40</v>
      </c>
      <c r="B91" s="43"/>
      <c r="C91" s="56"/>
      <c r="D91" s="41">
        <f>[4]Charters!G543</f>
        <v>0</v>
      </c>
      <c r="E91" s="8"/>
      <c r="F91" s="42">
        <f>+F89-F90</f>
        <v>0</v>
      </c>
      <c r="G91" s="8"/>
      <c r="H91" s="8"/>
    </row>
    <row r="92" spans="1:8" x14ac:dyDescent="0.2">
      <c r="A92" s="20" t="s">
        <v>41</v>
      </c>
      <c r="B92" s="43"/>
      <c r="C92" s="56"/>
      <c r="D92" s="41">
        <f>[4]Charters!C697</f>
        <v>608304</v>
      </c>
      <c r="E92" s="8"/>
      <c r="F92" s="42" t="s">
        <v>28</v>
      </c>
      <c r="G92" s="8"/>
      <c r="H92" s="8"/>
    </row>
    <row r="93" spans="1:8" x14ac:dyDescent="0.2">
      <c r="A93" s="20" t="s">
        <v>42</v>
      </c>
      <c r="B93" s="43"/>
      <c r="C93" s="56"/>
      <c r="D93" s="41">
        <f>[4]Charters!D697</f>
        <v>109198.72</v>
      </c>
      <c r="E93" s="8"/>
      <c r="F93" s="42">
        <f>[4]Charters!D543</f>
        <v>14656.53</v>
      </c>
      <c r="G93" s="8"/>
      <c r="H93" s="8"/>
    </row>
    <row r="94" spans="1:8" x14ac:dyDescent="0.2">
      <c r="A94" s="20" t="s">
        <v>44</v>
      </c>
      <c r="B94" s="43"/>
      <c r="C94" s="56"/>
      <c r="D94" s="41">
        <f>[4]Charters!E697</f>
        <v>30400</v>
      </c>
      <c r="E94" s="8"/>
      <c r="F94" s="42">
        <f>SUM(D86:D88)</f>
        <v>14656.53</v>
      </c>
      <c r="G94" s="8"/>
      <c r="H94" s="8"/>
    </row>
    <row r="95" spans="1:8" x14ac:dyDescent="0.2">
      <c r="A95" s="59" t="s">
        <v>43</v>
      </c>
      <c r="B95" s="43"/>
      <c r="C95" s="56"/>
      <c r="D95" s="41">
        <f>[4]Charters!F697</f>
        <v>10092.64</v>
      </c>
      <c r="E95" s="8"/>
      <c r="F95" s="42">
        <f>+F93-F94</f>
        <v>0</v>
      </c>
      <c r="G95" s="8"/>
      <c r="H95" s="8"/>
    </row>
    <row r="96" spans="1:8" x14ac:dyDescent="0.2">
      <c r="A96" s="59" t="s">
        <v>45</v>
      </c>
      <c r="B96" s="43"/>
      <c r="C96" s="56"/>
      <c r="D96" s="41">
        <f>[4]Charters!C543</f>
        <v>0</v>
      </c>
      <c r="E96" s="8"/>
      <c r="F96" s="8"/>
      <c r="G96" s="8"/>
      <c r="H96" s="8"/>
    </row>
    <row r="97" spans="1:8" x14ac:dyDescent="0.2">
      <c r="A97" s="59" t="s">
        <v>46</v>
      </c>
      <c r="B97" s="43"/>
      <c r="C97" s="56"/>
      <c r="D97" s="41">
        <f>[4]Charters!C853</f>
        <v>0</v>
      </c>
      <c r="E97" s="42"/>
      <c r="F97" s="42"/>
      <c r="G97" s="42"/>
      <c r="H97" s="42" t="s">
        <v>31</v>
      </c>
    </row>
    <row r="98" spans="1:8" x14ac:dyDescent="0.2">
      <c r="A98" s="59" t="s">
        <v>51</v>
      </c>
      <c r="B98" s="43"/>
      <c r="C98" s="56"/>
      <c r="D98" s="60">
        <f>[4]Charters!D853</f>
        <v>516.37</v>
      </c>
      <c r="E98" s="42"/>
      <c r="F98" s="42"/>
      <c r="G98" s="42"/>
      <c r="H98" s="42">
        <f>[4]Charters!D1312</f>
        <v>1932915.64</v>
      </c>
    </row>
    <row r="99" spans="1:8" x14ac:dyDescent="0.2">
      <c r="A99" s="20" t="s">
        <v>47</v>
      </c>
      <c r="B99" s="43"/>
      <c r="C99" s="56"/>
      <c r="D99" s="60">
        <f>[4]Charters!E853</f>
        <v>23002</v>
      </c>
      <c r="E99" s="42"/>
      <c r="F99" s="42"/>
      <c r="G99" s="42"/>
      <c r="H99" s="42">
        <f>D108</f>
        <v>1932915.64</v>
      </c>
    </row>
    <row r="100" spans="1:8" x14ac:dyDescent="0.2">
      <c r="A100" s="20" t="s">
        <v>57</v>
      </c>
      <c r="B100" s="43"/>
      <c r="C100" s="56"/>
      <c r="D100" s="60">
        <f>[4]Charters!C1006</f>
        <v>0</v>
      </c>
      <c r="E100" s="42"/>
      <c r="F100" s="42"/>
      <c r="G100" s="42"/>
      <c r="H100" s="42">
        <f>+H98-H99</f>
        <v>0</v>
      </c>
    </row>
    <row r="101" spans="1:8" x14ac:dyDescent="0.2">
      <c r="A101" s="59" t="s">
        <v>53</v>
      </c>
      <c r="B101" s="43"/>
      <c r="C101" s="56"/>
      <c r="D101" s="60">
        <f>[4]Charters!D1006</f>
        <v>0</v>
      </c>
      <c r="E101" s="42"/>
      <c r="F101" s="42" t="s">
        <v>30</v>
      </c>
      <c r="G101" s="42"/>
      <c r="H101" s="42"/>
    </row>
    <row r="102" spans="1:8" x14ac:dyDescent="0.2">
      <c r="A102" s="59" t="s">
        <v>59</v>
      </c>
      <c r="B102" s="43"/>
      <c r="C102" s="56"/>
      <c r="D102" s="60">
        <f>[4]Charters!E1006</f>
        <v>0</v>
      </c>
      <c r="E102" s="42"/>
      <c r="F102" s="42"/>
      <c r="G102" s="42"/>
      <c r="H102" s="42"/>
    </row>
    <row r="103" spans="1:8" x14ac:dyDescent="0.2">
      <c r="A103" s="38" t="s">
        <v>18</v>
      </c>
      <c r="B103" s="61"/>
      <c r="C103" s="62"/>
      <c r="D103" s="87"/>
      <c r="E103" s="42"/>
      <c r="F103" s="42">
        <f>[4]Charters!C1312</f>
        <v>3406.05</v>
      </c>
      <c r="G103" s="42"/>
      <c r="H103" s="42"/>
    </row>
    <row r="104" spans="1:8" x14ac:dyDescent="0.2">
      <c r="A104" s="59" t="s">
        <v>39</v>
      </c>
      <c r="B104" s="43"/>
      <c r="C104" s="56"/>
      <c r="D104" s="41">
        <f>[4]Charters!C1159</f>
        <v>3406.05</v>
      </c>
      <c r="E104" s="42"/>
      <c r="F104" s="42">
        <f>SUM(D104:D107)</f>
        <v>3406.05</v>
      </c>
      <c r="G104" s="42"/>
      <c r="H104" s="42"/>
    </row>
    <row r="105" spans="1:8" x14ac:dyDescent="0.2">
      <c r="A105" s="59" t="s">
        <v>48</v>
      </c>
      <c r="B105" s="43"/>
      <c r="C105" s="56"/>
      <c r="D105" s="41">
        <f>[4]Charters!D1159</f>
        <v>0</v>
      </c>
      <c r="E105" s="42"/>
      <c r="F105" s="42">
        <f>+F103-F104</f>
        <v>0</v>
      </c>
      <c r="G105" s="42"/>
      <c r="H105" s="42"/>
    </row>
    <row r="106" spans="1:8" x14ac:dyDescent="0.2">
      <c r="A106" s="59" t="s">
        <v>60</v>
      </c>
      <c r="B106" s="43"/>
      <c r="C106" s="56"/>
      <c r="D106" s="41">
        <f>[4]Charters!E1159</f>
        <v>0</v>
      </c>
      <c r="E106" s="42"/>
      <c r="F106" s="42"/>
      <c r="G106" s="42"/>
      <c r="H106" s="42"/>
    </row>
    <row r="107" spans="1:8" x14ac:dyDescent="0.2">
      <c r="A107" s="59" t="s">
        <v>61</v>
      </c>
      <c r="B107" s="43"/>
      <c r="C107" s="56"/>
      <c r="D107" s="41">
        <f>[4]Charters!F1159</f>
        <v>0</v>
      </c>
      <c r="E107" s="42"/>
      <c r="F107" s="42"/>
      <c r="G107" s="42"/>
      <c r="H107" s="42"/>
    </row>
    <row r="108" spans="1:8" ht="13.5" thickBot="1" x14ac:dyDescent="0.25">
      <c r="A108" s="64"/>
      <c r="B108" s="65"/>
      <c r="C108" s="66"/>
      <c r="D108" s="67">
        <f>SUM(D83:D107)</f>
        <v>1932915.64</v>
      </c>
      <c r="E108" s="42"/>
      <c r="F108" s="42"/>
      <c r="G108" s="42"/>
      <c r="H108" s="42"/>
    </row>
    <row r="109" spans="1:8" ht="13.5" thickTop="1" x14ac:dyDescent="0.2">
      <c r="A109" s="68"/>
      <c r="B109" s="43"/>
      <c r="C109" s="56"/>
      <c r="D109" s="86"/>
      <c r="E109" s="42"/>
      <c r="F109" s="42"/>
      <c r="G109" s="42"/>
      <c r="H109" s="42"/>
    </row>
    <row r="110" spans="1:8" x14ac:dyDescent="0.2">
      <c r="A110" s="38" t="s">
        <v>20</v>
      </c>
      <c r="B110" s="39"/>
      <c r="C110" s="70"/>
      <c r="D110" s="71" t="s">
        <v>21</v>
      </c>
      <c r="E110" s="42"/>
      <c r="F110" s="42"/>
      <c r="G110" s="42"/>
      <c r="H110" s="42"/>
    </row>
    <row r="111" spans="1:8" x14ac:dyDescent="0.2">
      <c r="A111" s="72" t="s">
        <v>22</v>
      </c>
      <c r="B111" s="73"/>
      <c r="C111" s="74"/>
      <c r="D111" s="41">
        <f>[5]Charters!C65</f>
        <v>744.5</v>
      </c>
      <c r="E111" s="42"/>
      <c r="F111" s="42"/>
      <c r="G111" s="42"/>
      <c r="H111" s="42"/>
    </row>
    <row r="112" spans="1:8" x14ac:dyDescent="0.2">
      <c r="A112" s="75"/>
      <c r="B112" s="61"/>
      <c r="C112" s="76"/>
      <c r="D112" s="77">
        <f>SUM(D111:D111)</f>
        <v>744.5</v>
      </c>
      <c r="E112" s="42"/>
      <c r="F112" s="42"/>
      <c r="G112" s="42"/>
      <c r="H112" s="42"/>
    </row>
    <row r="113" spans="1:8" x14ac:dyDescent="0.2">
      <c r="A113" s="78" t="s">
        <v>58</v>
      </c>
      <c r="B113" s="79"/>
      <c r="C113" s="80"/>
      <c r="D113" s="77">
        <f>D112+D108</f>
        <v>1933660.14</v>
      </c>
      <c r="E113" s="42"/>
      <c r="F113" s="42"/>
      <c r="G113" s="42"/>
      <c r="H113" s="42"/>
    </row>
    <row r="114" spans="1:8" x14ac:dyDescent="0.2">
      <c r="A114" s="84"/>
      <c r="B114" s="84"/>
      <c r="C114" s="85"/>
      <c r="D114" s="81"/>
      <c r="E114" s="42"/>
      <c r="F114" s="42"/>
      <c r="G114" s="42"/>
      <c r="H114" s="42"/>
    </row>
    <row r="115" spans="1:8" x14ac:dyDescent="0.2">
      <c r="A115" s="84"/>
      <c r="B115" s="84"/>
      <c r="C115" s="85"/>
      <c r="D115" s="81">
        <f>[5]Charters!E221</f>
        <v>1933660.14</v>
      </c>
      <c r="E115" s="42"/>
      <c r="F115" s="42"/>
      <c r="G115" s="42"/>
      <c r="H115" s="42"/>
    </row>
    <row r="116" spans="1:8" x14ac:dyDescent="0.2">
      <c r="A116" s="84"/>
      <c r="B116" s="84"/>
      <c r="C116" s="85"/>
      <c r="D116" s="81">
        <f>D113</f>
        <v>1933660.14</v>
      </c>
      <c r="E116" s="42"/>
      <c r="F116" s="42"/>
      <c r="G116" s="42"/>
      <c r="H116" s="42"/>
    </row>
    <row r="117" spans="1:8" x14ac:dyDescent="0.2">
      <c r="C117" s="83"/>
      <c r="D117" s="42">
        <f>D115-D116</f>
        <v>0</v>
      </c>
      <c r="E117" s="42"/>
      <c r="F117" s="42"/>
      <c r="G117" s="42"/>
      <c r="H117" s="42"/>
    </row>
  </sheetData>
  <mergeCells count="4">
    <mergeCell ref="A113:C113"/>
    <mergeCell ref="A60:D60"/>
    <mergeCell ref="A61:D61"/>
    <mergeCell ref="A59:D59"/>
  </mergeCells>
  <phoneticPr fontId="1" type="noConversion"/>
  <printOptions horizontalCentered="1" verticalCentered="1"/>
  <pageMargins left="0.5" right="0.5" top="0.5" bottom="0.5" header="0.25" footer="0.25"/>
  <pageSetup orientation="portrait" verticalDpi="300" r:id="rId1"/>
  <headerFooter alignWithMargins="0">
    <oddHeader>&amp;R&amp;8Current as of: &amp;D</oddHeader>
    <oddFooter>&amp;L&amp;8USOE, School Finance</oddFooter>
  </headerFooter>
  <picture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>
    <pageSetUpPr fitToPage="1"/>
  </sheetPr>
  <dimension ref="A1:H118"/>
  <sheetViews>
    <sheetView topLeftCell="A56" workbookViewId="0">
      <selection activeCell="C12" sqref="C12"/>
    </sheetView>
  </sheetViews>
  <sheetFormatPr defaultColWidth="9.140625" defaultRowHeight="12.75" x14ac:dyDescent="0.2"/>
  <cols>
    <col min="1" max="1" width="32" style="82" customWidth="1"/>
    <col min="2" max="2" width="16.28515625" style="82" customWidth="1"/>
    <col min="3" max="4" width="14.85546875" style="82" customWidth="1"/>
    <col min="5" max="5" width="7" style="82" customWidth="1"/>
    <col min="6" max="6" width="19.7109375" style="82" customWidth="1"/>
    <col min="7" max="7" width="5.7109375" style="82" customWidth="1"/>
    <col min="8" max="8" width="18" style="82" customWidth="1"/>
    <col min="9" max="16384" width="9.140625" style="82"/>
  </cols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"/>
      <c r="B3" s="1"/>
      <c r="C3" s="1"/>
      <c r="D3" s="1"/>
      <c r="E3" s="1"/>
      <c r="F3" s="1"/>
      <c r="G3" s="1"/>
      <c r="H3" s="1"/>
    </row>
    <row r="4" spans="1:8" x14ac:dyDescent="0.2">
      <c r="A4" s="1"/>
      <c r="B4" s="1"/>
      <c r="C4" s="1"/>
      <c r="D4" s="1"/>
      <c r="E4" s="1"/>
      <c r="F4" s="1"/>
      <c r="G4" s="1"/>
      <c r="H4" s="1"/>
    </row>
    <row r="5" spans="1:8" x14ac:dyDescent="0.2">
      <c r="A5" s="1"/>
      <c r="B5" s="1"/>
      <c r="C5" s="1"/>
      <c r="D5" s="1"/>
      <c r="E5" s="1"/>
      <c r="F5" s="1"/>
      <c r="G5" s="1"/>
      <c r="H5" s="1"/>
    </row>
    <row r="6" spans="1:8" x14ac:dyDescent="0.2">
      <c r="A6" s="1"/>
      <c r="B6" s="1"/>
      <c r="C6" s="1"/>
      <c r="D6" s="1"/>
      <c r="E6" s="1"/>
      <c r="F6" s="1"/>
      <c r="G6" s="1"/>
      <c r="H6" s="1"/>
    </row>
    <row r="7" spans="1:8" x14ac:dyDescent="0.2">
      <c r="A7" s="1"/>
      <c r="B7" s="1"/>
      <c r="C7" s="1"/>
      <c r="D7" s="1"/>
      <c r="E7" s="1"/>
      <c r="F7" s="1"/>
      <c r="G7" s="1"/>
      <c r="H7" s="1"/>
    </row>
    <row r="8" spans="1:8" x14ac:dyDescent="0.2">
      <c r="A8" s="1"/>
      <c r="B8" s="1"/>
      <c r="C8" s="1"/>
      <c r="D8" s="1"/>
      <c r="E8" s="1"/>
      <c r="F8" s="1"/>
      <c r="G8" s="1"/>
      <c r="H8" s="1"/>
    </row>
    <row r="9" spans="1:8" x14ac:dyDescent="0.2">
      <c r="A9" s="1"/>
      <c r="B9" s="1"/>
      <c r="C9" s="1"/>
      <c r="D9" s="1"/>
      <c r="E9" s="1"/>
      <c r="F9" s="1"/>
      <c r="G9" s="1"/>
      <c r="H9" s="1"/>
    </row>
    <row r="10" spans="1:8" x14ac:dyDescent="0.2">
      <c r="A10" s="1"/>
      <c r="B10" s="1"/>
      <c r="C10" s="1"/>
      <c r="D10" s="1"/>
      <c r="E10" s="1"/>
      <c r="F10" s="1"/>
      <c r="G10" s="1"/>
      <c r="H10" s="1"/>
    </row>
    <row r="11" spans="1:8" x14ac:dyDescent="0.2">
      <c r="A11" s="1"/>
      <c r="B11" s="1"/>
      <c r="C11" s="1"/>
      <c r="D11" s="1"/>
      <c r="E11" s="1"/>
      <c r="F11" s="1"/>
      <c r="G11" s="1"/>
      <c r="H11" s="1"/>
    </row>
    <row r="12" spans="1:8" x14ac:dyDescent="0.2">
      <c r="A12" s="1"/>
      <c r="B12" s="1"/>
      <c r="C12" s="1"/>
      <c r="D12" s="1"/>
      <c r="E12" s="1"/>
      <c r="F12" s="1"/>
      <c r="G12" s="1"/>
      <c r="H12" s="1"/>
    </row>
    <row r="13" spans="1:8" x14ac:dyDescent="0.2">
      <c r="A13" s="1"/>
      <c r="B13" s="1"/>
      <c r="C13" s="1"/>
      <c r="D13" s="1"/>
      <c r="E13" s="1"/>
      <c r="F13" s="1"/>
      <c r="G13" s="1"/>
      <c r="H13" s="1"/>
    </row>
    <row r="14" spans="1:8" x14ac:dyDescent="0.2">
      <c r="A14" s="1"/>
      <c r="B14" s="1"/>
      <c r="C14" s="1"/>
      <c r="D14" s="1"/>
      <c r="E14" s="1"/>
      <c r="F14" s="1"/>
      <c r="G14" s="1"/>
      <c r="H14" s="1"/>
    </row>
    <row r="15" spans="1:8" x14ac:dyDescent="0.2">
      <c r="A15" s="1"/>
      <c r="B15" s="1"/>
      <c r="C15" s="1"/>
      <c r="D15" s="1"/>
      <c r="E15" s="1"/>
      <c r="F15" s="1"/>
      <c r="G15" s="1"/>
      <c r="H15" s="1"/>
    </row>
    <row r="16" spans="1:8" x14ac:dyDescent="0.2">
      <c r="A16" s="1"/>
      <c r="B16" s="1"/>
      <c r="C16" s="1"/>
      <c r="D16" s="1"/>
      <c r="E16" s="1"/>
      <c r="F16" s="1"/>
      <c r="G16" s="1"/>
      <c r="H16" s="1"/>
    </row>
    <row r="17" spans="1:8" x14ac:dyDescent="0.2">
      <c r="A17" s="1"/>
      <c r="B17" s="1"/>
      <c r="C17" s="1"/>
      <c r="D17" s="1"/>
      <c r="E17" s="1"/>
      <c r="F17" s="1"/>
      <c r="G17" s="1"/>
      <c r="H17" s="1"/>
    </row>
    <row r="18" spans="1:8" x14ac:dyDescent="0.2">
      <c r="A18" s="1"/>
      <c r="B18" s="1"/>
      <c r="C18" s="1"/>
      <c r="D18" s="1"/>
      <c r="E18" s="1"/>
      <c r="F18" s="1"/>
      <c r="G18" s="1"/>
      <c r="H18" s="1"/>
    </row>
    <row r="19" spans="1:8" x14ac:dyDescent="0.2">
      <c r="A19" s="1"/>
      <c r="B19" s="1"/>
      <c r="C19" s="1"/>
      <c r="D19" s="1"/>
      <c r="E19" s="1"/>
      <c r="F19" s="1"/>
      <c r="G19" s="1"/>
      <c r="H19" s="1"/>
    </row>
    <row r="20" spans="1:8" x14ac:dyDescent="0.2">
      <c r="A20" s="1"/>
      <c r="B20" s="1"/>
      <c r="C20" s="1"/>
      <c r="D20" s="1"/>
      <c r="E20" s="1"/>
      <c r="F20" s="1"/>
      <c r="G20" s="1"/>
      <c r="H20" s="1"/>
    </row>
    <row r="21" spans="1:8" x14ac:dyDescent="0.2">
      <c r="A21" s="1"/>
      <c r="B21" s="1"/>
      <c r="C21" s="1"/>
      <c r="D21" s="1"/>
      <c r="E21" s="1"/>
      <c r="F21" s="1"/>
      <c r="G21" s="1"/>
      <c r="H21" s="1"/>
    </row>
    <row r="22" spans="1:8" x14ac:dyDescent="0.2">
      <c r="A22" s="1"/>
      <c r="B22" s="1"/>
      <c r="C22" s="1"/>
      <c r="D22" s="4"/>
      <c r="E22" s="1"/>
      <c r="F22" s="1"/>
      <c r="G22" s="1"/>
      <c r="H22" s="1"/>
    </row>
    <row r="23" spans="1:8" x14ac:dyDescent="0.2">
      <c r="A23" s="1"/>
      <c r="B23" s="1"/>
      <c r="C23" s="1"/>
      <c r="D23" s="1"/>
      <c r="E23" s="1"/>
      <c r="F23" s="1"/>
      <c r="G23" s="1"/>
      <c r="H23" s="1"/>
    </row>
    <row r="24" spans="1:8" x14ac:dyDescent="0.2">
      <c r="A24" s="1"/>
      <c r="B24" s="1"/>
      <c r="C24" s="1"/>
      <c r="D24" s="1"/>
      <c r="E24" s="1"/>
      <c r="F24" s="1"/>
      <c r="G24" s="1"/>
      <c r="H24" s="1"/>
    </row>
    <row r="25" spans="1:8" x14ac:dyDescent="0.2">
      <c r="A25" s="1"/>
      <c r="B25" s="1"/>
      <c r="C25" s="1"/>
      <c r="D25" s="1"/>
      <c r="E25" s="1"/>
      <c r="F25" s="1"/>
      <c r="G25" s="1"/>
      <c r="H25" s="1"/>
    </row>
    <row r="26" spans="1:8" x14ac:dyDescent="0.2">
      <c r="A26" s="1"/>
      <c r="B26" s="1"/>
      <c r="C26" s="1"/>
      <c r="D26" s="1"/>
      <c r="E26" s="1"/>
      <c r="F26" s="1"/>
      <c r="G26" s="1"/>
      <c r="H26" s="1"/>
    </row>
    <row r="27" spans="1:8" x14ac:dyDescent="0.2">
      <c r="A27" s="1"/>
      <c r="B27" s="1"/>
      <c r="C27" s="1"/>
      <c r="D27" s="1"/>
      <c r="E27" s="1"/>
      <c r="F27" s="1"/>
      <c r="G27" s="1"/>
      <c r="H27" s="1"/>
    </row>
    <row r="28" spans="1:8" x14ac:dyDescent="0.2">
      <c r="A28" s="1"/>
      <c r="B28" s="1"/>
      <c r="C28" s="1"/>
      <c r="D28" s="1"/>
      <c r="E28" s="1"/>
      <c r="F28" s="1"/>
      <c r="G28" s="1"/>
      <c r="H28" s="1"/>
    </row>
    <row r="29" spans="1:8" x14ac:dyDescent="0.2">
      <c r="A29" s="1"/>
      <c r="B29" s="1"/>
      <c r="C29" s="1"/>
      <c r="D29" s="1"/>
      <c r="E29" s="1"/>
      <c r="F29" s="1"/>
      <c r="G29" s="1"/>
      <c r="H29" s="1"/>
    </row>
    <row r="30" spans="1:8" x14ac:dyDescent="0.2">
      <c r="A30" s="1"/>
      <c r="B30" s="1"/>
      <c r="C30" s="1"/>
      <c r="D30" s="1"/>
      <c r="E30" s="1"/>
      <c r="F30" s="1"/>
      <c r="G30" s="1"/>
      <c r="H30" s="1"/>
    </row>
    <row r="31" spans="1:8" x14ac:dyDescent="0.2">
      <c r="A31" s="1"/>
      <c r="B31" s="1"/>
      <c r="C31" s="1"/>
      <c r="D31" s="1"/>
      <c r="E31" s="1"/>
      <c r="F31" s="1"/>
      <c r="G31" s="1"/>
      <c r="H31" s="1"/>
    </row>
    <row r="32" spans="1:8" x14ac:dyDescent="0.2">
      <c r="A32" s="1"/>
      <c r="B32" s="1"/>
      <c r="C32" s="1"/>
      <c r="D32" s="1"/>
      <c r="E32" s="1"/>
      <c r="F32" s="1"/>
      <c r="G32" s="1"/>
      <c r="H32" s="1"/>
    </row>
    <row r="33" spans="1:8" x14ac:dyDescent="0.2">
      <c r="A33" s="1"/>
      <c r="B33" s="1"/>
      <c r="C33" s="1"/>
      <c r="D33" s="1"/>
      <c r="E33" s="1"/>
      <c r="F33" s="1"/>
      <c r="G33" s="1"/>
      <c r="H33" s="1"/>
    </row>
    <row r="34" spans="1:8" x14ac:dyDescent="0.2">
      <c r="A34" s="1"/>
      <c r="B34" s="1"/>
      <c r="C34" s="1"/>
      <c r="D34" s="1"/>
      <c r="E34" s="1"/>
      <c r="F34" s="1"/>
      <c r="G34" s="1"/>
      <c r="H34" s="1"/>
    </row>
    <row r="35" spans="1:8" x14ac:dyDescent="0.2">
      <c r="A35" s="1"/>
      <c r="B35" s="1"/>
      <c r="C35" s="1"/>
      <c r="D35" s="1"/>
      <c r="E35" s="1"/>
      <c r="F35" s="1"/>
      <c r="G35" s="1"/>
      <c r="H35" s="1"/>
    </row>
    <row r="36" spans="1:8" x14ac:dyDescent="0.2">
      <c r="A36" s="1"/>
      <c r="B36" s="1"/>
      <c r="C36" s="1"/>
      <c r="D36" s="1"/>
      <c r="E36" s="1"/>
      <c r="F36" s="1"/>
      <c r="G36" s="1"/>
      <c r="H36" s="1"/>
    </row>
    <row r="37" spans="1:8" x14ac:dyDescent="0.2">
      <c r="A37" s="1"/>
      <c r="B37" s="1"/>
      <c r="C37" s="1"/>
      <c r="D37" s="1"/>
      <c r="E37" s="1"/>
      <c r="F37" s="1"/>
      <c r="G37" s="1"/>
      <c r="H37" s="1"/>
    </row>
    <row r="38" spans="1:8" x14ac:dyDescent="0.2">
      <c r="A38" s="1"/>
      <c r="B38" s="1"/>
      <c r="C38" s="1"/>
      <c r="D38" s="1"/>
      <c r="E38" s="1"/>
      <c r="F38" s="1"/>
      <c r="G38" s="1"/>
      <c r="H38" s="1"/>
    </row>
    <row r="39" spans="1:8" x14ac:dyDescent="0.2">
      <c r="A39" s="1"/>
      <c r="B39" s="1"/>
      <c r="C39" s="1"/>
      <c r="D39" s="1"/>
      <c r="E39" s="1"/>
      <c r="F39" s="1"/>
      <c r="G39" s="1"/>
      <c r="H39" s="1"/>
    </row>
    <row r="40" spans="1:8" x14ac:dyDescent="0.2">
      <c r="A40" s="1"/>
      <c r="B40" s="1"/>
      <c r="C40" s="1"/>
      <c r="D40" s="1"/>
      <c r="E40" s="1"/>
      <c r="F40" s="1"/>
      <c r="G40" s="1"/>
      <c r="H40" s="1"/>
    </row>
    <row r="41" spans="1:8" x14ac:dyDescent="0.2">
      <c r="A41" s="1"/>
      <c r="B41" s="1"/>
      <c r="C41" s="1"/>
      <c r="D41" s="1"/>
      <c r="E41" s="1"/>
      <c r="F41" s="1"/>
      <c r="G41" s="1"/>
      <c r="H41" s="1"/>
    </row>
    <row r="42" spans="1:8" x14ac:dyDescent="0.2">
      <c r="A42" s="1"/>
      <c r="B42" s="1"/>
      <c r="C42" s="1"/>
      <c r="D42" s="1"/>
      <c r="E42" s="1"/>
      <c r="F42" s="1"/>
      <c r="G42" s="1"/>
      <c r="H42" s="1"/>
    </row>
    <row r="43" spans="1:8" x14ac:dyDescent="0.2">
      <c r="A43" s="1"/>
      <c r="B43" s="1"/>
      <c r="C43" s="1"/>
      <c r="D43" s="1"/>
      <c r="E43" s="1"/>
      <c r="F43" s="1"/>
      <c r="G43" s="1"/>
      <c r="H43" s="1"/>
    </row>
    <row r="44" spans="1:8" x14ac:dyDescent="0.2">
      <c r="A44" s="1"/>
      <c r="B44" s="1"/>
      <c r="C44" s="1"/>
      <c r="D44" s="1"/>
      <c r="E44" s="1"/>
      <c r="F44" s="1"/>
      <c r="G44" s="1"/>
      <c r="H44" s="1"/>
    </row>
    <row r="45" spans="1:8" x14ac:dyDescent="0.2">
      <c r="A45" s="1"/>
      <c r="B45" s="1"/>
      <c r="C45" s="1"/>
      <c r="D45" s="1"/>
      <c r="E45" s="1"/>
      <c r="F45" s="1"/>
      <c r="G45" s="1"/>
      <c r="H45" s="1"/>
    </row>
    <row r="46" spans="1:8" x14ac:dyDescent="0.2">
      <c r="A46" s="1"/>
      <c r="B46" s="1"/>
      <c r="C46" s="1"/>
      <c r="D46" s="1"/>
      <c r="E46" s="1"/>
      <c r="F46" s="1"/>
      <c r="G46" s="1"/>
      <c r="H46" s="1"/>
    </row>
    <row r="47" spans="1:8" x14ac:dyDescent="0.2">
      <c r="A47" s="1"/>
      <c r="B47" s="1"/>
      <c r="C47" s="1"/>
      <c r="D47" s="1"/>
      <c r="E47" s="1"/>
      <c r="F47" s="1"/>
      <c r="G47" s="1"/>
      <c r="H47" s="1"/>
    </row>
    <row r="48" spans="1:8" x14ac:dyDescent="0.2">
      <c r="A48" s="1"/>
      <c r="B48" s="1"/>
      <c r="C48" s="1"/>
      <c r="D48" s="1"/>
      <c r="E48" s="1"/>
      <c r="F48" s="1"/>
      <c r="G48" s="1"/>
      <c r="H48" s="1"/>
    </row>
    <row r="49" spans="1:8" x14ac:dyDescent="0.2">
      <c r="A49" s="1"/>
      <c r="B49" s="1"/>
      <c r="C49" s="1"/>
      <c r="D49" s="1"/>
      <c r="E49" s="1"/>
      <c r="F49" s="1"/>
      <c r="G49" s="1"/>
      <c r="H49" s="1"/>
    </row>
    <row r="50" spans="1:8" x14ac:dyDescent="0.2">
      <c r="A50" s="1"/>
      <c r="B50" s="1"/>
      <c r="C50" s="1"/>
      <c r="D50" s="1"/>
      <c r="E50" s="1"/>
      <c r="F50" s="1"/>
      <c r="G50" s="1"/>
      <c r="H50" s="1"/>
    </row>
    <row r="51" spans="1:8" x14ac:dyDescent="0.2">
      <c r="A51" s="1"/>
      <c r="B51" s="1"/>
      <c r="C51" s="1"/>
      <c r="D51" s="1"/>
      <c r="E51" s="1"/>
      <c r="F51" s="1"/>
      <c r="G51" s="1"/>
      <c r="H51" s="1"/>
    </row>
    <row r="52" spans="1:8" x14ac:dyDescent="0.2">
      <c r="A52" s="1"/>
      <c r="B52" s="1"/>
      <c r="C52" s="1"/>
      <c r="D52" s="1"/>
      <c r="E52" s="1"/>
      <c r="F52" s="1"/>
      <c r="G52" s="1"/>
      <c r="H52" s="1"/>
    </row>
    <row r="53" spans="1:8" x14ac:dyDescent="0.2">
      <c r="A53" s="1"/>
      <c r="B53" s="1"/>
      <c r="C53" s="1"/>
      <c r="D53" s="1"/>
      <c r="E53" s="1"/>
      <c r="F53" s="1"/>
      <c r="G53" s="1"/>
      <c r="H53" s="1"/>
    </row>
    <row r="54" spans="1:8" x14ac:dyDescent="0.2">
      <c r="A54" s="1"/>
      <c r="B54" s="1"/>
      <c r="C54" s="1"/>
      <c r="D54" s="1"/>
      <c r="E54" s="1"/>
      <c r="F54" s="1"/>
      <c r="G54" s="1"/>
      <c r="H54" s="1"/>
    </row>
    <row r="55" spans="1:8" x14ac:dyDescent="0.2">
      <c r="A55" s="1"/>
      <c r="B55" s="1"/>
      <c r="C55" s="1"/>
      <c r="D55" s="1"/>
      <c r="E55" s="1"/>
      <c r="F55" s="1"/>
      <c r="G55" s="1"/>
      <c r="H55" s="1"/>
    </row>
    <row r="56" spans="1:8" x14ac:dyDescent="0.2">
      <c r="A56" s="1"/>
      <c r="B56" s="1"/>
      <c r="C56" s="1"/>
      <c r="D56" s="1"/>
      <c r="E56" s="1"/>
      <c r="F56" s="1"/>
      <c r="G56" s="1"/>
      <c r="H56" s="1"/>
    </row>
    <row r="57" spans="1:8" x14ac:dyDescent="0.2">
      <c r="A57" s="1"/>
      <c r="B57" s="1"/>
      <c r="C57" s="1"/>
      <c r="D57" s="1"/>
      <c r="E57" s="1"/>
      <c r="F57" s="1"/>
      <c r="G57" s="1"/>
      <c r="H57" s="1"/>
    </row>
    <row r="58" spans="1:8" x14ac:dyDescent="0.2">
      <c r="A58" s="1"/>
      <c r="B58" s="1"/>
      <c r="C58" s="1"/>
      <c r="D58" s="1"/>
      <c r="E58" s="1"/>
      <c r="F58" s="1"/>
      <c r="G58" s="1"/>
      <c r="H58" s="1"/>
    </row>
    <row r="59" spans="1:8" x14ac:dyDescent="0.2">
      <c r="A59" s="1"/>
      <c r="B59" s="1"/>
      <c r="C59" s="1"/>
      <c r="D59" s="1"/>
      <c r="E59" s="1"/>
      <c r="F59" s="1"/>
      <c r="G59" s="1"/>
      <c r="H59" s="1"/>
    </row>
    <row r="60" spans="1:8" x14ac:dyDescent="0.2">
      <c r="A60" s="11" t="s">
        <v>1</v>
      </c>
      <c r="B60" s="12"/>
      <c r="C60" s="12"/>
      <c r="D60" s="13"/>
      <c r="E60" s="8"/>
      <c r="F60" s="8"/>
      <c r="G60" s="8"/>
      <c r="H60" s="8"/>
    </row>
    <row r="61" spans="1:8" x14ac:dyDescent="0.2">
      <c r="A61" s="14" t="s">
        <v>15</v>
      </c>
      <c r="B61" s="15"/>
      <c r="C61" s="15"/>
      <c r="D61" s="16"/>
      <c r="E61" s="8"/>
      <c r="F61" s="8"/>
      <c r="G61" s="8"/>
      <c r="H61" s="8"/>
    </row>
    <row r="62" spans="1:8" x14ac:dyDescent="0.2">
      <c r="A62" s="17" t="s">
        <v>62</v>
      </c>
      <c r="B62" s="18"/>
      <c r="C62" s="18"/>
      <c r="D62" s="19"/>
      <c r="E62" s="8"/>
      <c r="F62" s="8"/>
      <c r="G62" s="8"/>
      <c r="H62" s="8"/>
    </row>
    <row r="63" spans="1:8" x14ac:dyDescent="0.2">
      <c r="A63" s="20"/>
      <c r="B63" s="21"/>
      <c r="C63" s="22"/>
      <c r="D63" s="23"/>
      <c r="E63" s="8"/>
      <c r="F63" s="8" t="s">
        <v>34</v>
      </c>
      <c r="G63" s="8"/>
      <c r="H63" s="8"/>
    </row>
    <row r="64" spans="1:8" ht="15.75" x14ac:dyDescent="0.25">
      <c r="A64" s="24" t="s">
        <v>2</v>
      </c>
      <c r="B64" s="25" t="str">
        <f>[1]Charters!B67</f>
        <v>Gateway Preparatory Academy</v>
      </c>
      <c r="C64" s="26"/>
      <c r="D64" s="27"/>
      <c r="E64" s="8"/>
      <c r="F64" s="8"/>
      <c r="G64" s="8"/>
      <c r="H64" s="8"/>
    </row>
    <row r="65" spans="1:8" x14ac:dyDescent="0.2">
      <c r="A65" s="24"/>
      <c r="B65" s="28"/>
      <c r="C65" s="26"/>
      <c r="D65" s="27"/>
      <c r="E65" s="8"/>
      <c r="F65" s="8"/>
      <c r="G65" s="8"/>
      <c r="H65" s="8"/>
    </row>
    <row r="66" spans="1:8" x14ac:dyDescent="0.2">
      <c r="A66" s="29" t="s">
        <v>0</v>
      </c>
      <c r="B66" s="30">
        <f>[1]Charters!$E$6</f>
        <v>3184</v>
      </c>
      <c r="C66" s="26"/>
      <c r="D66" s="31"/>
      <c r="E66" s="8"/>
      <c r="F66" s="8"/>
      <c r="G66" s="8"/>
      <c r="H66" s="8"/>
    </row>
    <row r="67" spans="1:8" x14ac:dyDescent="0.2">
      <c r="A67" s="32"/>
      <c r="B67" s="6"/>
      <c r="C67" s="33"/>
      <c r="D67" s="34" t="s">
        <v>3</v>
      </c>
      <c r="E67" s="8"/>
      <c r="F67" s="8"/>
      <c r="G67" s="8"/>
      <c r="H67" s="8"/>
    </row>
    <row r="68" spans="1:8" x14ac:dyDescent="0.2">
      <c r="A68" s="29" t="s">
        <v>19</v>
      </c>
      <c r="B68" s="35" t="str">
        <f>[1]Charters!A67</f>
        <v>7E</v>
      </c>
      <c r="C68" s="36" t="s">
        <v>4</v>
      </c>
      <c r="D68" s="37" t="s">
        <v>5</v>
      </c>
      <c r="E68" s="8"/>
      <c r="F68" s="8"/>
      <c r="G68" s="8"/>
      <c r="H68" s="8"/>
    </row>
    <row r="69" spans="1:8" x14ac:dyDescent="0.2">
      <c r="A69" s="38" t="s">
        <v>6</v>
      </c>
      <c r="B69" s="39"/>
      <c r="C69" s="40"/>
      <c r="D69" s="41"/>
      <c r="E69" s="8"/>
      <c r="F69" s="8"/>
      <c r="G69" s="8"/>
      <c r="H69" s="8"/>
    </row>
    <row r="70" spans="1:8" x14ac:dyDescent="0.2">
      <c r="A70" s="38" t="s">
        <v>7</v>
      </c>
      <c r="B70" s="39"/>
      <c r="C70" s="40"/>
      <c r="D70" s="41"/>
      <c r="E70" s="8"/>
      <c r="F70" s="42" t="s">
        <v>23</v>
      </c>
      <c r="G70" s="8"/>
      <c r="H70" s="42" t="s">
        <v>26</v>
      </c>
    </row>
    <row r="71" spans="1:8" x14ac:dyDescent="0.2">
      <c r="A71" s="20" t="s">
        <v>8</v>
      </c>
      <c r="B71" s="43"/>
      <c r="C71" s="44">
        <f>[1]Charters!C527</f>
        <v>569.98900000000003</v>
      </c>
      <c r="D71" s="45">
        <f>[1]Charters!E527</f>
        <v>1814845.57</v>
      </c>
      <c r="E71" s="8"/>
      <c r="F71" s="42">
        <f>[1]Charters!E682</f>
        <v>1934687.08</v>
      </c>
      <c r="G71" s="8"/>
      <c r="H71" s="42">
        <f>[2]Charters!E221</f>
        <v>2463389.34</v>
      </c>
    </row>
    <row r="72" spans="1:8" x14ac:dyDescent="0.2">
      <c r="A72" s="20" t="s">
        <v>14</v>
      </c>
      <c r="B72" s="43"/>
      <c r="C72" s="44">
        <f>[1]Charters!F527</f>
        <v>37.639000000000003</v>
      </c>
      <c r="D72" s="45">
        <f>[1]Charters!H527</f>
        <v>119841.51</v>
      </c>
      <c r="E72" s="8"/>
      <c r="F72" s="42">
        <f>SUM(D71:D73)</f>
        <v>1934687.08</v>
      </c>
      <c r="G72" s="8"/>
      <c r="H72" s="42">
        <f>D84</f>
        <v>2463389.34</v>
      </c>
    </row>
    <row r="73" spans="1:8" x14ac:dyDescent="0.2">
      <c r="A73" s="20" t="s">
        <v>32</v>
      </c>
      <c r="B73" s="43"/>
      <c r="C73" s="44">
        <f>[1]Charters!C220</f>
        <v>0</v>
      </c>
      <c r="D73" s="45">
        <f>[1]Charters!E220</f>
        <v>0</v>
      </c>
      <c r="E73" s="8"/>
      <c r="F73" s="42">
        <f>+F71-F72</f>
        <v>0</v>
      </c>
      <c r="G73" s="8"/>
      <c r="H73" s="42">
        <f>+H71-H72</f>
        <v>0</v>
      </c>
    </row>
    <row r="74" spans="1:8" x14ac:dyDescent="0.2">
      <c r="A74" s="38" t="s">
        <v>9</v>
      </c>
      <c r="B74" s="39"/>
      <c r="C74" s="46"/>
      <c r="D74" s="47"/>
      <c r="E74" s="8"/>
      <c r="F74" s="8"/>
      <c r="G74" s="8"/>
      <c r="H74" s="8"/>
    </row>
    <row r="75" spans="1:8" x14ac:dyDescent="0.2">
      <c r="A75" s="20" t="s">
        <v>10</v>
      </c>
      <c r="B75" s="43"/>
      <c r="C75" s="40">
        <f>[3]Charters!C66</f>
        <v>88.707999999999998</v>
      </c>
      <c r="D75" s="41">
        <f>[3]Charters!E66</f>
        <v>282447.12</v>
      </c>
      <c r="E75" s="8"/>
      <c r="F75" s="42" t="s">
        <v>24</v>
      </c>
      <c r="G75" s="8"/>
      <c r="H75" s="8"/>
    </row>
    <row r="76" spans="1:8" x14ac:dyDescent="0.2">
      <c r="A76" s="48" t="s">
        <v>11</v>
      </c>
      <c r="B76" s="43"/>
      <c r="C76" s="40">
        <f>[3]Charters!F66</f>
        <v>14.79</v>
      </c>
      <c r="D76" s="49">
        <f>[3]Charters!H66</f>
        <v>47091.360000000001</v>
      </c>
      <c r="E76" s="8"/>
      <c r="F76" s="42">
        <f>[3]Charters!N378</f>
        <v>340658.12</v>
      </c>
      <c r="G76" s="8"/>
      <c r="H76" s="8"/>
    </row>
    <row r="77" spans="1:8" x14ac:dyDescent="0.2">
      <c r="A77" s="48" t="s">
        <v>12</v>
      </c>
      <c r="B77" s="43"/>
      <c r="C77" s="40">
        <f>[3]Charters!C221</f>
        <v>0</v>
      </c>
      <c r="D77" s="41">
        <f>[3]Charters!E221</f>
        <v>0</v>
      </c>
      <c r="E77" s="8"/>
      <c r="F77" s="42">
        <f>SUM(D75:D81)</f>
        <v>340658.12</v>
      </c>
      <c r="G77" s="8"/>
      <c r="H77" s="8"/>
    </row>
    <row r="78" spans="1:8" x14ac:dyDescent="0.2">
      <c r="A78" s="20" t="s">
        <v>13</v>
      </c>
      <c r="B78" s="43"/>
      <c r="C78" s="40">
        <f>[3]Charters!F221</f>
        <v>1.137</v>
      </c>
      <c r="D78" s="41">
        <f>[3]Charters!H221</f>
        <v>3619.33</v>
      </c>
      <c r="E78" s="8"/>
      <c r="F78" s="42">
        <f>+F76-F77</f>
        <v>0</v>
      </c>
      <c r="G78" s="8"/>
      <c r="H78" s="8"/>
    </row>
    <row r="79" spans="1:8" x14ac:dyDescent="0.2">
      <c r="A79" s="48" t="s">
        <v>54</v>
      </c>
      <c r="B79" s="43"/>
      <c r="C79" s="40">
        <f>[3]Charters!C378</f>
        <v>2.3559999999999999</v>
      </c>
      <c r="D79" s="41">
        <f>[3]Charters!E378</f>
        <v>7500.31</v>
      </c>
      <c r="E79" s="8"/>
      <c r="F79" s="8"/>
      <c r="G79" s="8"/>
      <c r="H79" s="8"/>
    </row>
    <row r="80" spans="1:8" x14ac:dyDescent="0.2">
      <c r="A80" s="48" t="s">
        <v>55</v>
      </c>
      <c r="B80" s="43"/>
      <c r="C80" s="40">
        <f>[3]Charters!F378</f>
        <v>0</v>
      </c>
      <c r="D80" s="41">
        <f>[3]Charters!H378</f>
        <v>0</v>
      </c>
      <c r="E80" s="8"/>
      <c r="F80" s="42" t="s">
        <v>25</v>
      </c>
      <c r="G80" s="8"/>
      <c r="H80" s="8"/>
    </row>
    <row r="81" spans="1:8" x14ac:dyDescent="0.2">
      <c r="A81" s="48" t="s">
        <v>56</v>
      </c>
      <c r="B81" s="43"/>
      <c r="C81" s="40">
        <f>[3]Charters!I378</f>
        <v>0</v>
      </c>
      <c r="D81" s="41">
        <f>[3]Charters!K378</f>
        <v>0</v>
      </c>
      <c r="E81" s="8"/>
      <c r="F81" s="42">
        <f>[2]Charters!H67</f>
        <v>528702.26</v>
      </c>
      <c r="G81" s="8"/>
      <c r="H81" s="8"/>
    </row>
    <row r="82" spans="1:8" x14ac:dyDescent="0.2">
      <c r="A82" s="20" t="s">
        <v>49</v>
      </c>
      <c r="B82" s="43"/>
      <c r="C82" s="40">
        <f>[3]Charters!C534</f>
        <v>1.472</v>
      </c>
      <c r="D82" s="41">
        <f>[3]Charters!E534</f>
        <v>4687.8599999999997</v>
      </c>
      <c r="E82" s="8"/>
      <c r="F82" s="42">
        <f>SUM(D75:D83)</f>
        <v>528702.26</v>
      </c>
      <c r="G82" s="8"/>
      <c r="H82" s="8"/>
    </row>
    <row r="83" spans="1:8" x14ac:dyDescent="0.2">
      <c r="A83" s="20" t="s">
        <v>50</v>
      </c>
      <c r="B83" s="43"/>
      <c r="C83" s="40">
        <f>[2]Charters!C67</f>
        <v>57.587000000000003</v>
      </c>
      <c r="D83" s="41">
        <f>[2]Charters!E67</f>
        <v>183356.28</v>
      </c>
      <c r="E83" s="8"/>
      <c r="F83" s="42">
        <f>+F81-F82</f>
        <v>0</v>
      </c>
      <c r="G83" s="8"/>
      <c r="H83" s="8"/>
    </row>
    <row r="84" spans="1:8" x14ac:dyDescent="0.2">
      <c r="A84" s="50"/>
      <c r="B84" s="51" t="s">
        <v>16</v>
      </c>
      <c r="C84" s="52">
        <f>SUM(C71:C83)</f>
        <v>773.678</v>
      </c>
      <c r="D84" s="53">
        <f>SUM(D71:D83)</f>
        <v>2463389.34</v>
      </c>
      <c r="E84" s="8"/>
      <c r="F84" s="8"/>
      <c r="G84" s="8"/>
      <c r="H84" s="8"/>
    </row>
    <row r="85" spans="1:8" x14ac:dyDescent="0.2">
      <c r="A85" s="54" t="s">
        <v>17</v>
      </c>
      <c r="B85" s="39"/>
      <c r="C85" s="55"/>
      <c r="D85" s="47"/>
      <c r="E85" s="8"/>
      <c r="F85" s="8"/>
      <c r="G85" s="8"/>
      <c r="H85" s="42" t="s">
        <v>29</v>
      </c>
    </row>
    <row r="86" spans="1:8" x14ac:dyDescent="0.2">
      <c r="A86" s="20" t="s">
        <v>33</v>
      </c>
      <c r="B86" s="43"/>
      <c r="C86" s="56"/>
      <c r="D86" s="57">
        <f>[4]Charters!C67</f>
        <v>7140.05</v>
      </c>
      <c r="E86" s="8"/>
      <c r="F86" s="8"/>
      <c r="G86" s="8"/>
      <c r="H86" s="42">
        <f>[4]Charters!F1007</f>
        <v>4184205.36</v>
      </c>
    </row>
    <row r="87" spans="1:8" x14ac:dyDescent="0.2">
      <c r="A87" s="58" t="s">
        <v>35</v>
      </c>
      <c r="B87" s="43"/>
      <c r="C87" s="56"/>
      <c r="D87" s="41">
        <f>+[4]Charters!F388</f>
        <v>2743.35</v>
      </c>
      <c r="E87" s="8"/>
      <c r="F87" s="8"/>
      <c r="G87" s="8"/>
      <c r="H87" s="42">
        <f>SUM(D84:D103)</f>
        <v>4184205.36</v>
      </c>
    </row>
    <row r="88" spans="1:8" x14ac:dyDescent="0.2">
      <c r="A88" s="59" t="s">
        <v>36</v>
      </c>
      <c r="B88" s="43"/>
      <c r="C88" s="56"/>
      <c r="D88" s="41">
        <f>[4]Charters!E227</f>
        <v>32070</v>
      </c>
      <c r="E88" s="8"/>
      <c r="F88" s="8"/>
      <c r="G88" s="8"/>
      <c r="H88" s="42">
        <f>+H86-H87</f>
        <v>0</v>
      </c>
    </row>
    <row r="89" spans="1:8" x14ac:dyDescent="0.2">
      <c r="A89" s="59" t="s">
        <v>52</v>
      </c>
      <c r="B89" s="43"/>
      <c r="C89" s="56"/>
      <c r="D89" s="41">
        <f>[4]Charters!G388</f>
        <v>0</v>
      </c>
      <c r="E89" s="8"/>
      <c r="F89" s="42" t="s">
        <v>27</v>
      </c>
      <c r="G89" s="8"/>
      <c r="H89" s="42"/>
    </row>
    <row r="90" spans="1:8" x14ac:dyDescent="0.2">
      <c r="A90" s="20" t="s">
        <v>37</v>
      </c>
      <c r="B90" s="43"/>
      <c r="C90" s="56"/>
      <c r="D90" s="41">
        <f>[4]Charters!E544</f>
        <v>48259</v>
      </c>
      <c r="E90" s="8"/>
      <c r="F90" s="42">
        <f>[4]Charters!E227</f>
        <v>32070</v>
      </c>
      <c r="G90" s="8"/>
      <c r="H90" s="8"/>
    </row>
    <row r="91" spans="1:8" x14ac:dyDescent="0.2">
      <c r="A91" s="20" t="s">
        <v>38</v>
      </c>
      <c r="B91" s="43"/>
      <c r="C91" s="56"/>
      <c r="D91" s="41">
        <f>[4]Charters!F544</f>
        <v>0</v>
      </c>
      <c r="E91" s="8"/>
      <c r="F91" s="42">
        <f>SUM(D88:D88)</f>
        <v>32070</v>
      </c>
      <c r="G91" s="8"/>
      <c r="H91" s="8"/>
    </row>
    <row r="92" spans="1:8" x14ac:dyDescent="0.2">
      <c r="A92" s="59" t="s">
        <v>40</v>
      </c>
      <c r="B92" s="43"/>
      <c r="C92" s="56"/>
      <c r="D92" s="41">
        <f>[4]Charters!G544</f>
        <v>0</v>
      </c>
      <c r="E92" s="8"/>
      <c r="F92" s="42">
        <f>+F90-F91</f>
        <v>0</v>
      </c>
      <c r="G92" s="8"/>
      <c r="H92" s="8"/>
    </row>
    <row r="93" spans="1:8" x14ac:dyDescent="0.2">
      <c r="A93" s="20" t="s">
        <v>41</v>
      </c>
      <c r="B93" s="43"/>
      <c r="C93" s="56"/>
      <c r="D93" s="41">
        <f>[4]Charters!C698</f>
        <v>1350675</v>
      </c>
      <c r="E93" s="8"/>
      <c r="F93" s="42" t="s">
        <v>28</v>
      </c>
      <c r="G93" s="8"/>
      <c r="H93" s="8"/>
    </row>
    <row r="94" spans="1:8" x14ac:dyDescent="0.2">
      <c r="A94" s="20" t="s">
        <v>42</v>
      </c>
      <c r="B94" s="43"/>
      <c r="C94" s="56"/>
      <c r="D94" s="41">
        <f>[4]Charters!D698</f>
        <v>138438.39999999999</v>
      </c>
      <c r="E94" s="8"/>
      <c r="F94" s="42">
        <f>[4]Charters!D544</f>
        <v>34813.35</v>
      </c>
      <c r="G94" s="8"/>
      <c r="H94" s="8"/>
    </row>
    <row r="95" spans="1:8" x14ac:dyDescent="0.2">
      <c r="A95" s="20" t="s">
        <v>44</v>
      </c>
      <c r="B95" s="43"/>
      <c r="C95" s="56"/>
      <c r="D95" s="41">
        <f>[4]Charters!E698</f>
        <v>67500</v>
      </c>
      <c r="E95" s="8"/>
      <c r="F95" s="42">
        <f>SUM(D87:D89)</f>
        <v>34813.35</v>
      </c>
      <c r="G95" s="8"/>
      <c r="H95" s="8"/>
    </row>
    <row r="96" spans="1:8" x14ac:dyDescent="0.2">
      <c r="A96" s="59" t="s">
        <v>43</v>
      </c>
      <c r="B96" s="43"/>
      <c r="C96" s="56"/>
      <c r="D96" s="41">
        <f>[4]Charters!F698</f>
        <v>28358.34</v>
      </c>
      <c r="E96" s="8"/>
      <c r="F96" s="42">
        <f>+F94-F95</f>
        <v>0</v>
      </c>
      <c r="G96" s="8"/>
      <c r="H96" s="8"/>
    </row>
    <row r="97" spans="1:8" x14ac:dyDescent="0.2">
      <c r="A97" s="59" t="s">
        <v>45</v>
      </c>
      <c r="B97" s="43"/>
      <c r="C97" s="56"/>
      <c r="D97" s="41">
        <f>[4]Charters!C544</f>
        <v>0</v>
      </c>
      <c r="E97" s="8"/>
      <c r="F97" s="8"/>
      <c r="G97" s="8"/>
      <c r="H97" s="8"/>
    </row>
    <row r="98" spans="1:8" x14ac:dyDescent="0.2">
      <c r="A98" s="59" t="s">
        <v>46</v>
      </c>
      <c r="B98" s="43"/>
      <c r="C98" s="56"/>
      <c r="D98" s="41">
        <f>[4]Charters!C854</f>
        <v>0</v>
      </c>
      <c r="E98" s="42"/>
      <c r="F98" s="42"/>
      <c r="G98" s="42"/>
      <c r="H98" s="42" t="s">
        <v>31</v>
      </c>
    </row>
    <row r="99" spans="1:8" x14ac:dyDescent="0.2">
      <c r="A99" s="59" t="s">
        <v>51</v>
      </c>
      <c r="B99" s="43"/>
      <c r="C99" s="56"/>
      <c r="D99" s="60">
        <f>[4]Charters!D854</f>
        <v>883.35</v>
      </c>
      <c r="E99" s="42"/>
      <c r="F99" s="42"/>
      <c r="G99" s="42"/>
      <c r="H99" s="42">
        <f>[4]Charters!D1313</f>
        <v>4196744.55</v>
      </c>
    </row>
    <row r="100" spans="1:8" x14ac:dyDescent="0.2">
      <c r="A100" s="20" t="s">
        <v>47</v>
      </c>
      <c r="B100" s="43"/>
      <c r="C100" s="56"/>
      <c r="D100" s="60">
        <f>[4]Charters!E854</f>
        <v>12905</v>
      </c>
      <c r="E100" s="42"/>
      <c r="F100" s="42"/>
      <c r="G100" s="42"/>
      <c r="H100" s="42">
        <f>D109</f>
        <v>4196744.55</v>
      </c>
    </row>
    <row r="101" spans="1:8" x14ac:dyDescent="0.2">
      <c r="A101" s="20" t="s">
        <v>57</v>
      </c>
      <c r="B101" s="43"/>
      <c r="C101" s="56"/>
      <c r="D101" s="60">
        <f>[4]Charters!C1007</f>
        <v>0</v>
      </c>
      <c r="E101" s="42"/>
      <c r="F101" s="42"/>
      <c r="G101" s="42"/>
      <c r="H101" s="42">
        <f>+H99-H100</f>
        <v>0</v>
      </c>
    </row>
    <row r="102" spans="1:8" x14ac:dyDescent="0.2">
      <c r="A102" s="59" t="s">
        <v>53</v>
      </c>
      <c r="B102" s="43"/>
      <c r="C102" s="56"/>
      <c r="D102" s="60">
        <f>[4]Charters!D1007</f>
        <v>0</v>
      </c>
      <c r="E102" s="42"/>
      <c r="F102" s="42" t="s">
        <v>30</v>
      </c>
      <c r="G102" s="42"/>
      <c r="H102" s="42"/>
    </row>
    <row r="103" spans="1:8" x14ac:dyDescent="0.2">
      <c r="A103" s="59" t="s">
        <v>59</v>
      </c>
      <c r="B103" s="43"/>
      <c r="C103" s="56"/>
      <c r="D103" s="60">
        <f>[4]Charters!E1007</f>
        <v>31843.53</v>
      </c>
      <c r="E103" s="42"/>
      <c r="F103" s="42"/>
      <c r="G103" s="42"/>
      <c r="H103" s="42"/>
    </row>
    <row r="104" spans="1:8" x14ac:dyDescent="0.2">
      <c r="A104" s="38" t="s">
        <v>18</v>
      </c>
      <c r="B104" s="61"/>
      <c r="C104" s="62"/>
      <c r="D104" s="87"/>
      <c r="E104" s="42"/>
      <c r="F104" s="42">
        <f>[4]Charters!C1313</f>
        <v>12539.19</v>
      </c>
      <c r="G104" s="42"/>
      <c r="H104" s="42"/>
    </row>
    <row r="105" spans="1:8" x14ac:dyDescent="0.2">
      <c r="A105" s="59" t="s">
        <v>39</v>
      </c>
      <c r="B105" s="43"/>
      <c r="C105" s="56"/>
      <c r="D105" s="41">
        <f>[4]Charters!C1160</f>
        <v>5159.17</v>
      </c>
      <c r="E105" s="42"/>
      <c r="F105" s="42">
        <f>SUM(D105:D108)</f>
        <v>12539.19</v>
      </c>
      <c r="G105" s="42"/>
      <c r="H105" s="42"/>
    </row>
    <row r="106" spans="1:8" x14ac:dyDescent="0.2">
      <c r="A106" s="59" t="s">
        <v>48</v>
      </c>
      <c r="B106" s="43"/>
      <c r="C106" s="56"/>
      <c r="D106" s="41">
        <f>[4]Charters!D1160</f>
        <v>0</v>
      </c>
      <c r="E106" s="42"/>
      <c r="F106" s="42">
        <f>+F104-F105</f>
        <v>0</v>
      </c>
      <c r="G106" s="42"/>
      <c r="H106" s="42"/>
    </row>
    <row r="107" spans="1:8" x14ac:dyDescent="0.2">
      <c r="A107" s="59" t="s">
        <v>60</v>
      </c>
      <c r="B107" s="43"/>
      <c r="C107" s="56"/>
      <c r="D107" s="41">
        <f>[4]Charters!E1160</f>
        <v>0</v>
      </c>
      <c r="E107" s="42"/>
      <c r="F107" s="42"/>
      <c r="G107" s="42"/>
      <c r="H107" s="42"/>
    </row>
    <row r="108" spans="1:8" x14ac:dyDescent="0.2">
      <c r="A108" s="59" t="s">
        <v>61</v>
      </c>
      <c r="B108" s="43"/>
      <c r="C108" s="56"/>
      <c r="D108" s="41">
        <f>[4]Charters!F1160</f>
        <v>7380.02</v>
      </c>
      <c r="E108" s="42"/>
      <c r="F108" s="42"/>
      <c r="G108" s="42"/>
      <c r="H108" s="42"/>
    </row>
    <row r="109" spans="1:8" ht="13.5" thickBot="1" x14ac:dyDescent="0.25">
      <c r="A109" s="64"/>
      <c r="B109" s="65"/>
      <c r="C109" s="66"/>
      <c r="D109" s="67">
        <f>SUM(D84:D108)</f>
        <v>4196744.55</v>
      </c>
      <c r="E109" s="42"/>
      <c r="F109" s="42"/>
      <c r="G109" s="42"/>
      <c r="H109" s="42"/>
    </row>
    <row r="110" spans="1:8" ht="13.5" thickTop="1" x14ac:dyDescent="0.2">
      <c r="A110" s="68"/>
      <c r="B110" s="43"/>
      <c r="C110" s="56"/>
      <c r="D110" s="86"/>
      <c r="E110" s="42"/>
      <c r="F110" s="42"/>
      <c r="G110" s="42"/>
      <c r="H110" s="42"/>
    </row>
    <row r="111" spans="1:8" x14ac:dyDescent="0.2">
      <c r="A111" s="38" t="s">
        <v>20</v>
      </c>
      <c r="B111" s="39"/>
      <c r="C111" s="70"/>
      <c r="D111" s="71" t="s">
        <v>21</v>
      </c>
      <c r="E111" s="42"/>
      <c r="F111" s="42"/>
      <c r="G111" s="42"/>
      <c r="H111" s="42"/>
    </row>
    <row r="112" spans="1:8" x14ac:dyDescent="0.2">
      <c r="A112" s="72" t="s">
        <v>22</v>
      </c>
      <c r="B112" s="73"/>
      <c r="C112" s="74"/>
      <c r="D112" s="41">
        <f>[5]Charters!C66</f>
        <v>1532</v>
      </c>
      <c r="E112" s="42"/>
      <c r="F112" s="42"/>
      <c r="G112" s="42"/>
      <c r="H112" s="42"/>
    </row>
    <row r="113" spans="1:8" x14ac:dyDescent="0.2">
      <c r="A113" s="75"/>
      <c r="B113" s="61"/>
      <c r="C113" s="76"/>
      <c r="D113" s="77">
        <f>SUM(D112:D112)</f>
        <v>1532</v>
      </c>
      <c r="E113" s="42"/>
      <c r="F113" s="42"/>
      <c r="G113" s="42"/>
      <c r="H113" s="42"/>
    </row>
    <row r="114" spans="1:8" x14ac:dyDescent="0.2">
      <c r="A114" s="78" t="s">
        <v>58</v>
      </c>
      <c r="B114" s="79"/>
      <c r="C114" s="80"/>
      <c r="D114" s="77">
        <f>D113+D109</f>
        <v>4198276.55</v>
      </c>
      <c r="E114" s="42"/>
      <c r="F114" s="42"/>
      <c r="G114" s="42"/>
      <c r="H114" s="42"/>
    </row>
    <row r="115" spans="1:8" x14ac:dyDescent="0.2">
      <c r="A115" s="84"/>
      <c r="B115" s="84"/>
      <c r="C115" s="85"/>
      <c r="D115" s="81"/>
      <c r="E115" s="42"/>
      <c r="F115" s="42"/>
      <c r="G115" s="42"/>
      <c r="H115" s="42"/>
    </row>
    <row r="116" spans="1:8" x14ac:dyDescent="0.2">
      <c r="A116" s="84"/>
      <c r="B116" s="84"/>
      <c r="C116" s="85"/>
      <c r="D116" s="81">
        <f>[5]Charters!E222</f>
        <v>4198276.55</v>
      </c>
      <c r="E116" s="42"/>
      <c r="F116" s="42"/>
      <c r="G116" s="42"/>
      <c r="H116" s="42"/>
    </row>
    <row r="117" spans="1:8" x14ac:dyDescent="0.2">
      <c r="A117" s="84"/>
      <c r="B117" s="84"/>
      <c r="C117" s="85"/>
      <c r="D117" s="81">
        <f>D114</f>
        <v>4198276.55</v>
      </c>
      <c r="E117" s="42"/>
      <c r="F117" s="42"/>
      <c r="G117" s="42"/>
      <c r="H117" s="42"/>
    </row>
    <row r="118" spans="1:8" x14ac:dyDescent="0.2">
      <c r="C118" s="83"/>
      <c r="D118" s="42">
        <f>D116-D117</f>
        <v>0</v>
      </c>
      <c r="E118" s="42"/>
      <c r="F118" s="42"/>
      <c r="G118" s="42"/>
      <c r="H118" s="42"/>
    </row>
  </sheetData>
  <mergeCells count="4">
    <mergeCell ref="A114:C114"/>
    <mergeCell ref="A61:D61"/>
    <mergeCell ref="A62:D62"/>
    <mergeCell ref="A60:D60"/>
  </mergeCells>
  <phoneticPr fontId="2" type="noConversion"/>
  <printOptions horizontalCentered="1" verticalCentered="1"/>
  <pageMargins left="0.5" right="0.5" top="0.5" bottom="0.5" header="0.25" footer="0.25"/>
  <pageSetup orientation="portrait" r:id="rId1"/>
  <headerFooter alignWithMargins="0">
    <oddHeader>&amp;R&amp;8Current as of: &amp;D</oddHeader>
    <oddFooter>&amp;L&amp;8USOE, School Finance</oddFooter>
  </headerFooter>
  <picture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>
    <pageSetUpPr fitToPage="1"/>
  </sheetPr>
  <dimension ref="A1:H119"/>
  <sheetViews>
    <sheetView topLeftCell="A57" workbookViewId="0">
      <selection activeCell="C12" sqref="C12"/>
    </sheetView>
  </sheetViews>
  <sheetFormatPr defaultColWidth="9.140625" defaultRowHeight="12.75" x14ac:dyDescent="0.2"/>
  <cols>
    <col min="1" max="1" width="31.85546875" style="82" customWidth="1"/>
    <col min="2" max="2" width="16.140625" style="82" customWidth="1"/>
    <col min="3" max="4" width="14.85546875" style="82" customWidth="1"/>
    <col min="5" max="5" width="7" style="82" customWidth="1"/>
    <col min="6" max="6" width="19.7109375" style="82" customWidth="1"/>
    <col min="7" max="7" width="5.7109375" style="82" customWidth="1"/>
    <col min="8" max="8" width="18" style="82" customWidth="1"/>
    <col min="9" max="16384" width="9.140625" style="82"/>
  </cols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"/>
      <c r="B3" s="1"/>
      <c r="C3" s="1"/>
      <c r="D3" s="1"/>
      <c r="E3" s="1"/>
      <c r="F3" s="1"/>
      <c r="G3" s="1"/>
      <c r="H3" s="1"/>
    </row>
    <row r="4" spans="1:8" x14ac:dyDescent="0.2">
      <c r="A4" s="1"/>
      <c r="B4" s="1"/>
      <c r="C4" s="1"/>
      <c r="D4" s="1"/>
      <c r="E4" s="1"/>
      <c r="F4" s="1"/>
      <c r="G4" s="1"/>
      <c r="H4" s="1"/>
    </row>
    <row r="5" spans="1:8" x14ac:dyDescent="0.2">
      <c r="A5" s="1"/>
      <c r="B5" s="1"/>
      <c r="C5" s="1"/>
      <c r="D5" s="1"/>
      <c r="E5" s="1"/>
      <c r="F5" s="1"/>
      <c r="G5" s="1"/>
      <c r="H5" s="1"/>
    </row>
    <row r="6" spans="1:8" x14ac:dyDescent="0.2">
      <c r="A6" s="1"/>
      <c r="B6" s="1"/>
      <c r="C6" s="1"/>
      <c r="D6" s="1"/>
      <c r="E6" s="1"/>
      <c r="F6" s="1"/>
      <c r="G6" s="1"/>
      <c r="H6" s="1"/>
    </row>
    <row r="7" spans="1:8" x14ac:dyDescent="0.2">
      <c r="A7" s="1"/>
      <c r="B7" s="1"/>
      <c r="C7" s="1"/>
      <c r="D7" s="1"/>
      <c r="E7" s="1"/>
      <c r="F7" s="1"/>
      <c r="G7" s="1"/>
      <c r="H7" s="1"/>
    </row>
    <row r="8" spans="1:8" x14ac:dyDescent="0.2">
      <c r="A8" s="1"/>
      <c r="B8" s="1"/>
      <c r="C8" s="1"/>
      <c r="D8" s="1"/>
      <c r="E8" s="1"/>
      <c r="F8" s="1"/>
      <c r="G8" s="1"/>
      <c r="H8" s="1"/>
    </row>
    <row r="9" spans="1:8" x14ac:dyDescent="0.2">
      <c r="A9" s="1"/>
      <c r="B9" s="1"/>
      <c r="C9" s="1"/>
      <c r="D9" s="1"/>
      <c r="E9" s="1"/>
      <c r="F9" s="1"/>
      <c r="G9" s="1"/>
      <c r="H9" s="1"/>
    </row>
    <row r="10" spans="1:8" x14ac:dyDescent="0.2">
      <c r="A10" s="1"/>
      <c r="B10" s="1"/>
      <c r="C10" s="1"/>
      <c r="D10" s="1"/>
      <c r="E10" s="1"/>
      <c r="F10" s="1"/>
      <c r="G10" s="1"/>
      <c r="H10" s="1"/>
    </row>
    <row r="11" spans="1:8" x14ac:dyDescent="0.2">
      <c r="A11" s="1"/>
      <c r="B11" s="1"/>
      <c r="C11" s="1"/>
      <c r="D11" s="1"/>
      <c r="E11" s="1"/>
      <c r="F11" s="1"/>
      <c r="G11" s="1"/>
      <c r="H11" s="1"/>
    </row>
    <row r="12" spans="1:8" x14ac:dyDescent="0.2">
      <c r="A12" s="1"/>
      <c r="B12" s="1"/>
      <c r="C12" s="1"/>
      <c r="D12" s="1"/>
      <c r="E12" s="1"/>
      <c r="F12" s="1"/>
      <c r="G12" s="1"/>
      <c r="H12" s="1"/>
    </row>
    <row r="13" spans="1:8" x14ac:dyDescent="0.2">
      <c r="A13" s="1"/>
      <c r="B13" s="1"/>
      <c r="C13" s="1"/>
      <c r="D13" s="1"/>
      <c r="E13" s="1"/>
      <c r="F13" s="1"/>
      <c r="G13" s="1"/>
      <c r="H13" s="1"/>
    </row>
    <row r="14" spans="1:8" x14ac:dyDescent="0.2">
      <c r="A14" s="1"/>
      <c r="B14" s="1"/>
      <c r="C14" s="1"/>
      <c r="D14" s="1"/>
      <c r="E14" s="1"/>
      <c r="F14" s="1"/>
      <c r="G14" s="1"/>
      <c r="H14" s="1"/>
    </row>
    <row r="15" spans="1:8" x14ac:dyDescent="0.2">
      <c r="A15" s="1"/>
      <c r="B15" s="1"/>
      <c r="C15" s="1"/>
      <c r="D15" s="1"/>
      <c r="E15" s="1"/>
      <c r="F15" s="1"/>
      <c r="G15" s="1"/>
      <c r="H15" s="1"/>
    </row>
    <row r="16" spans="1:8" x14ac:dyDescent="0.2">
      <c r="A16" s="1"/>
      <c r="B16" s="1"/>
      <c r="C16" s="1"/>
      <c r="D16" s="1"/>
      <c r="E16" s="1"/>
      <c r="F16" s="1"/>
      <c r="G16" s="1"/>
      <c r="H16" s="1"/>
    </row>
    <row r="17" spans="1:8" x14ac:dyDescent="0.2">
      <c r="A17" s="1"/>
      <c r="B17" s="1"/>
      <c r="C17" s="1"/>
      <c r="D17" s="1"/>
      <c r="E17" s="1"/>
      <c r="F17" s="1"/>
      <c r="G17" s="1"/>
      <c r="H17" s="1"/>
    </row>
    <row r="18" spans="1:8" x14ac:dyDescent="0.2">
      <c r="A18" s="1"/>
      <c r="B18" s="1"/>
      <c r="C18" s="1"/>
      <c r="D18" s="1"/>
      <c r="E18" s="1"/>
      <c r="F18" s="1"/>
      <c r="G18" s="1"/>
      <c r="H18" s="1"/>
    </row>
    <row r="19" spans="1:8" x14ac:dyDescent="0.2">
      <c r="A19" s="1"/>
      <c r="B19" s="1"/>
      <c r="C19" s="1"/>
      <c r="D19" s="1"/>
      <c r="E19" s="1"/>
      <c r="F19" s="1"/>
      <c r="G19" s="1"/>
      <c r="H19" s="1"/>
    </row>
    <row r="20" spans="1:8" x14ac:dyDescent="0.2">
      <c r="A20" s="1"/>
      <c r="B20" s="1"/>
      <c r="C20" s="1"/>
      <c r="D20" s="1"/>
      <c r="E20" s="1"/>
      <c r="F20" s="1"/>
      <c r="G20" s="1"/>
      <c r="H20" s="1"/>
    </row>
    <row r="21" spans="1:8" x14ac:dyDescent="0.2">
      <c r="A21" s="1"/>
      <c r="B21" s="1"/>
      <c r="C21" s="1"/>
      <c r="D21" s="1"/>
      <c r="E21" s="1"/>
      <c r="F21" s="1"/>
      <c r="G21" s="1"/>
      <c r="H21" s="1"/>
    </row>
    <row r="22" spans="1:8" x14ac:dyDescent="0.2">
      <c r="A22" s="1"/>
      <c r="B22" s="1"/>
      <c r="C22" s="1"/>
      <c r="D22" s="4"/>
      <c r="E22" s="1"/>
      <c r="F22" s="1"/>
      <c r="G22" s="1"/>
      <c r="H22" s="1"/>
    </row>
    <row r="23" spans="1:8" x14ac:dyDescent="0.2">
      <c r="A23" s="1"/>
      <c r="B23" s="1"/>
      <c r="C23" s="1"/>
      <c r="D23" s="1"/>
      <c r="E23" s="1"/>
      <c r="F23" s="1"/>
      <c r="G23" s="1"/>
      <c r="H23" s="1"/>
    </row>
    <row r="24" spans="1:8" x14ac:dyDescent="0.2">
      <c r="A24" s="1"/>
      <c r="B24" s="1"/>
      <c r="C24" s="1"/>
      <c r="D24" s="1"/>
      <c r="E24" s="1"/>
      <c r="F24" s="1"/>
      <c r="G24" s="1"/>
      <c r="H24" s="1"/>
    </row>
    <row r="25" spans="1:8" x14ac:dyDescent="0.2">
      <c r="A25" s="1"/>
      <c r="B25" s="1"/>
      <c r="C25" s="1"/>
      <c r="D25" s="1"/>
      <c r="E25" s="1"/>
      <c r="F25" s="1"/>
      <c r="G25" s="1"/>
      <c r="H25" s="1"/>
    </row>
    <row r="26" spans="1:8" x14ac:dyDescent="0.2">
      <c r="A26" s="1"/>
      <c r="B26" s="1"/>
      <c r="C26" s="1"/>
      <c r="D26" s="1"/>
      <c r="E26" s="1"/>
      <c r="F26" s="1"/>
      <c r="G26" s="1"/>
      <c r="H26" s="1"/>
    </row>
    <row r="27" spans="1:8" x14ac:dyDescent="0.2">
      <c r="A27" s="1"/>
      <c r="B27" s="1"/>
      <c r="C27" s="1"/>
      <c r="D27" s="1"/>
      <c r="E27" s="1"/>
      <c r="F27" s="1"/>
      <c r="G27" s="1"/>
      <c r="H27" s="1"/>
    </row>
    <row r="28" spans="1:8" x14ac:dyDescent="0.2">
      <c r="A28" s="1"/>
      <c r="B28" s="1"/>
      <c r="C28" s="1"/>
      <c r="D28" s="1"/>
      <c r="E28" s="1"/>
      <c r="F28" s="1"/>
      <c r="G28" s="1"/>
      <c r="H28" s="1"/>
    </row>
    <row r="29" spans="1:8" x14ac:dyDescent="0.2">
      <c r="A29" s="1"/>
      <c r="B29" s="1"/>
      <c r="C29" s="1"/>
      <c r="D29" s="1"/>
      <c r="E29" s="1"/>
      <c r="F29" s="1"/>
      <c r="G29" s="1"/>
      <c r="H29" s="1"/>
    </row>
    <row r="30" spans="1:8" x14ac:dyDescent="0.2">
      <c r="A30" s="1"/>
      <c r="B30" s="1"/>
      <c r="C30" s="1"/>
      <c r="D30" s="1"/>
      <c r="E30" s="1"/>
      <c r="F30" s="1"/>
      <c r="G30" s="1"/>
      <c r="H30" s="1"/>
    </row>
    <row r="31" spans="1:8" x14ac:dyDescent="0.2">
      <c r="A31" s="1"/>
      <c r="B31" s="1"/>
      <c r="C31" s="1"/>
      <c r="D31" s="1"/>
      <c r="E31" s="1"/>
      <c r="F31" s="1"/>
      <c r="G31" s="1"/>
      <c r="H31" s="1"/>
    </row>
    <row r="32" spans="1:8" x14ac:dyDescent="0.2">
      <c r="A32" s="1"/>
      <c r="B32" s="1"/>
      <c r="C32" s="1"/>
      <c r="D32" s="1"/>
      <c r="E32" s="1"/>
      <c r="F32" s="1"/>
      <c r="G32" s="1"/>
      <c r="H32" s="1"/>
    </row>
    <row r="33" spans="1:8" x14ac:dyDescent="0.2">
      <c r="A33" s="1"/>
      <c r="B33" s="1"/>
      <c r="C33" s="1"/>
      <c r="D33" s="1"/>
      <c r="E33" s="1"/>
      <c r="F33" s="1"/>
      <c r="G33" s="1"/>
      <c r="H33" s="1"/>
    </row>
    <row r="34" spans="1:8" x14ac:dyDescent="0.2">
      <c r="A34" s="1"/>
      <c r="B34" s="1"/>
      <c r="C34" s="1"/>
      <c r="D34" s="1"/>
      <c r="E34" s="1"/>
      <c r="F34" s="1"/>
      <c r="G34" s="1"/>
      <c r="H34" s="1"/>
    </row>
    <row r="35" spans="1:8" x14ac:dyDescent="0.2">
      <c r="A35" s="1"/>
      <c r="B35" s="1"/>
      <c r="C35" s="1"/>
      <c r="D35" s="1"/>
      <c r="E35" s="1"/>
      <c r="F35" s="1"/>
      <c r="G35" s="1"/>
      <c r="H35" s="1"/>
    </row>
    <row r="36" spans="1:8" x14ac:dyDescent="0.2">
      <c r="A36" s="1"/>
      <c r="B36" s="1"/>
      <c r="C36" s="1"/>
      <c r="D36" s="1"/>
      <c r="E36" s="1"/>
      <c r="F36" s="1"/>
      <c r="G36" s="1"/>
      <c r="H36" s="1"/>
    </row>
    <row r="37" spans="1:8" x14ac:dyDescent="0.2">
      <c r="A37" s="1"/>
      <c r="B37" s="1"/>
      <c r="C37" s="1"/>
      <c r="D37" s="1"/>
      <c r="E37" s="1"/>
      <c r="F37" s="1"/>
      <c r="G37" s="1"/>
      <c r="H37" s="1"/>
    </row>
    <row r="38" spans="1:8" x14ac:dyDescent="0.2">
      <c r="A38" s="1"/>
      <c r="B38" s="1"/>
      <c r="C38" s="1"/>
      <c r="D38" s="1"/>
      <c r="E38" s="1"/>
      <c r="F38" s="1"/>
      <c r="G38" s="1"/>
      <c r="H38" s="1"/>
    </row>
    <row r="39" spans="1:8" x14ac:dyDescent="0.2">
      <c r="A39" s="1"/>
      <c r="B39" s="1"/>
      <c r="C39" s="1"/>
      <c r="D39" s="1"/>
      <c r="E39" s="1"/>
      <c r="F39" s="1"/>
      <c r="G39" s="1"/>
      <c r="H39" s="1"/>
    </row>
    <row r="40" spans="1:8" x14ac:dyDescent="0.2">
      <c r="A40" s="1"/>
      <c r="B40" s="1"/>
      <c r="C40" s="1"/>
      <c r="D40" s="1"/>
      <c r="E40" s="1"/>
      <c r="F40" s="1"/>
      <c r="G40" s="1"/>
      <c r="H40" s="1"/>
    </row>
    <row r="41" spans="1:8" x14ac:dyDescent="0.2">
      <c r="A41" s="1"/>
      <c r="B41" s="1"/>
      <c r="C41" s="1"/>
      <c r="D41" s="1"/>
      <c r="E41" s="1"/>
      <c r="F41" s="1"/>
      <c r="G41" s="1"/>
      <c r="H41" s="1"/>
    </row>
    <row r="42" spans="1:8" x14ac:dyDescent="0.2">
      <c r="A42" s="1"/>
      <c r="B42" s="1"/>
      <c r="C42" s="1"/>
      <c r="D42" s="1"/>
      <c r="E42" s="1"/>
      <c r="F42" s="1"/>
      <c r="G42" s="1"/>
      <c r="H42" s="1"/>
    </row>
    <row r="43" spans="1:8" x14ac:dyDescent="0.2">
      <c r="A43" s="1"/>
      <c r="B43" s="1"/>
      <c r="C43" s="1"/>
      <c r="D43" s="1"/>
      <c r="E43" s="1"/>
      <c r="F43" s="1"/>
      <c r="G43" s="1"/>
      <c r="H43" s="1"/>
    </row>
    <row r="44" spans="1:8" x14ac:dyDescent="0.2">
      <c r="A44" s="1"/>
      <c r="B44" s="1"/>
      <c r="C44" s="1"/>
      <c r="D44" s="1"/>
      <c r="E44" s="1"/>
      <c r="F44" s="1"/>
      <c r="G44" s="1"/>
      <c r="H44" s="1"/>
    </row>
    <row r="45" spans="1:8" x14ac:dyDescent="0.2">
      <c r="A45" s="1"/>
      <c r="B45" s="1"/>
      <c r="C45" s="1"/>
      <c r="D45" s="1"/>
      <c r="E45" s="1"/>
      <c r="F45" s="1"/>
      <c r="G45" s="1"/>
      <c r="H45" s="1"/>
    </row>
    <row r="46" spans="1:8" x14ac:dyDescent="0.2">
      <c r="A46" s="1"/>
      <c r="B46" s="1"/>
      <c r="C46" s="1"/>
      <c r="D46" s="1"/>
      <c r="E46" s="1"/>
      <c r="F46" s="1"/>
      <c r="G46" s="1"/>
      <c r="H46" s="1"/>
    </row>
    <row r="47" spans="1:8" x14ac:dyDescent="0.2">
      <c r="A47" s="1"/>
      <c r="B47" s="1"/>
      <c r="C47" s="1"/>
      <c r="D47" s="1"/>
      <c r="E47" s="1"/>
      <c r="F47" s="1"/>
      <c r="G47" s="1"/>
      <c r="H47" s="1"/>
    </row>
    <row r="48" spans="1:8" x14ac:dyDescent="0.2">
      <c r="A48" s="1"/>
      <c r="B48" s="1"/>
      <c r="C48" s="1"/>
      <c r="D48" s="1"/>
      <c r="E48" s="1"/>
      <c r="F48" s="1"/>
      <c r="G48" s="1"/>
      <c r="H48" s="1"/>
    </row>
    <row r="49" spans="1:8" x14ac:dyDescent="0.2">
      <c r="A49" s="1"/>
      <c r="B49" s="1"/>
      <c r="C49" s="1"/>
      <c r="D49" s="1"/>
      <c r="E49" s="1"/>
      <c r="F49" s="1"/>
      <c r="G49" s="1"/>
      <c r="H49" s="1"/>
    </row>
    <row r="50" spans="1:8" x14ac:dyDescent="0.2">
      <c r="A50" s="1"/>
      <c r="B50" s="1"/>
      <c r="C50" s="1"/>
      <c r="D50" s="1"/>
      <c r="E50" s="1"/>
      <c r="F50" s="1"/>
      <c r="G50" s="1"/>
      <c r="H50" s="1"/>
    </row>
    <row r="51" spans="1:8" x14ac:dyDescent="0.2">
      <c r="A51" s="1"/>
      <c r="B51" s="1"/>
      <c r="C51" s="1"/>
      <c r="D51" s="1"/>
      <c r="E51" s="1"/>
      <c r="F51" s="1"/>
      <c r="G51" s="1"/>
      <c r="H51" s="1"/>
    </row>
    <row r="52" spans="1:8" x14ac:dyDescent="0.2">
      <c r="A52" s="1"/>
      <c r="B52" s="1"/>
      <c r="C52" s="1"/>
      <c r="D52" s="1"/>
      <c r="E52" s="1"/>
      <c r="F52" s="1"/>
      <c r="G52" s="1"/>
      <c r="H52" s="1"/>
    </row>
    <row r="53" spans="1:8" x14ac:dyDescent="0.2">
      <c r="A53" s="1"/>
      <c r="B53" s="1"/>
      <c r="C53" s="1"/>
      <c r="D53" s="1"/>
      <c r="E53" s="1"/>
      <c r="F53" s="1"/>
      <c r="G53" s="1"/>
      <c r="H53" s="1"/>
    </row>
    <row r="54" spans="1:8" x14ac:dyDescent="0.2">
      <c r="A54" s="1"/>
      <c r="B54" s="1"/>
      <c r="C54" s="1"/>
      <c r="D54" s="1"/>
      <c r="E54" s="1"/>
      <c r="F54" s="1"/>
      <c r="G54" s="1"/>
      <c r="H54" s="1"/>
    </row>
    <row r="55" spans="1:8" x14ac:dyDescent="0.2">
      <c r="A55" s="1"/>
      <c r="B55" s="1"/>
      <c r="C55" s="1"/>
      <c r="D55" s="1"/>
      <c r="E55" s="1"/>
      <c r="F55" s="1"/>
      <c r="G55" s="1"/>
      <c r="H55" s="1"/>
    </row>
    <row r="56" spans="1:8" x14ac:dyDescent="0.2">
      <c r="A56" s="1"/>
      <c r="B56" s="1"/>
      <c r="C56" s="1"/>
      <c r="D56" s="1"/>
      <c r="E56" s="1"/>
      <c r="F56" s="1"/>
      <c r="G56" s="1"/>
      <c r="H56" s="1"/>
    </row>
    <row r="57" spans="1:8" x14ac:dyDescent="0.2">
      <c r="A57" s="1"/>
      <c r="B57" s="1"/>
      <c r="C57" s="1"/>
      <c r="D57" s="1"/>
      <c r="E57" s="1"/>
      <c r="F57" s="1"/>
      <c r="G57" s="1"/>
      <c r="H57" s="1"/>
    </row>
    <row r="58" spans="1:8" x14ac:dyDescent="0.2">
      <c r="A58" s="1"/>
      <c r="B58" s="1"/>
      <c r="C58" s="1"/>
      <c r="D58" s="1"/>
      <c r="E58" s="1"/>
      <c r="F58" s="1"/>
      <c r="G58" s="1"/>
      <c r="H58" s="1"/>
    </row>
    <row r="59" spans="1:8" x14ac:dyDescent="0.2">
      <c r="A59" s="1"/>
      <c r="B59" s="1"/>
      <c r="C59" s="1"/>
      <c r="D59" s="1"/>
      <c r="E59" s="1"/>
      <c r="F59" s="1"/>
      <c r="G59" s="1"/>
      <c r="H59" s="1"/>
    </row>
    <row r="60" spans="1:8" x14ac:dyDescent="0.2">
      <c r="A60" s="1"/>
      <c r="B60" s="1"/>
      <c r="C60" s="1"/>
      <c r="D60" s="1"/>
      <c r="E60" s="1"/>
      <c r="F60" s="1"/>
      <c r="G60" s="1"/>
      <c r="H60" s="1"/>
    </row>
    <row r="61" spans="1:8" x14ac:dyDescent="0.2">
      <c r="A61" s="11" t="s">
        <v>1</v>
      </c>
      <c r="B61" s="12"/>
      <c r="C61" s="12"/>
      <c r="D61" s="13"/>
      <c r="E61" s="8"/>
      <c r="F61" s="8"/>
      <c r="G61" s="8"/>
      <c r="H61" s="8"/>
    </row>
    <row r="62" spans="1:8" x14ac:dyDescent="0.2">
      <c r="A62" s="14" t="s">
        <v>15</v>
      </c>
      <c r="B62" s="15"/>
      <c r="C62" s="15"/>
      <c r="D62" s="16"/>
      <c r="E62" s="8"/>
      <c r="F62" s="8"/>
      <c r="G62" s="8"/>
      <c r="H62" s="8"/>
    </row>
    <row r="63" spans="1:8" x14ac:dyDescent="0.2">
      <c r="A63" s="17" t="s">
        <v>62</v>
      </c>
      <c r="B63" s="18"/>
      <c r="C63" s="18"/>
      <c r="D63" s="19"/>
      <c r="E63" s="8"/>
      <c r="F63" s="8"/>
      <c r="G63" s="8"/>
      <c r="H63" s="8"/>
    </row>
    <row r="64" spans="1:8" x14ac:dyDescent="0.2">
      <c r="A64" s="20"/>
      <c r="B64" s="21"/>
      <c r="C64" s="22"/>
      <c r="D64" s="23"/>
      <c r="E64" s="8"/>
      <c r="F64" s="8" t="s">
        <v>34</v>
      </c>
      <c r="G64" s="8"/>
      <c r="H64" s="8"/>
    </row>
    <row r="65" spans="1:8" ht="15.75" x14ac:dyDescent="0.25">
      <c r="A65" s="24" t="s">
        <v>2</v>
      </c>
      <c r="B65" s="25" t="str">
        <f>[1]Charters!B68</f>
        <v>Merit College Preparatory Acad</v>
      </c>
      <c r="C65" s="26"/>
      <c r="D65" s="27"/>
      <c r="E65" s="8"/>
      <c r="F65" s="8"/>
      <c r="G65" s="8"/>
      <c r="H65" s="8"/>
    </row>
    <row r="66" spans="1:8" x14ac:dyDescent="0.2">
      <c r="A66" s="24"/>
      <c r="B66" s="28"/>
      <c r="C66" s="26"/>
      <c r="D66" s="27"/>
      <c r="E66" s="8"/>
      <c r="F66" s="8"/>
      <c r="G66" s="8"/>
      <c r="H66" s="8"/>
    </row>
    <row r="67" spans="1:8" x14ac:dyDescent="0.2">
      <c r="A67" s="29" t="s">
        <v>0</v>
      </c>
      <c r="B67" s="30">
        <f>[1]Charters!$E$6</f>
        <v>3184</v>
      </c>
      <c r="C67" s="26"/>
      <c r="D67" s="31"/>
      <c r="E67" s="8"/>
      <c r="F67" s="8"/>
      <c r="G67" s="8"/>
      <c r="H67" s="8"/>
    </row>
    <row r="68" spans="1:8" x14ac:dyDescent="0.2">
      <c r="A68" s="32"/>
      <c r="B68" s="6"/>
      <c r="C68" s="33"/>
      <c r="D68" s="34" t="s">
        <v>3</v>
      </c>
      <c r="E68" s="8"/>
      <c r="F68" s="8"/>
      <c r="G68" s="8"/>
      <c r="H68" s="8"/>
    </row>
    <row r="69" spans="1:8" x14ac:dyDescent="0.2">
      <c r="A69" s="29" t="s">
        <v>19</v>
      </c>
      <c r="B69" s="35" t="str">
        <f>[1]Charters!A68</f>
        <v>8E</v>
      </c>
      <c r="C69" s="36" t="s">
        <v>4</v>
      </c>
      <c r="D69" s="37" t="s">
        <v>5</v>
      </c>
      <c r="E69" s="8"/>
      <c r="F69" s="8"/>
      <c r="G69" s="8"/>
      <c r="H69" s="8"/>
    </row>
    <row r="70" spans="1:8" x14ac:dyDescent="0.2">
      <c r="A70" s="38" t="s">
        <v>6</v>
      </c>
      <c r="B70" s="39"/>
      <c r="C70" s="40"/>
      <c r="D70" s="41"/>
      <c r="E70" s="8"/>
      <c r="F70" s="8"/>
      <c r="G70" s="8"/>
      <c r="H70" s="8"/>
    </row>
    <row r="71" spans="1:8" x14ac:dyDescent="0.2">
      <c r="A71" s="38" t="s">
        <v>7</v>
      </c>
      <c r="B71" s="39"/>
      <c r="C71" s="40"/>
      <c r="D71" s="41"/>
      <c r="E71" s="8"/>
      <c r="F71" s="42" t="s">
        <v>23</v>
      </c>
      <c r="G71" s="8"/>
      <c r="H71" s="42" t="s">
        <v>26</v>
      </c>
    </row>
    <row r="72" spans="1:8" x14ac:dyDescent="0.2">
      <c r="A72" s="20" t="s">
        <v>8</v>
      </c>
      <c r="B72" s="43"/>
      <c r="C72" s="44">
        <f>[1]Charters!C528</f>
        <v>360.14499999999998</v>
      </c>
      <c r="D72" s="45">
        <f>[1]Charters!E528</f>
        <v>1146702.9099999999</v>
      </c>
      <c r="E72" s="8"/>
      <c r="F72" s="42">
        <f>[1]Charters!E683</f>
        <v>1223672.75</v>
      </c>
      <c r="G72" s="8"/>
      <c r="H72" s="42">
        <f>[2]Charters!E222</f>
        <v>1636952.92</v>
      </c>
    </row>
    <row r="73" spans="1:8" x14ac:dyDescent="0.2">
      <c r="A73" s="20" t="s">
        <v>14</v>
      </c>
      <c r="B73" s="43"/>
      <c r="C73" s="44">
        <f>[1]Charters!F528</f>
        <v>22.173999999999999</v>
      </c>
      <c r="D73" s="45">
        <f>[1]Charters!H528</f>
        <v>70601.84</v>
      </c>
      <c r="E73" s="8"/>
      <c r="F73" s="42">
        <f>SUM(D72:D74)</f>
        <v>1223672.75</v>
      </c>
      <c r="G73" s="8"/>
      <c r="H73" s="42">
        <f>D85</f>
        <v>1636952.92</v>
      </c>
    </row>
    <row r="74" spans="1:8" x14ac:dyDescent="0.2">
      <c r="A74" s="20" t="s">
        <v>32</v>
      </c>
      <c r="B74" s="43"/>
      <c r="C74" s="44">
        <f>[1]Charters!C221</f>
        <v>2</v>
      </c>
      <c r="D74" s="45">
        <f>[1]Charters!E221</f>
        <v>6368</v>
      </c>
      <c r="E74" s="8"/>
      <c r="F74" s="42">
        <f>+F72-F73</f>
        <v>0</v>
      </c>
      <c r="G74" s="8"/>
      <c r="H74" s="42">
        <f>+H72-H73</f>
        <v>0</v>
      </c>
    </row>
    <row r="75" spans="1:8" x14ac:dyDescent="0.2">
      <c r="A75" s="38" t="s">
        <v>9</v>
      </c>
      <c r="B75" s="39"/>
      <c r="C75" s="46"/>
      <c r="D75" s="47"/>
      <c r="E75" s="8"/>
      <c r="F75" s="8"/>
      <c r="G75" s="8"/>
      <c r="H75" s="8"/>
    </row>
    <row r="76" spans="1:8" x14ac:dyDescent="0.2">
      <c r="A76" s="20" t="s">
        <v>10</v>
      </c>
      <c r="B76" s="43"/>
      <c r="C76" s="40">
        <f>[3]Charters!C67</f>
        <v>102.267</v>
      </c>
      <c r="D76" s="41">
        <f>[3]Charters!E67</f>
        <v>325619.40000000002</v>
      </c>
      <c r="E76" s="8"/>
      <c r="F76" s="42" t="s">
        <v>24</v>
      </c>
      <c r="G76" s="8"/>
      <c r="H76" s="8"/>
    </row>
    <row r="77" spans="1:8" x14ac:dyDescent="0.2">
      <c r="A77" s="48" t="s">
        <v>11</v>
      </c>
      <c r="B77" s="43"/>
      <c r="C77" s="40">
        <f>[3]Charters!F67</f>
        <v>10.68</v>
      </c>
      <c r="D77" s="49">
        <f>[3]Charters!H67</f>
        <v>34005.120000000003</v>
      </c>
      <c r="E77" s="8"/>
      <c r="F77" s="42">
        <f>[3]Charters!N379</f>
        <v>365516.39</v>
      </c>
      <c r="G77" s="8"/>
      <c r="H77" s="8"/>
    </row>
    <row r="78" spans="1:8" x14ac:dyDescent="0.2">
      <c r="A78" s="48" t="s">
        <v>12</v>
      </c>
      <c r="B78" s="43"/>
      <c r="C78" s="40">
        <f>[3]Charters!C222</f>
        <v>0</v>
      </c>
      <c r="D78" s="41">
        <f>[3]Charters!E222</f>
        <v>0</v>
      </c>
      <c r="E78" s="8"/>
      <c r="F78" s="42">
        <f>SUM(D76:D82)</f>
        <v>365516.39</v>
      </c>
      <c r="G78" s="8"/>
      <c r="H78" s="8"/>
    </row>
    <row r="79" spans="1:8" x14ac:dyDescent="0.2">
      <c r="A79" s="20" t="s">
        <v>13</v>
      </c>
      <c r="B79" s="43"/>
      <c r="C79" s="40">
        <f>[3]Charters!F222</f>
        <v>0.88500000000000001</v>
      </c>
      <c r="D79" s="41">
        <f>[3]Charters!H222</f>
        <v>2816.74</v>
      </c>
      <c r="E79" s="8"/>
      <c r="F79" s="42">
        <f>+F77-F78</f>
        <v>0</v>
      </c>
      <c r="G79" s="8"/>
      <c r="H79" s="8"/>
    </row>
    <row r="80" spans="1:8" x14ac:dyDescent="0.2">
      <c r="A80" s="48" t="s">
        <v>54</v>
      </c>
      <c r="B80" s="43"/>
      <c r="C80" s="40">
        <f>[3]Charters!C379</f>
        <v>0.96599999999999997</v>
      </c>
      <c r="D80" s="41">
        <f>[3]Charters!E379</f>
        <v>3075.13</v>
      </c>
      <c r="E80" s="8"/>
      <c r="F80" s="8"/>
      <c r="G80" s="8"/>
      <c r="H80" s="8"/>
    </row>
    <row r="81" spans="1:8" x14ac:dyDescent="0.2">
      <c r="A81" s="48" t="s">
        <v>55</v>
      </c>
      <c r="B81" s="43"/>
      <c r="C81" s="40">
        <f>[3]Charters!F379</f>
        <v>0</v>
      </c>
      <c r="D81" s="41">
        <f>[3]Charters!H379</f>
        <v>0</v>
      </c>
      <c r="E81" s="8"/>
      <c r="F81" s="42" t="s">
        <v>25</v>
      </c>
      <c r="G81" s="8"/>
      <c r="H81" s="8"/>
    </row>
    <row r="82" spans="1:8" x14ac:dyDescent="0.2">
      <c r="A82" s="48" t="s">
        <v>56</v>
      </c>
      <c r="B82" s="43"/>
      <c r="C82" s="40">
        <f>[3]Charters!I379</f>
        <v>0</v>
      </c>
      <c r="D82" s="41">
        <f>[3]Charters!K379</f>
        <v>0</v>
      </c>
      <c r="E82" s="8"/>
      <c r="F82" s="42">
        <f>[2]Charters!H68</f>
        <v>413280.17</v>
      </c>
      <c r="G82" s="8"/>
      <c r="H82" s="8"/>
    </row>
    <row r="83" spans="1:8" x14ac:dyDescent="0.2">
      <c r="A83" s="20" t="s">
        <v>49</v>
      </c>
      <c r="B83" s="43"/>
      <c r="C83" s="40">
        <f>[3]Charters!C535</f>
        <v>7.6239999999999997</v>
      </c>
      <c r="D83" s="41">
        <f>[3]Charters!E535</f>
        <v>24275.35</v>
      </c>
      <c r="E83" s="8"/>
      <c r="F83" s="42">
        <f>SUM(D76:D84)</f>
        <v>413280.17</v>
      </c>
      <c r="G83" s="8"/>
      <c r="H83" s="8"/>
    </row>
    <row r="84" spans="1:8" x14ac:dyDescent="0.2">
      <c r="A84" s="20" t="s">
        <v>50</v>
      </c>
      <c r="B84" s="43"/>
      <c r="C84" s="40">
        <f>[2]Charters!C68</f>
        <v>7.3769999999999998</v>
      </c>
      <c r="D84" s="41">
        <f>[2]Charters!E68</f>
        <v>23488.43</v>
      </c>
      <c r="E84" s="8"/>
      <c r="F84" s="42">
        <f>+F82-F83</f>
        <v>0</v>
      </c>
      <c r="G84" s="8"/>
      <c r="H84" s="8"/>
    </row>
    <row r="85" spans="1:8" x14ac:dyDescent="0.2">
      <c r="A85" s="50"/>
      <c r="B85" s="51" t="s">
        <v>16</v>
      </c>
      <c r="C85" s="52">
        <f>SUM(C72:C84)</f>
        <v>514.11800000000005</v>
      </c>
      <c r="D85" s="53">
        <f>SUM(D72:D84)</f>
        <v>1636952.92</v>
      </c>
      <c r="E85" s="8"/>
      <c r="F85" s="8"/>
      <c r="G85" s="8"/>
      <c r="H85" s="8"/>
    </row>
    <row r="86" spans="1:8" x14ac:dyDescent="0.2">
      <c r="A86" s="54" t="s">
        <v>17</v>
      </c>
      <c r="B86" s="39"/>
      <c r="C86" s="55"/>
      <c r="D86" s="47"/>
      <c r="E86" s="8"/>
      <c r="F86" s="8"/>
      <c r="G86" s="8"/>
      <c r="H86" s="42" t="s">
        <v>29</v>
      </c>
    </row>
    <row r="87" spans="1:8" x14ac:dyDescent="0.2">
      <c r="A87" s="20" t="s">
        <v>33</v>
      </c>
      <c r="B87" s="43"/>
      <c r="C87" s="56"/>
      <c r="D87" s="57">
        <f>[4]Charters!C68</f>
        <v>4726.2</v>
      </c>
      <c r="E87" s="8"/>
      <c r="F87" s="8"/>
      <c r="G87" s="8"/>
      <c r="H87" s="42">
        <f>[4]Charters!F1008</f>
        <v>2519381.13</v>
      </c>
    </row>
    <row r="88" spans="1:8" x14ac:dyDescent="0.2">
      <c r="A88" s="58" t="s">
        <v>35</v>
      </c>
      <c r="B88" s="43"/>
      <c r="C88" s="56"/>
      <c r="D88" s="41">
        <f>+[4]Charters!F389</f>
        <v>2355.12</v>
      </c>
      <c r="E88" s="8"/>
      <c r="F88" s="8"/>
      <c r="G88" s="8"/>
      <c r="H88" s="42">
        <f>SUM(D85:D104)</f>
        <v>2519381.13</v>
      </c>
    </row>
    <row r="89" spans="1:8" x14ac:dyDescent="0.2">
      <c r="A89" s="59" t="s">
        <v>36</v>
      </c>
      <c r="B89" s="43"/>
      <c r="C89" s="56"/>
      <c r="D89" s="41">
        <f>[4]Charters!E228</f>
        <v>18221</v>
      </c>
      <c r="E89" s="8"/>
      <c r="F89" s="8"/>
      <c r="G89" s="8"/>
      <c r="H89" s="42">
        <f>+H87-H88</f>
        <v>0</v>
      </c>
    </row>
    <row r="90" spans="1:8" x14ac:dyDescent="0.2">
      <c r="A90" s="59" t="s">
        <v>52</v>
      </c>
      <c r="B90" s="43"/>
      <c r="C90" s="56"/>
      <c r="D90" s="41">
        <f>[4]Charters!G389</f>
        <v>16568.11</v>
      </c>
      <c r="E90" s="8"/>
      <c r="F90" s="42" t="s">
        <v>27</v>
      </c>
      <c r="G90" s="8"/>
      <c r="H90" s="42"/>
    </row>
    <row r="91" spans="1:8" x14ac:dyDescent="0.2">
      <c r="A91" s="20" t="s">
        <v>37</v>
      </c>
      <c r="B91" s="43"/>
      <c r="C91" s="56"/>
      <c r="D91" s="41">
        <f>[4]Charters!E545</f>
        <v>20996</v>
      </c>
      <c r="E91" s="8"/>
      <c r="F91" s="42">
        <f>[4]Charters!E228</f>
        <v>18221</v>
      </c>
      <c r="G91" s="8"/>
      <c r="H91" s="8"/>
    </row>
    <row r="92" spans="1:8" x14ac:dyDescent="0.2">
      <c r="A92" s="20" t="s">
        <v>38</v>
      </c>
      <c r="B92" s="43"/>
      <c r="C92" s="56"/>
      <c r="D92" s="41">
        <f>[4]Charters!F545</f>
        <v>0</v>
      </c>
      <c r="E92" s="8"/>
      <c r="F92" s="42">
        <f>SUM(D89:D89)</f>
        <v>18221</v>
      </c>
      <c r="G92" s="8"/>
      <c r="H92" s="8"/>
    </row>
    <row r="93" spans="1:8" x14ac:dyDescent="0.2">
      <c r="A93" s="59" t="s">
        <v>40</v>
      </c>
      <c r="B93" s="43"/>
      <c r="C93" s="56"/>
      <c r="D93" s="41">
        <f>[4]Charters!G545</f>
        <v>0</v>
      </c>
      <c r="E93" s="8"/>
      <c r="F93" s="42">
        <f>+F91-F92</f>
        <v>0</v>
      </c>
      <c r="G93" s="8"/>
      <c r="H93" s="8"/>
    </row>
    <row r="94" spans="1:8" x14ac:dyDescent="0.2">
      <c r="A94" s="20" t="s">
        <v>41</v>
      </c>
      <c r="B94" s="43"/>
      <c r="C94" s="56"/>
      <c r="D94" s="41">
        <f>[4]Charters!C699</f>
        <v>640320</v>
      </c>
      <c r="E94" s="8"/>
      <c r="F94" s="42" t="s">
        <v>28</v>
      </c>
      <c r="G94" s="8"/>
      <c r="H94" s="8"/>
    </row>
    <row r="95" spans="1:8" x14ac:dyDescent="0.2">
      <c r="A95" s="20" t="s">
        <v>42</v>
      </c>
      <c r="B95" s="43"/>
      <c r="C95" s="56"/>
      <c r="D95" s="41">
        <f>[4]Charters!D699</f>
        <v>102548.71</v>
      </c>
      <c r="E95" s="8"/>
      <c r="F95" s="42">
        <f>[4]Charters!D545</f>
        <v>37144.230000000003</v>
      </c>
      <c r="G95" s="8"/>
      <c r="H95" s="8"/>
    </row>
    <row r="96" spans="1:8" x14ac:dyDescent="0.2">
      <c r="A96" s="20" t="s">
        <v>44</v>
      </c>
      <c r="B96" s="43"/>
      <c r="C96" s="56"/>
      <c r="D96" s="41">
        <f>[4]Charters!E699</f>
        <v>32000</v>
      </c>
      <c r="E96" s="8"/>
      <c r="F96" s="42">
        <f>SUM(D88:D90)</f>
        <v>37144.230000000003</v>
      </c>
      <c r="G96" s="8"/>
      <c r="H96" s="8"/>
    </row>
    <row r="97" spans="1:8" x14ac:dyDescent="0.2">
      <c r="A97" s="59" t="s">
        <v>43</v>
      </c>
      <c r="B97" s="43"/>
      <c r="C97" s="56"/>
      <c r="D97" s="41">
        <f>[4]Charters!F699</f>
        <v>0</v>
      </c>
      <c r="E97" s="8"/>
      <c r="F97" s="42">
        <f>+F95-F96</f>
        <v>0</v>
      </c>
      <c r="G97" s="8"/>
      <c r="H97" s="8"/>
    </row>
    <row r="98" spans="1:8" x14ac:dyDescent="0.2">
      <c r="A98" s="59" t="s">
        <v>45</v>
      </c>
      <c r="B98" s="43"/>
      <c r="C98" s="56"/>
      <c r="D98" s="41">
        <f>[4]Charters!C545</f>
        <v>0</v>
      </c>
      <c r="E98" s="8"/>
      <c r="F98" s="8"/>
      <c r="G98" s="8"/>
      <c r="H98" s="8"/>
    </row>
    <row r="99" spans="1:8" x14ac:dyDescent="0.2">
      <c r="A99" s="59" t="s">
        <v>46</v>
      </c>
      <c r="B99" s="43"/>
      <c r="C99" s="56"/>
      <c r="D99" s="41">
        <f>[4]Charters!C855</f>
        <v>0</v>
      </c>
      <c r="E99" s="42"/>
      <c r="F99" s="42"/>
      <c r="G99" s="42"/>
      <c r="H99" s="42" t="s">
        <v>31</v>
      </c>
    </row>
    <row r="100" spans="1:8" x14ac:dyDescent="0.2">
      <c r="A100" s="59" t="s">
        <v>51</v>
      </c>
      <c r="B100" s="43"/>
      <c r="C100" s="56"/>
      <c r="D100" s="60">
        <f>[4]Charters!D855</f>
        <v>498.6</v>
      </c>
      <c r="E100" s="42"/>
      <c r="F100" s="42"/>
      <c r="G100" s="42"/>
      <c r="H100" s="42">
        <f>[4]Charters!D1314</f>
        <v>2523177.88</v>
      </c>
    </row>
    <row r="101" spans="1:8" x14ac:dyDescent="0.2">
      <c r="A101" s="20" t="s">
        <v>47</v>
      </c>
      <c r="B101" s="43"/>
      <c r="C101" s="56"/>
      <c r="D101" s="60">
        <f>[4]Charters!E855</f>
        <v>0</v>
      </c>
      <c r="E101" s="42"/>
      <c r="F101" s="42"/>
      <c r="G101" s="42"/>
      <c r="H101" s="42">
        <f>D110</f>
        <v>2523177.88</v>
      </c>
    </row>
    <row r="102" spans="1:8" x14ac:dyDescent="0.2">
      <c r="A102" s="20" t="s">
        <v>57</v>
      </c>
      <c r="B102" s="43"/>
      <c r="C102" s="56"/>
      <c r="D102" s="60">
        <f>[4]Charters!C1008</f>
        <v>14194.47</v>
      </c>
      <c r="E102" s="42"/>
      <c r="F102" s="42"/>
      <c r="G102" s="42"/>
      <c r="H102" s="42">
        <f>+H100-H101</f>
        <v>0</v>
      </c>
    </row>
    <row r="103" spans="1:8" x14ac:dyDescent="0.2">
      <c r="A103" s="59" t="s">
        <v>53</v>
      </c>
      <c r="B103" s="43"/>
      <c r="C103" s="56"/>
      <c r="D103" s="60">
        <f>[4]Charters!D1008</f>
        <v>30000</v>
      </c>
      <c r="E103" s="42"/>
      <c r="F103" s="42" t="s">
        <v>30</v>
      </c>
      <c r="G103" s="42"/>
      <c r="H103" s="42"/>
    </row>
    <row r="104" spans="1:8" x14ac:dyDescent="0.2">
      <c r="A104" s="59" t="s">
        <v>59</v>
      </c>
      <c r="B104" s="43"/>
      <c r="C104" s="56"/>
      <c r="D104" s="60">
        <f>[4]Charters!E1008</f>
        <v>0</v>
      </c>
      <c r="E104" s="42"/>
      <c r="F104" s="42"/>
      <c r="G104" s="42"/>
      <c r="H104" s="42"/>
    </row>
    <row r="105" spans="1:8" x14ac:dyDescent="0.2">
      <c r="A105" s="38" t="s">
        <v>18</v>
      </c>
      <c r="B105" s="61"/>
      <c r="C105" s="62"/>
      <c r="D105" s="87"/>
      <c r="E105" s="42"/>
      <c r="F105" s="42">
        <f>[4]Charters!C1314</f>
        <v>3796.75</v>
      </c>
      <c r="G105" s="42"/>
      <c r="H105" s="42"/>
    </row>
    <row r="106" spans="1:8" x14ac:dyDescent="0.2">
      <c r="A106" s="59" t="s">
        <v>39</v>
      </c>
      <c r="B106" s="43"/>
      <c r="C106" s="56"/>
      <c r="D106" s="41">
        <f>[4]Charters!C1161</f>
        <v>3796.75</v>
      </c>
      <c r="E106" s="42"/>
      <c r="F106" s="42">
        <f>SUM(D106:D109)</f>
        <v>3796.75</v>
      </c>
      <c r="G106" s="42"/>
      <c r="H106" s="42"/>
    </row>
    <row r="107" spans="1:8" x14ac:dyDescent="0.2">
      <c r="A107" s="59" t="s">
        <v>48</v>
      </c>
      <c r="B107" s="43"/>
      <c r="C107" s="56"/>
      <c r="D107" s="41">
        <f>[4]Charters!D1161</f>
        <v>0</v>
      </c>
      <c r="E107" s="42"/>
      <c r="F107" s="42">
        <f>+F105-F106</f>
        <v>0</v>
      </c>
      <c r="G107" s="42"/>
      <c r="H107" s="42"/>
    </row>
    <row r="108" spans="1:8" x14ac:dyDescent="0.2">
      <c r="A108" s="59" t="s">
        <v>60</v>
      </c>
      <c r="B108" s="43"/>
      <c r="C108" s="56"/>
      <c r="D108" s="41">
        <f>[4]Charters!E1161</f>
        <v>0</v>
      </c>
      <c r="E108" s="42"/>
      <c r="F108" s="42"/>
      <c r="G108" s="42"/>
      <c r="H108" s="42"/>
    </row>
    <row r="109" spans="1:8" x14ac:dyDescent="0.2">
      <c r="A109" s="59" t="s">
        <v>61</v>
      </c>
      <c r="B109" s="43"/>
      <c r="C109" s="56"/>
      <c r="D109" s="41">
        <f>[4]Charters!F1161</f>
        <v>0</v>
      </c>
      <c r="E109" s="42"/>
      <c r="F109" s="42"/>
      <c r="G109" s="42"/>
      <c r="H109" s="42"/>
    </row>
    <row r="110" spans="1:8" ht="13.5" thickBot="1" x14ac:dyDescent="0.25">
      <c r="A110" s="64"/>
      <c r="B110" s="65"/>
      <c r="C110" s="66"/>
      <c r="D110" s="67">
        <f>SUM(D85:D109)</f>
        <v>2523177.88</v>
      </c>
      <c r="E110" s="42"/>
      <c r="F110" s="42"/>
      <c r="G110" s="42"/>
      <c r="H110" s="42"/>
    </row>
    <row r="111" spans="1:8" ht="13.5" thickTop="1" x14ac:dyDescent="0.2">
      <c r="A111" s="68"/>
      <c r="B111" s="43"/>
      <c r="C111" s="56"/>
      <c r="D111" s="86"/>
      <c r="E111" s="42"/>
      <c r="F111" s="42"/>
      <c r="G111" s="42"/>
      <c r="H111" s="42"/>
    </row>
    <row r="112" spans="1:8" x14ac:dyDescent="0.2">
      <c r="A112" s="38" t="s">
        <v>20</v>
      </c>
      <c r="B112" s="39"/>
      <c r="C112" s="70"/>
      <c r="D112" s="71" t="s">
        <v>21</v>
      </c>
      <c r="E112" s="42"/>
      <c r="F112" s="42"/>
      <c r="G112" s="42"/>
      <c r="H112" s="42"/>
    </row>
    <row r="113" spans="1:8" x14ac:dyDescent="0.2">
      <c r="A113" s="72" t="s">
        <v>22</v>
      </c>
      <c r="B113" s="73"/>
      <c r="C113" s="74"/>
      <c r="D113" s="41">
        <f>[5]Charters!C67</f>
        <v>695.68</v>
      </c>
      <c r="E113" s="42"/>
      <c r="F113" s="42"/>
      <c r="G113" s="42"/>
      <c r="H113" s="42"/>
    </row>
    <row r="114" spans="1:8" x14ac:dyDescent="0.2">
      <c r="A114" s="75"/>
      <c r="B114" s="61"/>
      <c r="C114" s="76"/>
      <c r="D114" s="77">
        <f>SUM(D113:D113)</f>
        <v>695.68</v>
      </c>
      <c r="E114" s="42"/>
      <c r="F114" s="42"/>
      <c r="G114" s="42"/>
      <c r="H114" s="42"/>
    </row>
    <row r="115" spans="1:8" x14ac:dyDescent="0.2">
      <c r="A115" s="78" t="s">
        <v>58</v>
      </c>
      <c r="B115" s="79"/>
      <c r="C115" s="80"/>
      <c r="D115" s="77">
        <f>D114+D110</f>
        <v>2523873.56</v>
      </c>
      <c r="E115" s="42"/>
      <c r="F115" s="42"/>
      <c r="G115" s="42"/>
      <c r="H115" s="42"/>
    </row>
    <row r="116" spans="1:8" x14ac:dyDescent="0.2">
      <c r="A116" s="84"/>
      <c r="B116" s="84"/>
      <c r="C116" s="85"/>
      <c r="D116" s="81"/>
      <c r="E116" s="42"/>
      <c r="F116" s="42"/>
      <c r="G116" s="42"/>
      <c r="H116" s="42"/>
    </row>
    <row r="117" spans="1:8" x14ac:dyDescent="0.2">
      <c r="A117" s="84"/>
      <c r="B117" s="84"/>
      <c r="C117" s="85"/>
      <c r="D117" s="81">
        <f>[5]Charters!E223</f>
        <v>2523873.56</v>
      </c>
      <c r="E117" s="42"/>
      <c r="F117" s="42"/>
      <c r="G117" s="42"/>
      <c r="H117" s="42"/>
    </row>
    <row r="118" spans="1:8" x14ac:dyDescent="0.2">
      <c r="A118" s="84"/>
      <c r="B118" s="84"/>
      <c r="C118" s="85"/>
      <c r="D118" s="81">
        <f>D115</f>
        <v>2523873.56</v>
      </c>
      <c r="E118" s="42"/>
      <c r="F118" s="42"/>
      <c r="G118" s="42"/>
      <c r="H118" s="42"/>
    </row>
    <row r="119" spans="1:8" x14ac:dyDescent="0.2">
      <c r="C119" s="83"/>
      <c r="D119" s="42">
        <f>D117-D118</f>
        <v>0</v>
      </c>
      <c r="E119" s="42"/>
      <c r="F119" s="42"/>
      <c r="G119" s="42"/>
      <c r="H119" s="42"/>
    </row>
  </sheetData>
  <mergeCells count="4">
    <mergeCell ref="A115:C115"/>
    <mergeCell ref="A62:D62"/>
    <mergeCell ref="A63:D63"/>
    <mergeCell ref="A61:D61"/>
  </mergeCells>
  <phoneticPr fontId="2" type="noConversion"/>
  <printOptions horizontalCentered="1" verticalCentered="1"/>
  <pageMargins left="0.5" right="0.5" top="0.5" bottom="0.5" header="0.25" footer="0.25"/>
  <pageSetup orientation="portrait" r:id="rId1"/>
  <headerFooter alignWithMargins="0">
    <oddHeader>&amp;R&amp;8Current as of: &amp;D</oddHeader>
    <oddFooter>&amp;L&amp;8USOE, School Finance</oddFooter>
  </headerFooter>
  <picture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>
    <pageSetUpPr fitToPage="1"/>
  </sheetPr>
  <dimension ref="A1:H120"/>
  <sheetViews>
    <sheetView topLeftCell="A58" workbookViewId="0">
      <selection activeCell="C12" sqref="C12"/>
    </sheetView>
  </sheetViews>
  <sheetFormatPr defaultColWidth="9.140625" defaultRowHeight="12.75" x14ac:dyDescent="0.2"/>
  <cols>
    <col min="1" max="1" width="31.85546875" style="82" customWidth="1"/>
    <col min="2" max="2" width="16.140625" style="82" customWidth="1"/>
    <col min="3" max="4" width="14.85546875" style="82" customWidth="1"/>
    <col min="5" max="5" width="7" style="82" customWidth="1"/>
    <col min="6" max="6" width="19.7109375" style="82" customWidth="1"/>
    <col min="7" max="7" width="5.7109375" style="82" customWidth="1"/>
    <col min="8" max="8" width="18" style="82" customWidth="1"/>
    <col min="9" max="16384" width="9.140625" style="82"/>
  </cols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"/>
      <c r="B3" s="1"/>
      <c r="C3" s="1"/>
      <c r="D3" s="1"/>
      <c r="E3" s="1"/>
      <c r="F3" s="1"/>
      <c r="G3" s="1"/>
      <c r="H3" s="1"/>
    </row>
    <row r="4" spans="1:8" x14ac:dyDescent="0.2">
      <c r="A4" s="1"/>
      <c r="B4" s="1"/>
      <c r="C4" s="1"/>
      <c r="D4" s="1"/>
      <c r="E4" s="1"/>
      <c r="F4" s="1"/>
      <c r="G4" s="1"/>
      <c r="H4" s="1"/>
    </row>
    <row r="5" spans="1:8" x14ac:dyDescent="0.2">
      <c r="A5" s="1"/>
      <c r="B5" s="1"/>
      <c r="C5" s="1"/>
      <c r="D5" s="1"/>
      <c r="E5" s="1"/>
      <c r="F5" s="1"/>
      <c r="G5" s="1"/>
      <c r="H5" s="1"/>
    </row>
    <row r="6" spans="1:8" x14ac:dyDescent="0.2">
      <c r="A6" s="1"/>
      <c r="B6" s="1"/>
      <c r="C6" s="1"/>
      <c r="D6" s="1"/>
      <c r="E6" s="1"/>
      <c r="F6" s="1"/>
      <c r="G6" s="1"/>
      <c r="H6" s="1"/>
    </row>
    <row r="7" spans="1:8" x14ac:dyDescent="0.2">
      <c r="A7" s="1"/>
      <c r="B7" s="1"/>
      <c r="C7" s="1"/>
      <c r="D7" s="1"/>
      <c r="E7" s="1"/>
      <c r="F7" s="1"/>
      <c r="G7" s="1"/>
      <c r="H7" s="1"/>
    </row>
    <row r="8" spans="1:8" x14ac:dyDescent="0.2">
      <c r="A8" s="1"/>
      <c r="B8" s="1"/>
      <c r="C8" s="1"/>
      <c r="D8" s="1"/>
      <c r="E8" s="1"/>
      <c r="F8" s="1"/>
      <c r="G8" s="1"/>
      <c r="H8" s="1"/>
    </row>
    <row r="9" spans="1:8" x14ac:dyDescent="0.2">
      <c r="A9" s="1"/>
      <c r="B9" s="1"/>
      <c r="C9" s="1"/>
      <c r="D9" s="1"/>
      <c r="E9" s="1"/>
      <c r="F9" s="1"/>
      <c r="G9" s="1"/>
      <c r="H9" s="1"/>
    </row>
    <row r="10" spans="1:8" x14ac:dyDescent="0.2">
      <c r="A10" s="1"/>
      <c r="B10" s="1"/>
      <c r="C10" s="1"/>
      <c r="D10" s="1"/>
      <c r="E10" s="1"/>
      <c r="F10" s="1"/>
      <c r="G10" s="1"/>
      <c r="H10" s="1"/>
    </row>
    <row r="11" spans="1:8" x14ac:dyDescent="0.2">
      <c r="A11" s="1"/>
      <c r="B11" s="1"/>
      <c r="C11" s="1"/>
      <c r="D11" s="1"/>
      <c r="E11" s="1"/>
      <c r="F11" s="1"/>
      <c r="G11" s="1"/>
      <c r="H11" s="1"/>
    </row>
    <row r="12" spans="1:8" x14ac:dyDescent="0.2">
      <c r="A12" s="1"/>
      <c r="B12" s="1"/>
      <c r="C12" s="1"/>
      <c r="D12" s="1"/>
      <c r="E12" s="1"/>
      <c r="F12" s="1"/>
      <c r="G12" s="1"/>
      <c r="H12" s="1"/>
    </row>
    <row r="13" spans="1:8" x14ac:dyDescent="0.2">
      <c r="A13" s="1"/>
      <c r="B13" s="1"/>
      <c r="C13" s="1"/>
      <c r="D13" s="1"/>
      <c r="E13" s="1"/>
      <c r="F13" s="1"/>
      <c r="G13" s="1"/>
      <c r="H13" s="1"/>
    </row>
    <row r="14" spans="1:8" x14ac:dyDescent="0.2">
      <c r="A14" s="1"/>
      <c r="B14" s="1"/>
      <c r="C14" s="1"/>
      <c r="D14" s="1"/>
      <c r="E14" s="1"/>
      <c r="F14" s="1"/>
      <c r="G14" s="1"/>
      <c r="H14" s="1"/>
    </row>
    <row r="15" spans="1:8" x14ac:dyDescent="0.2">
      <c r="A15" s="1"/>
      <c r="B15" s="1"/>
      <c r="C15" s="1"/>
      <c r="D15" s="1"/>
      <c r="E15" s="1"/>
      <c r="F15" s="1"/>
      <c r="G15" s="1"/>
      <c r="H15" s="1"/>
    </row>
    <row r="16" spans="1:8" x14ac:dyDescent="0.2">
      <c r="A16" s="1"/>
      <c r="B16" s="1"/>
      <c r="C16" s="1"/>
      <c r="D16" s="1"/>
      <c r="E16" s="1"/>
      <c r="F16" s="1"/>
      <c r="G16" s="1"/>
      <c r="H16" s="1"/>
    </row>
    <row r="17" spans="1:8" x14ac:dyDescent="0.2">
      <c r="A17" s="1"/>
      <c r="B17" s="1"/>
      <c r="C17" s="1"/>
      <c r="D17" s="1"/>
      <c r="E17" s="1"/>
      <c r="F17" s="1"/>
      <c r="G17" s="1"/>
      <c r="H17" s="1"/>
    </row>
    <row r="18" spans="1:8" x14ac:dyDescent="0.2">
      <c r="A18" s="1"/>
      <c r="B18" s="1"/>
      <c r="C18" s="1"/>
      <c r="D18" s="1"/>
      <c r="E18" s="1"/>
      <c r="F18" s="1"/>
      <c r="G18" s="1"/>
      <c r="H18" s="1"/>
    </row>
    <row r="19" spans="1:8" x14ac:dyDescent="0.2">
      <c r="A19" s="1"/>
      <c r="B19" s="1"/>
      <c r="C19" s="1"/>
      <c r="D19" s="1"/>
      <c r="E19" s="1"/>
      <c r="F19" s="1"/>
      <c r="G19" s="1"/>
      <c r="H19" s="1"/>
    </row>
    <row r="20" spans="1:8" x14ac:dyDescent="0.2">
      <c r="A20" s="1"/>
      <c r="B20" s="1"/>
      <c r="C20" s="1"/>
      <c r="D20" s="1"/>
      <c r="E20" s="1"/>
      <c r="F20" s="1"/>
      <c r="G20" s="1"/>
      <c r="H20" s="1"/>
    </row>
    <row r="21" spans="1:8" x14ac:dyDescent="0.2">
      <c r="A21" s="1"/>
      <c r="B21" s="1"/>
      <c r="C21" s="1"/>
      <c r="D21" s="1"/>
      <c r="E21" s="1"/>
      <c r="F21" s="1"/>
      <c r="G21" s="1"/>
      <c r="H21" s="1"/>
    </row>
    <row r="22" spans="1:8" x14ac:dyDescent="0.2">
      <c r="A22" s="1"/>
      <c r="B22" s="1"/>
      <c r="C22" s="1"/>
      <c r="D22" s="4"/>
      <c r="E22" s="1"/>
      <c r="F22" s="1"/>
      <c r="G22" s="1"/>
      <c r="H22" s="1"/>
    </row>
    <row r="23" spans="1:8" x14ac:dyDescent="0.2">
      <c r="A23" s="1"/>
      <c r="B23" s="1"/>
      <c r="C23" s="1"/>
      <c r="D23" s="1"/>
      <c r="E23" s="1"/>
      <c r="F23" s="1"/>
      <c r="G23" s="1"/>
      <c r="H23" s="1"/>
    </row>
    <row r="24" spans="1:8" x14ac:dyDescent="0.2">
      <c r="A24" s="1"/>
      <c r="B24" s="1"/>
      <c r="C24" s="1"/>
      <c r="D24" s="1"/>
      <c r="E24" s="1"/>
      <c r="F24" s="1"/>
      <c r="G24" s="1"/>
      <c r="H24" s="1"/>
    </row>
    <row r="25" spans="1:8" x14ac:dyDescent="0.2">
      <c r="A25" s="1"/>
      <c r="B25" s="1"/>
      <c r="C25" s="1"/>
      <c r="D25" s="1"/>
      <c r="E25" s="1"/>
      <c r="F25" s="1"/>
      <c r="G25" s="1"/>
      <c r="H25" s="1"/>
    </row>
    <row r="26" spans="1:8" x14ac:dyDescent="0.2">
      <c r="A26" s="1"/>
      <c r="B26" s="1"/>
      <c r="C26" s="1"/>
      <c r="D26" s="1"/>
      <c r="E26" s="1"/>
      <c r="F26" s="1"/>
      <c r="G26" s="1"/>
      <c r="H26" s="1"/>
    </row>
    <row r="27" spans="1:8" x14ac:dyDescent="0.2">
      <c r="A27" s="1"/>
      <c r="B27" s="1"/>
      <c r="C27" s="1"/>
      <c r="D27" s="1"/>
      <c r="E27" s="1"/>
      <c r="F27" s="1"/>
      <c r="G27" s="1"/>
      <c r="H27" s="1"/>
    </row>
    <row r="28" spans="1:8" x14ac:dyDescent="0.2">
      <c r="A28" s="1"/>
      <c r="B28" s="1"/>
      <c r="C28" s="1"/>
      <c r="D28" s="1"/>
      <c r="E28" s="1"/>
      <c r="F28" s="1"/>
      <c r="G28" s="1"/>
      <c r="H28" s="1"/>
    </row>
    <row r="29" spans="1:8" x14ac:dyDescent="0.2">
      <c r="A29" s="1"/>
      <c r="B29" s="1"/>
      <c r="C29" s="1"/>
      <c r="D29" s="1"/>
      <c r="E29" s="1"/>
      <c r="F29" s="1"/>
      <c r="G29" s="1"/>
      <c r="H29" s="1"/>
    </row>
    <row r="30" spans="1:8" x14ac:dyDescent="0.2">
      <c r="A30" s="1"/>
      <c r="B30" s="1"/>
      <c r="C30" s="1"/>
      <c r="D30" s="1"/>
      <c r="E30" s="1"/>
      <c r="F30" s="1"/>
      <c r="G30" s="1"/>
      <c r="H30" s="1"/>
    </row>
    <row r="31" spans="1:8" x14ac:dyDescent="0.2">
      <c r="A31" s="1"/>
      <c r="B31" s="1"/>
      <c r="C31" s="1"/>
      <c r="D31" s="1"/>
      <c r="E31" s="1"/>
      <c r="F31" s="1"/>
      <c r="G31" s="1"/>
      <c r="H31" s="1"/>
    </row>
    <row r="32" spans="1:8" x14ac:dyDescent="0.2">
      <c r="A32" s="1"/>
      <c r="B32" s="1"/>
      <c r="C32" s="1"/>
      <c r="D32" s="1"/>
      <c r="E32" s="1"/>
      <c r="F32" s="1"/>
      <c r="G32" s="1"/>
      <c r="H32" s="1"/>
    </row>
    <row r="33" spans="1:8" x14ac:dyDescent="0.2">
      <c r="A33" s="1"/>
      <c r="B33" s="1"/>
      <c r="C33" s="1"/>
      <c r="D33" s="1"/>
      <c r="E33" s="1"/>
      <c r="F33" s="1"/>
      <c r="G33" s="1"/>
      <c r="H33" s="1"/>
    </row>
    <row r="34" spans="1:8" x14ac:dyDescent="0.2">
      <c r="A34" s="1"/>
      <c r="B34" s="1"/>
      <c r="C34" s="1"/>
      <c r="D34" s="1"/>
      <c r="E34" s="1"/>
      <c r="F34" s="1"/>
      <c r="G34" s="1"/>
      <c r="H34" s="1"/>
    </row>
    <row r="35" spans="1:8" x14ac:dyDescent="0.2">
      <c r="A35" s="1"/>
      <c r="B35" s="1"/>
      <c r="C35" s="1"/>
      <c r="D35" s="1"/>
      <c r="E35" s="1"/>
      <c r="F35" s="1"/>
      <c r="G35" s="1"/>
      <c r="H35" s="1"/>
    </row>
    <row r="36" spans="1:8" x14ac:dyDescent="0.2">
      <c r="A36" s="1"/>
      <c r="B36" s="1"/>
      <c r="C36" s="1"/>
      <c r="D36" s="1"/>
      <c r="E36" s="1"/>
      <c r="F36" s="1"/>
      <c r="G36" s="1"/>
      <c r="H36" s="1"/>
    </row>
    <row r="37" spans="1:8" x14ac:dyDescent="0.2">
      <c r="A37" s="1"/>
      <c r="B37" s="1"/>
      <c r="C37" s="1"/>
      <c r="D37" s="1"/>
      <c r="E37" s="1"/>
      <c r="F37" s="1"/>
      <c r="G37" s="1"/>
      <c r="H37" s="1"/>
    </row>
    <row r="38" spans="1:8" x14ac:dyDescent="0.2">
      <c r="A38" s="1"/>
      <c r="B38" s="1"/>
      <c r="C38" s="1"/>
      <c r="D38" s="1"/>
      <c r="E38" s="1"/>
      <c r="F38" s="1"/>
      <c r="G38" s="1"/>
      <c r="H38" s="1"/>
    </row>
    <row r="39" spans="1:8" x14ac:dyDescent="0.2">
      <c r="A39" s="1"/>
      <c r="B39" s="1"/>
      <c r="C39" s="1"/>
      <c r="D39" s="1"/>
      <c r="E39" s="1"/>
      <c r="F39" s="1"/>
      <c r="G39" s="1"/>
      <c r="H39" s="1"/>
    </row>
    <row r="40" spans="1:8" x14ac:dyDescent="0.2">
      <c r="A40" s="1"/>
      <c r="B40" s="1"/>
      <c r="C40" s="1"/>
      <c r="D40" s="1"/>
      <c r="E40" s="1"/>
      <c r="F40" s="1"/>
      <c r="G40" s="1"/>
      <c r="H40" s="1"/>
    </row>
    <row r="41" spans="1:8" x14ac:dyDescent="0.2">
      <c r="A41" s="1"/>
      <c r="B41" s="1"/>
      <c r="C41" s="1"/>
      <c r="D41" s="1"/>
      <c r="E41" s="1"/>
      <c r="F41" s="1"/>
      <c r="G41" s="1"/>
      <c r="H41" s="1"/>
    </row>
    <row r="42" spans="1:8" x14ac:dyDescent="0.2">
      <c r="A42" s="1"/>
      <c r="B42" s="1"/>
      <c r="C42" s="1"/>
      <c r="D42" s="1"/>
      <c r="E42" s="1"/>
      <c r="F42" s="1"/>
      <c r="G42" s="1"/>
      <c r="H42" s="1"/>
    </row>
    <row r="43" spans="1:8" x14ac:dyDescent="0.2">
      <c r="A43" s="1"/>
      <c r="B43" s="1"/>
      <c r="C43" s="1"/>
      <c r="D43" s="1"/>
      <c r="E43" s="1"/>
      <c r="F43" s="1"/>
      <c r="G43" s="1"/>
      <c r="H43" s="1"/>
    </row>
    <row r="44" spans="1:8" x14ac:dyDescent="0.2">
      <c r="A44" s="1"/>
      <c r="B44" s="1"/>
      <c r="C44" s="1"/>
      <c r="D44" s="1"/>
      <c r="E44" s="1"/>
      <c r="F44" s="1"/>
      <c r="G44" s="1"/>
      <c r="H44" s="1"/>
    </row>
    <row r="45" spans="1:8" x14ac:dyDescent="0.2">
      <c r="A45" s="1"/>
      <c r="B45" s="1"/>
      <c r="C45" s="1"/>
      <c r="D45" s="1"/>
      <c r="E45" s="1"/>
      <c r="F45" s="1"/>
      <c r="G45" s="1"/>
      <c r="H45" s="1"/>
    </row>
    <row r="46" spans="1:8" x14ac:dyDescent="0.2">
      <c r="A46" s="1"/>
      <c r="B46" s="1"/>
      <c r="C46" s="1"/>
      <c r="D46" s="1"/>
      <c r="E46" s="1"/>
      <c r="F46" s="1"/>
      <c r="G46" s="1"/>
      <c r="H46" s="1"/>
    </row>
    <row r="47" spans="1:8" x14ac:dyDescent="0.2">
      <c r="A47" s="1"/>
      <c r="B47" s="1"/>
      <c r="C47" s="1"/>
      <c r="D47" s="1"/>
      <c r="E47" s="1"/>
      <c r="F47" s="1"/>
      <c r="G47" s="1"/>
      <c r="H47" s="1"/>
    </row>
    <row r="48" spans="1:8" x14ac:dyDescent="0.2">
      <c r="A48" s="1"/>
      <c r="B48" s="1"/>
      <c r="C48" s="1"/>
      <c r="D48" s="1"/>
      <c r="E48" s="1"/>
      <c r="F48" s="1"/>
      <c r="G48" s="1"/>
      <c r="H48" s="1"/>
    </row>
    <row r="49" spans="1:8" x14ac:dyDescent="0.2">
      <c r="A49" s="1"/>
      <c r="B49" s="1"/>
      <c r="C49" s="1"/>
      <c r="D49" s="1"/>
      <c r="E49" s="1"/>
      <c r="F49" s="1"/>
      <c r="G49" s="1"/>
      <c r="H49" s="1"/>
    </row>
    <row r="50" spans="1:8" x14ac:dyDescent="0.2">
      <c r="A50" s="1"/>
      <c r="B50" s="1"/>
      <c r="C50" s="1"/>
      <c r="D50" s="1"/>
      <c r="E50" s="1"/>
      <c r="F50" s="1"/>
      <c r="G50" s="1"/>
      <c r="H50" s="1"/>
    </row>
    <row r="51" spans="1:8" x14ac:dyDescent="0.2">
      <c r="A51" s="1"/>
      <c r="B51" s="1"/>
      <c r="C51" s="1"/>
      <c r="D51" s="1"/>
      <c r="E51" s="1"/>
      <c r="F51" s="1"/>
      <c r="G51" s="1"/>
      <c r="H51" s="1"/>
    </row>
    <row r="52" spans="1:8" x14ac:dyDescent="0.2">
      <c r="A52" s="1"/>
      <c r="B52" s="1"/>
      <c r="C52" s="1"/>
      <c r="D52" s="1"/>
      <c r="E52" s="1"/>
      <c r="F52" s="1"/>
      <c r="G52" s="1"/>
      <c r="H52" s="1"/>
    </row>
    <row r="53" spans="1:8" x14ac:dyDescent="0.2">
      <c r="A53" s="1"/>
      <c r="B53" s="1"/>
      <c r="C53" s="1"/>
      <c r="D53" s="1"/>
      <c r="E53" s="1"/>
      <c r="F53" s="1"/>
      <c r="G53" s="1"/>
      <c r="H53" s="1"/>
    </row>
    <row r="54" spans="1:8" x14ac:dyDescent="0.2">
      <c r="A54" s="1"/>
      <c r="B54" s="1"/>
      <c r="C54" s="1"/>
      <c r="D54" s="1"/>
      <c r="E54" s="1"/>
      <c r="F54" s="1"/>
      <c r="G54" s="1"/>
      <c r="H54" s="1"/>
    </row>
    <row r="55" spans="1:8" x14ac:dyDescent="0.2">
      <c r="A55" s="1"/>
      <c r="B55" s="1"/>
      <c r="C55" s="1"/>
      <c r="D55" s="1"/>
      <c r="E55" s="1"/>
      <c r="F55" s="1"/>
      <c r="G55" s="1"/>
      <c r="H55" s="1"/>
    </row>
    <row r="56" spans="1:8" x14ac:dyDescent="0.2">
      <c r="A56" s="1"/>
      <c r="B56" s="1"/>
      <c r="C56" s="1"/>
      <c r="D56" s="1"/>
      <c r="E56" s="1"/>
      <c r="F56" s="1"/>
      <c r="G56" s="1"/>
      <c r="H56" s="1"/>
    </row>
    <row r="57" spans="1:8" x14ac:dyDescent="0.2">
      <c r="A57" s="1"/>
      <c r="B57" s="1"/>
      <c r="C57" s="1"/>
      <c r="D57" s="1"/>
      <c r="E57" s="1"/>
      <c r="F57" s="1"/>
      <c r="G57" s="1"/>
      <c r="H57" s="1"/>
    </row>
    <row r="58" spans="1:8" x14ac:dyDescent="0.2">
      <c r="A58" s="1"/>
      <c r="B58" s="1"/>
      <c r="C58" s="1"/>
      <c r="D58" s="1"/>
      <c r="E58" s="1"/>
      <c r="F58" s="1"/>
      <c r="G58" s="1"/>
      <c r="H58" s="1"/>
    </row>
    <row r="59" spans="1:8" x14ac:dyDescent="0.2">
      <c r="A59" s="1"/>
      <c r="B59" s="1"/>
      <c r="C59" s="1"/>
      <c r="D59" s="1"/>
      <c r="E59" s="1"/>
      <c r="F59" s="1"/>
      <c r="G59" s="1"/>
      <c r="H59" s="1"/>
    </row>
    <row r="60" spans="1:8" x14ac:dyDescent="0.2">
      <c r="A60" s="1"/>
      <c r="B60" s="1"/>
      <c r="C60" s="1"/>
      <c r="D60" s="1"/>
      <c r="E60" s="1"/>
      <c r="F60" s="1"/>
      <c r="G60" s="1"/>
      <c r="H60" s="1"/>
    </row>
    <row r="61" spans="1:8" x14ac:dyDescent="0.2">
      <c r="A61" s="1"/>
      <c r="B61" s="1"/>
      <c r="C61" s="1"/>
      <c r="D61" s="1"/>
      <c r="E61" s="1"/>
      <c r="F61" s="1"/>
      <c r="G61" s="1"/>
      <c r="H61" s="1"/>
    </row>
    <row r="62" spans="1:8" x14ac:dyDescent="0.2">
      <c r="A62" s="11" t="s">
        <v>1</v>
      </c>
      <c r="B62" s="12"/>
      <c r="C62" s="12"/>
      <c r="D62" s="13"/>
      <c r="E62" s="8"/>
      <c r="F62" s="8"/>
      <c r="G62" s="8"/>
      <c r="H62" s="8"/>
    </row>
    <row r="63" spans="1:8" x14ac:dyDescent="0.2">
      <c r="A63" s="14" t="s">
        <v>15</v>
      </c>
      <c r="B63" s="15"/>
      <c r="C63" s="15"/>
      <c r="D63" s="16"/>
      <c r="E63" s="8"/>
      <c r="F63" s="8"/>
      <c r="G63" s="8"/>
      <c r="H63" s="8"/>
    </row>
    <row r="64" spans="1:8" x14ac:dyDescent="0.2">
      <c r="A64" s="17" t="s">
        <v>62</v>
      </c>
      <c r="B64" s="18"/>
      <c r="C64" s="18"/>
      <c r="D64" s="19"/>
      <c r="E64" s="8"/>
      <c r="F64" s="8"/>
      <c r="G64" s="8"/>
      <c r="H64" s="8"/>
    </row>
    <row r="65" spans="1:8" x14ac:dyDescent="0.2">
      <c r="A65" s="20"/>
      <c r="B65" s="21"/>
      <c r="C65" s="22"/>
      <c r="D65" s="23"/>
      <c r="E65" s="8"/>
      <c r="F65" s="8" t="s">
        <v>34</v>
      </c>
      <c r="G65" s="8"/>
      <c r="H65" s="8"/>
    </row>
    <row r="66" spans="1:8" ht="15.75" x14ac:dyDescent="0.25">
      <c r="A66" s="24" t="s">
        <v>2</v>
      </c>
      <c r="B66" s="25" t="str">
        <f>[1]Charters!B69</f>
        <v>Providence Hall</v>
      </c>
      <c r="C66" s="26"/>
      <c r="D66" s="27"/>
      <c r="E66" s="8"/>
      <c r="F66" s="8"/>
      <c r="G66" s="8"/>
      <c r="H66" s="8"/>
    </row>
    <row r="67" spans="1:8" x14ac:dyDescent="0.2">
      <c r="A67" s="24"/>
      <c r="B67" s="28"/>
      <c r="C67" s="26"/>
      <c r="D67" s="27"/>
      <c r="E67" s="8"/>
      <c r="F67" s="8"/>
      <c r="G67" s="8"/>
      <c r="H67" s="8"/>
    </row>
    <row r="68" spans="1:8" x14ac:dyDescent="0.2">
      <c r="A68" s="29" t="s">
        <v>0</v>
      </c>
      <c r="B68" s="30">
        <f>[1]Charters!$E$6</f>
        <v>3184</v>
      </c>
      <c r="C68" s="26"/>
      <c r="D68" s="31"/>
      <c r="E68" s="8"/>
      <c r="F68" s="8"/>
      <c r="G68" s="8"/>
      <c r="H68" s="8"/>
    </row>
    <row r="69" spans="1:8" x14ac:dyDescent="0.2">
      <c r="A69" s="32"/>
      <c r="B69" s="6"/>
      <c r="C69" s="33"/>
      <c r="D69" s="34" t="s">
        <v>3</v>
      </c>
      <c r="E69" s="8"/>
      <c r="F69" s="8"/>
      <c r="G69" s="8"/>
      <c r="H69" s="8"/>
    </row>
    <row r="70" spans="1:8" x14ac:dyDescent="0.2">
      <c r="A70" s="29" t="s">
        <v>19</v>
      </c>
      <c r="B70" s="35" t="str">
        <f>[1]Charters!A69</f>
        <v>9E</v>
      </c>
      <c r="C70" s="36" t="s">
        <v>4</v>
      </c>
      <c r="D70" s="37" t="s">
        <v>5</v>
      </c>
      <c r="E70" s="8"/>
      <c r="F70" s="8"/>
      <c r="G70" s="8"/>
      <c r="H70" s="8"/>
    </row>
    <row r="71" spans="1:8" x14ac:dyDescent="0.2">
      <c r="A71" s="38" t="s">
        <v>6</v>
      </c>
      <c r="B71" s="39"/>
      <c r="C71" s="40"/>
      <c r="D71" s="41"/>
      <c r="E71" s="8"/>
      <c r="F71" s="8"/>
      <c r="G71" s="8"/>
      <c r="H71" s="8"/>
    </row>
    <row r="72" spans="1:8" x14ac:dyDescent="0.2">
      <c r="A72" s="38" t="s">
        <v>7</v>
      </c>
      <c r="B72" s="39"/>
      <c r="C72" s="40"/>
      <c r="D72" s="41"/>
      <c r="E72" s="8"/>
      <c r="F72" s="42" t="s">
        <v>23</v>
      </c>
      <c r="G72" s="8"/>
      <c r="H72" s="42" t="s">
        <v>26</v>
      </c>
    </row>
    <row r="73" spans="1:8" x14ac:dyDescent="0.2">
      <c r="A73" s="20" t="s">
        <v>8</v>
      </c>
      <c r="B73" s="43"/>
      <c r="C73" s="44">
        <f>[1]Charters!C529</f>
        <v>2077.134</v>
      </c>
      <c r="D73" s="45">
        <f>[1]Charters!E529</f>
        <v>6613595.1100000003</v>
      </c>
      <c r="E73" s="8"/>
      <c r="F73" s="42">
        <f>[1]Charters!E684</f>
        <v>6915089.0700000003</v>
      </c>
      <c r="G73" s="8"/>
      <c r="H73" s="42">
        <f>[2]Charters!E223</f>
        <v>8907048.4800000004</v>
      </c>
    </row>
    <row r="74" spans="1:8" x14ac:dyDescent="0.2">
      <c r="A74" s="20" t="s">
        <v>14</v>
      </c>
      <c r="B74" s="43"/>
      <c r="C74" s="44">
        <f>[1]Charters!F529</f>
        <v>94.69</v>
      </c>
      <c r="D74" s="45">
        <f>[1]Charters!H529</f>
        <v>301493.96000000002</v>
      </c>
      <c r="E74" s="8"/>
      <c r="F74" s="42">
        <f>SUM(D73:D75)</f>
        <v>6915089.0700000003</v>
      </c>
      <c r="G74" s="8"/>
      <c r="H74" s="42">
        <f>D86</f>
        <v>8907048.4800000004</v>
      </c>
    </row>
    <row r="75" spans="1:8" x14ac:dyDescent="0.2">
      <c r="A75" s="20" t="s">
        <v>32</v>
      </c>
      <c r="B75" s="43"/>
      <c r="C75" s="44">
        <f>[1]Charters!C222</f>
        <v>0</v>
      </c>
      <c r="D75" s="45">
        <f>[1]Charters!E222</f>
        <v>0</v>
      </c>
      <c r="E75" s="8"/>
      <c r="F75" s="42">
        <f>+F73-F74</f>
        <v>0</v>
      </c>
      <c r="G75" s="8"/>
      <c r="H75" s="42">
        <f>+H73-H74</f>
        <v>0</v>
      </c>
    </row>
    <row r="76" spans="1:8" x14ac:dyDescent="0.2">
      <c r="A76" s="38" t="s">
        <v>9</v>
      </c>
      <c r="B76" s="39"/>
      <c r="C76" s="46"/>
      <c r="D76" s="47"/>
      <c r="E76" s="8"/>
      <c r="F76" s="8"/>
      <c r="G76" s="8"/>
      <c r="H76" s="8"/>
    </row>
    <row r="77" spans="1:8" x14ac:dyDescent="0.2">
      <c r="A77" s="20" t="s">
        <v>10</v>
      </c>
      <c r="B77" s="43"/>
      <c r="C77" s="40">
        <f>[3]Charters!C68</f>
        <v>474.91500000000002</v>
      </c>
      <c r="D77" s="41">
        <f>[3]Charters!E68</f>
        <v>1512129.91</v>
      </c>
      <c r="E77" s="8"/>
      <c r="F77" s="42" t="s">
        <v>24</v>
      </c>
      <c r="G77" s="8"/>
      <c r="H77" s="8"/>
    </row>
    <row r="78" spans="1:8" x14ac:dyDescent="0.2">
      <c r="A78" s="48" t="s">
        <v>11</v>
      </c>
      <c r="B78" s="43"/>
      <c r="C78" s="40">
        <f>[3]Charters!F68</f>
        <v>2.0499999999999998</v>
      </c>
      <c r="D78" s="49">
        <f>[3]Charters!H68</f>
        <v>6527.2</v>
      </c>
      <c r="E78" s="8"/>
      <c r="F78" s="42">
        <f>[3]Charters!N380</f>
        <v>1544042.4</v>
      </c>
      <c r="G78" s="8"/>
      <c r="H78" s="8"/>
    </row>
    <row r="79" spans="1:8" x14ac:dyDescent="0.2">
      <c r="A79" s="48" t="s">
        <v>12</v>
      </c>
      <c r="B79" s="43"/>
      <c r="C79" s="40">
        <f>[3]Charters!C223</f>
        <v>0</v>
      </c>
      <c r="D79" s="41">
        <f>[3]Charters!E223</f>
        <v>0</v>
      </c>
      <c r="E79" s="8"/>
      <c r="F79" s="42">
        <f>SUM(D77:D83)</f>
        <v>1544042.4</v>
      </c>
      <c r="G79" s="8"/>
      <c r="H79" s="8"/>
    </row>
    <row r="80" spans="1:8" x14ac:dyDescent="0.2">
      <c r="A80" s="20" t="s">
        <v>13</v>
      </c>
      <c r="B80" s="43"/>
      <c r="C80" s="40">
        <f>[3]Charters!F223</f>
        <v>1.825</v>
      </c>
      <c r="D80" s="41">
        <f>[3]Charters!H223</f>
        <v>5809.47</v>
      </c>
      <c r="E80" s="8"/>
      <c r="F80" s="42">
        <f>+F78-F79</f>
        <v>0</v>
      </c>
      <c r="G80" s="8"/>
      <c r="H80" s="8"/>
    </row>
    <row r="81" spans="1:8" x14ac:dyDescent="0.2">
      <c r="A81" s="48" t="s">
        <v>54</v>
      </c>
      <c r="B81" s="43"/>
      <c r="C81" s="40">
        <f>[3]Charters!C380</f>
        <v>6.1479999999999997</v>
      </c>
      <c r="D81" s="41">
        <f>[3]Charters!E380</f>
        <v>19575.82</v>
      </c>
      <c r="E81" s="8"/>
      <c r="F81" s="8"/>
      <c r="G81" s="8"/>
      <c r="H81" s="8"/>
    </row>
    <row r="82" spans="1:8" x14ac:dyDescent="0.2">
      <c r="A82" s="48" t="s">
        <v>55</v>
      </c>
      <c r="B82" s="43"/>
      <c r="C82" s="40">
        <f>[3]Charters!F380</f>
        <v>0</v>
      </c>
      <c r="D82" s="41">
        <f>[3]Charters!H380</f>
        <v>0</v>
      </c>
      <c r="E82" s="8"/>
      <c r="F82" s="42" t="s">
        <v>25</v>
      </c>
      <c r="G82" s="8"/>
      <c r="H82" s="8"/>
    </row>
    <row r="83" spans="1:8" x14ac:dyDescent="0.2">
      <c r="A83" s="48" t="s">
        <v>56</v>
      </c>
      <c r="B83" s="43"/>
      <c r="C83" s="40">
        <f>[3]Charters!I380</f>
        <v>0</v>
      </c>
      <c r="D83" s="41">
        <f>[3]Charters!K380</f>
        <v>0</v>
      </c>
      <c r="E83" s="8"/>
      <c r="F83" s="42">
        <f>[2]Charters!H69</f>
        <v>1991959.41</v>
      </c>
      <c r="G83" s="8"/>
      <c r="H83" s="8"/>
    </row>
    <row r="84" spans="1:8" x14ac:dyDescent="0.2">
      <c r="A84" s="20" t="s">
        <v>49</v>
      </c>
      <c r="B84" s="43"/>
      <c r="C84" s="40">
        <f>[3]Charters!C536</f>
        <v>2.1080000000000001</v>
      </c>
      <c r="D84" s="41">
        <f>[3]Charters!E536</f>
        <v>6711.28</v>
      </c>
      <c r="E84" s="8"/>
      <c r="F84" s="42">
        <f>SUM(D77:D85)</f>
        <v>1991959.41</v>
      </c>
      <c r="G84" s="8"/>
      <c r="H84" s="8"/>
    </row>
    <row r="85" spans="1:8" x14ac:dyDescent="0.2">
      <c r="A85" s="20" t="s">
        <v>50</v>
      </c>
      <c r="B85" s="43"/>
      <c r="C85" s="40">
        <f>[2]Charters!C69</f>
        <v>138.57</v>
      </c>
      <c r="D85" s="41">
        <f>[2]Charters!E69</f>
        <v>441205.73</v>
      </c>
      <c r="E85" s="8"/>
      <c r="F85" s="42">
        <f>+F83-F84</f>
        <v>0</v>
      </c>
      <c r="G85" s="8"/>
      <c r="H85" s="8"/>
    </row>
    <row r="86" spans="1:8" x14ac:dyDescent="0.2">
      <c r="A86" s="50"/>
      <c r="B86" s="51" t="s">
        <v>16</v>
      </c>
      <c r="C86" s="52">
        <f>SUM(C73:C85)</f>
        <v>2797.44</v>
      </c>
      <c r="D86" s="53">
        <f>SUM(D73:D85)</f>
        <v>8907048.4800000004</v>
      </c>
      <c r="E86" s="8"/>
      <c r="F86" s="8"/>
      <c r="G86" s="8"/>
      <c r="H86" s="8"/>
    </row>
    <row r="87" spans="1:8" x14ac:dyDescent="0.2">
      <c r="A87" s="54" t="s">
        <v>17</v>
      </c>
      <c r="B87" s="39"/>
      <c r="C87" s="55"/>
      <c r="D87" s="47"/>
      <c r="E87" s="8"/>
      <c r="F87" s="8"/>
      <c r="G87" s="8"/>
      <c r="H87" s="42" t="s">
        <v>29</v>
      </c>
    </row>
    <row r="88" spans="1:8" x14ac:dyDescent="0.2">
      <c r="A88" s="20" t="s">
        <v>33</v>
      </c>
      <c r="B88" s="43"/>
      <c r="C88" s="56"/>
      <c r="D88" s="57">
        <f>[4]Charters!C69</f>
        <v>25816.799999999999</v>
      </c>
      <c r="E88" s="8"/>
      <c r="F88" s="8"/>
      <c r="G88" s="8"/>
      <c r="H88" s="42">
        <f>[4]Charters!F1009</f>
        <v>14554535.27</v>
      </c>
    </row>
    <row r="89" spans="1:8" x14ac:dyDescent="0.2">
      <c r="A89" s="58" t="s">
        <v>35</v>
      </c>
      <c r="B89" s="43"/>
      <c r="C89" s="56"/>
      <c r="D89" s="41">
        <f>+[4]Charters!F390</f>
        <v>25566.94</v>
      </c>
      <c r="E89" s="8"/>
      <c r="F89" s="8"/>
      <c r="G89" s="8"/>
      <c r="H89" s="42">
        <f>SUM(D86:D105)</f>
        <v>14554535.27</v>
      </c>
    </row>
    <row r="90" spans="1:8" x14ac:dyDescent="0.2">
      <c r="A90" s="59" t="s">
        <v>36</v>
      </c>
      <c r="B90" s="43"/>
      <c r="C90" s="56"/>
      <c r="D90" s="41">
        <f>[4]Charters!E229</f>
        <v>59513</v>
      </c>
      <c r="E90" s="8"/>
      <c r="F90" s="8"/>
      <c r="G90" s="8"/>
      <c r="H90" s="42">
        <f>+H88-H89</f>
        <v>0</v>
      </c>
    </row>
    <row r="91" spans="1:8" x14ac:dyDescent="0.2">
      <c r="A91" s="59" t="s">
        <v>52</v>
      </c>
      <c r="B91" s="43"/>
      <c r="C91" s="56"/>
      <c r="D91" s="41">
        <f>[4]Charters!G390</f>
        <v>0</v>
      </c>
      <c r="E91" s="8"/>
      <c r="F91" s="42" t="s">
        <v>27</v>
      </c>
      <c r="G91" s="8"/>
      <c r="H91" s="42"/>
    </row>
    <row r="92" spans="1:8" x14ac:dyDescent="0.2">
      <c r="A92" s="20" t="s">
        <v>37</v>
      </c>
      <c r="B92" s="43"/>
      <c r="C92" s="56"/>
      <c r="D92" s="41">
        <f>[4]Charters!E546</f>
        <v>147207</v>
      </c>
      <c r="E92" s="8"/>
      <c r="F92" s="42">
        <f>[4]Charters!E229</f>
        <v>59513</v>
      </c>
      <c r="G92" s="8"/>
      <c r="H92" s="8"/>
    </row>
    <row r="93" spans="1:8" x14ac:dyDescent="0.2">
      <c r="A93" s="20" t="s">
        <v>38</v>
      </c>
      <c r="B93" s="43"/>
      <c r="C93" s="56"/>
      <c r="D93" s="41">
        <f>[4]Charters!F546</f>
        <v>15000</v>
      </c>
      <c r="E93" s="8"/>
      <c r="F93" s="42">
        <f>SUM(D90:D90)</f>
        <v>59513</v>
      </c>
      <c r="G93" s="8"/>
      <c r="H93" s="8"/>
    </row>
    <row r="94" spans="1:8" x14ac:dyDescent="0.2">
      <c r="A94" s="59" t="s">
        <v>40</v>
      </c>
      <c r="B94" s="43"/>
      <c r="C94" s="56"/>
      <c r="D94" s="41">
        <f>[4]Charters!G546</f>
        <v>71000</v>
      </c>
      <c r="E94" s="8"/>
      <c r="F94" s="42">
        <f>+F92-F93</f>
        <v>0</v>
      </c>
      <c r="G94" s="8"/>
      <c r="H94" s="8"/>
    </row>
    <row r="95" spans="1:8" x14ac:dyDescent="0.2">
      <c r="A95" s="20" t="s">
        <v>41</v>
      </c>
      <c r="B95" s="43"/>
      <c r="C95" s="56"/>
      <c r="D95" s="41">
        <f>[4]Charters!C700</f>
        <v>4300149</v>
      </c>
      <c r="E95" s="8"/>
      <c r="F95" s="42" t="s">
        <v>28</v>
      </c>
      <c r="G95" s="8"/>
      <c r="H95" s="8"/>
    </row>
    <row r="96" spans="1:8" x14ac:dyDescent="0.2">
      <c r="A96" s="20" t="s">
        <v>42</v>
      </c>
      <c r="B96" s="43"/>
      <c r="C96" s="56"/>
      <c r="D96" s="41">
        <f>[4]Charters!D700</f>
        <v>693940.92</v>
      </c>
      <c r="E96" s="8"/>
      <c r="F96" s="42">
        <f>[4]Charters!D546</f>
        <v>85079.94</v>
      </c>
      <c r="G96" s="8"/>
      <c r="H96" s="8"/>
    </row>
    <row r="97" spans="1:8" x14ac:dyDescent="0.2">
      <c r="A97" s="20" t="s">
        <v>44</v>
      </c>
      <c r="B97" s="43"/>
      <c r="C97" s="56"/>
      <c r="D97" s="41">
        <f>[4]Charters!E700</f>
        <v>214900</v>
      </c>
      <c r="E97" s="8"/>
      <c r="F97" s="42">
        <f>SUM(D89:D91)</f>
        <v>85079.94</v>
      </c>
      <c r="G97" s="8"/>
      <c r="H97" s="8"/>
    </row>
    <row r="98" spans="1:8" x14ac:dyDescent="0.2">
      <c r="A98" s="59" t="s">
        <v>43</v>
      </c>
      <c r="B98" s="43"/>
      <c r="C98" s="56"/>
      <c r="D98" s="41">
        <f>[4]Charters!F700</f>
        <v>67732.95</v>
      </c>
      <c r="E98" s="8"/>
      <c r="F98" s="42">
        <f>+F96-F97</f>
        <v>0</v>
      </c>
      <c r="G98" s="8"/>
      <c r="H98" s="8"/>
    </row>
    <row r="99" spans="1:8" x14ac:dyDescent="0.2">
      <c r="A99" s="59" t="s">
        <v>45</v>
      </c>
      <c r="B99" s="43"/>
      <c r="C99" s="56"/>
      <c r="D99" s="41">
        <f>[4]Charters!C546</f>
        <v>0</v>
      </c>
      <c r="E99" s="8"/>
      <c r="F99" s="8"/>
      <c r="G99" s="8"/>
      <c r="H99" s="8"/>
    </row>
    <row r="100" spans="1:8" x14ac:dyDescent="0.2">
      <c r="A100" s="59" t="s">
        <v>46</v>
      </c>
      <c r="B100" s="43"/>
      <c r="C100" s="56"/>
      <c r="D100" s="41">
        <f>[4]Charters!C856</f>
        <v>0</v>
      </c>
      <c r="E100" s="42"/>
      <c r="F100" s="42"/>
      <c r="G100" s="42"/>
      <c r="H100" s="42" t="s">
        <v>31</v>
      </c>
    </row>
    <row r="101" spans="1:8" x14ac:dyDescent="0.2">
      <c r="A101" s="59" t="s">
        <v>51</v>
      </c>
      <c r="B101" s="43"/>
      <c r="C101" s="56"/>
      <c r="D101" s="60">
        <f>[4]Charters!D856</f>
        <v>2280.35</v>
      </c>
      <c r="E101" s="42"/>
      <c r="F101" s="42"/>
      <c r="G101" s="42"/>
      <c r="H101" s="42">
        <f>[4]Charters!D1315</f>
        <v>14579155.609999999</v>
      </c>
    </row>
    <row r="102" spans="1:8" x14ac:dyDescent="0.2">
      <c r="A102" s="20" t="s">
        <v>47</v>
      </c>
      <c r="B102" s="43"/>
      <c r="C102" s="56"/>
      <c r="D102" s="60">
        <f>[4]Charters!E856</f>
        <v>0</v>
      </c>
      <c r="E102" s="42"/>
      <c r="F102" s="42"/>
      <c r="G102" s="42"/>
      <c r="H102" s="42">
        <f>D111</f>
        <v>14579155.609999999</v>
      </c>
    </row>
    <row r="103" spans="1:8" x14ac:dyDescent="0.2">
      <c r="A103" s="20" t="s">
        <v>57</v>
      </c>
      <c r="B103" s="43"/>
      <c r="C103" s="56"/>
      <c r="D103" s="60">
        <f>[4]Charters!C1009</f>
        <v>24379.83</v>
      </c>
      <c r="E103" s="42"/>
      <c r="F103" s="42"/>
      <c r="G103" s="42"/>
      <c r="H103" s="42">
        <f>+H101-H102</f>
        <v>0</v>
      </c>
    </row>
    <row r="104" spans="1:8" x14ac:dyDescent="0.2">
      <c r="A104" s="59" t="s">
        <v>53</v>
      </c>
      <c r="B104" s="43"/>
      <c r="C104" s="56"/>
      <c r="D104" s="60">
        <f>[4]Charters!D1009</f>
        <v>0</v>
      </c>
      <c r="E104" s="42"/>
      <c r="F104" s="42" t="s">
        <v>30</v>
      </c>
      <c r="G104" s="42"/>
      <c r="H104" s="42"/>
    </row>
    <row r="105" spans="1:8" x14ac:dyDescent="0.2">
      <c r="A105" s="59" t="s">
        <v>59</v>
      </c>
      <c r="B105" s="43"/>
      <c r="C105" s="56"/>
      <c r="D105" s="60">
        <f>[4]Charters!E1009</f>
        <v>0</v>
      </c>
      <c r="E105" s="42"/>
      <c r="F105" s="42"/>
      <c r="G105" s="42"/>
      <c r="H105" s="42"/>
    </row>
    <row r="106" spans="1:8" x14ac:dyDescent="0.2">
      <c r="A106" s="38" t="s">
        <v>18</v>
      </c>
      <c r="B106" s="61"/>
      <c r="C106" s="62"/>
      <c r="D106" s="87"/>
      <c r="E106" s="42"/>
      <c r="F106" s="42">
        <f>[4]Charters!C1315</f>
        <v>24620.34</v>
      </c>
      <c r="G106" s="42"/>
      <c r="H106" s="42"/>
    </row>
    <row r="107" spans="1:8" x14ac:dyDescent="0.2">
      <c r="A107" s="59" t="s">
        <v>39</v>
      </c>
      <c r="B107" s="43"/>
      <c r="C107" s="56"/>
      <c r="D107" s="41">
        <f>[4]Charters!C1162</f>
        <v>24620.34</v>
      </c>
      <c r="E107" s="42"/>
      <c r="F107" s="42">
        <f>SUM(D107:D110)</f>
        <v>24620.34</v>
      </c>
      <c r="G107" s="42"/>
      <c r="H107" s="42"/>
    </row>
    <row r="108" spans="1:8" x14ac:dyDescent="0.2">
      <c r="A108" s="59" t="s">
        <v>48</v>
      </c>
      <c r="B108" s="43"/>
      <c r="C108" s="56"/>
      <c r="D108" s="41">
        <f>[4]Charters!D1162</f>
        <v>0</v>
      </c>
      <c r="E108" s="42"/>
      <c r="F108" s="42">
        <f>+F106-F107</f>
        <v>0</v>
      </c>
      <c r="G108" s="42"/>
      <c r="H108" s="42"/>
    </row>
    <row r="109" spans="1:8" x14ac:dyDescent="0.2">
      <c r="A109" s="59" t="s">
        <v>60</v>
      </c>
      <c r="B109" s="43"/>
      <c r="C109" s="56"/>
      <c r="D109" s="41">
        <f>[4]Charters!E1162</f>
        <v>0</v>
      </c>
      <c r="E109" s="42"/>
      <c r="F109" s="42"/>
      <c r="G109" s="42"/>
      <c r="H109" s="42"/>
    </row>
    <row r="110" spans="1:8" x14ac:dyDescent="0.2">
      <c r="A110" s="59" t="s">
        <v>61</v>
      </c>
      <c r="B110" s="43"/>
      <c r="C110" s="56"/>
      <c r="D110" s="41">
        <f>[4]Charters!F1162</f>
        <v>0</v>
      </c>
      <c r="E110" s="42"/>
      <c r="F110" s="42"/>
      <c r="G110" s="42"/>
      <c r="H110" s="42"/>
    </row>
    <row r="111" spans="1:8" ht="13.5" thickBot="1" x14ac:dyDescent="0.25">
      <c r="A111" s="64"/>
      <c r="B111" s="65"/>
      <c r="C111" s="66"/>
      <c r="D111" s="67">
        <f>SUM(D86:D110)</f>
        <v>14579155.609999999</v>
      </c>
      <c r="E111" s="42"/>
      <c r="F111" s="42"/>
      <c r="G111" s="42"/>
      <c r="H111" s="42"/>
    </row>
    <row r="112" spans="1:8" ht="13.5" thickTop="1" x14ac:dyDescent="0.2">
      <c r="A112" s="68"/>
      <c r="B112" s="43"/>
      <c r="C112" s="56"/>
      <c r="D112" s="86"/>
      <c r="E112" s="42"/>
      <c r="F112" s="42"/>
      <c r="G112" s="42"/>
      <c r="H112" s="42"/>
    </row>
    <row r="113" spans="1:8" x14ac:dyDescent="0.2">
      <c r="A113" s="38" t="s">
        <v>20</v>
      </c>
      <c r="B113" s="39"/>
      <c r="C113" s="70"/>
      <c r="D113" s="71" t="s">
        <v>21</v>
      </c>
      <c r="E113" s="42"/>
      <c r="F113" s="42"/>
      <c r="G113" s="42"/>
      <c r="H113" s="42"/>
    </row>
    <row r="114" spans="1:8" x14ac:dyDescent="0.2">
      <c r="A114" s="72" t="s">
        <v>22</v>
      </c>
      <c r="B114" s="73"/>
      <c r="C114" s="74"/>
      <c r="D114" s="41">
        <f>[5]Charters!C68</f>
        <v>4469.76</v>
      </c>
      <c r="E114" s="42"/>
      <c r="F114" s="42"/>
      <c r="G114" s="42"/>
      <c r="H114" s="42"/>
    </row>
    <row r="115" spans="1:8" x14ac:dyDescent="0.2">
      <c r="A115" s="75"/>
      <c r="B115" s="61"/>
      <c r="C115" s="76"/>
      <c r="D115" s="77">
        <f>SUM(D114:D114)</f>
        <v>4469.76</v>
      </c>
      <c r="E115" s="42"/>
      <c r="F115" s="42"/>
      <c r="G115" s="42"/>
      <c r="H115" s="42"/>
    </row>
    <row r="116" spans="1:8" x14ac:dyDescent="0.2">
      <c r="A116" s="78" t="s">
        <v>58</v>
      </c>
      <c r="B116" s="79"/>
      <c r="C116" s="80"/>
      <c r="D116" s="77">
        <f>D115+D111</f>
        <v>14583625.369999999</v>
      </c>
      <c r="E116" s="42"/>
      <c r="F116" s="42"/>
      <c r="G116" s="42"/>
      <c r="H116" s="42"/>
    </row>
    <row r="117" spans="1:8" x14ac:dyDescent="0.2">
      <c r="A117" s="84"/>
      <c r="B117" s="84"/>
      <c r="C117" s="85"/>
      <c r="D117" s="81"/>
      <c r="E117" s="42"/>
      <c r="F117" s="42"/>
      <c r="G117" s="42"/>
      <c r="H117" s="42"/>
    </row>
    <row r="118" spans="1:8" x14ac:dyDescent="0.2">
      <c r="A118" s="84"/>
      <c r="B118" s="84"/>
      <c r="C118" s="85"/>
      <c r="D118" s="81">
        <f>[5]Charters!E224</f>
        <v>14583625.369999999</v>
      </c>
      <c r="E118" s="42"/>
      <c r="F118" s="42"/>
      <c r="G118" s="42"/>
      <c r="H118" s="42"/>
    </row>
    <row r="119" spans="1:8" x14ac:dyDescent="0.2">
      <c r="A119" s="84"/>
      <c r="B119" s="84"/>
      <c r="C119" s="85"/>
      <c r="D119" s="81">
        <f>D116</f>
        <v>14583625.369999999</v>
      </c>
      <c r="E119" s="42"/>
      <c r="F119" s="42"/>
      <c r="G119" s="42"/>
      <c r="H119" s="42"/>
    </row>
    <row r="120" spans="1:8" x14ac:dyDescent="0.2">
      <c r="C120" s="83"/>
      <c r="D120" s="42">
        <f>D118-D119</f>
        <v>0</v>
      </c>
      <c r="E120" s="42"/>
      <c r="F120" s="42"/>
      <c r="G120" s="42"/>
      <c r="H120" s="42"/>
    </row>
  </sheetData>
  <mergeCells count="4">
    <mergeCell ref="A116:C116"/>
    <mergeCell ref="A63:D63"/>
    <mergeCell ref="A64:D64"/>
    <mergeCell ref="A62:D62"/>
  </mergeCells>
  <phoneticPr fontId="2" type="noConversion"/>
  <printOptions horizontalCentered="1" verticalCentered="1"/>
  <pageMargins left="0.5" right="0.5" top="0.5" bottom="0.5" header="0.25" footer="0.25"/>
  <pageSetup orientation="portrait" r:id="rId1"/>
  <headerFooter alignWithMargins="0">
    <oddHeader>&amp;R&amp;8Current as of: &amp;D</oddHeader>
    <oddFooter>&amp;L&amp;8USOE, School Finance</oddFooter>
  </headerFooter>
  <picture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>
    <pageSetUpPr fitToPage="1"/>
  </sheetPr>
  <dimension ref="A1:H121"/>
  <sheetViews>
    <sheetView topLeftCell="A59" workbookViewId="0">
      <selection activeCell="C12" sqref="C12"/>
    </sheetView>
  </sheetViews>
  <sheetFormatPr defaultColWidth="9.140625" defaultRowHeight="12.75" x14ac:dyDescent="0.2"/>
  <cols>
    <col min="1" max="1" width="31.85546875" style="82" customWidth="1"/>
    <col min="2" max="2" width="16.140625" style="82" customWidth="1"/>
    <col min="3" max="4" width="14.85546875" style="82" customWidth="1"/>
    <col min="5" max="5" width="7" style="82" customWidth="1"/>
    <col min="6" max="6" width="19.7109375" style="82" customWidth="1"/>
    <col min="7" max="7" width="5.7109375" style="82" customWidth="1"/>
    <col min="8" max="8" width="18" style="82" customWidth="1"/>
    <col min="9" max="16384" width="9.140625" style="82"/>
  </cols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"/>
      <c r="B3" s="1"/>
      <c r="C3" s="1"/>
      <c r="D3" s="1"/>
      <c r="E3" s="1"/>
      <c r="F3" s="1"/>
      <c r="G3" s="1"/>
      <c r="H3" s="1"/>
    </row>
    <row r="4" spans="1:8" x14ac:dyDescent="0.2">
      <c r="A4" s="1"/>
      <c r="B4" s="1"/>
      <c r="C4" s="1"/>
      <c r="D4" s="1"/>
      <c r="E4" s="1"/>
      <c r="F4" s="1"/>
      <c r="G4" s="1"/>
      <c r="H4" s="1"/>
    </row>
    <row r="5" spans="1:8" x14ac:dyDescent="0.2">
      <c r="A5" s="1"/>
      <c r="B5" s="1"/>
      <c r="C5" s="1"/>
      <c r="D5" s="1"/>
      <c r="E5" s="1"/>
      <c r="F5" s="1"/>
      <c r="G5" s="1"/>
      <c r="H5" s="1"/>
    </row>
    <row r="6" spans="1:8" x14ac:dyDescent="0.2">
      <c r="A6" s="1"/>
      <c r="B6" s="1"/>
      <c r="C6" s="1"/>
      <c r="D6" s="1"/>
      <c r="E6" s="1"/>
      <c r="F6" s="1"/>
      <c r="G6" s="1"/>
      <c r="H6" s="1"/>
    </row>
    <row r="7" spans="1:8" x14ac:dyDescent="0.2">
      <c r="A7" s="1"/>
      <c r="B7" s="1"/>
      <c r="C7" s="1"/>
      <c r="D7" s="1"/>
      <c r="E7" s="1"/>
      <c r="F7" s="1"/>
      <c r="G7" s="1"/>
      <c r="H7" s="1"/>
    </row>
    <row r="8" spans="1:8" x14ac:dyDescent="0.2">
      <c r="A8" s="1"/>
      <c r="B8" s="1"/>
      <c r="C8" s="1"/>
      <c r="D8" s="1"/>
      <c r="E8" s="1"/>
      <c r="F8" s="1"/>
      <c r="G8" s="1"/>
      <c r="H8" s="1"/>
    </row>
    <row r="9" spans="1:8" x14ac:dyDescent="0.2">
      <c r="A9" s="1"/>
      <c r="B9" s="1"/>
      <c r="C9" s="1"/>
      <c r="D9" s="1"/>
      <c r="E9" s="1"/>
      <c r="F9" s="1"/>
      <c r="G9" s="1"/>
      <c r="H9" s="1"/>
    </row>
    <row r="10" spans="1:8" x14ac:dyDescent="0.2">
      <c r="A10" s="1"/>
      <c r="B10" s="1"/>
      <c r="C10" s="1"/>
      <c r="D10" s="1"/>
      <c r="E10" s="1"/>
      <c r="F10" s="1"/>
      <c r="G10" s="1"/>
      <c r="H10" s="1"/>
    </row>
    <row r="11" spans="1:8" x14ac:dyDescent="0.2">
      <c r="A11" s="1"/>
      <c r="B11" s="1"/>
      <c r="C11" s="1"/>
      <c r="D11" s="1"/>
      <c r="E11" s="1"/>
      <c r="F11" s="1"/>
      <c r="G11" s="1"/>
      <c r="H11" s="1"/>
    </row>
    <row r="12" spans="1:8" x14ac:dyDescent="0.2">
      <c r="A12" s="1"/>
      <c r="B12" s="1"/>
      <c r="C12" s="1"/>
      <c r="D12" s="1"/>
      <c r="E12" s="1"/>
      <c r="F12" s="1"/>
      <c r="G12" s="1"/>
      <c r="H12" s="1"/>
    </row>
    <row r="13" spans="1:8" x14ac:dyDescent="0.2">
      <c r="A13" s="1"/>
      <c r="B13" s="1"/>
      <c r="C13" s="1"/>
      <c r="D13" s="1"/>
      <c r="E13" s="1"/>
      <c r="F13" s="1"/>
      <c r="G13" s="1"/>
      <c r="H13" s="1"/>
    </row>
    <row r="14" spans="1:8" x14ac:dyDescent="0.2">
      <c r="A14" s="1"/>
      <c r="B14" s="1"/>
      <c r="C14" s="1"/>
      <c r="D14" s="1"/>
      <c r="E14" s="1"/>
      <c r="F14" s="1"/>
      <c r="G14" s="1"/>
      <c r="H14" s="1"/>
    </row>
    <row r="15" spans="1:8" x14ac:dyDescent="0.2">
      <c r="A15" s="1"/>
      <c r="B15" s="1"/>
      <c r="C15" s="1"/>
      <c r="D15" s="1"/>
      <c r="E15" s="1"/>
      <c r="F15" s="1"/>
      <c r="G15" s="1"/>
      <c r="H15" s="1"/>
    </row>
    <row r="16" spans="1:8" x14ac:dyDescent="0.2">
      <c r="A16" s="1"/>
      <c r="B16" s="1"/>
      <c r="C16" s="1"/>
      <c r="D16" s="1"/>
      <c r="E16" s="1"/>
      <c r="F16" s="1"/>
      <c r="G16" s="1"/>
      <c r="H16" s="1"/>
    </row>
    <row r="17" spans="1:8" x14ac:dyDescent="0.2">
      <c r="A17" s="1"/>
      <c r="B17" s="1"/>
      <c r="C17" s="1"/>
      <c r="D17" s="1"/>
      <c r="E17" s="1"/>
      <c r="F17" s="1"/>
      <c r="G17" s="1"/>
      <c r="H17" s="1"/>
    </row>
    <row r="18" spans="1:8" x14ac:dyDescent="0.2">
      <c r="A18" s="1"/>
      <c r="B18" s="1"/>
      <c r="C18" s="1"/>
      <c r="D18" s="1"/>
      <c r="E18" s="1"/>
      <c r="F18" s="1"/>
      <c r="G18" s="1"/>
      <c r="H18" s="1"/>
    </row>
    <row r="19" spans="1:8" x14ac:dyDescent="0.2">
      <c r="A19" s="1"/>
      <c r="B19" s="1"/>
      <c r="C19" s="1"/>
      <c r="D19" s="1"/>
      <c r="E19" s="1"/>
      <c r="F19" s="1"/>
      <c r="G19" s="1"/>
      <c r="H19" s="1"/>
    </row>
    <row r="20" spans="1:8" x14ac:dyDescent="0.2">
      <c r="A20" s="1"/>
      <c r="B20" s="1"/>
      <c r="C20" s="1"/>
      <c r="D20" s="1"/>
      <c r="E20" s="1"/>
      <c r="F20" s="1"/>
      <c r="G20" s="1"/>
      <c r="H20" s="1"/>
    </row>
    <row r="21" spans="1:8" x14ac:dyDescent="0.2">
      <c r="A21" s="1"/>
      <c r="B21" s="1"/>
      <c r="C21" s="1"/>
      <c r="D21" s="1"/>
      <c r="E21" s="1"/>
      <c r="F21" s="1"/>
      <c r="G21" s="1"/>
      <c r="H21" s="1"/>
    </row>
    <row r="22" spans="1:8" x14ac:dyDescent="0.2">
      <c r="A22" s="1"/>
      <c r="B22" s="1"/>
      <c r="C22" s="1"/>
      <c r="D22" s="4"/>
      <c r="E22" s="1"/>
      <c r="F22" s="1"/>
      <c r="G22" s="1"/>
      <c r="H22" s="1"/>
    </row>
    <row r="23" spans="1:8" x14ac:dyDescent="0.2">
      <c r="A23" s="1"/>
      <c r="B23" s="1"/>
      <c r="C23" s="1"/>
      <c r="D23" s="1"/>
      <c r="E23" s="1"/>
      <c r="F23" s="1"/>
      <c r="G23" s="1"/>
      <c r="H23" s="1"/>
    </row>
    <row r="24" spans="1:8" x14ac:dyDescent="0.2">
      <c r="A24" s="1"/>
      <c r="B24" s="1"/>
      <c r="C24" s="1"/>
      <c r="D24" s="1"/>
      <c r="E24" s="1"/>
      <c r="F24" s="1"/>
      <c r="G24" s="1"/>
      <c r="H24" s="1"/>
    </row>
    <row r="25" spans="1:8" x14ac:dyDescent="0.2">
      <c r="A25" s="1"/>
      <c r="B25" s="1"/>
      <c r="C25" s="1"/>
      <c r="D25" s="1"/>
      <c r="E25" s="1"/>
      <c r="F25" s="1"/>
      <c r="G25" s="1"/>
      <c r="H25" s="1"/>
    </row>
    <row r="26" spans="1:8" x14ac:dyDescent="0.2">
      <c r="A26" s="1"/>
      <c r="B26" s="1"/>
      <c r="C26" s="1"/>
      <c r="D26" s="1"/>
      <c r="E26" s="1"/>
      <c r="F26" s="1"/>
      <c r="G26" s="1"/>
      <c r="H26" s="1"/>
    </row>
    <row r="27" spans="1:8" x14ac:dyDescent="0.2">
      <c r="A27" s="1"/>
      <c r="B27" s="1"/>
      <c r="C27" s="1"/>
      <c r="D27" s="1"/>
      <c r="E27" s="1"/>
      <c r="F27" s="1"/>
      <c r="G27" s="1"/>
      <c r="H27" s="1"/>
    </row>
    <row r="28" spans="1:8" x14ac:dyDescent="0.2">
      <c r="A28" s="1"/>
      <c r="B28" s="1"/>
      <c r="C28" s="1"/>
      <c r="D28" s="1"/>
      <c r="E28" s="1"/>
      <c r="F28" s="1"/>
      <c r="G28" s="1"/>
      <c r="H28" s="1"/>
    </row>
    <row r="29" spans="1:8" x14ac:dyDescent="0.2">
      <c r="A29" s="1"/>
      <c r="B29" s="1"/>
      <c r="C29" s="1"/>
      <c r="D29" s="1"/>
      <c r="E29" s="1"/>
      <c r="F29" s="1"/>
      <c r="G29" s="1"/>
      <c r="H29" s="1"/>
    </row>
    <row r="30" spans="1:8" x14ac:dyDescent="0.2">
      <c r="A30" s="1"/>
      <c r="B30" s="1"/>
      <c r="C30" s="1"/>
      <c r="D30" s="1"/>
      <c r="E30" s="1"/>
      <c r="F30" s="1"/>
      <c r="G30" s="1"/>
      <c r="H30" s="1"/>
    </row>
    <row r="31" spans="1:8" x14ac:dyDescent="0.2">
      <c r="A31" s="1"/>
      <c r="B31" s="1"/>
      <c r="C31" s="1"/>
      <c r="D31" s="1"/>
      <c r="E31" s="1"/>
      <c r="F31" s="1"/>
      <c r="G31" s="1"/>
      <c r="H31" s="1"/>
    </row>
    <row r="32" spans="1:8" x14ac:dyDescent="0.2">
      <c r="A32" s="1"/>
      <c r="B32" s="1"/>
      <c r="C32" s="1"/>
      <c r="D32" s="1"/>
      <c r="E32" s="1"/>
      <c r="F32" s="1"/>
      <c r="G32" s="1"/>
      <c r="H32" s="1"/>
    </row>
    <row r="33" spans="1:8" x14ac:dyDescent="0.2">
      <c r="A33" s="1"/>
      <c r="B33" s="1"/>
      <c r="C33" s="1"/>
      <c r="D33" s="1"/>
      <c r="E33" s="1"/>
      <c r="F33" s="1"/>
      <c r="G33" s="1"/>
      <c r="H33" s="1"/>
    </row>
    <row r="34" spans="1:8" x14ac:dyDescent="0.2">
      <c r="A34" s="1"/>
      <c r="B34" s="1"/>
      <c r="C34" s="1"/>
      <c r="D34" s="1"/>
      <c r="E34" s="1"/>
      <c r="F34" s="1"/>
      <c r="G34" s="1"/>
      <c r="H34" s="1"/>
    </row>
    <row r="35" spans="1:8" x14ac:dyDescent="0.2">
      <c r="A35" s="1"/>
      <c r="B35" s="1"/>
      <c r="C35" s="1"/>
      <c r="D35" s="1"/>
      <c r="E35" s="1"/>
      <c r="F35" s="1"/>
      <c r="G35" s="1"/>
      <c r="H35" s="1"/>
    </row>
    <row r="36" spans="1:8" x14ac:dyDescent="0.2">
      <c r="A36" s="1"/>
      <c r="B36" s="1"/>
      <c r="C36" s="1"/>
      <c r="D36" s="1"/>
      <c r="E36" s="1"/>
      <c r="F36" s="1"/>
      <c r="G36" s="1"/>
      <c r="H36" s="1"/>
    </row>
    <row r="37" spans="1:8" x14ac:dyDescent="0.2">
      <c r="A37" s="1"/>
      <c r="B37" s="1"/>
      <c r="C37" s="1"/>
      <c r="D37" s="1"/>
      <c r="E37" s="1"/>
      <c r="F37" s="1"/>
      <c r="G37" s="1"/>
      <c r="H37" s="1"/>
    </row>
    <row r="38" spans="1:8" x14ac:dyDescent="0.2">
      <c r="A38" s="1"/>
      <c r="B38" s="1"/>
      <c r="C38" s="1"/>
      <c r="D38" s="1"/>
      <c r="E38" s="1"/>
      <c r="F38" s="1"/>
      <c r="G38" s="1"/>
      <c r="H38" s="1"/>
    </row>
    <row r="39" spans="1:8" x14ac:dyDescent="0.2">
      <c r="A39" s="1"/>
      <c r="B39" s="1"/>
      <c r="C39" s="1"/>
      <c r="D39" s="1"/>
      <c r="E39" s="1"/>
      <c r="F39" s="1"/>
      <c r="G39" s="1"/>
      <c r="H39" s="1"/>
    </row>
    <row r="40" spans="1:8" x14ac:dyDescent="0.2">
      <c r="A40" s="1"/>
      <c r="B40" s="1"/>
      <c r="C40" s="1"/>
      <c r="D40" s="1"/>
      <c r="E40" s="1"/>
      <c r="F40" s="1"/>
      <c r="G40" s="1"/>
      <c r="H40" s="1"/>
    </row>
    <row r="41" spans="1:8" x14ac:dyDescent="0.2">
      <c r="A41" s="1"/>
      <c r="B41" s="1"/>
      <c r="C41" s="1"/>
      <c r="D41" s="1"/>
      <c r="E41" s="1"/>
      <c r="F41" s="1"/>
      <c r="G41" s="1"/>
      <c r="H41" s="1"/>
    </row>
    <row r="42" spans="1:8" x14ac:dyDescent="0.2">
      <c r="A42" s="1"/>
      <c r="B42" s="1"/>
      <c r="C42" s="1"/>
      <c r="D42" s="1"/>
      <c r="E42" s="1"/>
      <c r="F42" s="1"/>
      <c r="G42" s="1"/>
      <c r="H42" s="1"/>
    </row>
    <row r="43" spans="1:8" x14ac:dyDescent="0.2">
      <c r="A43" s="1"/>
      <c r="B43" s="1"/>
      <c r="C43" s="1"/>
      <c r="D43" s="1"/>
      <c r="E43" s="1"/>
      <c r="F43" s="1"/>
      <c r="G43" s="1"/>
      <c r="H43" s="1"/>
    </row>
    <row r="44" spans="1:8" x14ac:dyDescent="0.2">
      <c r="A44" s="1"/>
      <c r="B44" s="1"/>
      <c r="C44" s="1"/>
      <c r="D44" s="1"/>
      <c r="E44" s="1"/>
      <c r="F44" s="1"/>
      <c r="G44" s="1"/>
      <c r="H44" s="1"/>
    </row>
    <row r="45" spans="1:8" x14ac:dyDescent="0.2">
      <c r="A45" s="1"/>
      <c r="B45" s="1"/>
      <c r="C45" s="1"/>
      <c r="D45" s="1"/>
      <c r="E45" s="1"/>
      <c r="F45" s="1"/>
      <c r="G45" s="1"/>
      <c r="H45" s="1"/>
    </row>
    <row r="46" spans="1:8" x14ac:dyDescent="0.2">
      <c r="A46" s="1"/>
      <c r="B46" s="1"/>
      <c r="C46" s="1"/>
      <c r="D46" s="1"/>
      <c r="E46" s="1"/>
      <c r="F46" s="1"/>
      <c r="G46" s="1"/>
      <c r="H46" s="1"/>
    </row>
    <row r="47" spans="1:8" x14ac:dyDescent="0.2">
      <c r="A47" s="1"/>
      <c r="B47" s="1"/>
      <c r="C47" s="1"/>
      <c r="D47" s="1"/>
      <c r="E47" s="1"/>
      <c r="F47" s="1"/>
      <c r="G47" s="1"/>
      <c r="H47" s="1"/>
    </row>
    <row r="48" spans="1:8" x14ac:dyDescent="0.2">
      <c r="A48" s="1"/>
      <c r="B48" s="1"/>
      <c r="C48" s="1"/>
      <c r="D48" s="1"/>
      <c r="E48" s="1"/>
      <c r="F48" s="1"/>
      <c r="G48" s="1"/>
      <c r="H48" s="1"/>
    </row>
    <row r="49" spans="1:8" x14ac:dyDescent="0.2">
      <c r="A49" s="1"/>
      <c r="B49" s="1"/>
      <c r="C49" s="1"/>
      <c r="D49" s="1"/>
      <c r="E49" s="1"/>
      <c r="F49" s="1"/>
      <c r="G49" s="1"/>
      <c r="H49" s="1"/>
    </row>
    <row r="50" spans="1:8" x14ac:dyDescent="0.2">
      <c r="A50" s="1"/>
      <c r="B50" s="1"/>
      <c r="C50" s="1"/>
      <c r="D50" s="1"/>
      <c r="E50" s="1"/>
      <c r="F50" s="1"/>
      <c r="G50" s="1"/>
      <c r="H50" s="1"/>
    </row>
    <row r="51" spans="1:8" x14ac:dyDescent="0.2">
      <c r="A51" s="1"/>
      <c r="B51" s="1"/>
      <c r="C51" s="1"/>
      <c r="D51" s="1"/>
      <c r="E51" s="1"/>
      <c r="F51" s="1"/>
      <c r="G51" s="1"/>
      <c r="H51" s="1"/>
    </row>
    <row r="52" spans="1:8" x14ac:dyDescent="0.2">
      <c r="A52" s="1"/>
      <c r="B52" s="1"/>
      <c r="C52" s="1"/>
      <c r="D52" s="1"/>
      <c r="E52" s="1"/>
      <c r="F52" s="1"/>
      <c r="G52" s="1"/>
      <c r="H52" s="1"/>
    </row>
    <row r="53" spans="1:8" x14ac:dyDescent="0.2">
      <c r="A53" s="1"/>
      <c r="B53" s="1"/>
      <c r="C53" s="1"/>
      <c r="D53" s="1"/>
      <c r="E53" s="1"/>
      <c r="F53" s="1"/>
      <c r="G53" s="1"/>
      <c r="H53" s="1"/>
    </row>
    <row r="54" spans="1:8" x14ac:dyDescent="0.2">
      <c r="A54" s="1"/>
      <c r="B54" s="1"/>
      <c r="C54" s="1"/>
      <c r="D54" s="1"/>
      <c r="E54" s="1"/>
      <c r="F54" s="1"/>
      <c r="G54" s="1"/>
      <c r="H54" s="1"/>
    </row>
    <row r="55" spans="1:8" x14ac:dyDescent="0.2">
      <c r="A55" s="1"/>
      <c r="B55" s="1"/>
      <c r="C55" s="1"/>
      <c r="D55" s="1"/>
      <c r="E55" s="1"/>
      <c r="F55" s="1"/>
      <c r="G55" s="1"/>
      <c r="H55" s="1"/>
    </row>
    <row r="56" spans="1:8" x14ac:dyDescent="0.2">
      <c r="A56" s="1"/>
      <c r="B56" s="1"/>
      <c r="C56" s="1"/>
      <c r="D56" s="1"/>
      <c r="E56" s="1"/>
      <c r="F56" s="1"/>
      <c r="G56" s="1"/>
      <c r="H56" s="1"/>
    </row>
    <row r="57" spans="1:8" x14ac:dyDescent="0.2">
      <c r="A57" s="1"/>
      <c r="B57" s="1"/>
      <c r="C57" s="1"/>
      <c r="D57" s="1"/>
      <c r="E57" s="1"/>
      <c r="F57" s="1"/>
      <c r="G57" s="1"/>
      <c r="H57" s="1"/>
    </row>
    <row r="58" spans="1:8" x14ac:dyDescent="0.2">
      <c r="A58" s="1"/>
      <c r="B58" s="1"/>
      <c r="C58" s="1"/>
      <c r="D58" s="1"/>
      <c r="E58" s="1"/>
      <c r="F58" s="1"/>
      <c r="G58" s="1"/>
      <c r="H58" s="1"/>
    </row>
    <row r="59" spans="1:8" x14ac:dyDescent="0.2">
      <c r="A59" s="1"/>
      <c r="B59" s="1"/>
      <c r="C59" s="1"/>
      <c r="D59" s="1"/>
      <c r="E59" s="1"/>
      <c r="F59" s="1"/>
      <c r="G59" s="1"/>
      <c r="H59" s="1"/>
    </row>
    <row r="60" spans="1:8" x14ac:dyDescent="0.2">
      <c r="A60" s="1"/>
      <c r="B60" s="1"/>
      <c r="C60" s="1"/>
      <c r="D60" s="1"/>
      <c r="E60" s="1"/>
      <c r="F60" s="1"/>
      <c r="G60" s="1"/>
      <c r="H60" s="1"/>
    </row>
    <row r="61" spans="1:8" x14ac:dyDescent="0.2">
      <c r="A61" s="1"/>
      <c r="B61" s="1"/>
      <c r="C61" s="1"/>
      <c r="D61" s="1"/>
      <c r="E61" s="1"/>
      <c r="F61" s="1"/>
      <c r="G61" s="1"/>
      <c r="H61" s="1"/>
    </row>
    <row r="62" spans="1:8" x14ac:dyDescent="0.2">
      <c r="A62" s="1"/>
      <c r="B62" s="1"/>
      <c r="C62" s="1"/>
      <c r="D62" s="1"/>
      <c r="E62" s="1"/>
      <c r="F62" s="1"/>
      <c r="G62" s="1"/>
      <c r="H62" s="1"/>
    </row>
    <row r="63" spans="1:8" x14ac:dyDescent="0.2">
      <c r="A63" s="11" t="s">
        <v>1</v>
      </c>
      <c r="B63" s="12"/>
      <c r="C63" s="12"/>
      <c r="D63" s="13"/>
      <c r="E63" s="8"/>
      <c r="F63" s="8"/>
      <c r="G63" s="8"/>
      <c r="H63" s="8"/>
    </row>
    <row r="64" spans="1:8" x14ac:dyDescent="0.2">
      <c r="A64" s="14" t="s">
        <v>15</v>
      </c>
      <c r="B64" s="15"/>
      <c r="C64" s="15"/>
      <c r="D64" s="16"/>
      <c r="E64" s="8"/>
      <c r="F64" s="8"/>
      <c r="G64" s="8"/>
      <c r="H64" s="8"/>
    </row>
    <row r="65" spans="1:8" x14ac:dyDescent="0.2">
      <c r="A65" s="17" t="s">
        <v>62</v>
      </c>
      <c r="B65" s="18"/>
      <c r="C65" s="18"/>
      <c r="D65" s="19"/>
      <c r="E65" s="8"/>
      <c r="F65" s="8"/>
      <c r="G65" s="8"/>
      <c r="H65" s="8"/>
    </row>
    <row r="66" spans="1:8" x14ac:dyDescent="0.2">
      <c r="A66" s="20"/>
      <c r="B66" s="21"/>
      <c r="C66" s="22"/>
      <c r="D66" s="23"/>
      <c r="E66" s="8"/>
      <c r="F66" s="8" t="s">
        <v>34</v>
      </c>
      <c r="G66" s="8"/>
      <c r="H66" s="8"/>
    </row>
    <row r="67" spans="1:8" ht="15.75" x14ac:dyDescent="0.25">
      <c r="A67" s="24" t="s">
        <v>2</v>
      </c>
      <c r="B67" s="25" t="str">
        <f>[1]Charters!B70</f>
        <v>Quest Academy</v>
      </c>
      <c r="C67" s="26"/>
      <c r="D67" s="27"/>
      <c r="E67" s="8"/>
      <c r="F67" s="8"/>
      <c r="G67" s="8"/>
      <c r="H67" s="8"/>
    </row>
    <row r="68" spans="1:8" x14ac:dyDescent="0.2">
      <c r="A68" s="24"/>
      <c r="B68" s="28"/>
      <c r="C68" s="26"/>
      <c r="D68" s="27"/>
      <c r="E68" s="8"/>
      <c r="F68" s="8"/>
      <c r="G68" s="8"/>
      <c r="H68" s="8"/>
    </row>
    <row r="69" spans="1:8" x14ac:dyDescent="0.2">
      <c r="A69" s="29" t="s">
        <v>0</v>
      </c>
      <c r="B69" s="30">
        <f>[1]Charters!$E$6</f>
        <v>3184</v>
      </c>
      <c r="C69" s="26"/>
      <c r="D69" s="31"/>
      <c r="E69" s="8"/>
      <c r="F69" s="8"/>
      <c r="G69" s="8"/>
      <c r="H69" s="8"/>
    </row>
    <row r="70" spans="1:8" x14ac:dyDescent="0.2">
      <c r="A70" s="32"/>
      <c r="B70" s="6"/>
      <c r="C70" s="33"/>
      <c r="D70" s="34" t="s">
        <v>3</v>
      </c>
      <c r="E70" s="8"/>
      <c r="F70" s="8"/>
      <c r="G70" s="8"/>
      <c r="H70" s="8"/>
    </row>
    <row r="71" spans="1:8" x14ac:dyDescent="0.2">
      <c r="A71" s="29" t="s">
        <v>19</v>
      </c>
      <c r="B71" s="35" t="str">
        <f>[1]Charters!A70</f>
        <v>1F</v>
      </c>
      <c r="C71" s="36" t="s">
        <v>4</v>
      </c>
      <c r="D71" s="37" t="s">
        <v>5</v>
      </c>
      <c r="E71" s="8"/>
      <c r="F71" s="8"/>
      <c r="G71" s="8"/>
      <c r="H71" s="8"/>
    </row>
    <row r="72" spans="1:8" x14ac:dyDescent="0.2">
      <c r="A72" s="38" t="s">
        <v>6</v>
      </c>
      <c r="B72" s="39"/>
      <c r="C72" s="40"/>
      <c r="D72" s="41"/>
      <c r="E72" s="8"/>
      <c r="F72" s="8"/>
      <c r="G72" s="8"/>
      <c r="H72" s="8"/>
    </row>
    <row r="73" spans="1:8" x14ac:dyDescent="0.2">
      <c r="A73" s="38" t="s">
        <v>7</v>
      </c>
      <c r="B73" s="39"/>
      <c r="C73" s="40"/>
      <c r="D73" s="41"/>
      <c r="E73" s="8"/>
      <c r="F73" s="42" t="s">
        <v>23</v>
      </c>
      <c r="G73" s="8"/>
      <c r="H73" s="42" t="s">
        <v>26</v>
      </c>
    </row>
    <row r="74" spans="1:8" x14ac:dyDescent="0.2">
      <c r="A74" s="20" t="s">
        <v>8</v>
      </c>
      <c r="B74" s="43"/>
      <c r="C74" s="44">
        <f>[1]Charters!C530</f>
        <v>826.05600000000004</v>
      </c>
      <c r="D74" s="45">
        <f>[1]Charters!E530</f>
        <v>2630163.36</v>
      </c>
      <c r="E74" s="8"/>
      <c r="F74" s="42">
        <f>[1]Charters!E685</f>
        <v>2788585.99</v>
      </c>
      <c r="G74" s="8"/>
      <c r="H74" s="42">
        <f>[2]Charters!E224</f>
        <v>3689611.75</v>
      </c>
    </row>
    <row r="75" spans="1:8" x14ac:dyDescent="0.2">
      <c r="A75" s="20" t="s">
        <v>14</v>
      </c>
      <c r="B75" s="43"/>
      <c r="C75" s="44">
        <f>[1]Charters!F530</f>
        <v>49.756</v>
      </c>
      <c r="D75" s="45">
        <f>[1]Charters!H530</f>
        <v>158422.63</v>
      </c>
      <c r="E75" s="8"/>
      <c r="F75" s="42">
        <f>SUM(D74:D76)</f>
        <v>2788585.99</v>
      </c>
      <c r="G75" s="8"/>
      <c r="H75" s="42">
        <f>D87</f>
        <v>3689611.75</v>
      </c>
    </row>
    <row r="76" spans="1:8" x14ac:dyDescent="0.2">
      <c r="A76" s="20" t="s">
        <v>32</v>
      </c>
      <c r="B76" s="43"/>
      <c r="C76" s="44">
        <f>[1]Charters!C223</f>
        <v>0</v>
      </c>
      <c r="D76" s="45">
        <f>[1]Charters!E223</f>
        <v>0</v>
      </c>
      <c r="E76" s="8"/>
      <c r="F76" s="42">
        <f>+F74-F75</f>
        <v>0</v>
      </c>
      <c r="G76" s="8"/>
      <c r="H76" s="42">
        <f>+H74-H75</f>
        <v>0</v>
      </c>
    </row>
    <row r="77" spans="1:8" x14ac:dyDescent="0.2">
      <c r="A77" s="38" t="s">
        <v>9</v>
      </c>
      <c r="B77" s="39"/>
      <c r="C77" s="46"/>
      <c r="D77" s="47"/>
      <c r="E77" s="8"/>
      <c r="F77" s="8"/>
      <c r="G77" s="8"/>
      <c r="H77" s="8"/>
    </row>
    <row r="78" spans="1:8" x14ac:dyDescent="0.2">
      <c r="A78" s="20" t="s">
        <v>10</v>
      </c>
      <c r="B78" s="43"/>
      <c r="C78" s="40">
        <f>[3]Charters!C69</f>
        <v>183.22399999999999</v>
      </c>
      <c r="D78" s="41">
        <f>[3]Charters!E69</f>
        <v>583385.31000000006</v>
      </c>
      <c r="E78" s="8"/>
      <c r="F78" s="42" t="s">
        <v>24</v>
      </c>
      <c r="G78" s="8"/>
      <c r="H78" s="8"/>
    </row>
    <row r="79" spans="1:8" x14ac:dyDescent="0.2">
      <c r="A79" s="48" t="s">
        <v>11</v>
      </c>
      <c r="B79" s="43"/>
      <c r="C79" s="40">
        <f>[3]Charters!F69</f>
        <v>15.14</v>
      </c>
      <c r="D79" s="49">
        <f>[3]Charters!H69</f>
        <v>48205.760000000002</v>
      </c>
      <c r="E79" s="8"/>
      <c r="F79" s="42">
        <f>[3]Charters!N381</f>
        <v>643508.17000000004</v>
      </c>
      <c r="G79" s="8"/>
      <c r="H79" s="8"/>
    </row>
    <row r="80" spans="1:8" x14ac:dyDescent="0.2">
      <c r="A80" s="48" t="s">
        <v>12</v>
      </c>
      <c r="B80" s="43"/>
      <c r="C80" s="40">
        <f>[3]Charters!C224</f>
        <v>0</v>
      </c>
      <c r="D80" s="41">
        <f>[3]Charters!E224</f>
        <v>0</v>
      </c>
      <c r="E80" s="8"/>
      <c r="F80" s="42">
        <f>SUM(D78:D84)</f>
        <v>643508.17000000004</v>
      </c>
      <c r="G80" s="8"/>
      <c r="H80" s="8"/>
    </row>
    <row r="81" spans="1:8" x14ac:dyDescent="0.2">
      <c r="A81" s="20" t="s">
        <v>13</v>
      </c>
      <c r="B81" s="43"/>
      <c r="C81" s="40">
        <f>[3]Charters!F224</f>
        <v>1.175</v>
      </c>
      <c r="D81" s="41">
        <f>[3]Charters!H224</f>
        <v>3741.76</v>
      </c>
      <c r="E81" s="8"/>
      <c r="F81" s="42">
        <f>+F79-F80</f>
        <v>0</v>
      </c>
      <c r="G81" s="8"/>
      <c r="H81" s="8"/>
    </row>
    <row r="82" spans="1:8" x14ac:dyDescent="0.2">
      <c r="A82" s="48" t="s">
        <v>54</v>
      </c>
      <c r="B82" s="43"/>
      <c r="C82" s="40">
        <f>[3]Charters!C381</f>
        <v>2.5680000000000001</v>
      </c>
      <c r="D82" s="41">
        <f>[3]Charters!E381</f>
        <v>8175.34</v>
      </c>
      <c r="E82" s="8"/>
      <c r="F82" s="8"/>
      <c r="G82" s="8"/>
      <c r="H82" s="8"/>
    </row>
    <row r="83" spans="1:8" x14ac:dyDescent="0.2">
      <c r="A83" s="48" t="s">
        <v>55</v>
      </c>
      <c r="B83" s="43"/>
      <c r="C83" s="40">
        <f>[3]Charters!F381</f>
        <v>0</v>
      </c>
      <c r="D83" s="41">
        <f>[3]Charters!H381</f>
        <v>0</v>
      </c>
      <c r="E83" s="8"/>
      <c r="F83" s="42" t="s">
        <v>25</v>
      </c>
      <c r="G83" s="8"/>
      <c r="H83" s="8"/>
    </row>
    <row r="84" spans="1:8" x14ac:dyDescent="0.2">
      <c r="A84" s="48" t="s">
        <v>56</v>
      </c>
      <c r="B84" s="43"/>
      <c r="C84" s="40">
        <f>[3]Charters!I381</f>
        <v>0</v>
      </c>
      <c r="D84" s="41">
        <f>[3]Charters!K381</f>
        <v>0</v>
      </c>
      <c r="E84" s="8"/>
      <c r="F84" s="42">
        <f>[2]Charters!H70</f>
        <v>901025.76</v>
      </c>
      <c r="G84" s="8"/>
      <c r="H84" s="8"/>
    </row>
    <row r="85" spans="1:8" x14ac:dyDescent="0.2">
      <c r="A85" s="20" t="s">
        <v>49</v>
      </c>
      <c r="B85" s="43"/>
      <c r="C85" s="40">
        <f>[3]Charters!C537</f>
        <v>1.4570000000000001</v>
      </c>
      <c r="D85" s="41">
        <f>[3]Charters!E537</f>
        <v>4638.5600000000004</v>
      </c>
      <c r="E85" s="8"/>
      <c r="F85" s="42">
        <f>SUM(D78:D86)</f>
        <v>901025.76</v>
      </c>
      <c r="G85" s="8"/>
      <c r="H85" s="8"/>
    </row>
    <row r="86" spans="1:8" x14ac:dyDescent="0.2">
      <c r="A86" s="20" t="s">
        <v>50</v>
      </c>
      <c r="B86" s="43"/>
      <c r="C86" s="40">
        <f>[2]Charters!C70</f>
        <v>79.421999999999997</v>
      </c>
      <c r="D86" s="41">
        <f>[2]Charters!E70</f>
        <v>252879.03</v>
      </c>
      <c r="E86" s="8"/>
      <c r="F86" s="42">
        <f>+F84-F85</f>
        <v>0</v>
      </c>
      <c r="G86" s="8"/>
      <c r="H86" s="8"/>
    </row>
    <row r="87" spans="1:8" x14ac:dyDescent="0.2">
      <c r="A87" s="50"/>
      <c r="B87" s="51" t="s">
        <v>16</v>
      </c>
      <c r="C87" s="52">
        <f>SUM(C74:C86)</f>
        <v>1158.798</v>
      </c>
      <c r="D87" s="53">
        <f>SUM(D74:D86)</f>
        <v>3689611.75</v>
      </c>
      <c r="E87" s="8"/>
      <c r="F87" s="8"/>
      <c r="G87" s="8"/>
      <c r="H87" s="8"/>
    </row>
    <row r="88" spans="1:8" x14ac:dyDescent="0.2">
      <c r="A88" s="54" t="s">
        <v>17</v>
      </c>
      <c r="B88" s="39"/>
      <c r="C88" s="55"/>
      <c r="D88" s="47"/>
      <c r="E88" s="8"/>
      <c r="F88" s="8"/>
      <c r="G88" s="8"/>
      <c r="H88" s="42" t="s">
        <v>29</v>
      </c>
    </row>
    <row r="89" spans="1:8" x14ac:dyDescent="0.2">
      <c r="A89" s="20" t="s">
        <v>33</v>
      </c>
      <c r="B89" s="43"/>
      <c r="C89" s="56"/>
      <c r="D89" s="57">
        <f>[4]Charters!C70</f>
        <v>10694.22</v>
      </c>
      <c r="E89" s="8"/>
      <c r="F89" s="8"/>
      <c r="G89" s="8"/>
      <c r="H89" s="42">
        <f>[4]Charters!F1010</f>
        <v>6066710.4000000004</v>
      </c>
    </row>
    <row r="90" spans="1:8" x14ac:dyDescent="0.2">
      <c r="A90" s="58" t="s">
        <v>35</v>
      </c>
      <c r="B90" s="43"/>
      <c r="C90" s="56"/>
      <c r="D90" s="41">
        <f>+[4]Charters!F391</f>
        <v>3975.8</v>
      </c>
      <c r="E90" s="8"/>
      <c r="F90" s="8"/>
      <c r="G90" s="8"/>
      <c r="H90" s="42">
        <f>SUM(D87:D106)</f>
        <v>6066710.4000000004</v>
      </c>
    </row>
    <row r="91" spans="1:8" x14ac:dyDescent="0.2">
      <c r="A91" s="59" t="s">
        <v>36</v>
      </c>
      <c r="B91" s="43"/>
      <c r="C91" s="56"/>
      <c r="D91" s="41">
        <f>[4]Charters!E230</f>
        <v>33389</v>
      </c>
      <c r="E91" s="8"/>
      <c r="F91" s="8"/>
      <c r="G91" s="8"/>
      <c r="H91" s="42">
        <f>+H89-H90</f>
        <v>0</v>
      </c>
    </row>
    <row r="92" spans="1:8" x14ac:dyDescent="0.2">
      <c r="A92" s="59" t="s">
        <v>52</v>
      </c>
      <c r="B92" s="43"/>
      <c r="C92" s="56"/>
      <c r="D92" s="41">
        <f>[4]Charters!G391</f>
        <v>0</v>
      </c>
      <c r="E92" s="8"/>
      <c r="F92" s="42" t="s">
        <v>27</v>
      </c>
      <c r="G92" s="8"/>
      <c r="H92" s="42"/>
    </row>
    <row r="93" spans="1:8" x14ac:dyDescent="0.2">
      <c r="A93" s="20" t="s">
        <v>37</v>
      </c>
      <c r="B93" s="43"/>
      <c r="C93" s="56"/>
      <c r="D93" s="41">
        <f>[4]Charters!E547</f>
        <v>68420</v>
      </c>
      <c r="E93" s="8"/>
      <c r="F93" s="42">
        <f>[4]Charters!E230</f>
        <v>33389</v>
      </c>
      <c r="G93" s="8"/>
      <c r="H93" s="8"/>
    </row>
    <row r="94" spans="1:8" x14ac:dyDescent="0.2">
      <c r="A94" s="20" t="s">
        <v>38</v>
      </c>
      <c r="B94" s="43"/>
      <c r="C94" s="56"/>
      <c r="D94" s="41">
        <f>[4]Charters!F547</f>
        <v>0</v>
      </c>
      <c r="E94" s="8"/>
      <c r="F94" s="42">
        <f>SUM(D91:D91)</f>
        <v>33389</v>
      </c>
      <c r="G94" s="8"/>
      <c r="H94" s="8"/>
    </row>
    <row r="95" spans="1:8" x14ac:dyDescent="0.2">
      <c r="A95" s="59" t="s">
        <v>40</v>
      </c>
      <c r="B95" s="43"/>
      <c r="C95" s="56"/>
      <c r="D95" s="41">
        <f>[4]Charters!G547</f>
        <v>0</v>
      </c>
      <c r="E95" s="8"/>
      <c r="F95" s="42">
        <f>+F93-F94</f>
        <v>0</v>
      </c>
      <c r="G95" s="8"/>
      <c r="H95" s="8"/>
    </row>
    <row r="96" spans="1:8" x14ac:dyDescent="0.2">
      <c r="A96" s="20" t="s">
        <v>41</v>
      </c>
      <c r="B96" s="43"/>
      <c r="C96" s="56"/>
      <c r="D96" s="41">
        <f>[4]Charters!C701</f>
        <v>1894947</v>
      </c>
      <c r="E96" s="8"/>
      <c r="F96" s="42" t="s">
        <v>28</v>
      </c>
      <c r="G96" s="8"/>
      <c r="H96" s="8"/>
    </row>
    <row r="97" spans="1:8" x14ac:dyDescent="0.2">
      <c r="A97" s="20" t="s">
        <v>42</v>
      </c>
      <c r="B97" s="43"/>
      <c r="C97" s="56"/>
      <c r="D97" s="41">
        <f>[4]Charters!D701</f>
        <v>240609.66</v>
      </c>
      <c r="E97" s="8"/>
      <c r="F97" s="42">
        <f>[4]Charters!D547</f>
        <v>37364.800000000003</v>
      </c>
      <c r="G97" s="8"/>
      <c r="H97" s="8"/>
    </row>
    <row r="98" spans="1:8" x14ac:dyDescent="0.2">
      <c r="A98" s="20" t="s">
        <v>44</v>
      </c>
      <c r="B98" s="43"/>
      <c r="C98" s="56"/>
      <c r="D98" s="41">
        <f>[4]Charters!E701</f>
        <v>94700</v>
      </c>
      <c r="E98" s="8"/>
      <c r="F98" s="42">
        <f>SUM(D90:D92)</f>
        <v>37364.800000000003</v>
      </c>
      <c r="G98" s="8"/>
      <c r="H98" s="8"/>
    </row>
    <row r="99" spans="1:8" x14ac:dyDescent="0.2">
      <c r="A99" s="59" t="s">
        <v>43</v>
      </c>
      <c r="B99" s="43"/>
      <c r="C99" s="56"/>
      <c r="D99" s="41">
        <f>[4]Charters!F701</f>
        <v>29191.13</v>
      </c>
      <c r="E99" s="8"/>
      <c r="F99" s="42">
        <f>+F97-F98</f>
        <v>0</v>
      </c>
      <c r="G99" s="8"/>
      <c r="H99" s="8"/>
    </row>
    <row r="100" spans="1:8" x14ac:dyDescent="0.2">
      <c r="A100" s="59" t="s">
        <v>45</v>
      </c>
      <c r="B100" s="43"/>
      <c r="C100" s="56"/>
      <c r="D100" s="41">
        <f>[4]Charters!C547</f>
        <v>0</v>
      </c>
      <c r="E100" s="8"/>
      <c r="F100" s="8"/>
      <c r="G100" s="8"/>
      <c r="H100" s="8"/>
    </row>
    <row r="101" spans="1:8" x14ac:dyDescent="0.2">
      <c r="A101" s="59" t="s">
        <v>46</v>
      </c>
      <c r="B101" s="43"/>
      <c r="C101" s="56"/>
      <c r="D101" s="41">
        <f>[4]Charters!C857</f>
        <v>0</v>
      </c>
      <c r="E101" s="42"/>
      <c r="F101" s="42"/>
      <c r="G101" s="42"/>
      <c r="H101" s="42" t="s">
        <v>31</v>
      </c>
    </row>
    <row r="102" spans="1:8" x14ac:dyDescent="0.2">
      <c r="A102" s="59" t="s">
        <v>51</v>
      </c>
      <c r="B102" s="43"/>
      <c r="C102" s="56"/>
      <c r="D102" s="60">
        <f>[4]Charters!D857</f>
        <v>1171.8399999999999</v>
      </c>
      <c r="E102" s="42"/>
      <c r="F102" s="42"/>
      <c r="G102" s="42"/>
      <c r="H102" s="42">
        <f>[4]Charters!D1316</f>
        <v>6080696.3700000001</v>
      </c>
    </row>
    <row r="103" spans="1:8" x14ac:dyDescent="0.2">
      <c r="A103" s="20" t="s">
        <v>47</v>
      </c>
      <c r="B103" s="43"/>
      <c r="C103" s="56"/>
      <c r="D103" s="60">
        <f>[4]Charters!E857</f>
        <v>0</v>
      </c>
      <c r="E103" s="42"/>
      <c r="F103" s="42"/>
      <c r="G103" s="42"/>
      <c r="H103" s="42">
        <f>D112</f>
        <v>6080696.3700000001</v>
      </c>
    </row>
    <row r="104" spans="1:8" x14ac:dyDescent="0.2">
      <c r="A104" s="20" t="s">
        <v>57</v>
      </c>
      <c r="B104" s="43"/>
      <c r="C104" s="56"/>
      <c r="D104" s="60">
        <f>[4]Charters!C1010</f>
        <v>0</v>
      </c>
      <c r="E104" s="42"/>
      <c r="F104" s="42"/>
      <c r="G104" s="42"/>
      <c r="H104" s="42">
        <f>+H102-H103</f>
        <v>0</v>
      </c>
    </row>
    <row r="105" spans="1:8" x14ac:dyDescent="0.2">
      <c r="A105" s="59" t="s">
        <v>53</v>
      </c>
      <c r="B105" s="43"/>
      <c r="C105" s="56"/>
      <c r="D105" s="60">
        <f>[4]Charters!D1010</f>
        <v>0</v>
      </c>
      <c r="E105" s="42"/>
      <c r="F105" s="42" t="s">
        <v>30</v>
      </c>
      <c r="G105" s="42"/>
      <c r="H105" s="42"/>
    </row>
    <row r="106" spans="1:8" x14ac:dyDescent="0.2">
      <c r="A106" s="59" t="s">
        <v>59</v>
      </c>
      <c r="B106" s="43"/>
      <c r="C106" s="56"/>
      <c r="D106" s="60">
        <f>[4]Charters!E1010</f>
        <v>0</v>
      </c>
      <c r="E106" s="42"/>
      <c r="F106" s="42"/>
      <c r="G106" s="42"/>
      <c r="H106" s="42"/>
    </row>
    <row r="107" spans="1:8" x14ac:dyDescent="0.2">
      <c r="A107" s="38" t="s">
        <v>18</v>
      </c>
      <c r="B107" s="61"/>
      <c r="C107" s="62"/>
      <c r="D107" s="87"/>
      <c r="E107" s="42"/>
      <c r="F107" s="42">
        <f>[4]Charters!C1316</f>
        <v>13985.97</v>
      </c>
      <c r="G107" s="42"/>
      <c r="H107" s="42"/>
    </row>
    <row r="108" spans="1:8" x14ac:dyDescent="0.2">
      <c r="A108" s="59" t="s">
        <v>39</v>
      </c>
      <c r="B108" s="43"/>
      <c r="C108" s="56"/>
      <c r="D108" s="41">
        <f>[4]Charters!C1163</f>
        <v>8985.9699999999993</v>
      </c>
      <c r="E108" s="42"/>
      <c r="F108" s="42">
        <f>SUM(D108:D111)</f>
        <v>13985.97</v>
      </c>
      <c r="G108" s="42"/>
      <c r="H108" s="42"/>
    </row>
    <row r="109" spans="1:8" x14ac:dyDescent="0.2">
      <c r="A109" s="59" t="s">
        <v>48</v>
      </c>
      <c r="B109" s="43"/>
      <c r="C109" s="56"/>
      <c r="D109" s="41">
        <f>[4]Charters!D1163</f>
        <v>0</v>
      </c>
      <c r="E109" s="42"/>
      <c r="F109" s="42">
        <f>+F107-F108</f>
        <v>0</v>
      </c>
      <c r="G109" s="42"/>
      <c r="H109" s="42"/>
    </row>
    <row r="110" spans="1:8" x14ac:dyDescent="0.2">
      <c r="A110" s="59" t="s">
        <v>60</v>
      </c>
      <c r="B110" s="43"/>
      <c r="C110" s="56"/>
      <c r="D110" s="41">
        <f>[4]Charters!E1163</f>
        <v>0</v>
      </c>
      <c r="E110" s="42"/>
      <c r="F110" s="42"/>
      <c r="G110" s="42"/>
      <c r="H110" s="42"/>
    </row>
    <row r="111" spans="1:8" x14ac:dyDescent="0.2">
      <c r="A111" s="59" t="s">
        <v>61</v>
      </c>
      <c r="B111" s="43"/>
      <c r="C111" s="56"/>
      <c r="D111" s="41">
        <f>[4]Charters!F1163</f>
        <v>5000</v>
      </c>
      <c r="E111" s="42"/>
      <c r="F111" s="42"/>
      <c r="G111" s="42"/>
      <c r="H111" s="42"/>
    </row>
    <row r="112" spans="1:8" ht="13.5" thickBot="1" x14ac:dyDescent="0.25">
      <c r="A112" s="64"/>
      <c r="B112" s="65"/>
      <c r="C112" s="66"/>
      <c r="D112" s="67">
        <f>SUM(D87:D111)</f>
        <v>6080696.3700000001</v>
      </c>
      <c r="E112" s="42"/>
      <c r="F112" s="42"/>
      <c r="G112" s="42"/>
      <c r="H112" s="42"/>
    </row>
    <row r="113" spans="1:8" ht="13.5" thickTop="1" x14ac:dyDescent="0.2">
      <c r="A113" s="68"/>
      <c r="B113" s="43"/>
      <c r="C113" s="56"/>
      <c r="D113" s="86"/>
      <c r="E113" s="42"/>
      <c r="F113" s="42"/>
      <c r="G113" s="42"/>
      <c r="H113" s="42"/>
    </row>
    <row r="114" spans="1:8" x14ac:dyDescent="0.2">
      <c r="A114" s="38" t="s">
        <v>20</v>
      </c>
      <c r="B114" s="39"/>
      <c r="C114" s="70"/>
      <c r="D114" s="71" t="s">
        <v>21</v>
      </c>
      <c r="E114" s="42"/>
      <c r="F114" s="42"/>
      <c r="G114" s="42"/>
      <c r="H114" s="42"/>
    </row>
    <row r="115" spans="1:8" x14ac:dyDescent="0.2">
      <c r="A115" s="72" t="s">
        <v>22</v>
      </c>
      <c r="B115" s="73"/>
      <c r="C115" s="74"/>
      <c r="D115" s="41">
        <f>[5]Charters!C69</f>
        <v>2130.59</v>
      </c>
      <c r="E115" s="42"/>
      <c r="F115" s="42"/>
      <c r="G115" s="42"/>
      <c r="H115" s="42"/>
    </row>
    <row r="116" spans="1:8" x14ac:dyDescent="0.2">
      <c r="A116" s="75"/>
      <c r="B116" s="61"/>
      <c r="C116" s="76"/>
      <c r="D116" s="77">
        <f>SUM(D115:D115)</f>
        <v>2130.59</v>
      </c>
      <c r="E116" s="42"/>
      <c r="F116" s="42"/>
      <c r="G116" s="42"/>
      <c r="H116" s="42"/>
    </row>
    <row r="117" spans="1:8" x14ac:dyDescent="0.2">
      <c r="A117" s="78" t="s">
        <v>58</v>
      </c>
      <c r="B117" s="79"/>
      <c r="C117" s="80"/>
      <c r="D117" s="77">
        <f>D116+D112</f>
        <v>6082826.96</v>
      </c>
      <c r="E117" s="42"/>
      <c r="F117" s="42"/>
      <c r="G117" s="42"/>
      <c r="H117" s="42"/>
    </row>
    <row r="118" spans="1:8" x14ac:dyDescent="0.2">
      <c r="A118" s="84"/>
      <c r="B118" s="84"/>
      <c r="C118" s="85"/>
      <c r="D118" s="81"/>
      <c r="E118" s="42"/>
      <c r="F118" s="42"/>
      <c r="G118" s="42"/>
      <c r="H118" s="42"/>
    </row>
    <row r="119" spans="1:8" x14ac:dyDescent="0.2">
      <c r="A119" s="84"/>
      <c r="B119" s="84"/>
      <c r="C119" s="85"/>
      <c r="D119" s="81">
        <f>[5]Charters!E225</f>
        <v>6082826.96</v>
      </c>
      <c r="E119" s="42"/>
      <c r="F119" s="42"/>
      <c r="G119" s="42"/>
      <c r="H119" s="42"/>
    </row>
    <row r="120" spans="1:8" x14ac:dyDescent="0.2">
      <c r="A120" s="84"/>
      <c r="B120" s="84"/>
      <c r="C120" s="85"/>
      <c r="D120" s="81">
        <f>D117</f>
        <v>6082826.96</v>
      </c>
      <c r="E120" s="42"/>
      <c r="F120" s="42"/>
      <c r="G120" s="42"/>
      <c r="H120" s="42"/>
    </row>
    <row r="121" spans="1:8" x14ac:dyDescent="0.2">
      <c r="C121" s="83"/>
      <c r="D121" s="42">
        <f>D119-D120</f>
        <v>0</v>
      </c>
      <c r="E121" s="42"/>
      <c r="F121" s="42"/>
      <c r="G121" s="42"/>
      <c r="H121" s="42"/>
    </row>
  </sheetData>
  <mergeCells count="4">
    <mergeCell ref="A117:C117"/>
    <mergeCell ref="A64:D64"/>
    <mergeCell ref="A65:D65"/>
    <mergeCell ref="A63:D63"/>
  </mergeCells>
  <phoneticPr fontId="2" type="noConversion"/>
  <printOptions horizontalCentered="1" verticalCentered="1"/>
  <pageMargins left="0.5" right="0.5" top="0.5" bottom="0.5" header="0.25" footer="0.25"/>
  <pageSetup orientation="portrait" r:id="rId1"/>
  <headerFooter alignWithMargins="0">
    <oddHeader>&amp;R&amp;8Current as of: &amp;D</oddHeader>
    <oddFooter>&amp;L&amp;8USOE, School Finance</oddFooter>
  </headerFooter>
  <picture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>
    <pageSetUpPr fitToPage="1"/>
  </sheetPr>
  <dimension ref="A1:H122"/>
  <sheetViews>
    <sheetView topLeftCell="A57" workbookViewId="0">
      <selection activeCell="C12" sqref="C12"/>
    </sheetView>
  </sheetViews>
  <sheetFormatPr defaultColWidth="9.140625" defaultRowHeight="12.75" x14ac:dyDescent="0.2"/>
  <cols>
    <col min="1" max="1" width="31.85546875" style="82" customWidth="1"/>
    <col min="2" max="2" width="16.140625" style="82" customWidth="1"/>
    <col min="3" max="4" width="14.85546875" style="82" customWidth="1"/>
    <col min="5" max="5" width="7" style="82" customWidth="1"/>
    <col min="6" max="6" width="19.7109375" style="82" customWidth="1"/>
    <col min="7" max="7" width="5.7109375" style="82" customWidth="1"/>
    <col min="8" max="8" width="18" style="82" customWidth="1"/>
    <col min="9" max="16384" width="9.140625" style="82"/>
  </cols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"/>
      <c r="B3" s="1"/>
      <c r="C3" s="1"/>
      <c r="D3" s="1"/>
      <c r="E3" s="1"/>
      <c r="F3" s="1"/>
      <c r="G3" s="1"/>
      <c r="H3" s="1"/>
    </row>
    <row r="4" spans="1:8" x14ac:dyDescent="0.2">
      <c r="A4" s="1"/>
      <c r="B4" s="1"/>
      <c r="C4" s="1"/>
      <c r="D4" s="1"/>
      <c r="E4" s="1"/>
      <c r="F4" s="1"/>
      <c r="G4" s="1"/>
      <c r="H4" s="1"/>
    </row>
    <row r="5" spans="1:8" x14ac:dyDescent="0.2">
      <c r="A5" s="1"/>
      <c r="B5" s="1"/>
      <c r="C5" s="1"/>
      <c r="D5" s="1"/>
      <c r="E5" s="1"/>
      <c r="F5" s="1"/>
      <c r="G5" s="1"/>
      <c r="H5" s="1"/>
    </row>
    <row r="6" spans="1:8" x14ac:dyDescent="0.2">
      <c r="A6" s="1"/>
      <c r="B6" s="1"/>
      <c r="C6" s="1"/>
      <c r="D6" s="1"/>
      <c r="E6" s="1"/>
      <c r="F6" s="1"/>
      <c r="G6" s="1"/>
      <c r="H6" s="1"/>
    </row>
    <row r="7" spans="1:8" x14ac:dyDescent="0.2">
      <c r="A7" s="1"/>
      <c r="B7" s="1"/>
      <c r="C7" s="1"/>
      <c r="D7" s="1"/>
      <c r="E7" s="1"/>
      <c r="F7" s="1"/>
      <c r="G7" s="1"/>
      <c r="H7" s="1"/>
    </row>
    <row r="8" spans="1:8" x14ac:dyDescent="0.2">
      <c r="A8" s="1"/>
      <c r="B8" s="1"/>
      <c r="C8" s="1"/>
      <c r="D8" s="1"/>
      <c r="E8" s="1"/>
      <c r="F8" s="1"/>
      <c r="G8" s="1"/>
      <c r="H8" s="1"/>
    </row>
    <row r="9" spans="1:8" x14ac:dyDescent="0.2">
      <c r="A9" s="1"/>
      <c r="B9" s="1"/>
      <c r="C9" s="1"/>
      <c r="D9" s="1"/>
      <c r="E9" s="1"/>
      <c r="F9" s="1"/>
      <c r="G9" s="1"/>
      <c r="H9" s="1"/>
    </row>
    <row r="10" spans="1:8" x14ac:dyDescent="0.2">
      <c r="A10" s="1"/>
      <c r="B10" s="1"/>
      <c r="C10" s="1"/>
      <c r="D10" s="1"/>
      <c r="E10" s="1"/>
      <c r="F10" s="1"/>
      <c r="G10" s="1"/>
      <c r="H10" s="1"/>
    </row>
    <row r="11" spans="1:8" x14ac:dyDescent="0.2">
      <c r="A11" s="1"/>
      <c r="B11" s="1"/>
      <c r="C11" s="1"/>
      <c r="D11" s="1"/>
      <c r="E11" s="1"/>
      <c r="F11" s="1"/>
      <c r="G11" s="1"/>
      <c r="H11" s="1"/>
    </row>
    <row r="12" spans="1:8" x14ac:dyDescent="0.2">
      <c r="A12" s="1"/>
      <c r="B12" s="1"/>
      <c r="C12" s="1"/>
      <c r="D12" s="1"/>
      <c r="E12" s="1"/>
      <c r="F12" s="1"/>
      <c r="G12" s="1"/>
      <c r="H12" s="1"/>
    </row>
    <row r="13" spans="1:8" x14ac:dyDescent="0.2">
      <c r="A13" s="1"/>
      <c r="B13" s="1"/>
      <c r="C13" s="1"/>
      <c r="D13" s="1"/>
      <c r="E13" s="1"/>
      <c r="F13" s="1"/>
      <c r="G13" s="1"/>
      <c r="H13" s="1"/>
    </row>
    <row r="14" spans="1:8" x14ac:dyDescent="0.2">
      <c r="A14" s="1"/>
      <c r="B14" s="1"/>
      <c r="C14" s="1"/>
      <c r="D14" s="1"/>
      <c r="E14" s="1"/>
      <c r="F14" s="1"/>
      <c r="G14" s="1"/>
      <c r="H14" s="1"/>
    </row>
    <row r="15" spans="1:8" x14ac:dyDescent="0.2">
      <c r="A15" s="1"/>
      <c r="B15" s="1"/>
      <c r="C15" s="1"/>
      <c r="D15" s="1"/>
      <c r="E15" s="1"/>
      <c r="F15" s="1"/>
      <c r="G15" s="1"/>
      <c r="H15" s="1"/>
    </row>
    <row r="16" spans="1:8" x14ac:dyDescent="0.2">
      <c r="A16" s="1"/>
      <c r="B16" s="1"/>
      <c r="C16" s="1"/>
      <c r="D16" s="1"/>
      <c r="E16" s="1"/>
      <c r="F16" s="1"/>
      <c r="G16" s="1"/>
      <c r="H16" s="1"/>
    </row>
    <row r="17" spans="1:8" x14ac:dyDescent="0.2">
      <c r="A17" s="1"/>
      <c r="B17" s="1"/>
      <c r="C17" s="1"/>
      <c r="D17" s="1"/>
      <c r="E17" s="1"/>
      <c r="F17" s="1"/>
      <c r="G17" s="1"/>
      <c r="H17" s="1"/>
    </row>
    <row r="18" spans="1:8" x14ac:dyDescent="0.2">
      <c r="A18" s="1"/>
      <c r="B18" s="1"/>
      <c r="C18" s="1"/>
      <c r="D18" s="1"/>
      <c r="E18" s="1"/>
      <c r="F18" s="1"/>
      <c r="G18" s="1"/>
      <c r="H18" s="1"/>
    </row>
    <row r="19" spans="1:8" x14ac:dyDescent="0.2">
      <c r="A19" s="1"/>
      <c r="B19" s="1"/>
      <c r="C19" s="1"/>
      <c r="D19" s="1"/>
      <c r="E19" s="1"/>
      <c r="F19" s="1"/>
      <c r="G19" s="1"/>
      <c r="H19" s="1"/>
    </row>
    <row r="20" spans="1:8" x14ac:dyDescent="0.2">
      <c r="A20" s="1"/>
      <c r="B20" s="1"/>
      <c r="C20" s="1"/>
      <c r="D20" s="1"/>
      <c r="E20" s="1"/>
      <c r="F20" s="1"/>
      <c r="G20" s="1"/>
      <c r="H20" s="1"/>
    </row>
    <row r="21" spans="1:8" x14ac:dyDescent="0.2">
      <c r="A21" s="1"/>
      <c r="B21" s="1"/>
      <c r="C21" s="1"/>
      <c r="D21" s="1"/>
      <c r="E21" s="1"/>
      <c r="F21" s="1"/>
      <c r="G21" s="1"/>
      <c r="H21" s="1"/>
    </row>
    <row r="22" spans="1:8" x14ac:dyDescent="0.2">
      <c r="A22" s="1"/>
      <c r="B22" s="1"/>
      <c r="C22" s="1"/>
      <c r="D22" s="4"/>
      <c r="E22" s="1"/>
      <c r="F22" s="1"/>
      <c r="G22" s="1"/>
      <c r="H22" s="1"/>
    </row>
    <row r="23" spans="1:8" x14ac:dyDescent="0.2">
      <c r="A23" s="1"/>
      <c r="B23" s="1"/>
      <c r="C23" s="1"/>
      <c r="D23" s="1"/>
      <c r="E23" s="1"/>
      <c r="F23" s="1"/>
      <c r="G23" s="1"/>
      <c r="H23" s="1"/>
    </row>
    <row r="24" spans="1:8" x14ac:dyDescent="0.2">
      <c r="A24" s="1"/>
      <c r="B24" s="1"/>
      <c r="C24" s="1"/>
      <c r="D24" s="1"/>
      <c r="E24" s="1"/>
      <c r="F24" s="1"/>
      <c r="G24" s="1"/>
      <c r="H24" s="1"/>
    </row>
    <row r="25" spans="1:8" x14ac:dyDescent="0.2">
      <c r="A25" s="1"/>
      <c r="B25" s="1"/>
      <c r="C25" s="1"/>
      <c r="D25" s="1"/>
      <c r="E25" s="1"/>
      <c r="F25" s="1"/>
      <c r="G25" s="1"/>
      <c r="H25" s="1"/>
    </row>
    <row r="26" spans="1:8" x14ac:dyDescent="0.2">
      <c r="A26" s="1"/>
      <c r="B26" s="1"/>
      <c r="C26" s="1"/>
      <c r="D26" s="1"/>
      <c r="E26" s="1"/>
      <c r="F26" s="1"/>
      <c r="G26" s="1"/>
      <c r="H26" s="1"/>
    </row>
    <row r="27" spans="1:8" x14ac:dyDescent="0.2">
      <c r="A27" s="1"/>
      <c r="B27" s="1"/>
      <c r="C27" s="1"/>
      <c r="D27" s="1"/>
      <c r="E27" s="1"/>
      <c r="F27" s="1"/>
      <c r="G27" s="1"/>
      <c r="H27" s="1"/>
    </row>
    <row r="28" spans="1:8" x14ac:dyDescent="0.2">
      <c r="A28" s="1"/>
      <c r="B28" s="1"/>
      <c r="C28" s="1"/>
      <c r="D28" s="1"/>
      <c r="E28" s="1"/>
      <c r="F28" s="1"/>
      <c r="G28" s="1"/>
      <c r="H28" s="1"/>
    </row>
    <row r="29" spans="1:8" x14ac:dyDescent="0.2">
      <c r="A29" s="1"/>
      <c r="B29" s="1"/>
      <c r="C29" s="1"/>
      <c r="D29" s="1"/>
      <c r="E29" s="1"/>
      <c r="F29" s="1"/>
      <c r="G29" s="1"/>
      <c r="H29" s="1"/>
    </row>
    <row r="30" spans="1:8" x14ac:dyDescent="0.2">
      <c r="A30" s="1"/>
      <c r="B30" s="1"/>
      <c r="C30" s="1"/>
      <c r="D30" s="1"/>
      <c r="E30" s="1"/>
      <c r="F30" s="1"/>
      <c r="G30" s="1"/>
      <c r="H30" s="1"/>
    </row>
    <row r="31" spans="1:8" x14ac:dyDescent="0.2">
      <c r="A31" s="1"/>
      <c r="B31" s="1"/>
      <c r="C31" s="1"/>
      <c r="D31" s="1"/>
      <c r="E31" s="1"/>
      <c r="F31" s="1"/>
      <c r="G31" s="1"/>
      <c r="H31" s="1"/>
    </row>
    <row r="32" spans="1:8" x14ac:dyDescent="0.2">
      <c r="A32" s="1"/>
      <c r="B32" s="1"/>
      <c r="C32" s="1"/>
      <c r="D32" s="1"/>
      <c r="E32" s="1"/>
      <c r="F32" s="1"/>
      <c r="G32" s="1"/>
      <c r="H32" s="1"/>
    </row>
    <row r="33" spans="1:8" x14ac:dyDescent="0.2">
      <c r="A33" s="1"/>
      <c r="B33" s="1"/>
      <c r="C33" s="1"/>
      <c r="D33" s="1"/>
      <c r="E33" s="1"/>
      <c r="F33" s="1"/>
      <c r="G33" s="1"/>
      <c r="H33" s="1"/>
    </row>
    <row r="34" spans="1:8" x14ac:dyDescent="0.2">
      <c r="A34" s="1"/>
      <c r="B34" s="1"/>
      <c r="C34" s="1"/>
      <c r="D34" s="1"/>
      <c r="E34" s="1"/>
      <c r="F34" s="1"/>
      <c r="G34" s="1"/>
      <c r="H34" s="1"/>
    </row>
    <row r="35" spans="1:8" x14ac:dyDescent="0.2">
      <c r="A35" s="1"/>
      <c r="B35" s="1"/>
      <c r="C35" s="1"/>
      <c r="D35" s="1"/>
      <c r="E35" s="1"/>
      <c r="F35" s="1"/>
      <c r="G35" s="1"/>
      <c r="H35" s="1"/>
    </row>
    <row r="36" spans="1:8" x14ac:dyDescent="0.2">
      <c r="A36" s="1"/>
      <c r="B36" s="1"/>
      <c r="C36" s="1"/>
      <c r="D36" s="1"/>
      <c r="E36" s="1"/>
      <c r="F36" s="1"/>
      <c r="G36" s="1"/>
      <c r="H36" s="1"/>
    </row>
    <row r="37" spans="1:8" x14ac:dyDescent="0.2">
      <c r="A37" s="1"/>
      <c r="B37" s="1"/>
      <c r="C37" s="1"/>
      <c r="D37" s="1"/>
      <c r="E37" s="1"/>
      <c r="F37" s="1"/>
      <c r="G37" s="1"/>
      <c r="H37" s="1"/>
    </row>
    <row r="38" spans="1:8" x14ac:dyDescent="0.2">
      <c r="A38" s="1"/>
      <c r="B38" s="1"/>
      <c r="C38" s="1"/>
      <c r="D38" s="1"/>
      <c r="E38" s="1"/>
      <c r="F38" s="1"/>
      <c r="G38" s="1"/>
      <c r="H38" s="1"/>
    </row>
    <row r="39" spans="1:8" x14ac:dyDescent="0.2">
      <c r="A39" s="1"/>
      <c r="B39" s="1"/>
      <c r="C39" s="1"/>
      <c r="D39" s="1"/>
      <c r="E39" s="1"/>
      <c r="F39" s="1"/>
      <c r="G39" s="1"/>
      <c r="H39" s="1"/>
    </row>
    <row r="40" spans="1:8" x14ac:dyDescent="0.2">
      <c r="A40" s="1"/>
      <c r="B40" s="1"/>
      <c r="C40" s="1"/>
      <c r="D40" s="1"/>
      <c r="E40" s="1"/>
      <c r="F40" s="1"/>
      <c r="G40" s="1"/>
      <c r="H40" s="1"/>
    </row>
    <row r="41" spans="1:8" x14ac:dyDescent="0.2">
      <c r="A41" s="1"/>
      <c r="B41" s="1"/>
      <c r="C41" s="1"/>
      <c r="D41" s="1"/>
      <c r="E41" s="1"/>
      <c r="F41" s="1"/>
      <c r="G41" s="1"/>
      <c r="H41" s="1"/>
    </row>
    <row r="42" spans="1:8" x14ac:dyDescent="0.2">
      <c r="A42" s="1"/>
      <c r="B42" s="1"/>
      <c r="C42" s="1"/>
      <c r="D42" s="1"/>
      <c r="E42" s="1"/>
      <c r="F42" s="1"/>
      <c r="G42" s="1"/>
      <c r="H42" s="1"/>
    </row>
    <row r="43" spans="1:8" x14ac:dyDescent="0.2">
      <c r="A43" s="1"/>
      <c r="B43" s="1"/>
      <c r="C43" s="1"/>
      <c r="D43" s="1"/>
      <c r="E43" s="1"/>
      <c r="F43" s="1"/>
      <c r="G43" s="1"/>
      <c r="H43" s="1"/>
    </row>
    <row r="44" spans="1:8" x14ac:dyDescent="0.2">
      <c r="A44" s="1"/>
      <c r="B44" s="1"/>
      <c r="C44" s="1"/>
      <c r="D44" s="1"/>
      <c r="E44" s="1"/>
      <c r="F44" s="1"/>
      <c r="G44" s="1"/>
      <c r="H44" s="1"/>
    </row>
    <row r="45" spans="1:8" x14ac:dyDescent="0.2">
      <c r="A45" s="1"/>
      <c r="B45" s="1"/>
      <c r="C45" s="1"/>
      <c r="D45" s="1"/>
      <c r="E45" s="1"/>
      <c r="F45" s="1"/>
      <c r="G45" s="1"/>
      <c r="H45" s="1"/>
    </row>
    <row r="46" spans="1:8" x14ac:dyDescent="0.2">
      <c r="A46" s="1"/>
      <c r="B46" s="1"/>
      <c r="C46" s="1"/>
      <c r="D46" s="1"/>
      <c r="E46" s="1"/>
      <c r="F46" s="1"/>
      <c r="G46" s="1"/>
      <c r="H46" s="1"/>
    </row>
    <row r="47" spans="1:8" x14ac:dyDescent="0.2">
      <c r="A47" s="1"/>
      <c r="B47" s="1"/>
      <c r="C47" s="1"/>
      <c r="D47" s="1"/>
      <c r="E47" s="1"/>
      <c r="F47" s="1"/>
      <c r="G47" s="1"/>
      <c r="H47" s="1"/>
    </row>
    <row r="48" spans="1:8" x14ac:dyDescent="0.2">
      <c r="A48" s="1"/>
      <c r="B48" s="1"/>
      <c r="C48" s="1"/>
      <c r="D48" s="1"/>
      <c r="E48" s="1"/>
      <c r="F48" s="1"/>
      <c r="G48" s="1"/>
      <c r="H48" s="1"/>
    </row>
    <row r="49" spans="1:8" x14ac:dyDescent="0.2">
      <c r="A49" s="1"/>
      <c r="B49" s="1"/>
      <c r="C49" s="1"/>
      <c r="D49" s="1"/>
      <c r="E49" s="1"/>
      <c r="F49" s="1"/>
      <c r="G49" s="1"/>
      <c r="H49" s="1"/>
    </row>
    <row r="50" spans="1:8" x14ac:dyDescent="0.2">
      <c r="A50" s="1"/>
      <c r="B50" s="1"/>
      <c r="C50" s="1"/>
      <c r="D50" s="1"/>
      <c r="E50" s="1"/>
      <c r="F50" s="1"/>
      <c r="G50" s="1"/>
      <c r="H50" s="1"/>
    </row>
    <row r="51" spans="1:8" x14ac:dyDescent="0.2">
      <c r="A51" s="1"/>
      <c r="B51" s="1"/>
      <c r="C51" s="1"/>
      <c r="D51" s="1"/>
      <c r="E51" s="1"/>
      <c r="F51" s="1"/>
      <c r="G51" s="1"/>
      <c r="H51" s="1"/>
    </row>
    <row r="52" spans="1:8" x14ac:dyDescent="0.2">
      <c r="A52" s="1"/>
      <c r="B52" s="1"/>
      <c r="C52" s="1"/>
      <c r="D52" s="1"/>
      <c r="E52" s="1"/>
      <c r="F52" s="1"/>
      <c r="G52" s="1"/>
      <c r="H52" s="1"/>
    </row>
    <row r="53" spans="1:8" x14ac:dyDescent="0.2">
      <c r="A53" s="1"/>
      <c r="B53" s="1"/>
      <c r="C53" s="1"/>
      <c r="D53" s="1"/>
      <c r="E53" s="1"/>
      <c r="F53" s="1"/>
      <c r="G53" s="1"/>
      <c r="H53" s="1"/>
    </row>
    <row r="54" spans="1:8" x14ac:dyDescent="0.2">
      <c r="A54" s="1"/>
      <c r="B54" s="1"/>
      <c r="C54" s="1"/>
      <c r="D54" s="1"/>
      <c r="E54" s="1"/>
      <c r="F54" s="1"/>
      <c r="G54" s="1"/>
      <c r="H54" s="1"/>
    </row>
    <row r="55" spans="1:8" x14ac:dyDescent="0.2">
      <c r="A55" s="1"/>
      <c r="B55" s="1"/>
      <c r="C55" s="1"/>
      <c r="D55" s="1"/>
      <c r="E55" s="1"/>
      <c r="F55" s="1"/>
      <c r="G55" s="1"/>
      <c r="H55" s="1"/>
    </row>
    <row r="56" spans="1:8" x14ac:dyDescent="0.2">
      <c r="A56" s="1"/>
      <c r="B56" s="1"/>
      <c r="C56" s="1"/>
      <c r="D56" s="1"/>
      <c r="E56" s="1"/>
      <c r="F56" s="1"/>
      <c r="G56" s="1"/>
      <c r="H56" s="1"/>
    </row>
    <row r="57" spans="1:8" x14ac:dyDescent="0.2">
      <c r="A57" s="1"/>
      <c r="B57" s="1"/>
      <c r="C57" s="1"/>
      <c r="D57" s="1"/>
      <c r="E57" s="1"/>
      <c r="F57" s="1"/>
      <c r="G57" s="1"/>
      <c r="H57" s="1"/>
    </row>
    <row r="58" spans="1:8" x14ac:dyDescent="0.2">
      <c r="A58" s="1"/>
      <c r="B58" s="1"/>
      <c r="C58" s="1"/>
      <c r="D58" s="1"/>
      <c r="E58" s="1"/>
      <c r="F58" s="1"/>
      <c r="G58" s="1"/>
      <c r="H58" s="1"/>
    </row>
    <row r="59" spans="1:8" x14ac:dyDescent="0.2">
      <c r="A59" s="1"/>
      <c r="B59" s="1"/>
      <c r="C59" s="1"/>
      <c r="D59" s="1"/>
      <c r="E59" s="1"/>
      <c r="F59" s="1"/>
      <c r="G59" s="1"/>
      <c r="H59" s="1"/>
    </row>
    <row r="60" spans="1:8" x14ac:dyDescent="0.2">
      <c r="A60" s="1"/>
      <c r="B60" s="1"/>
      <c r="C60" s="1"/>
      <c r="D60" s="1"/>
      <c r="E60" s="1"/>
      <c r="F60" s="1"/>
      <c r="G60" s="1"/>
      <c r="H60" s="1"/>
    </row>
    <row r="61" spans="1:8" x14ac:dyDescent="0.2">
      <c r="A61" s="1"/>
      <c r="B61" s="1"/>
      <c r="C61" s="1"/>
      <c r="D61" s="1"/>
      <c r="E61" s="1"/>
      <c r="F61" s="1"/>
      <c r="G61" s="1"/>
      <c r="H61" s="1"/>
    </row>
    <row r="62" spans="1:8" x14ac:dyDescent="0.2">
      <c r="A62" s="1"/>
      <c r="B62" s="1"/>
      <c r="C62" s="1"/>
      <c r="D62" s="1"/>
      <c r="E62" s="1"/>
      <c r="F62" s="1"/>
      <c r="G62" s="1"/>
      <c r="H62" s="1"/>
    </row>
    <row r="63" spans="1:8" x14ac:dyDescent="0.2">
      <c r="A63" s="1"/>
      <c r="B63" s="1"/>
      <c r="C63" s="1"/>
      <c r="D63" s="1"/>
      <c r="E63" s="1"/>
      <c r="F63" s="1"/>
      <c r="G63" s="1"/>
      <c r="H63" s="1"/>
    </row>
    <row r="64" spans="1:8" x14ac:dyDescent="0.2">
      <c r="A64" s="11" t="s">
        <v>1</v>
      </c>
      <c r="B64" s="12"/>
      <c r="C64" s="12"/>
      <c r="D64" s="13"/>
      <c r="E64" s="8"/>
      <c r="F64" s="8"/>
      <c r="G64" s="8"/>
      <c r="H64" s="8"/>
    </row>
    <row r="65" spans="1:8" x14ac:dyDescent="0.2">
      <c r="A65" s="14" t="s">
        <v>15</v>
      </c>
      <c r="B65" s="15"/>
      <c r="C65" s="15"/>
      <c r="D65" s="16"/>
      <c r="E65" s="8"/>
      <c r="F65" s="8"/>
      <c r="G65" s="8"/>
      <c r="H65" s="8"/>
    </row>
    <row r="66" spans="1:8" x14ac:dyDescent="0.2">
      <c r="A66" s="17" t="s">
        <v>62</v>
      </c>
      <c r="B66" s="18"/>
      <c r="C66" s="18"/>
      <c r="D66" s="19"/>
      <c r="E66" s="8"/>
      <c r="F66" s="8"/>
      <c r="G66" s="8"/>
      <c r="H66" s="8"/>
    </row>
    <row r="67" spans="1:8" x14ac:dyDescent="0.2">
      <c r="A67" s="20"/>
      <c r="B67" s="21"/>
      <c r="C67" s="22"/>
      <c r="D67" s="23"/>
      <c r="E67" s="8"/>
      <c r="F67" s="8" t="s">
        <v>34</v>
      </c>
      <c r="G67" s="8"/>
      <c r="H67" s="8"/>
    </row>
    <row r="68" spans="1:8" ht="15.75" x14ac:dyDescent="0.25">
      <c r="A68" s="24" t="s">
        <v>2</v>
      </c>
      <c r="B68" s="25" t="str">
        <f>[1]Charters!B71</f>
        <v>Rockwell Charter High School</v>
      </c>
      <c r="C68" s="26"/>
      <c r="D68" s="27"/>
      <c r="E68" s="8"/>
      <c r="F68" s="8"/>
      <c r="G68" s="8"/>
      <c r="H68" s="8"/>
    </row>
    <row r="69" spans="1:8" x14ac:dyDescent="0.2">
      <c r="A69" s="24"/>
      <c r="B69" s="28"/>
      <c r="C69" s="26"/>
      <c r="D69" s="27"/>
      <c r="E69" s="8"/>
      <c r="F69" s="8"/>
      <c r="G69" s="8"/>
      <c r="H69" s="8"/>
    </row>
    <row r="70" spans="1:8" x14ac:dyDescent="0.2">
      <c r="A70" s="29" t="s">
        <v>0</v>
      </c>
      <c r="B70" s="30">
        <f>[1]Charters!$E$6</f>
        <v>3184</v>
      </c>
      <c r="C70" s="26"/>
      <c r="D70" s="31"/>
      <c r="E70" s="8"/>
      <c r="F70" s="8"/>
      <c r="G70" s="8"/>
      <c r="H70" s="8"/>
    </row>
    <row r="71" spans="1:8" x14ac:dyDescent="0.2">
      <c r="A71" s="32"/>
      <c r="B71" s="6"/>
      <c r="C71" s="33"/>
      <c r="D71" s="34" t="s">
        <v>3</v>
      </c>
      <c r="E71" s="8"/>
      <c r="F71" s="8"/>
      <c r="G71" s="8"/>
      <c r="H71" s="8"/>
    </row>
    <row r="72" spans="1:8" x14ac:dyDescent="0.2">
      <c r="A72" s="29" t="s">
        <v>19</v>
      </c>
      <c r="B72" s="35" t="str">
        <f>[1]Charters!A71</f>
        <v>2F</v>
      </c>
      <c r="C72" s="36" t="s">
        <v>4</v>
      </c>
      <c r="D72" s="37" t="s">
        <v>5</v>
      </c>
      <c r="E72" s="8"/>
      <c r="F72" s="8"/>
      <c r="G72" s="8"/>
      <c r="H72" s="8"/>
    </row>
    <row r="73" spans="1:8" x14ac:dyDescent="0.2">
      <c r="A73" s="38" t="s">
        <v>6</v>
      </c>
      <c r="B73" s="39"/>
      <c r="C73" s="40"/>
      <c r="D73" s="41"/>
      <c r="E73" s="8"/>
      <c r="F73" s="8"/>
      <c r="G73" s="8"/>
      <c r="H73" s="8"/>
    </row>
    <row r="74" spans="1:8" x14ac:dyDescent="0.2">
      <c r="A74" s="38" t="s">
        <v>7</v>
      </c>
      <c r="B74" s="39"/>
      <c r="C74" s="40"/>
      <c r="D74" s="41"/>
      <c r="E74" s="8"/>
      <c r="F74" s="42" t="s">
        <v>23</v>
      </c>
      <c r="G74" s="8"/>
      <c r="H74" s="42" t="s">
        <v>26</v>
      </c>
    </row>
    <row r="75" spans="1:8" x14ac:dyDescent="0.2">
      <c r="A75" s="20" t="s">
        <v>8</v>
      </c>
      <c r="B75" s="43"/>
      <c r="C75" s="44">
        <f>[1]Charters!C531</f>
        <v>552.46500000000003</v>
      </c>
      <c r="D75" s="45">
        <f>[1]Charters!E531</f>
        <v>1759048.06</v>
      </c>
      <c r="E75" s="8"/>
      <c r="F75" s="42">
        <f>[1]Charters!E686</f>
        <v>1857551.11</v>
      </c>
      <c r="G75" s="8"/>
      <c r="H75" s="42">
        <f>[2]Charters!E225</f>
        <v>2192516.1</v>
      </c>
    </row>
    <row r="76" spans="1:8" x14ac:dyDescent="0.2">
      <c r="A76" s="20" t="s">
        <v>14</v>
      </c>
      <c r="B76" s="43"/>
      <c r="C76" s="44">
        <f>[1]Charters!F531</f>
        <v>27.937000000000001</v>
      </c>
      <c r="D76" s="45">
        <f>[1]Charters!H531</f>
        <v>88951.05</v>
      </c>
      <c r="E76" s="8"/>
      <c r="F76" s="42">
        <f>SUM(D75:D77)</f>
        <v>1857551.11</v>
      </c>
      <c r="G76" s="8"/>
      <c r="H76" s="42">
        <f>D88</f>
        <v>2192516.1</v>
      </c>
    </row>
    <row r="77" spans="1:8" x14ac:dyDescent="0.2">
      <c r="A77" s="20" t="s">
        <v>32</v>
      </c>
      <c r="B77" s="43"/>
      <c r="C77" s="44">
        <f>[1]Charters!C224</f>
        <v>3</v>
      </c>
      <c r="D77" s="45">
        <f>[1]Charters!E224</f>
        <v>9552</v>
      </c>
      <c r="E77" s="8"/>
      <c r="F77" s="42">
        <f>+F75-F76</f>
        <v>0</v>
      </c>
      <c r="G77" s="8"/>
      <c r="H77" s="42">
        <f>+H75-H76</f>
        <v>0</v>
      </c>
    </row>
    <row r="78" spans="1:8" x14ac:dyDescent="0.2">
      <c r="A78" s="38" t="s">
        <v>9</v>
      </c>
      <c r="B78" s="39"/>
      <c r="C78" s="46"/>
      <c r="D78" s="47"/>
      <c r="E78" s="8"/>
      <c r="F78" s="8"/>
      <c r="G78" s="8"/>
      <c r="H78" s="8"/>
    </row>
    <row r="79" spans="1:8" x14ac:dyDescent="0.2">
      <c r="A79" s="20" t="s">
        <v>10</v>
      </c>
      <c r="B79" s="43"/>
      <c r="C79" s="40">
        <f>[3]Charters!C70</f>
        <v>92.278999999999996</v>
      </c>
      <c r="D79" s="41">
        <f>[3]Charters!E70</f>
        <v>293817.27</v>
      </c>
      <c r="E79" s="8"/>
      <c r="F79" s="42" t="s">
        <v>24</v>
      </c>
      <c r="G79" s="8"/>
      <c r="H79" s="8"/>
    </row>
    <row r="80" spans="1:8" x14ac:dyDescent="0.2">
      <c r="A80" s="48" t="s">
        <v>11</v>
      </c>
      <c r="B80" s="43"/>
      <c r="C80" s="40">
        <f>[3]Charters!F70</f>
        <v>1.38</v>
      </c>
      <c r="D80" s="49">
        <f>[3]Charters!H70</f>
        <v>4393.92</v>
      </c>
      <c r="E80" s="8"/>
      <c r="F80" s="42">
        <f>[3]Charters!N382</f>
        <v>307220.46999999997</v>
      </c>
      <c r="G80" s="8"/>
      <c r="H80" s="8"/>
    </row>
    <row r="81" spans="1:8" x14ac:dyDescent="0.2">
      <c r="A81" s="48" t="s">
        <v>12</v>
      </c>
      <c r="B81" s="43"/>
      <c r="C81" s="40">
        <f>[3]Charters!C225</f>
        <v>0</v>
      </c>
      <c r="D81" s="41">
        <f>[3]Charters!E225</f>
        <v>0</v>
      </c>
      <c r="E81" s="8"/>
      <c r="F81" s="42">
        <f>SUM(D79:D85)</f>
        <v>307220.46999999997</v>
      </c>
      <c r="G81" s="8"/>
      <c r="H81" s="8"/>
    </row>
    <row r="82" spans="1:8" x14ac:dyDescent="0.2">
      <c r="A82" s="20" t="s">
        <v>13</v>
      </c>
      <c r="B82" s="43"/>
      <c r="C82" s="40">
        <f>[3]Charters!F225</f>
        <v>0.70899999999999996</v>
      </c>
      <c r="D82" s="41">
        <f>[3]Charters!H225</f>
        <v>2259</v>
      </c>
      <c r="E82" s="8"/>
      <c r="F82" s="42">
        <f>+F80-F81</f>
        <v>0</v>
      </c>
      <c r="G82" s="8"/>
      <c r="H82" s="8"/>
    </row>
    <row r="83" spans="1:8" x14ac:dyDescent="0.2">
      <c r="A83" s="48" t="s">
        <v>54</v>
      </c>
      <c r="B83" s="43"/>
      <c r="C83" s="40">
        <f>[3]Charters!C382</f>
        <v>2.12</v>
      </c>
      <c r="D83" s="41">
        <f>[3]Charters!E382</f>
        <v>6750.28</v>
      </c>
      <c r="E83" s="8"/>
      <c r="F83" s="8"/>
      <c r="G83" s="8"/>
      <c r="H83" s="8"/>
    </row>
    <row r="84" spans="1:8" x14ac:dyDescent="0.2">
      <c r="A84" s="48" t="s">
        <v>55</v>
      </c>
      <c r="B84" s="43"/>
      <c r="C84" s="40">
        <f>[3]Charters!F382</f>
        <v>0</v>
      </c>
      <c r="D84" s="41">
        <f>[3]Charters!H382</f>
        <v>0</v>
      </c>
      <c r="E84" s="8"/>
      <c r="F84" s="42" t="s">
        <v>25</v>
      </c>
      <c r="G84" s="8"/>
      <c r="H84" s="8"/>
    </row>
    <row r="85" spans="1:8" x14ac:dyDescent="0.2">
      <c r="A85" s="48" t="s">
        <v>56</v>
      </c>
      <c r="B85" s="43"/>
      <c r="C85" s="40">
        <f>[3]Charters!I382</f>
        <v>0</v>
      </c>
      <c r="D85" s="41">
        <f>[3]Charters!K382</f>
        <v>0</v>
      </c>
      <c r="E85" s="8"/>
      <c r="F85" s="42">
        <f>[2]Charters!H71</f>
        <v>334964.99</v>
      </c>
      <c r="G85" s="8"/>
      <c r="H85" s="8"/>
    </row>
    <row r="86" spans="1:8" x14ac:dyDescent="0.2">
      <c r="A86" s="20" t="s">
        <v>49</v>
      </c>
      <c r="B86" s="43"/>
      <c r="C86" s="40">
        <f>[3]Charters!C538</f>
        <v>0</v>
      </c>
      <c r="D86" s="41">
        <f>[3]Charters!E538</f>
        <v>0</v>
      </c>
      <c r="E86" s="8"/>
      <c r="F86" s="42">
        <f>SUM(D79:D87)</f>
        <v>334964.99</v>
      </c>
      <c r="G86" s="8"/>
      <c r="H86" s="8"/>
    </row>
    <row r="87" spans="1:8" x14ac:dyDescent="0.2">
      <c r="A87" s="20" t="s">
        <v>50</v>
      </c>
      <c r="B87" s="43"/>
      <c r="C87" s="40">
        <f>[2]Charters!C71</f>
        <v>8.7140000000000004</v>
      </c>
      <c r="D87" s="41">
        <f>[2]Charters!E71</f>
        <v>27744.52</v>
      </c>
      <c r="E87" s="8"/>
      <c r="F87" s="42">
        <f>+F85-F86</f>
        <v>0</v>
      </c>
      <c r="G87" s="8"/>
      <c r="H87" s="8"/>
    </row>
    <row r="88" spans="1:8" x14ac:dyDescent="0.2">
      <c r="A88" s="50"/>
      <c r="B88" s="51" t="s">
        <v>16</v>
      </c>
      <c r="C88" s="52">
        <f>SUM(C75:C87)</f>
        <v>688.60400000000004</v>
      </c>
      <c r="D88" s="53">
        <f>SUM(D75:D87)</f>
        <v>2192516.1</v>
      </c>
      <c r="E88" s="8"/>
      <c r="F88" s="8"/>
      <c r="G88" s="8"/>
      <c r="H88" s="8"/>
    </row>
    <row r="89" spans="1:8" x14ac:dyDescent="0.2">
      <c r="A89" s="54" t="s">
        <v>17</v>
      </c>
      <c r="B89" s="39"/>
      <c r="C89" s="55"/>
      <c r="D89" s="47"/>
      <c r="E89" s="8"/>
      <c r="F89" s="8"/>
      <c r="G89" s="8"/>
      <c r="H89" s="42" t="s">
        <v>29</v>
      </c>
    </row>
    <row r="90" spans="1:8" x14ac:dyDescent="0.2">
      <c r="A90" s="20" t="s">
        <v>33</v>
      </c>
      <c r="B90" s="43"/>
      <c r="C90" s="56"/>
      <c r="D90" s="57">
        <f>[4]Charters!C71</f>
        <v>6327.25</v>
      </c>
      <c r="E90" s="8"/>
      <c r="F90" s="8"/>
      <c r="G90" s="8"/>
      <c r="H90" s="42">
        <f>[4]Charters!F1011</f>
        <v>3278894.18</v>
      </c>
    </row>
    <row r="91" spans="1:8" x14ac:dyDescent="0.2">
      <c r="A91" s="58" t="s">
        <v>35</v>
      </c>
      <c r="B91" s="43"/>
      <c r="C91" s="56"/>
      <c r="D91" s="41">
        <f>+[4]Charters!F392</f>
        <v>2866.25</v>
      </c>
      <c r="E91" s="8"/>
      <c r="F91" s="8"/>
      <c r="G91" s="8"/>
      <c r="H91" s="42">
        <f>SUM(D88:D107)</f>
        <v>3278894.18</v>
      </c>
    </row>
    <row r="92" spans="1:8" x14ac:dyDescent="0.2">
      <c r="A92" s="59" t="s">
        <v>36</v>
      </c>
      <c r="B92" s="43"/>
      <c r="C92" s="56"/>
      <c r="D92" s="41">
        <f>[4]Charters!E231</f>
        <v>22685</v>
      </c>
      <c r="E92" s="8"/>
      <c r="F92" s="8"/>
      <c r="G92" s="8"/>
      <c r="H92" s="42">
        <f>+H90-H91</f>
        <v>0</v>
      </c>
    </row>
    <row r="93" spans="1:8" x14ac:dyDescent="0.2">
      <c r="A93" s="59" t="s">
        <v>52</v>
      </c>
      <c r="B93" s="43"/>
      <c r="C93" s="56"/>
      <c r="D93" s="41">
        <f>[4]Charters!G392</f>
        <v>11200.89</v>
      </c>
      <c r="E93" s="8"/>
      <c r="F93" s="42" t="s">
        <v>27</v>
      </c>
      <c r="G93" s="8"/>
      <c r="H93" s="42"/>
    </row>
    <row r="94" spans="1:8" x14ac:dyDescent="0.2">
      <c r="A94" s="20" t="s">
        <v>37</v>
      </c>
      <c r="B94" s="43"/>
      <c r="C94" s="56"/>
      <c r="D94" s="41">
        <f>[4]Charters!E548</f>
        <v>33960</v>
      </c>
      <c r="E94" s="8"/>
      <c r="F94" s="42">
        <f>[4]Charters!E231</f>
        <v>22685</v>
      </c>
      <c r="G94" s="8"/>
      <c r="H94" s="8"/>
    </row>
    <row r="95" spans="1:8" x14ac:dyDescent="0.2">
      <c r="A95" s="20" t="s">
        <v>38</v>
      </c>
      <c r="B95" s="43"/>
      <c r="C95" s="56"/>
      <c r="D95" s="41">
        <f>[4]Charters!F548</f>
        <v>0</v>
      </c>
      <c r="E95" s="8"/>
      <c r="F95" s="42">
        <f>SUM(D92:D92)</f>
        <v>22685</v>
      </c>
      <c r="G95" s="8"/>
      <c r="H95" s="8"/>
    </row>
    <row r="96" spans="1:8" x14ac:dyDescent="0.2">
      <c r="A96" s="59" t="s">
        <v>40</v>
      </c>
      <c r="B96" s="43"/>
      <c r="C96" s="56"/>
      <c r="D96" s="41">
        <f>[4]Charters!G548</f>
        <v>0</v>
      </c>
      <c r="E96" s="8"/>
      <c r="F96" s="42">
        <f>+F94-F95</f>
        <v>0</v>
      </c>
      <c r="G96" s="8"/>
      <c r="H96" s="8"/>
    </row>
    <row r="97" spans="1:8" x14ac:dyDescent="0.2">
      <c r="A97" s="20" t="s">
        <v>41</v>
      </c>
      <c r="B97" s="43"/>
      <c r="C97" s="56"/>
      <c r="D97" s="41">
        <f>[4]Charters!C702</f>
        <v>866433</v>
      </c>
      <c r="E97" s="8"/>
      <c r="F97" s="42" t="s">
        <v>28</v>
      </c>
      <c r="G97" s="8"/>
      <c r="H97" s="8"/>
    </row>
    <row r="98" spans="1:8" x14ac:dyDescent="0.2">
      <c r="A98" s="20" t="s">
        <v>42</v>
      </c>
      <c r="B98" s="43"/>
      <c r="C98" s="56"/>
      <c r="D98" s="41">
        <f>[4]Charters!D702</f>
        <v>96472.320000000007</v>
      </c>
      <c r="E98" s="8"/>
      <c r="F98" s="42">
        <f>[4]Charters!D548</f>
        <v>36752.14</v>
      </c>
      <c r="G98" s="8"/>
      <c r="H98" s="8"/>
    </row>
    <row r="99" spans="1:8" x14ac:dyDescent="0.2">
      <c r="A99" s="20" t="s">
        <v>44</v>
      </c>
      <c r="B99" s="43"/>
      <c r="C99" s="56"/>
      <c r="D99" s="41">
        <f>[4]Charters!E702</f>
        <v>43300</v>
      </c>
      <c r="E99" s="8"/>
      <c r="F99" s="42">
        <f>SUM(D91:D93)</f>
        <v>36752.14</v>
      </c>
      <c r="G99" s="8"/>
      <c r="H99" s="8"/>
    </row>
    <row r="100" spans="1:8" x14ac:dyDescent="0.2">
      <c r="A100" s="59" t="s">
        <v>43</v>
      </c>
      <c r="B100" s="43"/>
      <c r="C100" s="56"/>
      <c r="D100" s="41">
        <f>[4]Charters!F702</f>
        <v>0</v>
      </c>
      <c r="E100" s="8"/>
      <c r="F100" s="42">
        <f>+F98-F99</f>
        <v>0</v>
      </c>
      <c r="G100" s="8"/>
      <c r="H100" s="8"/>
    </row>
    <row r="101" spans="1:8" x14ac:dyDescent="0.2">
      <c r="A101" s="59" t="s">
        <v>45</v>
      </c>
      <c r="B101" s="43"/>
      <c r="C101" s="56"/>
      <c r="D101" s="41">
        <f>[4]Charters!C548</f>
        <v>0</v>
      </c>
      <c r="E101" s="8"/>
      <c r="F101" s="8"/>
      <c r="G101" s="8"/>
      <c r="H101" s="8"/>
    </row>
    <row r="102" spans="1:8" x14ac:dyDescent="0.2">
      <c r="A102" s="59" t="s">
        <v>46</v>
      </c>
      <c r="B102" s="43"/>
      <c r="C102" s="56"/>
      <c r="D102" s="41">
        <f>[4]Charters!C858</f>
        <v>0</v>
      </c>
      <c r="E102" s="42"/>
      <c r="F102" s="42"/>
      <c r="G102" s="42"/>
      <c r="H102" s="42" t="s">
        <v>31</v>
      </c>
    </row>
    <row r="103" spans="1:8" x14ac:dyDescent="0.2">
      <c r="A103" s="59" t="s">
        <v>51</v>
      </c>
      <c r="B103" s="43"/>
      <c r="C103" s="56"/>
      <c r="D103" s="60">
        <f>[4]Charters!D858</f>
        <v>695.39</v>
      </c>
      <c r="E103" s="42"/>
      <c r="F103" s="42"/>
      <c r="G103" s="42"/>
      <c r="H103" s="42">
        <f>[4]Charters!D1317</f>
        <v>3282600.77</v>
      </c>
    </row>
    <row r="104" spans="1:8" x14ac:dyDescent="0.2">
      <c r="A104" s="20" t="s">
        <v>47</v>
      </c>
      <c r="B104" s="43"/>
      <c r="C104" s="56"/>
      <c r="D104" s="60">
        <f>[4]Charters!E858</f>
        <v>0</v>
      </c>
      <c r="E104" s="42"/>
      <c r="F104" s="42"/>
      <c r="G104" s="42"/>
      <c r="H104" s="42">
        <f>D113</f>
        <v>3282600.77</v>
      </c>
    </row>
    <row r="105" spans="1:8" x14ac:dyDescent="0.2">
      <c r="A105" s="20" t="s">
        <v>57</v>
      </c>
      <c r="B105" s="43"/>
      <c r="C105" s="56"/>
      <c r="D105" s="60">
        <f>[4]Charters!C1011</f>
        <v>2437.98</v>
      </c>
      <c r="E105" s="42"/>
      <c r="F105" s="42"/>
      <c r="G105" s="42"/>
      <c r="H105" s="42">
        <f>+H103-H104</f>
        <v>0</v>
      </c>
    </row>
    <row r="106" spans="1:8" x14ac:dyDescent="0.2">
      <c r="A106" s="59" t="s">
        <v>53</v>
      </c>
      <c r="B106" s="43"/>
      <c r="C106" s="56"/>
      <c r="D106" s="60">
        <f>[4]Charters!D1011</f>
        <v>0</v>
      </c>
      <c r="E106" s="42"/>
      <c r="F106" s="42" t="s">
        <v>30</v>
      </c>
      <c r="G106" s="42"/>
      <c r="H106" s="42"/>
    </row>
    <row r="107" spans="1:8" x14ac:dyDescent="0.2">
      <c r="A107" s="59" t="s">
        <v>59</v>
      </c>
      <c r="B107" s="43"/>
      <c r="C107" s="56"/>
      <c r="D107" s="60">
        <f>[4]Charters!E1011</f>
        <v>0</v>
      </c>
      <c r="E107" s="42"/>
      <c r="F107" s="42"/>
      <c r="G107" s="42"/>
      <c r="H107" s="42"/>
    </row>
    <row r="108" spans="1:8" x14ac:dyDescent="0.2">
      <c r="A108" s="38" t="s">
        <v>18</v>
      </c>
      <c r="B108" s="61"/>
      <c r="C108" s="62"/>
      <c r="D108" s="87"/>
      <c r="E108" s="42"/>
      <c r="F108" s="42">
        <f>[4]Charters!C1317</f>
        <v>3706.59</v>
      </c>
      <c r="G108" s="42"/>
      <c r="H108" s="42"/>
    </row>
    <row r="109" spans="1:8" x14ac:dyDescent="0.2">
      <c r="A109" s="59" t="s">
        <v>39</v>
      </c>
      <c r="B109" s="43"/>
      <c r="C109" s="56"/>
      <c r="D109" s="41">
        <f>[4]Charters!C1164</f>
        <v>3706.59</v>
      </c>
      <c r="E109" s="42"/>
      <c r="F109" s="42">
        <f>SUM(D109:D112)</f>
        <v>3706.59</v>
      </c>
      <c r="G109" s="42"/>
      <c r="H109" s="42"/>
    </row>
    <row r="110" spans="1:8" x14ac:dyDescent="0.2">
      <c r="A110" s="59" t="s">
        <v>48</v>
      </c>
      <c r="B110" s="43"/>
      <c r="C110" s="56"/>
      <c r="D110" s="41">
        <f>[4]Charters!D1164</f>
        <v>0</v>
      </c>
      <c r="E110" s="42"/>
      <c r="F110" s="42">
        <f>+F108-F109</f>
        <v>0</v>
      </c>
      <c r="G110" s="42"/>
      <c r="H110" s="42"/>
    </row>
    <row r="111" spans="1:8" x14ac:dyDescent="0.2">
      <c r="A111" s="59" t="s">
        <v>60</v>
      </c>
      <c r="B111" s="43"/>
      <c r="C111" s="56"/>
      <c r="D111" s="41">
        <f>[4]Charters!E1164</f>
        <v>0</v>
      </c>
      <c r="E111" s="42"/>
      <c r="F111" s="42"/>
      <c r="G111" s="42"/>
      <c r="H111" s="42"/>
    </row>
    <row r="112" spans="1:8" x14ac:dyDescent="0.2">
      <c r="A112" s="59" t="s">
        <v>61</v>
      </c>
      <c r="B112" s="43"/>
      <c r="C112" s="56"/>
      <c r="D112" s="41">
        <f>[4]Charters!F1164</f>
        <v>0</v>
      </c>
      <c r="E112" s="42"/>
      <c r="F112" s="42"/>
      <c r="G112" s="42"/>
      <c r="H112" s="42"/>
    </row>
    <row r="113" spans="1:8" ht="13.5" thickBot="1" x14ac:dyDescent="0.25">
      <c r="A113" s="64"/>
      <c r="B113" s="65"/>
      <c r="C113" s="66"/>
      <c r="D113" s="67">
        <f>SUM(D88:D112)</f>
        <v>3282600.77</v>
      </c>
      <c r="E113" s="42"/>
      <c r="F113" s="42"/>
      <c r="G113" s="42"/>
      <c r="H113" s="42"/>
    </row>
    <row r="114" spans="1:8" ht="13.5" thickTop="1" x14ac:dyDescent="0.2">
      <c r="A114" s="68"/>
      <c r="B114" s="43"/>
      <c r="C114" s="56"/>
      <c r="D114" s="86"/>
      <c r="E114" s="42"/>
      <c r="F114" s="42"/>
      <c r="G114" s="42"/>
      <c r="H114" s="42"/>
    </row>
    <row r="115" spans="1:8" x14ac:dyDescent="0.2">
      <c r="A115" s="38" t="s">
        <v>20</v>
      </c>
      <c r="B115" s="39"/>
      <c r="C115" s="70"/>
      <c r="D115" s="71" t="s">
        <v>21</v>
      </c>
      <c r="E115" s="42"/>
      <c r="F115" s="42"/>
      <c r="G115" s="42"/>
      <c r="H115" s="42"/>
    </row>
    <row r="116" spans="1:8" x14ac:dyDescent="0.2">
      <c r="A116" s="72" t="s">
        <v>22</v>
      </c>
      <c r="B116" s="73"/>
      <c r="C116" s="74"/>
      <c r="D116" s="41">
        <f>[5]Charters!C70</f>
        <v>1107.47</v>
      </c>
      <c r="E116" s="42"/>
      <c r="F116" s="42"/>
      <c r="G116" s="42"/>
      <c r="H116" s="42"/>
    </row>
    <row r="117" spans="1:8" x14ac:dyDescent="0.2">
      <c r="A117" s="75"/>
      <c r="B117" s="61"/>
      <c r="C117" s="76"/>
      <c r="D117" s="77">
        <f>SUM(D116:D116)</f>
        <v>1107.47</v>
      </c>
      <c r="E117" s="42"/>
      <c r="F117" s="42"/>
      <c r="G117" s="42"/>
      <c r="H117" s="42"/>
    </row>
    <row r="118" spans="1:8" x14ac:dyDescent="0.2">
      <c r="A118" s="78" t="s">
        <v>58</v>
      </c>
      <c r="B118" s="79"/>
      <c r="C118" s="80"/>
      <c r="D118" s="77">
        <f>D117+D113</f>
        <v>3283708.24</v>
      </c>
      <c r="E118" s="42"/>
      <c r="F118" s="42"/>
      <c r="G118" s="42"/>
      <c r="H118" s="42"/>
    </row>
    <row r="119" spans="1:8" x14ac:dyDescent="0.2">
      <c r="A119" s="84"/>
      <c r="B119" s="84"/>
      <c r="C119" s="85"/>
      <c r="D119" s="81"/>
      <c r="E119" s="42"/>
      <c r="F119" s="42"/>
      <c r="G119" s="42"/>
      <c r="H119" s="42"/>
    </row>
    <row r="120" spans="1:8" x14ac:dyDescent="0.2">
      <c r="A120" s="84"/>
      <c r="B120" s="84"/>
      <c r="C120" s="85"/>
      <c r="D120" s="81">
        <f>[5]Charters!E226</f>
        <v>3283708.24</v>
      </c>
      <c r="E120" s="42"/>
      <c r="F120" s="42"/>
      <c r="G120" s="42"/>
      <c r="H120" s="42"/>
    </row>
    <row r="121" spans="1:8" x14ac:dyDescent="0.2">
      <c r="A121" s="84"/>
      <c r="B121" s="84"/>
      <c r="C121" s="85"/>
      <c r="D121" s="81">
        <f>D118</f>
        <v>3283708.24</v>
      </c>
      <c r="E121" s="42"/>
      <c r="F121" s="42"/>
      <c r="G121" s="42"/>
      <c r="H121" s="42"/>
    </row>
    <row r="122" spans="1:8" x14ac:dyDescent="0.2">
      <c r="C122" s="83"/>
      <c r="D122" s="42">
        <f>D120-D121</f>
        <v>0</v>
      </c>
      <c r="E122" s="42"/>
      <c r="F122" s="42"/>
      <c r="G122" s="42"/>
      <c r="H122" s="42"/>
    </row>
  </sheetData>
  <mergeCells count="4">
    <mergeCell ref="A118:C118"/>
    <mergeCell ref="A65:D65"/>
    <mergeCell ref="A66:D66"/>
    <mergeCell ref="A64:D64"/>
  </mergeCells>
  <phoneticPr fontId="2" type="noConversion"/>
  <printOptions horizontalCentered="1" verticalCentered="1"/>
  <pageMargins left="0.5" right="0.5" top="0.5" bottom="0.5" header="0.25" footer="0.25"/>
  <pageSetup orientation="portrait" r:id="rId1"/>
  <headerFooter alignWithMargins="0">
    <oddHeader>&amp;R&amp;8Current as of: &amp;D</oddHeader>
    <oddFooter>&amp;L&amp;8USOE, School Finance</oddFooter>
  </headerFooter>
  <picture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>
    <pageSetUpPr fitToPage="1"/>
  </sheetPr>
  <dimension ref="A1:H123"/>
  <sheetViews>
    <sheetView topLeftCell="A58" workbookViewId="0">
      <selection activeCell="C12" sqref="C12"/>
    </sheetView>
  </sheetViews>
  <sheetFormatPr defaultColWidth="9.140625" defaultRowHeight="12.75" x14ac:dyDescent="0.2"/>
  <cols>
    <col min="1" max="1" width="31.85546875" style="82" customWidth="1"/>
    <col min="2" max="2" width="16.140625" style="82" customWidth="1"/>
    <col min="3" max="4" width="14.85546875" style="82" customWidth="1"/>
    <col min="5" max="5" width="7" style="82" customWidth="1"/>
    <col min="6" max="6" width="19.7109375" style="82" customWidth="1"/>
    <col min="7" max="7" width="5.7109375" style="82" customWidth="1"/>
    <col min="8" max="8" width="18" style="82" customWidth="1"/>
    <col min="9" max="16384" width="9.140625" style="82"/>
  </cols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"/>
      <c r="B3" s="1"/>
      <c r="C3" s="1"/>
      <c r="D3" s="1"/>
      <c r="E3" s="1"/>
      <c r="F3" s="1"/>
      <c r="G3" s="1"/>
      <c r="H3" s="1"/>
    </row>
    <row r="4" spans="1:8" x14ac:dyDescent="0.2">
      <c r="A4" s="1"/>
      <c r="B4" s="1"/>
      <c r="C4" s="1"/>
      <c r="D4" s="1"/>
      <c r="E4" s="1"/>
      <c r="F4" s="1"/>
      <c r="G4" s="1"/>
      <c r="H4" s="1"/>
    </row>
    <row r="5" spans="1:8" x14ac:dyDescent="0.2">
      <c r="A5" s="1"/>
      <c r="B5" s="1"/>
      <c r="C5" s="1"/>
      <c r="D5" s="1"/>
      <c r="E5" s="1"/>
      <c r="F5" s="1"/>
      <c r="G5" s="1"/>
      <c r="H5" s="1"/>
    </row>
    <row r="6" spans="1:8" x14ac:dyDescent="0.2">
      <c r="A6" s="1"/>
      <c r="B6" s="1"/>
      <c r="C6" s="1"/>
      <c r="D6" s="1"/>
      <c r="E6" s="1"/>
      <c r="F6" s="1"/>
      <c r="G6" s="1"/>
      <c r="H6" s="1"/>
    </row>
    <row r="7" spans="1:8" x14ac:dyDescent="0.2">
      <c r="A7" s="1"/>
      <c r="B7" s="1"/>
      <c r="C7" s="1"/>
      <c r="D7" s="1"/>
      <c r="E7" s="1"/>
      <c r="F7" s="1"/>
      <c r="G7" s="1"/>
      <c r="H7" s="1"/>
    </row>
    <row r="8" spans="1:8" x14ac:dyDescent="0.2">
      <c r="A8" s="1"/>
      <c r="B8" s="1"/>
      <c r="C8" s="1"/>
      <c r="D8" s="1"/>
      <c r="E8" s="1"/>
      <c r="F8" s="1"/>
      <c r="G8" s="1"/>
      <c r="H8" s="1"/>
    </row>
    <row r="9" spans="1:8" x14ac:dyDescent="0.2">
      <c r="A9" s="1"/>
      <c r="B9" s="1"/>
      <c r="C9" s="1"/>
      <c r="D9" s="1"/>
      <c r="E9" s="1"/>
      <c r="F9" s="1"/>
      <c r="G9" s="1"/>
      <c r="H9" s="1"/>
    </row>
    <row r="10" spans="1:8" x14ac:dyDescent="0.2">
      <c r="A10" s="1"/>
      <c r="B10" s="1"/>
      <c r="C10" s="1"/>
      <c r="D10" s="1"/>
      <c r="E10" s="1"/>
      <c r="F10" s="1"/>
      <c r="G10" s="1"/>
      <c r="H10" s="1"/>
    </row>
    <row r="11" spans="1:8" x14ac:dyDescent="0.2">
      <c r="A11" s="1"/>
      <c r="B11" s="1"/>
      <c r="C11" s="1"/>
      <c r="D11" s="1"/>
      <c r="E11" s="1"/>
      <c r="F11" s="1"/>
      <c r="G11" s="1"/>
      <c r="H11" s="1"/>
    </row>
    <row r="12" spans="1:8" x14ac:dyDescent="0.2">
      <c r="A12" s="1"/>
      <c r="B12" s="1"/>
      <c r="C12" s="1"/>
      <c r="D12" s="1"/>
      <c r="E12" s="1"/>
      <c r="F12" s="1"/>
      <c r="G12" s="1"/>
      <c r="H12" s="1"/>
    </row>
    <row r="13" spans="1:8" x14ac:dyDescent="0.2">
      <c r="A13" s="1"/>
      <c r="B13" s="1"/>
      <c r="C13" s="1"/>
      <c r="D13" s="1"/>
      <c r="E13" s="1"/>
      <c r="F13" s="1"/>
      <c r="G13" s="1"/>
      <c r="H13" s="1"/>
    </row>
    <row r="14" spans="1:8" x14ac:dyDescent="0.2">
      <c r="A14" s="1"/>
      <c r="B14" s="1"/>
      <c r="C14" s="1"/>
      <c r="D14" s="1"/>
      <c r="E14" s="1"/>
      <c r="F14" s="1"/>
      <c r="G14" s="1"/>
      <c r="H14" s="1"/>
    </row>
    <row r="15" spans="1:8" x14ac:dyDescent="0.2">
      <c r="A15" s="1"/>
      <c r="B15" s="1"/>
      <c r="C15" s="1"/>
      <c r="D15" s="1"/>
      <c r="E15" s="1"/>
      <c r="F15" s="1"/>
      <c r="G15" s="1"/>
      <c r="H15" s="1"/>
    </row>
    <row r="16" spans="1:8" x14ac:dyDescent="0.2">
      <c r="A16" s="1"/>
      <c r="B16" s="1"/>
      <c r="C16" s="1"/>
      <c r="D16" s="1"/>
      <c r="E16" s="1"/>
      <c r="F16" s="1"/>
      <c r="G16" s="1"/>
      <c r="H16" s="1"/>
    </row>
    <row r="17" spans="1:8" x14ac:dyDescent="0.2">
      <c r="A17" s="1"/>
      <c r="B17" s="1"/>
      <c r="C17" s="1"/>
      <c r="D17" s="1"/>
      <c r="E17" s="1"/>
      <c r="F17" s="1"/>
      <c r="G17" s="1"/>
      <c r="H17" s="1"/>
    </row>
    <row r="18" spans="1:8" x14ac:dyDescent="0.2">
      <c r="A18" s="1"/>
      <c r="B18" s="1"/>
      <c r="C18" s="1"/>
      <c r="D18" s="1"/>
      <c r="E18" s="1"/>
      <c r="F18" s="1"/>
      <c r="G18" s="1"/>
      <c r="H18" s="1"/>
    </row>
    <row r="19" spans="1:8" x14ac:dyDescent="0.2">
      <c r="A19" s="1"/>
      <c r="B19" s="1"/>
      <c r="C19" s="1"/>
      <c r="D19" s="1"/>
      <c r="E19" s="1"/>
      <c r="F19" s="1"/>
      <c r="G19" s="1"/>
      <c r="H19" s="1"/>
    </row>
    <row r="20" spans="1:8" x14ac:dyDescent="0.2">
      <c r="A20" s="1"/>
      <c r="B20" s="1"/>
      <c r="C20" s="1"/>
      <c r="D20" s="1"/>
      <c r="E20" s="1"/>
      <c r="F20" s="1"/>
      <c r="G20" s="1"/>
      <c r="H20" s="1"/>
    </row>
    <row r="21" spans="1:8" x14ac:dyDescent="0.2">
      <c r="A21" s="1"/>
      <c r="B21" s="1"/>
      <c r="C21" s="1"/>
      <c r="D21" s="1"/>
      <c r="E21" s="1"/>
      <c r="F21" s="1"/>
      <c r="G21" s="1"/>
      <c r="H21" s="1"/>
    </row>
    <row r="22" spans="1:8" x14ac:dyDescent="0.2">
      <c r="A22" s="1"/>
      <c r="B22" s="1"/>
      <c r="C22" s="1"/>
      <c r="D22" s="4"/>
      <c r="E22" s="1"/>
      <c r="F22" s="1"/>
      <c r="G22" s="1"/>
      <c r="H22" s="1"/>
    </row>
    <row r="23" spans="1:8" x14ac:dyDescent="0.2">
      <c r="A23" s="1"/>
      <c r="B23" s="1"/>
      <c r="C23" s="1"/>
      <c r="D23" s="1"/>
      <c r="E23" s="1"/>
      <c r="F23" s="1"/>
      <c r="G23" s="1"/>
      <c r="H23" s="1"/>
    </row>
    <row r="24" spans="1:8" x14ac:dyDescent="0.2">
      <c r="A24" s="1"/>
      <c r="B24" s="1"/>
      <c r="C24" s="1"/>
      <c r="D24" s="1"/>
      <c r="E24" s="1"/>
      <c r="F24" s="1"/>
      <c r="G24" s="1"/>
      <c r="H24" s="1"/>
    </row>
    <row r="25" spans="1:8" x14ac:dyDescent="0.2">
      <c r="A25" s="1"/>
      <c r="B25" s="1"/>
      <c r="C25" s="1"/>
      <c r="D25" s="1"/>
      <c r="E25" s="1"/>
      <c r="F25" s="1"/>
      <c r="G25" s="1"/>
      <c r="H25" s="1"/>
    </row>
    <row r="26" spans="1:8" x14ac:dyDescent="0.2">
      <c r="A26" s="1"/>
      <c r="B26" s="1"/>
      <c r="C26" s="1"/>
      <c r="D26" s="1"/>
      <c r="E26" s="1"/>
      <c r="F26" s="1"/>
      <c r="G26" s="1"/>
      <c r="H26" s="1"/>
    </row>
    <row r="27" spans="1:8" x14ac:dyDescent="0.2">
      <c r="A27" s="1"/>
      <c r="B27" s="1"/>
      <c r="C27" s="1"/>
      <c r="D27" s="1"/>
      <c r="E27" s="1"/>
      <c r="F27" s="1"/>
      <c r="G27" s="1"/>
      <c r="H27" s="1"/>
    </row>
    <row r="28" spans="1:8" x14ac:dyDescent="0.2">
      <c r="A28" s="1"/>
      <c r="B28" s="1"/>
      <c r="C28" s="1"/>
      <c r="D28" s="1"/>
      <c r="E28" s="1"/>
      <c r="F28" s="1"/>
      <c r="G28" s="1"/>
      <c r="H28" s="1"/>
    </row>
    <row r="29" spans="1:8" x14ac:dyDescent="0.2">
      <c r="A29" s="1"/>
      <c r="B29" s="1"/>
      <c r="C29" s="1"/>
      <c r="D29" s="1"/>
      <c r="E29" s="1"/>
      <c r="F29" s="1"/>
      <c r="G29" s="1"/>
      <c r="H29" s="1"/>
    </row>
    <row r="30" spans="1:8" x14ac:dyDescent="0.2">
      <c r="A30" s="1"/>
      <c r="B30" s="1"/>
      <c r="C30" s="1"/>
      <c r="D30" s="1"/>
      <c r="E30" s="1"/>
      <c r="F30" s="1"/>
      <c r="G30" s="1"/>
      <c r="H30" s="1"/>
    </row>
    <row r="31" spans="1:8" x14ac:dyDescent="0.2">
      <c r="A31" s="1"/>
      <c r="B31" s="1"/>
      <c r="C31" s="1"/>
      <c r="D31" s="1"/>
      <c r="E31" s="1"/>
      <c r="F31" s="1"/>
      <c r="G31" s="1"/>
      <c r="H31" s="1"/>
    </row>
    <row r="32" spans="1:8" x14ac:dyDescent="0.2">
      <c r="A32" s="1"/>
      <c r="B32" s="1"/>
      <c r="C32" s="1"/>
      <c r="D32" s="1"/>
      <c r="E32" s="1"/>
      <c r="F32" s="1"/>
      <c r="G32" s="1"/>
      <c r="H32" s="1"/>
    </row>
    <row r="33" spans="1:8" x14ac:dyDescent="0.2">
      <c r="A33" s="1"/>
      <c r="B33" s="1"/>
      <c r="C33" s="1"/>
      <c r="D33" s="1"/>
      <c r="E33" s="1"/>
      <c r="F33" s="1"/>
      <c r="G33" s="1"/>
      <c r="H33" s="1"/>
    </row>
    <row r="34" spans="1:8" x14ac:dyDescent="0.2">
      <c r="A34" s="1"/>
      <c r="B34" s="1"/>
      <c r="C34" s="1"/>
      <c r="D34" s="1"/>
      <c r="E34" s="1"/>
      <c r="F34" s="1"/>
      <c r="G34" s="1"/>
      <c r="H34" s="1"/>
    </row>
    <row r="35" spans="1:8" x14ac:dyDescent="0.2">
      <c r="A35" s="1"/>
      <c r="B35" s="1"/>
      <c r="C35" s="1"/>
      <c r="D35" s="1"/>
      <c r="E35" s="1"/>
      <c r="F35" s="1"/>
      <c r="G35" s="1"/>
      <c r="H35" s="1"/>
    </row>
    <row r="36" spans="1:8" x14ac:dyDescent="0.2">
      <c r="A36" s="1"/>
      <c r="B36" s="1"/>
      <c r="C36" s="1"/>
      <c r="D36" s="1"/>
      <c r="E36" s="1"/>
      <c r="F36" s="1"/>
      <c r="G36" s="1"/>
      <c r="H36" s="1"/>
    </row>
    <row r="37" spans="1:8" x14ac:dyDescent="0.2">
      <c r="A37" s="1"/>
      <c r="B37" s="1"/>
      <c r="C37" s="1"/>
      <c r="D37" s="1"/>
      <c r="E37" s="1"/>
      <c r="F37" s="1"/>
      <c r="G37" s="1"/>
      <c r="H37" s="1"/>
    </row>
    <row r="38" spans="1:8" x14ac:dyDescent="0.2">
      <c r="A38" s="1"/>
      <c r="B38" s="1"/>
      <c r="C38" s="1"/>
      <c r="D38" s="1"/>
      <c r="E38" s="1"/>
      <c r="F38" s="1"/>
      <c r="G38" s="1"/>
      <c r="H38" s="1"/>
    </row>
    <row r="39" spans="1:8" x14ac:dyDescent="0.2">
      <c r="A39" s="1"/>
      <c r="B39" s="1"/>
      <c r="C39" s="1"/>
      <c r="D39" s="1"/>
      <c r="E39" s="1"/>
      <c r="F39" s="1"/>
      <c r="G39" s="1"/>
      <c r="H39" s="1"/>
    </row>
    <row r="40" spans="1:8" x14ac:dyDescent="0.2">
      <c r="A40" s="1"/>
      <c r="B40" s="1"/>
      <c r="C40" s="1"/>
      <c r="D40" s="1"/>
      <c r="E40" s="1"/>
      <c r="F40" s="1"/>
      <c r="G40" s="1"/>
      <c r="H40" s="1"/>
    </row>
    <row r="41" spans="1:8" x14ac:dyDescent="0.2">
      <c r="A41" s="1"/>
      <c r="B41" s="1"/>
      <c r="C41" s="1"/>
      <c r="D41" s="1"/>
      <c r="E41" s="1"/>
      <c r="F41" s="1"/>
      <c r="G41" s="1"/>
      <c r="H41" s="1"/>
    </row>
    <row r="42" spans="1:8" x14ac:dyDescent="0.2">
      <c r="A42" s="1"/>
      <c r="B42" s="1"/>
      <c r="C42" s="1"/>
      <c r="D42" s="1"/>
      <c r="E42" s="1"/>
      <c r="F42" s="1"/>
      <c r="G42" s="1"/>
      <c r="H42" s="1"/>
    </row>
    <row r="43" spans="1:8" x14ac:dyDescent="0.2">
      <c r="A43" s="1"/>
      <c r="B43" s="1"/>
      <c r="C43" s="1"/>
      <c r="D43" s="1"/>
      <c r="E43" s="1"/>
      <c r="F43" s="1"/>
      <c r="G43" s="1"/>
      <c r="H43" s="1"/>
    </row>
    <row r="44" spans="1:8" x14ac:dyDescent="0.2">
      <c r="A44" s="1"/>
      <c r="B44" s="1"/>
      <c r="C44" s="1"/>
      <c r="D44" s="1"/>
      <c r="E44" s="1"/>
      <c r="F44" s="1"/>
      <c r="G44" s="1"/>
      <c r="H44" s="1"/>
    </row>
    <row r="45" spans="1:8" x14ac:dyDescent="0.2">
      <c r="A45" s="1"/>
      <c r="B45" s="1"/>
      <c r="C45" s="1"/>
      <c r="D45" s="1"/>
      <c r="E45" s="1"/>
      <c r="F45" s="1"/>
      <c r="G45" s="1"/>
      <c r="H45" s="1"/>
    </row>
    <row r="46" spans="1:8" x14ac:dyDescent="0.2">
      <c r="A46" s="1"/>
      <c r="B46" s="1"/>
      <c r="C46" s="1"/>
      <c r="D46" s="1"/>
      <c r="E46" s="1"/>
      <c r="F46" s="1"/>
      <c r="G46" s="1"/>
      <c r="H46" s="1"/>
    </row>
    <row r="47" spans="1:8" x14ac:dyDescent="0.2">
      <c r="A47" s="1"/>
      <c r="B47" s="1"/>
      <c r="C47" s="1"/>
      <c r="D47" s="1"/>
      <c r="E47" s="1"/>
      <c r="F47" s="1"/>
      <c r="G47" s="1"/>
      <c r="H47" s="1"/>
    </row>
    <row r="48" spans="1:8" x14ac:dyDescent="0.2">
      <c r="A48" s="1"/>
      <c r="B48" s="1"/>
      <c r="C48" s="1"/>
      <c r="D48" s="1"/>
      <c r="E48" s="1"/>
      <c r="F48" s="1"/>
      <c r="G48" s="1"/>
      <c r="H48" s="1"/>
    </row>
    <row r="49" spans="1:8" x14ac:dyDescent="0.2">
      <c r="A49" s="1"/>
      <c r="B49" s="1"/>
      <c r="C49" s="1"/>
      <c r="D49" s="1"/>
      <c r="E49" s="1"/>
      <c r="F49" s="1"/>
      <c r="G49" s="1"/>
      <c r="H49" s="1"/>
    </row>
    <row r="50" spans="1:8" x14ac:dyDescent="0.2">
      <c r="A50" s="1"/>
      <c r="B50" s="1"/>
      <c r="C50" s="1"/>
      <c r="D50" s="1"/>
      <c r="E50" s="1"/>
      <c r="F50" s="1"/>
      <c r="G50" s="1"/>
      <c r="H50" s="1"/>
    </row>
    <row r="51" spans="1:8" x14ac:dyDescent="0.2">
      <c r="A51" s="1"/>
      <c r="B51" s="1"/>
      <c r="C51" s="1"/>
      <c r="D51" s="1"/>
      <c r="E51" s="1"/>
      <c r="F51" s="1"/>
      <c r="G51" s="1"/>
      <c r="H51" s="1"/>
    </row>
    <row r="52" spans="1:8" x14ac:dyDescent="0.2">
      <c r="A52" s="1"/>
      <c r="B52" s="1"/>
      <c r="C52" s="1"/>
      <c r="D52" s="1"/>
      <c r="E52" s="1"/>
      <c r="F52" s="1"/>
      <c r="G52" s="1"/>
      <c r="H52" s="1"/>
    </row>
    <row r="53" spans="1:8" x14ac:dyDescent="0.2">
      <c r="A53" s="1"/>
      <c r="B53" s="1"/>
      <c r="C53" s="1"/>
      <c r="D53" s="1"/>
      <c r="E53" s="1"/>
      <c r="F53" s="1"/>
      <c r="G53" s="1"/>
      <c r="H53" s="1"/>
    </row>
    <row r="54" spans="1:8" x14ac:dyDescent="0.2">
      <c r="A54" s="1"/>
      <c r="B54" s="1"/>
      <c r="C54" s="1"/>
      <c r="D54" s="1"/>
      <c r="E54" s="1"/>
      <c r="F54" s="1"/>
      <c r="G54" s="1"/>
      <c r="H54" s="1"/>
    </row>
    <row r="55" spans="1:8" x14ac:dyDescent="0.2">
      <c r="A55" s="1"/>
      <c r="B55" s="1"/>
      <c r="C55" s="1"/>
      <c r="D55" s="1"/>
      <c r="E55" s="1"/>
      <c r="F55" s="1"/>
      <c r="G55" s="1"/>
      <c r="H55" s="1"/>
    </row>
    <row r="56" spans="1:8" x14ac:dyDescent="0.2">
      <c r="A56" s="1"/>
      <c r="B56" s="1"/>
      <c r="C56" s="1"/>
      <c r="D56" s="1"/>
      <c r="E56" s="1"/>
      <c r="F56" s="1"/>
      <c r="G56" s="1"/>
      <c r="H56" s="1"/>
    </row>
    <row r="57" spans="1:8" x14ac:dyDescent="0.2">
      <c r="A57" s="1"/>
      <c r="B57" s="1"/>
      <c r="C57" s="1"/>
      <c r="D57" s="1"/>
      <c r="E57" s="1"/>
      <c r="F57" s="1"/>
      <c r="G57" s="1"/>
      <c r="H57" s="1"/>
    </row>
    <row r="58" spans="1:8" x14ac:dyDescent="0.2">
      <c r="A58" s="1"/>
      <c r="B58" s="1"/>
      <c r="C58" s="1"/>
      <c r="D58" s="1"/>
      <c r="E58" s="1"/>
      <c r="F58" s="1"/>
      <c r="G58" s="1"/>
      <c r="H58" s="1"/>
    </row>
    <row r="59" spans="1:8" x14ac:dyDescent="0.2">
      <c r="A59" s="1"/>
      <c r="B59" s="1"/>
      <c r="C59" s="1"/>
      <c r="D59" s="1"/>
      <c r="E59" s="1"/>
      <c r="F59" s="1"/>
      <c r="G59" s="1"/>
      <c r="H59" s="1"/>
    </row>
    <row r="60" spans="1:8" x14ac:dyDescent="0.2">
      <c r="A60" s="1"/>
      <c r="B60" s="1"/>
      <c r="C60" s="1"/>
      <c r="D60" s="1"/>
      <c r="E60" s="1"/>
      <c r="F60" s="1"/>
      <c r="G60" s="1"/>
      <c r="H60" s="1"/>
    </row>
    <row r="61" spans="1:8" x14ac:dyDescent="0.2">
      <c r="A61" s="1"/>
      <c r="B61" s="1"/>
      <c r="C61" s="1"/>
      <c r="D61" s="1"/>
      <c r="E61" s="1"/>
      <c r="F61" s="1"/>
      <c r="G61" s="1"/>
      <c r="H61" s="1"/>
    </row>
    <row r="62" spans="1:8" x14ac:dyDescent="0.2">
      <c r="A62" s="1"/>
      <c r="B62" s="1"/>
      <c r="C62" s="1"/>
      <c r="D62" s="1"/>
      <c r="E62" s="1"/>
      <c r="F62" s="1"/>
      <c r="G62" s="1"/>
      <c r="H62" s="1"/>
    </row>
    <row r="63" spans="1:8" x14ac:dyDescent="0.2">
      <c r="A63" s="1"/>
      <c r="B63" s="1"/>
      <c r="C63" s="1"/>
      <c r="D63" s="1"/>
      <c r="E63" s="1"/>
      <c r="F63" s="1"/>
      <c r="G63" s="1"/>
      <c r="H63" s="1"/>
    </row>
    <row r="64" spans="1:8" x14ac:dyDescent="0.2">
      <c r="A64" s="1"/>
      <c r="B64" s="1"/>
      <c r="C64" s="1"/>
      <c r="D64" s="1"/>
      <c r="E64" s="1"/>
      <c r="F64" s="1"/>
      <c r="G64" s="1"/>
      <c r="H64" s="1"/>
    </row>
    <row r="65" spans="1:8" x14ac:dyDescent="0.2">
      <c r="A65" s="11" t="s">
        <v>1</v>
      </c>
      <c r="B65" s="12"/>
      <c r="C65" s="12"/>
      <c r="D65" s="13"/>
      <c r="E65" s="8"/>
      <c r="F65" s="8"/>
      <c r="G65" s="8"/>
      <c r="H65" s="8"/>
    </row>
    <row r="66" spans="1:8" x14ac:dyDescent="0.2">
      <c r="A66" s="14" t="s">
        <v>15</v>
      </c>
      <c r="B66" s="15"/>
      <c r="C66" s="15"/>
      <c r="D66" s="16"/>
      <c r="E66" s="8"/>
      <c r="F66" s="8"/>
      <c r="G66" s="8"/>
      <c r="H66" s="8"/>
    </row>
    <row r="67" spans="1:8" x14ac:dyDescent="0.2">
      <c r="A67" s="17" t="s">
        <v>62</v>
      </c>
      <c r="B67" s="18"/>
      <c r="C67" s="18"/>
      <c r="D67" s="19"/>
      <c r="E67" s="8"/>
      <c r="F67" s="8"/>
      <c r="G67" s="8"/>
      <c r="H67" s="8"/>
    </row>
    <row r="68" spans="1:8" x14ac:dyDescent="0.2">
      <c r="A68" s="20"/>
      <c r="B68" s="21"/>
      <c r="C68" s="22"/>
      <c r="D68" s="23"/>
      <c r="E68" s="8"/>
      <c r="F68" s="8" t="s">
        <v>34</v>
      </c>
      <c r="G68" s="8"/>
      <c r="H68" s="8"/>
    </row>
    <row r="69" spans="1:8" ht="15.75" x14ac:dyDescent="0.25">
      <c r="A69" s="24" t="s">
        <v>2</v>
      </c>
      <c r="B69" s="25" t="str">
        <f>[1]Charters!B72</f>
        <v>Venture Academy</v>
      </c>
      <c r="C69" s="26"/>
      <c r="D69" s="27"/>
      <c r="E69" s="8"/>
      <c r="F69" s="8"/>
      <c r="G69" s="8"/>
      <c r="H69" s="8"/>
    </row>
    <row r="70" spans="1:8" x14ac:dyDescent="0.2">
      <c r="A70" s="24"/>
      <c r="B70" s="28"/>
      <c r="C70" s="26"/>
      <c r="D70" s="27"/>
      <c r="E70" s="8"/>
      <c r="F70" s="8"/>
      <c r="G70" s="8"/>
      <c r="H70" s="8"/>
    </row>
    <row r="71" spans="1:8" x14ac:dyDescent="0.2">
      <c r="A71" s="29" t="s">
        <v>0</v>
      </c>
      <c r="B71" s="30">
        <f>[1]Charters!$E$6</f>
        <v>3184</v>
      </c>
      <c r="C71" s="26"/>
      <c r="D71" s="31"/>
      <c r="E71" s="8"/>
      <c r="F71" s="8"/>
      <c r="G71" s="8"/>
      <c r="H71" s="8"/>
    </row>
    <row r="72" spans="1:8" x14ac:dyDescent="0.2">
      <c r="A72" s="32"/>
      <c r="B72" s="6"/>
      <c r="C72" s="33"/>
      <c r="D72" s="34" t="s">
        <v>3</v>
      </c>
      <c r="E72" s="8"/>
      <c r="F72" s="8"/>
      <c r="G72" s="8"/>
      <c r="H72" s="8"/>
    </row>
    <row r="73" spans="1:8" x14ac:dyDescent="0.2">
      <c r="A73" s="29" t="s">
        <v>19</v>
      </c>
      <c r="B73" s="35" t="str">
        <f>[1]Charters!A72</f>
        <v>3F</v>
      </c>
      <c r="C73" s="36" t="s">
        <v>4</v>
      </c>
      <c r="D73" s="37" t="s">
        <v>5</v>
      </c>
      <c r="E73" s="8"/>
      <c r="F73" s="8"/>
      <c r="G73" s="8"/>
      <c r="H73" s="8"/>
    </row>
    <row r="74" spans="1:8" x14ac:dyDescent="0.2">
      <c r="A74" s="38" t="s">
        <v>6</v>
      </c>
      <c r="B74" s="39"/>
      <c r="C74" s="40"/>
      <c r="D74" s="41"/>
      <c r="E74" s="8"/>
      <c r="F74" s="8"/>
      <c r="G74" s="8"/>
      <c r="H74" s="8"/>
    </row>
    <row r="75" spans="1:8" x14ac:dyDescent="0.2">
      <c r="A75" s="38" t="s">
        <v>7</v>
      </c>
      <c r="B75" s="39"/>
      <c r="C75" s="40"/>
      <c r="D75" s="41"/>
      <c r="E75" s="8"/>
      <c r="F75" s="42" t="s">
        <v>23</v>
      </c>
      <c r="G75" s="8"/>
      <c r="H75" s="42" t="s">
        <v>26</v>
      </c>
    </row>
    <row r="76" spans="1:8" x14ac:dyDescent="0.2">
      <c r="A76" s="20" t="s">
        <v>8</v>
      </c>
      <c r="B76" s="43"/>
      <c r="C76" s="44">
        <f>[1]Charters!C532</f>
        <v>769.91200000000003</v>
      </c>
      <c r="D76" s="45">
        <f>[1]Charters!E532</f>
        <v>2451400.2799999998</v>
      </c>
      <c r="E76" s="8"/>
      <c r="F76" s="42">
        <f>[1]Charters!E687</f>
        <v>2585129.6</v>
      </c>
      <c r="G76" s="8"/>
      <c r="H76" s="42">
        <f>[2]Charters!E226</f>
        <v>3071682.71</v>
      </c>
    </row>
    <row r="77" spans="1:8" x14ac:dyDescent="0.2">
      <c r="A77" s="20" t="s">
        <v>14</v>
      </c>
      <c r="B77" s="43"/>
      <c r="C77" s="44">
        <f>[1]Charters!F532</f>
        <v>42</v>
      </c>
      <c r="D77" s="45">
        <f>[1]Charters!H532</f>
        <v>133729.32</v>
      </c>
      <c r="E77" s="8"/>
      <c r="F77" s="42">
        <f>SUM(D76:D78)</f>
        <v>2585129.6</v>
      </c>
      <c r="G77" s="8"/>
      <c r="H77" s="42">
        <f>D89</f>
        <v>3071682.71</v>
      </c>
    </row>
    <row r="78" spans="1:8" x14ac:dyDescent="0.2">
      <c r="A78" s="20" t="s">
        <v>32</v>
      </c>
      <c r="B78" s="43"/>
      <c r="C78" s="44">
        <f>[1]Charters!C225</f>
        <v>0</v>
      </c>
      <c r="D78" s="45">
        <f>[1]Charters!E225</f>
        <v>0</v>
      </c>
      <c r="E78" s="8"/>
      <c r="F78" s="42">
        <f>+F76-F77</f>
        <v>0</v>
      </c>
      <c r="G78" s="8"/>
      <c r="H78" s="42">
        <f>+H76-H77</f>
        <v>0</v>
      </c>
    </row>
    <row r="79" spans="1:8" x14ac:dyDescent="0.2">
      <c r="A79" s="38" t="s">
        <v>9</v>
      </c>
      <c r="B79" s="39"/>
      <c r="C79" s="46"/>
      <c r="D79" s="47"/>
      <c r="E79" s="8"/>
      <c r="F79" s="8"/>
      <c r="G79" s="8"/>
      <c r="H79" s="8"/>
    </row>
    <row r="80" spans="1:8" x14ac:dyDescent="0.2">
      <c r="A80" s="20" t="s">
        <v>10</v>
      </c>
      <c r="B80" s="43"/>
      <c r="C80" s="40">
        <f>[3]Charters!C71</f>
        <v>99.186999999999998</v>
      </c>
      <c r="D80" s="41">
        <f>[3]Charters!E71</f>
        <v>315811.08</v>
      </c>
      <c r="E80" s="8"/>
      <c r="F80" s="42" t="s">
        <v>24</v>
      </c>
      <c r="G80" s="8"/>
      <c r="H80" s="8"/>
    </row>
    <row r="81" spans="1:8" x14ac:dyDescent="0.2">
      <c r="A81" s="48" t="s">
        <v>11</v>
      </c>
      <c r="B81" s="43"/>
      <c r="C81" s="40">
        <f>[3]Charters!F71</f>
        <v>7.56</v>
      </c>
      <c r="D81" s="49">
        <f>[3]Charters!H71</f>
        <v>24071.040000000001</v>
      </c>
      <c r="E81" s="8"/>
      <c r="F81" s="42">
        <f>[3]Charters!N383</f>
        <v>351976.44</v>
      </c>
      <c r="G81" s="8"/>
      <c r="H81" s="8"/>
    </row>
    <row r="82" spans="1:8" x14ac:dyDescent="0.2">
      <c r="A82" s="48" t="s">
        <v>12</v>
      </c>
      <c r="B82" s="43"/>
      <c r="C82" s="40">
        <f>[3]Charters!C226</f>
        <v>0</v>
      </c>
      <c r="D82" s="41">
        <f>[3]Charters!E226</f>
        <v>0</v>
      </c>
      <c r="E82" s="8"/>
      <c r="F82" s="42">
        <f>SUM(D80:D86)</f>
        <v>351976.44</v>
      </c>
      <c r="G82" s="8"/>
      <c r="H82" s="8"/>
    </row>
    <row r="83" spans="1:8" x14ac:dyDescent="0.2">
      <c r="A83" s="20" t="s">
        <v>13</v>
      </c>
      <c r="B83" s="43"/>
      <c r="C83" s="40">
        <f>[3]Charters!F226</f>
        <v>1.1839999999999999</v>
      </c>
      <c r="D83" s="41">
        <f>[3]Charters!H226</f>
        <v>3768.97</v>
      </c>
      <c r="E83" s="8"/>
      <c r="F83" s="42">
        <f>+F81-F82</f>
        <v>0</v>
      </c>
      <c r="G83" s="8"/>
      <c r="H83" s="8"/>
    </row>
    <row r="84" spans="1:8" x14ac:dyDescent="0.2">
      <c r="A84" s="48" t="s">
        <v>54</v>
      </c>
      <c r="B84" s="43"/>
      <c r="C84" s="40">
        <f>[3]Charters!C383</f>
        <v>2.6150000000000002</v>
      </c>
      <c r="D84" s="41">
        <f>[3]Charters!E383</f>
        <v>8325.35</v>
      </c>
      <c r="E84" s="8"/>
      <c r="F84" s="8"/>
      <c r="G84" s="8"/>
      <c r="H84" s="8"/>
    </row>
    <row r="85" spans="1:8" x14ac:dyDescent="0.2">
      <c r="A85" s="48" t="s">
        <v>55</v>
      </c>
      <c r="B85" s="43"/>
      <c r="C85" s="40">
        <f>[3]Charters!F383</f>
        <v>0</v>
      </c>
      <c r="D85" s="41">
        <f>[3]Charters!H383</f>
        <v>0</v>
      </c>
      <c r="E85" s="8"/>
      <c r="F85" s="42" t="s">
        <v>25</v>
      </c>
      <c r="G85" s="8"/>
      <c r="H85" s="8"/>
    </row>
    <row r="86" spans="1:8" x14ac:dyDescent="0.2">
      <c r="A86" s="48" t="s">
        <v>56</v>
      </c>
      <c r="B86" s="43"/>
      <c r="C86" s="40">
        <f>[3]Charters!I383</f>
        <v>0</v>
      </c>
      <c r="D86" s="41">
        <f>[3]Charters!K383</f>
        <v>0</v>
      </c>
      <c r="E86" s="8"/>
      <c r="F86" s="42">
        <f>[2]Charters!H72</f>
        <v>486553.11</v>
      </c>
      <c r="G86" s="8"/>
      <c r="H86" s="8"/>
    </row>
    <row r="87" spans="1:8" x14ac:dyDescent="0.2">
      <c r="A87" s="20" t="s">
        <v>49</v>
      </c>
      <c r="B87" s="43"/>
      <c r="C87" s="40">
        <f>[3]Charters!C539</f>
        <v>0</v>
      </c>
      <c r="D87" s="41">
        <f>[3]Charters!E539</f>
        <v>0</v>
      </c>
      <c r="E87" s="8"/>
      <c r="F87" s="42">
        <f>SUM(D80:D88)</f>
        <v>486553.11</v>
      </c>
      <c r="G87" s="8"/>
      <c r="H87" s="8"/>
    </row>
    <row r="88" spans="1:8" x14ac:dyDescent="0.2">
      <c r="A88" s="20" t="s">
        <v>50</v>
      </c>
      <c r="B88" s="43"/>
      <c r="C88" s="40">
        <f>[2]Charters!C72</f>
        <v>42.267000000000003</v>
      </c>
      <c r="D88" s="41">
        <f>[2]Charters!E72</f>
        <v>134576.67000000001</v>
      </c>
      <c r="E88" s="8"/>
      <c r="F88" s="42">
        <f>+F86-F87</f>
        <v>0</v>
      </c>
      <c r="G88" s="8"/>
      <c r="H88" s="8"/>
    </row>
    <row r="89" spans="1:8" x14ac:dyDescent="0.2">
      <c r="A89" s="50"/>
      <c r="B89" s="51" t="s">
        <v>16</v>
      </c>
      <c r="C89" s="52">
        <f>SUM(C76:C88)</f>
        <v>964.72500000000002</v>
      </c>
      <c r="D89" s="53">
        <f>SUM(D76:D88)</f>
        <v>3071682.71</v>
      </c>
      <c r="E89" s="8"/>
      <c r="F89" s="8"/>
      <c r="G89" s="8"/>
      <c r="H89" s="8"/>
    </row>
    <row r="90" spans="1:8" x14ac:dyDescent="0.2">
      <c r="A90" s="54" t="s">
        <v>17</v>
      </c>
      <c r="B90" s="39"/>
      <c r="C90" s="55"/>
      <c r="D90" s="47"/>
      <c r="E90" s="8"/>
      <c r="F90" s="8"/>
      <c r="G90" s="8"/>
      <c r="H90" s="42" t="s">
        <v>29</v>
      </c>
    </row>
    <row r="91" spans="1:8" x14ac:dyDescent="0.2">
      <c r="A91" s="20" t="s">
        <v>33</v>
      </c>
      <c r="B91" s="43"/>
      <c r="C91" s="56"/>
      <c r="D91" s="57">
        <f>[4]Charters!C72</f>
        <v>8903.17</v>
      </c>
      <c r="E91" s="8"/>
      <c r="F91" s="8"/>
      <c r="G91" s="8"/>
      <c r="H91" s="42">
        <f>[4]Charters!F1012</f>
        <v>5078144.0999999996</v>
      </c>
    </row>
    <row r="92" spans="1:8" x14ac:dyDescent="0.2">
      <c r="A92" s="58" t="s">
        <v>35</v>
      </c>
      <c r="B92" s="43"/>
      <c r="C92" s="56"/>
      <c r="D92" s="41">
        <f>+[4]Charters!F393</f>
        <v>828.99</v>
      </c>
      <c r="E92" s="8"/>
      <c r="F92" s="8"/>
      <c r="G92" s="8"/>
      <c r="H92" s="42">
        <f>SUM(D89:D108)</f>
        <v>5078144.0999999996</v>
      </c>
    </row>
    <row r="93" spans="1:8" x14ac:dyDescent="0.2">
      <c r="A93" s="59" t="s">
        <v>36</v>
      </c>
      <c r="B93" s="43"/>
      <c r="C93" s="56"/>
      <c r="D93" s="41">
        <f>[4]Charters!E232</f>
        <v>32425</v>
      </c>
      <c r="E93" s="8"/>
      <c r="F93" s="8"/>
      <c r="G93" s="8"/>
      <c r="H93" s="42">
        <f>+H91-H92</f>
        <v>0</v>
      </c>
    </row>
    <row r="94" spans="1:8" x14ac:dyDescent="0.2">
      <c r="A94" s="59" t="s">
        <v>52</v>
      </c>
      <c r="B94" s="43"/>
      <c r="C94" s="56"/>
      <c r="D94" s="41">
        <f>[4]Charters!G393</f>
        <v>0</v>
      </c>
      <c r="E94" s="8"/>
      <c r="F94" s="42" t="s">
        <v>27</v>
      </c>
      <c r="G94" s="8"/>
      <c r="H94" s="42"/>
    </row>
    <row r="95" spans="1:8" x14ac:dyDescent="0.2">
      <c r="A95" s="20" t="s">
        <v>37</v>
      </c>
      <c r="B95" s="43"/>
      <c r="C95" s="56"/>
      <c r="D95" s="41">
        <f>[4]Charters!E549</f>
        <v>56695</v>
      </c>
      <c r="E95" s="8"/>
      <c r="F95" s="42">
        <f>[4]Charters!E232</f>
        <v>32425</v>
      </c>
      <c r="G95" s="8"/>
      <c r="H95" s="8"/>
    </row>
    <row r="96" spans="1:8" x14ac:dyDescent="0.2">
      <c r="A96" s="20" t="s">
        <v>38</v>
      </c>
      <c r="B96" s="43"/>
      <c r="C96" s="56"/>
      <c r="D96" s="41">
        <f>[4]Charters!F549</f>
        <v>0</v>
      </c>
      <c r="E96" s="8"/>
      <c r="F96" s="42">
        <f>SUM(D93:D93)</f>
        <v>32425</v>
      </c>
      <c r="G96" s="8"/>
      <c r="H96" s="8"/>
    </row>
    <row r="97" spans="1:8" x14ac:dyDescent="0.2">
      <c r="A97" s="59" t="s">
        <v>40</v>
      </c>
      <c r="B97" s="43"/>
      <c r="C97" s="56"/>
      <c r="D97" s="41">
        <f>[4]Charters!G549</f>
        <v>0</v>
      </c>
      <c r="E97" s="8"/>
      <c r="F97" s="42">
        <f>+F95-F96</f>
        <v>0</v>
      </c>
      <c r="G97" s="8"/>
      <c r="H97" s="8"/>
    </row>
    <row r="98" spans="1:8" x14ac:dyDescent="0.2">
      <c r="A98" s="20" t="s">
        <v>41</v>
      </c>
      <c r="B98" s="43"/>
      <c r="C98" s="56"/>
      <c r="D98" s="41">
        <f>[4]Charters!C703</f>
        <v>1552776</v>
      </c>
      <c r="E98" s="8"/>
      <c r="F98" s="42" t="s">
        <v>28</v>
      </c>
      <c r="G98" s="8"/>
      <c r="H98" s="8"/>
    </row>
    <row r="99" spans="1:8" x14ac:dyDescent="0.2">
      <c r="A99" s="20" t="s">
        <v>42</v>
      </c>
      <c r="B99" s="43"/>
      <c r="C99" s="56"/>
      <c r="D99" s="41">
        <f>[4]Charters!D703</f>
        <v>225486.98</v>
      </c>
      <c r="E99" s="8"/>
      <c r="F99" s="42">
        <f>[4]Charters!D549</f>
        <v>33253.99</v>
      </c>
      <c r="G99" s="8"/>
      <c r="H99" s="8"/>
    </row>
    <row r="100" spans="1:8" x14ac:dyDescent="0.2">
      <c r="A100" s="20" t="s">
        <v>44</v>
      </c>
      <c r="B100" s="43"/>
      <c r="C100" s="56"/>
      <c r="D100" s="41">
        <f>[4]Charters!E703</f>
        <v>77600</v>
      </c>
      <c r="E100" s="8"/>
      <c r="F100" s="42">
        <f>SUM(D92:D94)</f>
        <v>33253.99</v>
      </c>
      <c r="G100" s="8"/>
      <c r="H100" s="8"/>
    </row>
    <row r="101" spans="1:8" x14ac:dyDescent="0.2">
      <c r="A101" s="59" t="s">
        <v>43</v>
      </c>
      <c r="B101" s="43"/>
      <c r="C101" s="56"/>
      <c r="D101" s="41">
        <f>[4]Charters!F703</f>
        <v>28809.21</v>
      </c>
      <c r="E101" s="8"/>
      <c r="F101" s="42">
        <f>+F99-F100</f>
        <v>0</v>
      </c>
      <c r="G101" s="8"/>
      <c r="H101" s="8"/>
    </row>
    <row r="102" spans="1:8" x14ac:dyDescent="0.2">
      <c r="A102" s="59" t="s">
        <v>45</v>
      </c>
      <c r="B102" s="43"/>
      <c r="C102" s="56"/>
      <c r="D102" s="41">
        <f>[4]Charters!C549</f>
        <v>0</v>
      </c>
      <c r="E102" s="8"/>
      <c r="F102" s="8"/>
      <c r="G102" s="8"/>
      <c r="H102" s="8"/>
    </row>
    <row r="103" spans="1:8" x14ac:dyDescent="0.2">
      <c r="A103" s="59" t="s">
        <v>46</v>
      </c>
      <c r="B103" s="43"/>
      <c r="C103" s="56"/>
      <c r="D103" s="41">
        <f>[4]Charters!C859</f>
        <v>0</v>
      </c>
      <c r="E103" s="42"/>
      <c r="F103" s="42"/>
      <c r="G103" s="42"/>
      <c r="H103" s="42" t="s">
        <v>31</v>
      </c>
    </row>
    <row r="104" spans="1:8" x14ac:dyDescent="0.2">
      <c r="A104" s="59" t="s">
        <v>51</v>
      </c>
      <c r="B104" s="43"/>
      <c r="C104" s="56"/>
      <c r="D104" s="60">
        <f>[4]Charters!D859</f>
        <v>995.23</v>
      </c>
      <c r="E104" s="42"/>
      <c r="F104" s="42"/>
      <c r="G104" s="42"/>
      <c r="H104" s="42">
        <f>[4]Charters!D1318</f>
        <v>5091569.07</v>
      </c>
    </row>
    <row r="105" spans="1:8" x14ac:dyDescent="0.2">
      <c r="A105" s="20" t="s">
        <v>47</v>
      </c>
      <c r="B105" s="43"/>
      <c r="C105" s="56"/>
      <c r="D105" s="60">
        <f>[4]Charters!E859</f>
        <v>0</v>
      </c>
      <c r="E105" s="42"/>
      <c r="F105" s="42"/>
      <c r="G105" s="42"/>
      <c r="H105" s="42">
        <f>D114</f>
        <v>5091569.07</v>
      </c>
    </row>
    <row r="106" spans="1:8" x14ac:dyDescent="0.2">
      <c r="A106" s="20" t="s">
        <v>57</v>
      </c>
      <c r="B106" s="43"/>
      <c r="C106" s="56"/>
      <c r="D106" s="60">
        <f>[4]Charters!C1012</f>
        <v>21941.81</v>
      </c>
      <c r="E106" s="42"/>
      <c r="F106" s="42"/>
      <c r="G106" s="42"/>
      <c r="H106" s="42">
        <f>+H104-H105</f>
        <v>0</v>
      </c>
    </row>
    <row r="107" spans="1:8" x14ac:dyDescent="0.2">
      <c r="A107" s="59" t="s">
        <v>53</v>
      </c>
      <c r="B107" s="43"/>
      <c r="C107" s="56"/>
      <c r="D107" s="60">
        <f>[4]Charters!D1012</f>
        <v>0</v>
      </c>
      <c r="E107" s="42"/>
      <c r="F107" s="42" t="s">
        <v>30</v>
      </c>
      <c r="G107" s="42"/>
      <c r="H107" s="42"/>
    </row>
    <row r="108" spans="1:8" x14ac:dyDescent="0.2">
      <c r="A108" s="59" t="s">
        <v>59</v>
      </c>
      <c r="B108" s="43"/>
      <c r="C108" s="56"/>
      <c r="D108" s="60">
        <f>[4]Charters!E1012</f>
        <v>0</v>
      </c>
      <c r="E108" s="42"/>
      <c r="F108" s="42"/>
      <c r="G108" s="42"/>
      <c r="H108" s="42"/>
    </row>
    <row r="109" spans="1:8" x14ac:dyDescent="0.2">
      <c r="A109" s="38" t="s">
        <v>18</v>
      </c>
      <c r="B109" s="61"/>
      <c r="C109" s="62"/>
      <c r="D109" s="87"/>
      <c r="E109" s="42"/>
      <c r="F109" s="42">
        <f>[4]Charters!C1318</f>
        <v>13424.97</v>
      </c>
      <c r="G109" s="42"/>
      <c r="H109" s="42"/>
    </row>
    <row r="110" spans="1:8" x14ac:dyDescent="0.2">
      <c r="A110" s="59" t="s">
        <v>39</v>
      </c>
      <c r="B110" s="43"/>
      <c r="C110" s="56"/>
      <c r="D110" s="41">
        <f>[4]Charters!C1165</f>
        <v>8424.9699999999993</v>
      </c>
      <c r="E110" s="42"/>
      <c r="F110" s="42">
        <f>SUM(D110:D113)</f>
        <v>13424.97</v>
      </c>
      <c r="G110" s="42"/>
      <c r="H110" s="42"/>
    </row>
    <row r="111" spans="1:8" x14ac:dyDescent="0.2">
      <c r="A111" s="59" t="s">
        <v>48</v>
      </c>
      <c r="B111" s="43"/>
      <c r="C111" s="56"/>
      <c r="D111" s="41">
        <f>[4]Charters!D1165</f>
        <v>0</v>
      </c>
      <c r="E111" s="42"/>
      <c r="F111" s="42">
        <f>+F109-F110</f>
        <v>0</v>
      </c>
      <c r="G111" s="42"/>
      <c r="H111" s="42"/>
    </row>
    <row r="112" spans="1:8" x14ac:dyDescent="0.2">
      <c r="A112" s="59" t="s">
        <v>60</v>
      </c>
      <c r="B112" s="43"/>
      <c r="C112" s="56"/>
      <c r="D112" s="41">
        <f>[4]Charters!E1165</f>
        <v>0</v>
      </c>
      <c r="E112" s="42"/>
      <c r="F112" s="42"/>
      <c r="G112" s="42"/>
      <c r="H112" s="42"/>
    </row>
    <row r="113" spans="1:8" x14ac:dyDescent="0.2">
      <c r="A113" s="59" t="s">
        <v>61</v>
      </c>
      <c r="B113" s="43"/>
      <c r="C113" s="56"/>
      <c r="D113" s="41">
        <f>[4]Charters!F1165</f>
        <v>5000</v>
      </c>
      <c r="E113" s="42"/>
      <c r="F113" s="42"/>
      <c r="G113" s="42"/>
      <c r="H113" s="42"/>
    </row>
    <row r="114" spans="1:8" ht="13.5" thickBot="1" x14ac:dyDescent="0.25">
      <c r="A114" s="64"/>
      <c r="B114" s="65"/>
      <c r="C114" s="66"/>
      <c r="D114" s="67">
        <f>SUM(D89:D113)</f>
        <v>5091569.07</v>
      </c>
      <c r="E114" s="42"/>
      <c r="F114" s="42"/>
      <c r="G114" s="42"/>
      <c r="H114" s="42"/>
    </row>
    <row r="115" spans="1:8" ht="13.5" thickTop="1" x14ac:dyDescent="0.2">
      <c r="A115" s="68"/>
      <c r="B115" s="43"/>
      <c r="C115" s="56"/>
      <c r="D115" s="86"/>
      <c r="E115" s="42"/>
      <c r="F115" s="42"/>
      <c r="G115" s="42"/>
      <c r="H115" s="42"/>
    </row>
    <row r="116" spans="1:8" x14ac:dyDescent="0.2">
      <c r="A116" s="38" t="s">
        <v>20</v>
      </c>
      <c r="B116" s="39"/>
      <c r="C116" s="70"/>
      <c r="D116" s="71" t="s">
        <v>21</v>
      </c>
      <c r="E116" s="42"/>
      <c r="F116" s="42"/>
      <c r="G116" s="42"/>
      <c r="H116" s="42"/>
    </row>
    <row r="117" spans="1:8" x14ac:dyDescent="0.2">
      <c r="A117" s="72" t="s">
        <v>22</v>
      </c>
      <c r="B117" s="73"/>
      <c r="C117" s="74"/>
      <c r="D117" s="41">
        <f>[5]Charters!C71</f>
        <v>1782.48</v>
      </c>
      <c r="E117" s="42"/>
      <c r="F117" s="42"/>
      <c r="G117" s="42"/>
      <c r="H117" s="42"/>
    </row>
    <row r="118" spans="1:8" x14ac:dyDescent="0.2">
      <c r="A118" s="75"/>
      <c r="B118" s="61"/>
      <c r="C118" s="76"/>
      <c r="D118" s="77">
        <f>SUM(D117:D117)</f>
        <v>1782.48</v>
      </c>
      <c r="E118" s="42"/>
      <c r="F118" s="42"/>
      <c r="G118" s="42"/>
      <c r="H118" s="42"/>
    </row>
    <row r="119" spans="1:8" x14ac:dyDescent="0.2">
      <c r="A119" s="78" t="s">
        <v>58</v>
      </c>
      <c r="B119" s="79"/>
      <c r="C119" s="80"/>
      <c r="D119" s="77">
        <f>D118+D114</f>
        <v>5093351.55</v>
      </c>
      <c r="E119" s="42"/>
      <c r="F119" s="42"/>
      <c r="G119" s="42"/>
      <c r="H119" s="42"/>
    </row>
    <row r="120" spans="1:8" x14ac:dyDescent="0.2">
      <c r="A120" s="84"/>
      <c r="B120" s="84"/>
      <c r="C120" s="85"/>
      <c r="D120" s="81"/>
      <c r="E120" s="42"/>
      <c r="F120" s="42"/>
      <c r="G120" s="42"/>
      <c r="H120" s="42"/>
    </row>
    <row r="121" spans="1:8" x14ac:dyDescent="0.2">
      <c r="A121" s="84"/>
      <c r="B121" s="84"/>
      <c r="C121" s="85"/>
      <c r="D121" s="81">
        <f>[5]Charters!E227</f>
        <v>5093351.55</v>
      </c>
      <c r="E121" s="42"/>
      <c r="F121" s="42"/>
      <c r="G121" s="42"/>
      <c r="H121" s="42"/>
    </row>
    <row r="122" spans="1:8" x14ac:dyDescent="0.2">
      <c r="A122" s="84"/>
      <c r="B122" s="84"/>
      <c r="C122" s="85"/>
      <c r="D122" s="81">
        <f>D119</f>
        <v>5093351.55</v>
      </c>
      <c r="E122" s="42"/>
      <c r="F122" s="42"/>
      <c r="G122" s="42"/>
      <c r="H122" s="42"/>
    </row>
    <row r="123" spans="1:8" x14ac:dyDescent="0.2">
      <c r="C123" s="83"/>
      <c r="D123" s="42">
        <f>D121-D122</f>
        <v>0</v>
      </c>
      <c r="E123" s="42"/>
      <c r="F123" s="42"/>
      <c r="G123" s="42"/>
      <c r="H123" s="42"/>
    </row>
  </sheetData>
  <mergeCells count="4">
    <mergeCell ref="A119:C119"/>
    <mergeCell ref="A66:D66"/>
    <mergeCell ref="A67:D67"/>
    <mergeCell ref="A65:D65"/>
  </mergeCells>
  <phoneticPr fontId="2" type="noConversion"/>
  <printOptions horizontalCentered="1" verticalCentered="1"/>
  <pageMargins left="0.5" right="0.5" top="0.5" bottom="0.5" header="0.25" footer="0.25"/>
  <pageSetup orientation="portrait" r:id="rId1"/>
  <headerFooter alignWithMargins="0">
    <oddHeader>&amp;R&amp;8Current as of: &amp;D</oddHeader>
    <oddFooter>&amp;L&amp;8USOE, School Finance</oddFooter>
  </headerFooter>
  <picture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>
    <pageSetUpPr fitToPage="1"/>
  </sheetPr>
  <dimension ref="A1:H124"/>
  <sheetViews>
    <sheetView topLeftCell="A62" workbookViewId="0">
      <selection activeCell="C12" sqref="C12"/>
    </sheetView>
  </sheetViews>
  <sheetFormatPr defaultColWidth="9.140625" defaultRowHeight="12.75" x14ac:dyDescent="0.2"/>
  <cols>
    <col min="1" max="1" width="31.85546875" style="82" customWidth="1"/>
    <col min="2" max="2" width="16.28515625" style="82" customWidth="1"/>
    <col min="3" max="4" width="14.85546875" style="82" customWidth="1"/>
    <col min="5" max="5" width="7" style="82" customWidth="1"/>
    <col min="6" max="6" width="19.7109375" style="82" customWidth="1"/>
    <col min="7" max="7" width="5.7109375" style="82" customWidth="1"/>
    <col min="8" max="8" width="18" style="82" customWidth="1"/>
    <col min="9" max="16384" width="9.140625" style="82"/>
  </cols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"/>
      <c r="B3" s="1"/>
      <c r="C3" s="1"/>
      <c r="D3" s="1"/>
      <c r="E3" s="1"/>
      <c r="F3" s="1"/>
      <c r="G3" s="1"/>
      <c r="H3" s="1"/>
    </row>
    <row r="4" spans="1:8" x14ac:dyDescent="0.2">
      <c r="A4" s="1"/>
      <c r="B4" s="1"/>
      <c r="C4" s="1"/>
      <c r="D4" s="1"/>
      <c r="E4" s="1"/>
      <c r="F4" s="1"/>
      <c r="G4" s="1"/>
      <c r="H4" s="1"/>
    </row>
    <row r="5" spans="1:8" x14ac:dyDescent="0.2">
      <c r="A5" s="1"/>
      <c r="B5" s="1"/>
      <c r="C5" s="1"/>
      <c r="D5" s="1"/>
      <c r="E5" s="1"/>
      <c r="F5" s="1"/>
      <c r="G5" s="1"/>
      <c r="H5" s="1"/>
    </row>
    <row r="6" spans="1:8" x14ac:dyDescent="0.2">
      <c r="A6" s="1"/>
      <c r="B6" s="1"/>
      <c r="C6" s="1"/>
      <c r="D6" s="1"/>
      <c r="E6" s="1"/>
      <c r="F6" s="1"/>
      <c r="G6" s="1"/>
      <c r="H6" s="1"/>
    </row>
    <row r="7" spans="1:8" x14ac:dyDescent="0.2">
      <c r="A7" s="1"/>
      <c r="B7" s="1"/>
      <c r="C7" s="1"/>
      <c r="D7" s="1"/>
      <c r="E7" s="1"/>
      <c r="F7" s="1"/>
      <c r="G7" s="1"/>
      <c r="H7" s="1"/>
    </row>
    <row r="8" spans="1:8" x14ac:dyDescent="0.2">
      <c r="A8" s="1"/>
      <c r="B8" s="1"/>
      <c r="C8" s="1"/>
      <c r="D8" s="1"/>
      <c r="E8" s="1"/>
      <c r="F8" s="1"/>
      <c r="G8" s="1"/>
      <c r="H8" s="1"/>
    </row>
    <row r="9" spans="1:8" x14ac:dyDescent="0.2">
      <c r="A9" s="1"/>
      <c r="B9" s="1"/>
      <c r="C9" s="1"/>
      <c r="D9" s="1"/>
      <c r="E9" s="1"/>
      <c r="F9" s="1"/>
      <c r="G9" s="1"/>
      <c r="H9" s="1"/>
    </row>
    <row r="10" spans="1:8" x14ac:dyDescent="0.2">
      <c r="A10" s="1"/>
      <c r="B10" s="1"/>
      <c r="C10" s="1"/>
      <c r="D10" s="1"/>
      <c r="E10" s="1"/>
      <c r="F10" s="1"/>
      <c r="G10" s="1"/>
      <c r="H10" s="1"/>
    </row>
    <row r="11" spans="1:8" x14ac:dyDescent="0.2">
      <c r="A11" s="1"/>
      <c r="B11" s="1"/>
      <c r="C11" s="1"/>
      <c r="D11" s="1"/>
      <c r="E11" s="1"/>
      <c r="F11" s="1"/>
      <c r="G11" s="1"/>
      <c r="H11" s="1"/>
    </row>
    <row r="12" spans="1:8" x14ac:dyDescent="0.2">
      <c r="A12" s="1"/>
      <c r="B12" s="1"/>
      <c r="C12" s="1"/>
      <c r="D12" s="1"/>
      <c r="E12" s="1"/>
      <c r="F12" s="1"/>
      <c r="G12" s="1"/>
      <c r="H12" s="1"/>
    </row>
    <row r="13" spans="1:8" x14ac:dyDescent="0.2">
      <c r="A13" s="1"/>
      <c r="B13" s="1"/>
      <c r="C13" s="1"/>
      <c r="D13" s="1"/>
      <c r="E13" s="1"/>
      <c r="F13" s="1"/>
      <c r="G13" s="1"/>
      <c r="H13" s="1"/>
    </row>
    <row r="14" spans="1:8" x14ac:dyDescent="0.2">
      <c r="A14" s="1"/>
      <c r="B14" s="1"/>
      <c r="C14" s="1"/>
      <c r="D14" s="1"/>
      <c r="E14" s="1"/>
      <c r="F14" s="1"/>
      <c r="G14" s="1"/>
      <c r="H14" s="1"/>
    </row>
    <row r="15" spans="1:8" x14ac:dyDescent="0.2">
      <c r="A15" s="1"/>
      <c r="B15" s="1"/>
      <c r="C15" s="1"/>
      <c r="D15" s="1"/>
      <c r="E15" s="1"/>
      <c r="F15" s="1"/>
      <c r="G15" s="1"/>
      <c r="H15" s="1"/>
    </row>
    <row r="16" spans="1:8" x14ac:dyDescent="0.2">
      <c r="A16" s="1"/>
      <c r="B16" s="1"/>
      <c r="C16" s="1"/>
      <c r="D16" s="1"/>
      <c r="E16" s="1"/>
      <c r="F16" s="1"/>
      <c r="G16" s="1"/>
      <c r="H16" s="1"/>
    </row>
    <row r="17" spans="1:8" x14ac:dyDescent="0.2">
      <c r="A17" s="1"/>
      <c r="B17" s="1"/>
      <c r="C17" s="1"/>
      <c r="D17" s="1"/>
      <c r="E17" s="1"/>
      <c r="F17" s="1"/>
      <c r="G17" s="1"/>
      <c r="H17" s="1"/>
    </row>
    <row r="18" spans="1:8" x14ac:dyDescent="0.2">
      <c r="A18" s="1"/>
      <c r="B18" s="1"/>
      <c r="C18" s="1"/>
      <c r="D18" s="1"/>
      <c r="E18" s="1"/>
      <c r="F18" s="1"/>
      <c r="G18" s="1"/>
      <c r="H18" s="1"/>
    </row>
    <row r="19" spans="1:8" x14ac:dyDescent="0.2">
      <c r="A19" s="1"/>
      <c r="B19" s="1"/>
      <c r="C19" s="1"/>
      <c r="D19" s="1"/>
      <c r="E19" s="1"/>
      <c r="F19" s="1"/>
      <c r="G19" s="1"/>
      <c r="H19" s="1"/>
    </row>
    <row r="20" spans="1:8" x14ac:dyDescent="0.2">
      <c r="A20" s="1"/>
      <c r="B20" s="1"/>
      <c r="C20" s="1"/>
      <c r="D20" s="1"/>
      <c r="E20" s="1"/>
      <c r="F20" s="1"/>
      <c r="G20" s="1"/>
      <c r="H20" s="1"/>
    </row>
    <row r="21" spans="1:8" x14ac:dyDescent="0.2">
      <c r="A21" s="1"/>
      <c r="B21" s="1"/>
      <c r="C21" s="1"/>
      <c r="D21" s="1"/>
      <c r="E21" s="1"/>
      <c r="F21" s="1"/>
      <c r="G21" s="1"/>
      <c r="H21" s="1"/>
    </row>
    <row r="22" spans="1:8" x14ac:dyDescent="0.2">
      <c r="A22" s="1"/>
      <c r="B22" s="1"/>
      <c r="C22" s="1"/>
      <c r="D22" s="4"/>
      <c r="E22" s="1"/>
      <c r="F22" s="1"/>
      <c r="G22" s="1"/>
      <c r="H22" s="1"/>
    </row>
    <row r="23" spans="1:8" x14ac:dyDescent="0.2">
      <c r="A23" s="1"/>
      <c r="B23" s="1"/>
      <c r="C23" s="1"/>
      <c r="D23" s="1"/>
      <c r="E23" s="1"/>
      <c r="F23" s="1"/>
      <c r="G23" s="1"/>
      <c r="H23" s="1"/>
    </row>
    <row r="24" spans="1:8" x14ac:dyDescent="0.2">
      <c r="A24" s="1"/>
      <c r="B24" s="1"/>
      <c r="C24" s="1"/>
      <c r="D24" s="1"/>
      <c r="E24" s="1"/>
      <c r="F24" s="1"/>
      <c r="G24" s="1"/>
      <c r="H24" s="1"/>
    </row>
    <row r="25" spans="1:8" x14ac:dyDescent="0.2">
      <c r="A25" s="1"/>
      <c r="B25" s="1"/>
      <c r="C25" s="1"/>
      <c r="D25" s="1"/>
      <c r="E25" s="1"/>
      <c r="F25" s="1"/>
      <c r="G25" s="1"/>
      <c r="H25" s="1"/>
    </row>
    <row r="26" spans="1:8" x14ac:dyDescent="0.2">
      <c r="A26" s="1"/>
      <c r="B26" s="1"/>
      <c r="C26" s="1"/>
      <c r="D26" s="1"/>
      <c r="E26" s="1"/>
      <c r="F26" s="1"/>
      <c r="G26" s="1"/>
      <c r="H26" s="1"/>
    </row>
    <row r="27" spans="1:8" x14ac:dyDescent="0.2">
      <c r="A27" s="1"/>
      <c r="B27" s="1"/>
      <c r="C27" s="1"/>
      <c r="D27" s="1"/>
      <c r="E27" s="1"/>
      <c r="F27" s="1"/>
      <c r="G27" s="1"/>
      <c r="H27" s="1"/>
    </row>
    <row r="28" spans="1:8" x14ac:dyDescent="0.2">
      <c r="A28" s="1"/>
      <c r="B28" s="1"/>
      <c r="C28" s="1"/>
      <c r="D28" s="1"/>
      <c r="E28" s="1"/>
      <c r="F28" s="1"/>
      <c r="G28" s="1"/>
      <c r="H28" s="1"/>
    </row>
    <row r="29" spans="1:8" x14ac:dyDescent="0.2">
      <c r="A29" s="1"/>
      <c r="B29" s="1"/>
      <c r="C29" s="1"/>
      <c r="D29" s="1"/>
      <c r="E29" s="1"/>
      <c r="F29" s="1"/>
      <c r="G29" s="1"/>
      <c r="H29" s="1"/>
    </row>
    <row r="30" spans="1:8" x14ac:dyDescent="0.2">
      <c r="A30" s="1"/>
      <c r="B30" s="1"/>
      <c r="C30" s="1"/>
      <c r="D30" s="1"/>
      <c r="E30" s="1"/>
      <c r="F30" s="1"/>
      <c r="G30" s="1"/>
      <c r="H30" s="1"/>
    </row>
    <row r="31" spans="1:8" x14ac:dyDescent="0.2">
      <c r="A31" s="1"/>
      <c r="B31" s="1"/>
      <c r="C31" s="1"/>
      <c r="D31" s="1"/>
      <c r="E31" s="1"/>
      <c r="F31" s="1"/>
      <c r="G31" s="1"/>
      <c r="H31" s="1"/>
    </row>
    <row r="32" spans="1:8" x14ac:dyDescent="0.2">
      <c r="A32" s="1"/>
      <c r="B32" s="1"/>
      <c r="C32" s="1"/>
      <c r="D32" s="1"/>
      <c r="E32" s="1"/>
      <c r="F32" s="1"/>
      <c r="G32" s="1"/>
      <c r="H32" s="1"/>
    </row>
    <row r="33" spans="1:8" x14ac:dyDescent="0.2">
      <c r="A33" s="1"/>
      <c r="B33" s="1"/>
      <c r="C33" s="1"/>
      <c r="D33" s="1"/>
      <c r="E33" s="1"/>
      <c r="F33" s="1"/>
      <c r="G33" s="1"/>
      <c r="H33" s="1"/>
    </row>
    <row r="34" spans="1:8" x14ac:dyDescent="0.2">
      <c r="A34" s="1"/>
      <c r="B34" s="1"/>
      <c r="C34" s="1"/>
      <c r="D34" s="1"/>
      <c r="E34" s="1"/>
      <c r="F34" s="1"/>
      <c r="G34" s="1"/>
      <c r="H34" s="1"/>
    </row>
    <row r="35" spans="1:8" x14ac:dyDescent="0.2">
      <c r="A35" s="1"/>
      <c r="B35" s="1"/>
      <c r="C35" s="1"/>
      <c r="D35" s="1"/>
      <c r="E35" s="1"/>
      <c r="F35" s="1"/>
      <c r="G35" s="1"/>
      <c r="H35" s="1"/>
    </row>
    <row r="36" spans="1:8" x14ac:dyDescent="0.2">
      <c r="A36" s="1"/>
      <c r="B36" s="1"/>
      <c r="C36" s="1"/>
      <c r="D36" s="1"/>
      <c r="E36" s="1"/>
      <c r="F36" s="1"/>
      <c r="G36" s="1"/>
      <c r="H36" s="1"/>
    </row>
    <row r="37" spans="1:8" x14ac:dyDescent="0.2">
      <c r="A37" s="1"/>
      <c r="B37" s="1"/>
      <c r="C37" s="1"/>
      <c r="D37" s="1"/>
      <c r="E37" s="1"/>
      <c r="F37" s="1"/>
      <c r="G37" s="1"/>
      <c r="H37" s="1"/>
    </row>
    <row r="38" spans="1:8" x14ac:dyDescent="0.2">
      <c r="A38" s="1"/>
      <c r="B38" s="1"/>
      <c r="C38" s="1"/>
      <c r="D38" s="1"/>
      <c r="E38" s="1"/>
      <c r="F38" s="1"/>
      <c r="G38" s="1"/>
      <c r="H38" s="1"/>
    </row>
    <row r="39" spans="1:8" x14ac:dyDescent="0.2">
      <c r="A39" s="1"/>
      <c r="B39" s="1"/>
      <c r="C39" s="1"/>
      <c r="D39" s="1"/>
      <c r="E39" s="1"/>
      <c r="F39" s="1"/>
      <c r="G39" s="1"/>
      <c r="H39" s="1"/>
    </row>
    <row r="40" spans="1:8" x14ac:dyDescent="0.2">
      <c r="A40" s="1"/>
      <c r="B40" s="1"/>
      <c r="C40" s="1"/>
      <c r="D40" s="1"/>
      <c r="E40" s="1"/>
      <c r="F40" s="1"/>
      <c r="G40" s="1"/>
      <c r="H40" s="1"/>
    </row>
    <row r="41" spans="1:8" x14ac:dyDescent="0.2">
      <c r="A41" s="1"/>
      <c r="B41" s="1"/>
      <c r="C41" s="1"/>
      <c r="D41" s="1"/>
      <c r="E41" s="1"/>
      <c r="F41" s="1"/>
      <c r="G41" s="1"/>
      <c r="H41" s="1"/>
    </row>
    <row r="42" spans="1:8" x14ac:dyDescent="0.2">
      <c r="A42" s="1"/>
      <c r="B42" s="1"/>
      <c r="C42" s="1"/>
      <c r="D42" s="1"/>
      <c r="E42" s="1"/>
      <c r="F42" s="1"/>
      <c r="G42" s="1"/>
      <c r="H42" s="1"/>
    </row>
    <row r="43" spans="1:8" x14ac:dyDescent="0.2">
      <c r="A43" s="1"/>
      <c r="B43" s="1"/>
      <c r="C43" s="1"/>
      <c r="D43" s="1"/>
      <c r="E43" s="1"/>
      <c r="F43" s="1"/>
      <c r="G43" s="1"/>
      <c r="H43" s="1"/>
    </row>
    <row r="44" spans="1:8" x14ac:dyDescent="0.2">
      <c r="A44" s="1"/>
      <c r="B44" s="1"/>
      <c r="C44" s="1"/>
      <c r="D44" s="1"/>
      <c r="E44" s="1"/>
      <c r="F44" s="1"/>
      <c r="G44" s="1"/>
      <c r="H44" s="1"/>
    </row>
    <row r="45" spans="1:8" x14ac:dyDescent="0.2">
      <c r="A45" s="1"/>
      <c r="B45" s="1"/>
      <c r="C45" s="1"/>
      <c r="D45" s="1"/>
      <c r="E45" s="1"/>
      <c r="F45" s="1"/>
      <c r="G45" s="1"/>
      <c r="H45" s="1"/>
    </row>
    <row r="46" spans="1:8" x14ac:dyDescent="0.2">
      <c r="A46" s="1"/>
      <c r="B46" s="1"/>
      <c r="C46" s="1"/>
      <c r="D46" s="1"/>
      <c r="E46" s="1"/>
      <c r="F46" s="1"/>
      <c r="G46" s="1"/>
      <c r="H46" s="1"/>
    </row>
    <row r="47" spans="1:8" x14ac:dyDescent="0.2">
      <c r="A47" s="1"/>
      <c r="B47" s="1"/>
      <c r="C47" s="1"/>
      <c r="D47" s="1"/>
      <c r="E47" s="1"/>
      <c r="F47" s="1"/>
      <c r="G47" s="1"/>
      <c r="H47" s="1"/>
    </row>
    <row r="48" spans="1:8" x14ac:dyDescent="0.2">
      <c r="A48" s="1"/>
      <c r="B48" s="1"/>
      <c r="C48" s="1"/>
      <c r="D48" s="1"/>
      <c r="E48" s="1"/>
      <c r="F48" s="1"/>
      <c r="G48" s="1"/>
      <c r="H48" s="1"/>
    </row>
    <row r="49" spans="1:8" x14ac:dyDescent="0.2">
      <c r="A49" s="1"/>
      <c r="B49" s="1"/>
      <c r="C49" s="1"/>
      <c r="D49" s="1"/>
      <c r="E49" s="1"/>
      <c r="F49" s="1"/>
      <c r="G49" s="1"/>
      <c r="H49" s="1"/>
    </row>
    <row r="50" spans="1:8" x14ac:dyDescent="0.2">
      <c r="A50" s="1"/>
      <c r="B50" s="1"/>
      <c r="C50" s="1"/>
      <c r="D50" s="1"/>
      <c r="E50" s="1"/>
      <c r="F50" s="1"/>
      <c r="G50" s="1"/>
      <c r="H50" s="1"/>
    </row>
    <row r="51" spans="1:8" x14ac:dyDescent="0.2">
      <c r="A51" s="1"/>
      <c r="B51" s="1"/>
      <c r="C51" s="1"/>
      <c r="D51" s="1"/>
      <c r="E51" s="1"/>
      <c r="F51" s="1"/>
      <c r="G51" s="1"/>
      <c r="H51" s="1"/>
    </row>
    <row r="52" spans="1:8" x14ac:dyDescent="0.2">
      <c r="A52" s="1"/>
      <c r="B52" s="1"/>
      <c r="C52" s="1"/>
      <c r="D52" s="1"/>
      <c r="E52" s="1"/>
      <c r="F52" s="1"/>
      <c r="G52" s="1"/>
      <c r="H52" s="1"/>
    </row>
    <row r="53" spans="1:8" x14ac:dyDescent="0.2">
      <c r="A53" s="1"/>
      <c r="B53" s="1"/>
      <c r="C53" s="1"/>
      <c r="D53" s="1"/>
      <c r="E53" s="1"/>
      <c r="F53" s="1"/>
      <c r="G53" s="1"/>
      <c r="H53" s="1"/>
    </row>
    <row r="54" spans="1:8" x14ac:dyDescent="0.2">
      <c r="A54" s="1"/>
      <c r="B54" s="1"/>
      <c r="C54" s="1"/>
      <c r="D54" s="1"/>
      <c r="E54" s="1"/>
      <c r="F54" s="1"/>
      <c r="G54" s="1"/>
      <c r="H54" s="1"/>
    </row>
    <row r="55" spans="1:8" x14ac:dyDescent="0.2">
      <c r="A55" s="1"/>
      <c r="B55" s="1"/>
      <c r="C55" s="1"/>
      <c r="D55" s="1"/>
      <c r="E55" s="1"/>
      <c r="F55" s="1"/>
      <c r="G55" s="1"/>
      <c r="H55" s="1"/>
    </row>
    <row r="56" spans="1:8" x14ac:dyDescent="0.2">
      <c r="A56" s="1"/>
      <c r="B56" s="1"/>
      <c r="C56" s="1"/>
      <c r="D56" s="1"/>
      <c r="E56" s="1"/>
      <c r="F56" s="1"/>
      <c r="G56" s="1"/>
      <c r="H56" s="1"/>
    </row>
    <row r="57" spans="1:8" x14ac:dyDescent="0.2">
      <c r="A57" s="1"/>
      <c r="B57" s="1"/>
      <c r="C57" s="1"/>
      <c r="D57" s="1"/>
      <c r="E57" s="1"/>
      <c r="F57" s="1"/>
      <c r="G57" s="1"/>
      <c r="H57" s="1"/>
    </row>
    <row r="58" spans="1:8" x14ac:dyDescent="0.2">
      <c r="A58" s="1"/>
      <c r="B58" s="1"/>
      <c r="C58" s="1"/>
      <c r="D58" s="1"/>
      <c r="E58" s="1"/>
      <c r="F58" s="1"/>
      <c r="G58" s="1"/>
      <c r="H58" s="1"/>
    </row>
    <row r="59" spans="1:8" x14ac:dyDescent="0.2">
      <c r="A59" s="1"/>
      <c r="B59" s="1"/>
      <c r="C59" s="1"/>
      <c r="D59" s="1"/>
      <c r="E59" s="1"/>
      <c r="F59" s="1"/>
      <c r="G59" s="1"/>
      <c r="H59" s="1"/>
    </row>
    <row r="60" spans="1:8" x14ac:dyDescent="0.2">
      <c r="A60" s="1"/>
      <c r="B60" s="1"/>
      <c r="C60" s="1"/>
      <c r="D60" s="1"/>
      <c r="E60" s="1"/>
      <c r="F60" s="1"/>
      <c r="G60" s="1"/>
      <c r="H60" s="1"/>
    </row>
    <row r="61" spans="1:8" x14ac:dyDescent="0.2">
      <c r="A61" s="1"/>
      <c r="B61" s="1"/>
      <c r="C61" s="1"/>
      <c r="D61" s="1"/>
      <c r="E61" s="1"/>
      <c r="F61" s="1"/>
      <c r="G61" s="1"/>
      <c r="H61" s="1"/>
    </row>
    <row r="62" spans="1:8" x14ac:dyDescent="0.2">
      <c r="A62" s="1"/>
      <c r="B62" s="1"/>
      <c r="C62" s="1"/>
      <c r="D62" s="1"/>
      <c r="E62" s="1"/>
      <c r="F62" s="1"/>
      <c r="G62" s="1"/>
      <c r="H62" s="1"/>
    </row>
    <row r="63" spans="1:8" x14ac:dyDescent="0.2">
      <c r="A63" s="1"/>
      <c r="B63" s="1"/>
      <c r="C63" s="1"/>
      <c r="D63" s="1"/>
      <c r="E63" s="1"/>
      <c r="F63" s="1"/>
      <c r="G63" s="1"/>
      <c r="H63" s="1"/>
    </row>
    <row r="64" spans="1:8" x14ac:dyDescent="0.2">
      <c r="A64" s="1"/>
      <c r="B64" s="1"/>
      <c r="C64" s="1"/>
      <c r="D64" s="1"/>
      <c r="E64" s="1"/>
      <c r="F64" s="1"/>
      <c r="G64" s="1"/>
      <c r="H64" s="1"/>
    </row>
    <row r="65" spans="1:8" x14ac:dyDescent="0.2">
      <c r="A65" s="1"/>
      <c r="B65" s="1"/>
      <c r="C65" s="1"/>
      <c r="D65" s="1"/>
      <c r="E65" s="1"/>
      <c r="F65" s="1"/>
      <c r="G65" s="1"/>
      <c r="H65" s="1"/>
    </row>
    <row r="66" spans="1:8" x14ac:dyDescent="0.2">
      <c r="A66" s="11" t="s">
        <v>1</v>
      </c>
      <c r="B66" s="12"/>
      <c r="C66" s="12"/>
      <c r="D66" s="13"/>
      <c r="E66" s="8"/>
      <c r="F66" s="8"/>
      <c r="G66" s="8"/>
      <c r="H66" s="8"/>
    </row>
    <row r="67" spans="1:8" x14ac:dyDescent="0.2">
      <c r="A67" s="14" t="s">
        <v>15</v>
      </c>
      <c r="B67" s="15"/>
      <c r="C67" s="15"/>
      <c r="D67" s="16"/>
      <c r="E67" s="8"/>
      <c r="F67" s="8"/>
      <c r="G67" s="8"/>
      <c r="H67" s="8"/>
    </row>
    <row r="68" spans="1:8" x14ac:dyDescent="0.2">
      <c r="A68" s="17" t="s">
        <v>62</v>
      </c>
      <c r="B68" s="18"/>
      <c r="C68" s="18"/>
      <c r="D68" s="19"/>
      <c r="E68" s="8"/>
      <c r="F68" s="8"/>
      <c r="G68" s="8"/>
      <c r="H68" s="8"/>
    </row>
    <row r="69" spans="1:8" x14ac:dyDescent="0.2">
      <c r="A69" s="20"/>
      <c r="B69" s="21"/>
      <c r="C69" s="22"/>
      <c r="D69" s="23"/>
      <c r="E69" s="8"/>
      <c r="F69" s="8" t="s">
        <v>34</v>
      </c>
      <c r="G69" s="8"/>
      <c r="H69" s="8"/>
    </row>
    <row r="70" spans="1:8" ht="15.75" x14ac:dyDescent="0.25">
      <c r="A70" s="24" t="s">
        <v>2</v>
      </c>
      <c r="B70" s="25" t="str">
        <f>[1]Charters!B73</f>
        <v>Salt Lake Center Sci Education</v>
      </c>
      <c r="C70" s="26"/>
      <c r="D70" s="27"/>
      <c r="E70" s="8"/>
      <c r="F70" s="8"/>
      <c r="G70" s="8"/>
      <c r="H70" s="8"/>
    </row>
    <row r="71" spans="1:8" x14ac:dyDescent="0.2">
      <c r="A71" s="24"/>
      <c r="B71" s="28"/>
      <c r="C71" s="26"/>
      <c r="D71" s="27"/>
      <c r="E71" s="8"/>
      <c r="F71" s="8"/>
      <c r="G71" s="8"/>
      <c r="H71" s="8"/>
    </row>
    <row r="72" spans="1:8" x14ac:dyDescent="0.2">
      <c r="A72" s="29" t="s">
        <v>0</v>
      </c>
      <c r="B72" s="30">
        <f>[1]Charters!$E$6</f>
        <v>3184</v>
      </c>
      <c r="C72" s="26"/>
      <c r="D72" s="31"/>
      <c r="E72" s="8"/>
      <c r="F72" s="8"/>
      <c r="G72" s="8"/>
      <c r="H72" s="8"/>
    </row>
    <row r="73" spans="1:8" x14ac:dyDescent="0.2">
      <c r="A73" s="32"/>
      <c r="B73" s="6"/>
      <c r="C73" s="33"/>
      <c r="D73" s="34" t="s">
        <v>3</v>
      </c>
      <c r="E73" s="8"/>
      <c r="F73" s="8"/>
      <c r="G73" s="8"/>
      <c r="H73" s="8"/>
    </row>
    <row r="74" spans="1:8" x14ac:dyDescent="0.2">
      <c r="A74" s="29" t="s">
        <v>19</v>
      </c>
      <c r="B74" s="35" t="str">
        <f>[1]Charters!A73</f>
        <v>4F</v>
      </c>
      <c r="C74" s="36" t="s">
        <v>4</v>
      </c>
      <c r="D74" s="37" t="s">
        <v>5</v>
      </c>
      <c r="E74" s="8"/>
      <c r="F74" s="8"/>
      <c r="G74" s="8"/>
      <c r="H74" s="8"/>
    </row>
    <row r="75" spans="1:8" x14ac:dyDescent="0.2">
      <c r="A75" s="38" t="s">
        <v>6</v>
      </c>
      <c r="B75" s="39"/>
      <c r="C75" s="40"/>
      <c r="D75" s="41"/>
      <c r="E75" s="8"/>
      <c r="F75" s="8"/>
      <c r="G75" s="8"/>
      <c r="H75" s="8"/>
    </row>
    <row r="76" spans="1:8" x14ac:dyDescent="0.2">
      <c r="A76" s="38" t="s">
        <v>7</v>
      </c>
      <c r="B76" s="39"/>
      <c r="C76" s="40"/>
      <c r="D76" s="41"/>
      <c r="E76" s="8"/>
      <c r="F76" s="42" t="s">
        <v>23</v>
      </c>
      <c r="G76" s="8"/>
      <c r="H76" s="42" t="s">
        <v>26</v>
      </c>
    </row>
    <row r="77" spans="1:8" x14ac:dyDescent="0.2">
      <c r="A77" s="20" t="s">
        <v>8</v>
      </c>
      <c r="B77" s="43"/>
      <c r="C77" s="44">
        <f>[1]Charters!C533</f>
        <v>431.85399999999998</v>
      </c>
      <c r="D77" s="45">
        <f>[1]Charters!E533</f>
        <v>1375024.71</v>
      </c>
      <c r="E77" s="8"/>
      <c r="F77" s="42">
        <f>[1]Charters!E688</f>
        <v>1523036.95</v>
      </c>
      <c r="G77" s="8"/>
      <c r="H77" s="42">
        <f>[2]Charters!E227</f>
        <v>1782043.06</v>
      </c>
    </row>
    <row r="78" spans="1:8" x14ac:dyDescent="0.2">
      <c r="A78" s="20" t="s">
        <v>14</v>
      </c>
      <c r="B78" s="43"/>
      <c r="C78" s="44">
        <f>[1]Charters!F533</f>
        <v>43.485999999999997</v>
      </c>
      <c r="D78" s="45">
        <f>[1]Charters!H533</f>
        <v>138460.24</v>
      </c>
      <c r="E78" s="8"/>
      <c r="F78" s="42">
        <f>SUM(D77:D79)</f>
        <v>1523036.95</v>
      </c>
      <c r="G78" s="8"/>
      <c r="H78" s="42">
        <f>D90</f>
        <v>1782043.06</v>
      </c>
    </row>
    <row r="79" spans="1:8" x14ac:dyDescent="0.2">
      <c r="A79" s="20" t="s">
        <v>32</v>
      </c>
      <c r="B79" s="43"/>
      <c r="C79" s="44">
        <f>[1]Charters!C226</f>
        <v>3</v>
      </c>
      <c r="D79" s="45">
        <f>[1]Charters!E226</f>
        <v>9552</v>
      </c>
      <c r="E79" s="8"/>
      <c r="F79" s="42">
        <f>+F77-F78</f>
        <v>0</v>
      </c>
      <c r="G79" s="8"/>
      <c r="H79" s="42">
        <f>+H77-H78</f>
        <v>0</v>
      </c>
    </row>
    <row r="80" spans="1:8" x14ac:dyDescent="0.2">
      <c r="A80" s="38" t="s">
        <v>9</v>
      </c>
      <c r="B80" s="39"/>
      <c r="C80" s="46"/>
      <c r="D80" s="47"/>
      <c r="E80" s="8"/>
      <c r="F80" s="8"/>
      <c r="G80" s="8"/>
      <c r="H80" s="8"/>
    </row>
    <row r="81" spans="1:8" x14ac:dyDescent="0.2">
      <c r="A81" s="20" t="s">
        <v>10</v>
      </c>
      <c r="B81" s="43"/>
      <c r="C81" s="40">
        <f>[3]Charters!C72</f>
        <v>56.993000000000002</v>
      </c>
      <c r="D81" s="41">
        <f>[3]Charters!E72</f>
        <v>181464.65</v>
      </c>
      <c r="E81" s="8"/>
      <c r="F81" s="42" t="s">
        <v>24</v>
      </c>
      <c r="G81" s="8"/>
      <c r="H81" s="8"/>
    </row>
    <row r="82" spans="1:8" x14ac:dyDescent="0.2">
      <c r="A82" s="48" t="s">
        <v>11</v>
      </c>
      <c r="B82" s="43"/>
      <c r="C82" s="40">
        <f>[3]Charters!F72</f>
        <v>0</v>
      </c>
      <c r="D82" s="49">
        <f>[3]Charters!H72</f>
        <v>0</v>
      </c>
      <c r="E82" s="8"/>
      <c r="F82" s="42">
        <f>[3]Charters!N384</f>
        <v>186648.77</v>
      </c>
      <c r="G82" s="8"/>
      <c r="H82" s="8"/>
    </row>
    <row r="83" spans="1:8" x14ac:dyDescent="0.2">
      <c r="A83" s="48" t="s">
        <v>12</v>
      </c>
      <c r="B83" s="43"/>
      <c r="C83" s="40">
        <f>[3]Charters!C227</f>
        <v>0</v>
      </c>
      <c r="D83" s="41">
        <f>[3]Charters!E227</f>
        <v>0</v>
      </c>
      <c r="E83" s="8"/>
      <c r="F83" s="42">
        <f>SUM(D81:D87)</f>
        <v>186648.77</v>
      </c>
      <c r="G83" s="8"/>
      <c r="H83" s="8"/>
    </row>
    <row r="84" spans="1:8" x14ac:dyDescent="0.2">
      <c r="A84" s="20" t="s">
        <v>13</v>
      </c>
      <c r="B84" s="43"/>
      <c r="C84" s="40">
        <f>[3]Charters!F227</f>
        <v>0.70899999999999996</v>
      </c>
      <c r="D84" s="41">
        <f>[3]Charters!H227</f>
        <v>2259</v>
      </c>
      <c r="E84" s="8"/>
      <c r="F84" s="42">
        <f>+F82-F83</f>
        <v>0</v>
      </c>
      <c r="G84" s="8"/>
      <c r="H84" s="8"/>
    </row>
    <row r="85" spans="1:8" x14ac:dyDescent="0.2">
      <c r="A85" s="48" t="s">
        <v>54</v>
      </c>
      <c r="B85" s="43"/>
      <c r="C85" s="40">
        <f>[3]Charters!C384</f>
        <v>0.91900000000000004</v>
      </c>
      <c r="D85" s="41">
        <f>[3]Charters!E384</f>
        <v>2925.12</v>
      </c>
      <c r="E85" s="8"/>
      <c r="F85" s="8"/>
      <c r="G85" s="8"/>
      <c r="H85" s="8"/>
    </row>
    <row r="86" spans="1:8" x14ac:dyDescent="0.2">
      <c r="A86" s="48" t="s">
        <v>55</v>
      </c>
      <c r="B86" s="43"/>
      <c r="C86" s="40">
        <f>[3]Charters!F384</f>
        <v>0</v>
      </c>
      <c r="D86" s="41">
        <f>[3]Charters!H384</f>
        <v>0</v>
      </c>
      <c r="E86" s="8"/>
      <c r="F86" s="42" t="s">
        <v>25</v>
      </c>
      <c r="G86" s="8"/>
      <c r="H86" s="8"/>
    </row>
    <row r="87" spans="1:8" x14ac:dyDescent="0.2">
      <c r="A87" s="48" t="s">
        <v>56</v>
      </c>
      <c r="B87" s="43"/>
      <c r="C87" s="40">
        <f>[3]Charters!I384</f>
        <v>0</v>
      </c>
      <c r="D87" s="41">
        <f>[3]Charters!K384</f>
        <v>0</v>
      </c>
      <c r="E87" s="8"/>
      <c r="F87" s="42">
        <f>[2]Charters!H73</f>
        <v>259006.11</v>
      </c>
      <c r="G87" s="8"/>
      <c r="H87" s="8"/>
    </row>
    <row r="88" spans="1:8" x14ac:dyDescent="0.2">
      <c r="A88" s="20" t="s">
        <v>49</v>
      </c>
      <c r="B88" s="43"/>
      <c r="C88" s="40">
        <f>[3]Charters!C540</f>
        <v>6.3</v>
      </c>
      <c r="D88" s="41">
        <f>[3]Charters!E540</f>
        <v>20059</v>
      </c>
      <c r="E88" s="8"/>
      <c r="F88" s="42">
        <f>SUM(D81:D89)</f>
        <v>259006.11</v>
      </c>
      <c r="G88" s="8"/>
      <c r="H88" s="8"/>
    </row>
    <row r="89" spans="1:8" x14ac:dyDescent="0.2">
      <c r="A89" s="20" t="s">
        <v>50</v>
      </c>
      <c r="B89" s="43"/>
      <c r="C89" s="40">
        <f>[2]Charters!C73</f>
        <v>16.425000000000001</v>
      </c>
      <c r="D89" s="41">
        <f>[2]Charters!E73</f>
        <v>52298.34</v>
      </c>
      <c r="E89" s="8"/>
      <c r="F89" s="42">
        <f>+F87-F88</f>
        <v>0</v>
      </c>
      <c r="G89" s="8"/>
      <c r="H89" s="8"/>
    </row>
    <row r="90" spans="1:8" x14ac:dyDescent="0.2">
      <c r="A90" s="50"/>
      <c r="B90" s="51" t="s">
        <v>16</v>
      </c>
      <c r="C90" s="52">
        <f>SUM(C77:C89)</f>
        <v>559.68600000000004</v>
      </c>
      <c r="D90" s="53">
        <f>SUM(D77:D89)</f>
        <v>1782043.06</v>
      </c>
      <c r="E90" s="8"/>
      <c r="F90" s="8"/>
      <c r="G90" s="8"/>
      <c r="H90" s="8"/>
    </row>
    <row r="91" spans="1:8" x14ac:dyDescent="0.2">
      <c r="A91" s="54" t="s">
        <v>17</v>
      </c>
      <c r="B91" s="39"/>
      <c r="C91" s="55"/>
      <c r="D91" s="47"/>
      <c r="E91" s="8"/>
      <c r="F91" s="8"/>
      <c r="G91" s="8"/>
      <c r="H91" s="42" t="s">
        <v>29</v>
      </c>
    </row>
    <row r="92" spans="1:8" x14ac:dyDescent="0.2">
      <c r="A92" s="20" t="s">
        <v>33</v>
      </c>
      <c r="B92" s="43"/>
      <c r="C92" s="56"/>
      <c r="D92" s="57">
        <f>[4]Charters!C73</f>
        <v>5137.51</v>
      </c>
      <c r="E92" s="8"/>
      <c r="F92" s="8"/>
      <c r="G92" s="8"/>
      <c r="H92" s="42">
        <f>[4]Charters!F1013</f>
        <v>2883254.75</v>
      </c>
    </row>
    <row r="93" spans="1:8" x14ac:dyDescent="0.2">
      <c r="A93" s="58" t="s">
        <v>35</v>
      </c>
      <c r="B93" s="43"/>
      <c r="C93" s="56"/>
      <c r="D93" s="41">
        <f>+[4]Charters!F394</f>
        <v>3322</v>
      </c>
      <c r="E93" s="8"/>
      <c r="F93" s="8"/>
      <c r="G93" s="8"/>
      <c r="H93" s="42">
        <f>SUM(D90:D109)</f>
        <v>2883254.75</v>
      </c>
    </row>
    <row r="94" spans="1:8" x14ac:dyDescent="0.2">
      <c r="A94" s="59" t="s">
        <v>36</v>
      </c>
      <c r="B94" s="43"/>
      <c r="C94" s="56"/>
      <c r="D94" s="41">
        <f>[4]Charters!E233</f>
        <v>19490</v>
      </c>
      <c r="E94" s="8"/>
      <c r="F94" s="8"/>
      <c r="G94" s="8"/>
      <c r="H94" s="42">
        <f>+H92-H93</f>
        <v>0</v>
      </c>
    </row>
    <row r="95" spans="1:8" x14ac:dyDescent="0.2">
      <c r="A95" s="59" t="s">
        <v>52</v>
      </c>
      <c r="B95" s="43"/>
      <c r="C95" s="56"/>
      <c r="D95" s="41">
        <f>[4]Charters!G394</f>
        <v>786.03</v>
      </c>
      <c r="E95" s="8"/>
      <c r="F95" s="42" t="s">
        <v>27</v>
      </c>
      <c r="G95" s="8"/>
      <c r="H95" s="42"/>
    </row>
    <row r="96" spans="1:8" x14ac:dyDescent="0.2">
      <c r="A96" s="20" t="s">
        <v>37</v>
      </c>
      <c r="B96" s="43"/>
      <c r="C96" s="56"/>
      <c r="D96" s="41">
        <f>[4]Charters!E550</f>
        <v>28598</v>
      </c>
      <c r="E96" s="8"/>
      <c r="F96" s="42">
        <f>[4]Charters!E233</f>
        <v>19490</v>
      </c>
      <c r="G96" s="8"/>
      <c r="H96" s="8"/>
    </row>
    <row r="97" spans="1:8" x14ac:dyDescent="0.2">
      <c r="A97" s="20" t="s">
        <v>38</v>
      </c>
      <c r="B97" s="43"/>
      <c r="C97" s="56"/>
      <c r="D97" s="41">
        <f>[4]Charters!F550</f>
        <v>0</v>
      </c>
      <c r="E97" s="8"/>
      <c r="F97" s="42">
        <f>SUM(D94:D94)</f>
        <v>19490</v>
      </c>
      <c r="G97" s="8"/>
      <c r="H97" s="8"/>
    </row>
    <row r="98" spans="1:8" x14ac:dyDescent="0.2">
      <c r="A98" s="59" t="s">
        <v>40</v>
      </c>
      <c r="B98" s="43"/>
      <c r="C98" s="56"/>
      <c r="D98" s="41">
        <f>[4]Charters!G550</f>
        <v>0</v>
      </c>
      <c r="E98" s="8"/>
      <c r="F98" s="42">
        <f>+F96-F97</f>
        <v>0</v>
      </c>
      <c r="G98" s="8"/>
      <c r="H98" s="8"/>
    </row>
    <row r="99" spans="1:8" x14ac:dyDescent="0.2">
      <c r="A99" s="20" t="s">
        <v>41</v>
      </c>
      <c r="B99" s="43"/>
      <c r="C99" s="56"/>
      <c r="D99" s="41">
        <f>[4]Charters!C704</f>
        <v>796398</v>
      </c>
      <c r="E99" s="8"/>
      <c r="F99" s="42" t="s">
        <v>28</v>
      </c>
      <c r="G99" s="8"/>
      <c r="H99" s="8"/>
    </row>
    <row r="100" spans="1:8" x14ac:dyDescent="0.2">
      <c r="A100" s="20" t="s">
        <v>42</v>
      </c>
      <c r="B100" s="43"/>
      <c r="C100" s="56"/>
      <c r="D100" s="41">
        <f>[4]Charters!D704</f>
        <v>119913.73</v>
      </c>
      <c r="E100" s="8"/>
      <c r="F100" s="42">
        <f>[4]Charters!D550</f>
        <v>23598.03</v>
      </c>
      <c r="G100" s="8"/>
      <c r="H100" s="8"/>
    </row>
    <row r="101" spans="1:8" x14ac:dyDescent="0.2">
      <c r="A101" s="20" t="s">
        <v>44</v>
      </c>
      <c r="B101" s="43"/>
      <c r="C101" s="56"/>
      <c r="D101" s="41">
        <f>[4]Charters!E704</f>
        <v>39800</v>
      </c>
      <c r="E101" s="8"/>
      <c r="F101" s="42">
        <f>SUM(D93:D95)</f>
        <v>23598.03</v>
      </c>
      <c r="G101" s="8"/>
      <c r="H101" s="8"/>
    </row>
    <row r="102" spans="1:8" x14ac:dyDescent="0.2">
      <c r="A102" s="59" t="s">
        <v>43</v>
      </c>
      <c r="B102" s="43"/>
      <c r="C102" s="56"/>
      <c r="D102" s="41">
        <f>[4]Charters!F704</f>
        <v>0</v>
      </c>
      <c r="E102" s="8"/>
      <c r="F102" s="42">
        <f>+F100-F101</f>
        <v>0</v>
      </c>
      <c r="G102" s="8"/>
      <c r="H102" s="8"/>
    </row>
    <row r="103" spans="1:8" x14ac:dyDescent="0.2">
      <c r="A103" s="59" t="s">
        <v>45</v>
      </c>
      <c r="B103" s="43"/>
      <c r="C103" s="56"/>
      <c r="D103" s="41">
        <f>[4]Charters!C550</f>
        <v>0</v>
      </c>
      <c r="E103" s="8"/>
      <c r="F103" s="8"/>
      <c r="G103" s="8"/>
      <c r="H103" s="8"/>
    </row>
    <row r="104" spans="1:8" x14ac:dyDescent="0.2">
      <c r="A104" s="59" t="s">
        <v>46</v>
      </c>
      <c r="B104" s="43"/>
      <c r="C104" s="56"/>
      <c r="D104" s="41">
        <f>[4]Charters!C860</f>
        <v>0</v>
      </c>
      <c r="E104" s="42"/>
      <c r="F104" s="42"/>
      <c r="G104" s="42"/>
      <c r="H104" s="42" t="s">
        <v>31</v>
      </c>
    </row>
    <row r="105" spans="1:8" x14ac:dyDescent="0.2">
      <c r="A105" s="59" t="s">
        <v>51</v>
      </c>
      <c r="B105" s="43"/>
      <c r="C105" s="56"/>
      <c r="D105" s="60">
        <f>[4]Charters!D860</f>
        <v>617.41999999999996</v>
      </c>
      <c r="E105" s="42"/>
      <c r="F105" s="42"/>
      <c r="G105" s="42"/>
      <c r="H105" s="42">
        <f>[4]Charters!D1319</f>
        <v>2887742.72</v>
      </c>
    </row>
    <row r="106" spans="1:8" x14ac:dyDescent="0.2">
      <c r="A106" s="20" t="s">
        <v>47</v>
      </c>
      <c r="B106" s="43"/>
      <c r="C106" s="56"/>
      <c r="D106" s="60">
        <f>[4]Charters!E860</f>
        <v>0</v>
      </c>
      <c r="E106" s="42"/>
      <c r="F106" s="42"/>
      <c r="G106" s="42"/>
      <c r="H106" s="42">
        <f>D115</f>
        <v>2887742.72</v>
      </c>
    </row>
    <row r="107" spans="1:8" x14ac:dyDescent="0.2">
      <c r="A107" s="20" t="s">
        <v>57</v>
      </c>
      <c r="B107" s="43"/>
      <c r="C107" s="56"/>
      <c r="D107" s="60">
        <f>[4]Charters!C1013</f>
        <v>28470</v>
      </c>
      <c r="E107" s="42"/>
      <c r="F107" s="42"/>
      <c r="G107" s="42"/>
      <c r="H107" s="42">
        <f>+H105-H106</f>
        <v>0</v>
      </c>
    </row>
    <row r="108" spans="1:8" x14ac:dyDescent="0.2">
      <c r="A108" s="59" t="s">
        <v>53</v>
      </c>
      <c r="B108" s="43"/>
      <c r="C108" s="56"/>
      <c r="D108" s="60">
        <f>[4]Charters!D1013</f>
        <v>58679</v>
      </c>
      <c r="E108" s="42"/>
      <c r="F108" s="42" t="s">
        <v>30</v>
      </c>
      <c r="G108" s="42"/>
      <c r="H108" s="42"/>
    </row>
    <row r="109" spans="1:8" x14ac:dyDescent="0.2">
      <c r="A109" s="59" t="s">
        <v>59</v>
      </c>
      <c r="B109" s="43"/>
      <c r="C109" s="56"/>
      <c r="D109" s="60">
        <f>[4]Charters!E1013</f>
        <v>0</v>
      </c>
      <c r="E109" s="42"/>
      <c r="F109" s="42"/>
      <c r="G109" s="42"/>
      <c r="H109" s="42"/>
    </row>
    <row r="110" spans="1:8" x14ac:dyDescent="0.2">
      <c r="A110" s="38" t="s">
        <v>18</v>
      </c>
      <c r="B110" s="61"/>
      <c r="C110" s="62"/>
      <c r="D110" s="87"/>
      <c r="E110" s="42"/>
      <c r="F110" s="42">
        <f>[4]Charters!C1319</f>
        <v>4487.97</v>
      </c>
      <c r="G110" s="42"/>
      <c r="H110" s="42"/>
    </row>
    <row r="111" spans="1:8" x14ac:dyDescent="0.2">
      <c r="A111" s="59" t="s">
        <v>39</v>
      </c>
      <c r="B111" s="43"/>
      <c r="C111" s="56"/>
      <c r="D111" s="41">
        <f>[4]Charters!C1166</f>
        <v>4487.97</v>
      </c>
      <c r="E111" s="42"/>
      <c r="F111" s="42">
        <f>SUM(D111:D114)</f>
        <v>4487.97</v>
      </c>
      <c r="G111" s="42"/>
      <c r="H111" s="42"/>
    </row>
    <row r="112" spans="1:8" x14ac:dyDescent="0.2">
      <c r="A112" s="59" t="s">
        <v>48</v>
      </c>
      <c r="B112" s="43"/>
      <c r="C112" s="56"/>
      <c r="D112" s="41">
        <f>[4]Charters!D1166</f>
        <v>0</v>
      </c>
      <c r="E112" s="42"/>
      <c r="F112" s="42">
        <f>+F110-F111</f>
        <v>0</v>
      </c>
      <c r="G112" s="42"/>
      <c r="H112" s="42"/>
    </row>
    <row r="113" spans="1:8" x14ac:dyDescent="0.2">
      <c r="A113" s="59" t="s">
        <v>60</v>
      </c>
      <c r="B113" s="43"/>
      <c r="C113" s="56"/>
      <c r="D113" s="41">
        <f>[4]Charters!E1166</f>
        <v>0</v>
      </c>
      <c r="E113" s="42"/>
      <c r="F113" s="42"/>
      <c r="G113" s="42"/>
      <c r="H113" s="42"/>
    </row>
    <row r="114" spans="1:8" x14ac:dyDescent="0.2">
      <c r="A114" s="59" t="s">
        <v>61</v>
      </c>
      <c r="B114" s="43"/>
      <c r="C114" s="56"/>
      <c r="D114" s="41">
        <f>[4]Charters!F1166</f>
        <v>0</v>
      </c>
      <c r="E114" s="42"/>
      <c r="F114" s="42"/>
      <c r="G114" s="42"/>
      <c r="H114" s="42"/>
    </row>
    <row r="115" spans="1:8" ht="13.5" thickBot="1" x14ac:dyDescent="0.25">
      <c r="A115" s="64"/>
      <c r="B115" s="65"/>
      <c r="C115" s="66"/>
      <c r="D115" s="67">
        <f>SUM(D90:D114)</f>
        <v>2887742.72</v>
      </c>
      <c r="E115" s="42"/>
      <c r="F115" s="42"/>
      <c r="G115" s="42"/>
      <c r="H115" s="42"/>
    </row>
    <row r="116" spans="1:8" ht="13.5" thickTop="1" x14ac:dyDescent="0.2">
      <c r="A116" s="68"/>
      <c r="B116" s="43"/>
      <c r="C116" s="56"/>
      <c r="D116" s="86"/>
      <c r="E116" s="42"/>
      <c r="F116" s="42"/>
      <c r="G116" s="42"/>
      <c r="H116" s="42"/>
    </row>
    <row r="117" spans="1:8" x14ac:dyDescent="0.2">
      <c r="A117" s="38" t="s">
        <v>20</v>
      </c>
      <c r="B117" s="39"/>
      <c r="C117" s="70"/>
      <c r="D117" s="71" t="s">
        <v>21</v>
      </c>
      <c r="E117" s="42"/>
      <c r="F117" s="42"/>
      <c r="G117" s="42"/>
      <c r="H117" s="42"/>
    </row>
    <row r="118" spans="1:8" x14ac:dyDescent="0.2">
      <c r="A118" s="72" t="s">
        <v>22</v>
      </c>
      <c r="B118" s="73"/>
      <c r="C118" s="74"/>
      <c r="D118" s="41">
        <f>[5]Charters!C72</f>
        <v>948.27</v>
      </c>
      <c r="E118" s="42"/>
      <c r="F118" s="42"/>
      <c r="G118" s="42"/>
      <c r="H118" s="42"/>
    </row>
    <row r="119" spans="1:8" x14ac:dyDescent="0.2">
      <c r="A119" s="75"/>
      <c r="B119" s="61"/>
      <c r="C119" s="76"/>
      <c r="D119" s="77">
        <f>SUM(D118:D118)</f>
        <v>948.27</v>
      </c>
      <c r="E119" s="42"/>
      <c r="F119" s="42"/>
      <c r="G119" s="42"/>
      <c r="H119" s="42"/>
    </row>
    <row r="120" spans="1:8" x14ac:dyDescent="0.2">
      <c r="A120" s="78" t="s">
        <v>58</v>
      </c>
      <c r="B120" s="79"/>
      <c r="C120" s="80"/>
      <c r="D120" s="77">
        <f>D119+D115</f>
        <v>2888690.99</v>
      </c>
      <c r="E120" s="42"/>
      <c r="F120" s="42"/>
      <c r="G120" s="42"/>
      <c r="H120" s="42"/>
    </row>
    <row r="121" spans="1:8" x14ac:dyDescent="0.2">
      <c r="A121" s="84"/>
      <c r="B121" s="84"/>
      <c r="C121" s="85"/>
      <c r="D121" s="81"/>
      <c r="E121" s="42"/>
      <c r="F121" s="42"/>
      <c r="G121" s="42"/>
      <c r="H121" s="42"/>
    </row>
    <row r="122" spans="1:8" x14ac:dyDescent="0.2">
      <c r="A122" s="84"/>
      <c r="B122" s="84"/>
      <c r="C122" s="85"/>
      <c r="D122" s="81">
        <f>[5]Charters!E228</f>
        <v>2888690.99</v>
      </c>
      <c r="E122" s="42"/>
      <c r="F122" s="42"/>
      <c r="G122" s="42"/>
      <c r="H122" s="42"/>
    </row>
    <row r="123" spans="1:8" x14ac:dyDescent="0.2">
      <c r="A123" s="84"/>
      <c r="B123" s="84"/>
      <c r="C123" s="85"/>
      <c r="D123" s="81">
        <f>D120</f>
        <v>2888690.99</v>
      </c>
      <c r="E123" s="42"/>
      <c r="F123" s="42"/>
      <c r="G123" s="42"/>
      <c r="H123" s="42"/>
    </row>
    <row r="124" spans="1:8" x14ac:dyDescent="0.2">
      <c r="C124" s="83"/>
      <c r="D124" s="42">
        <f>D122-D123</f>
        <v>0</v>
      </c>
      <c r="E124" s="42"/>
      <c r="F124" s="42"/>
      <c r="G124" s="42"/>
      <c r="H124" s="42"/>
    </row>
  </sheetData>
  <mergeCells count="4">
    <mergeCell ref="A120:C120"/>
    <mergeCell ref="A67:D67"/>
    <mergeCell ref="A68:D68"/>
    <mergeCell ref="A66:D66"/>
  </mergeCells>
  <phoneticPr fontId="2" type="noConversion"/>
  <printOptions horizontalCentered="1" verticalCentered="1"/>
  <pageMargins left="0.5" right="0.5" top="0.5" bottom="0.5" header="0.25" footer="0.25"/>
  <pageSetup orientation="portrait" r:id="rId1"/>
  <headerFooter alignWithMargins="0">
    <oddHeader>&amp;R&amp;8Current as of: &amp;D</oddHeader>
    <oddFooter>&amp;L&amp;8USOE, School Finance</oddFooter>
  </headerFooter>
  <picture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>
    <pageSetUpPr fitToPage="1"/>
  </sheetPr>
  <dimension ref="A1:H125"/>
  <sheetViews>
    <sheetView topLeftCell="A63" workbookViewId="0">
      <selection activeCell="C12" sqref="C12"/>
    </sheetView>
  </sheetViews>
  <sheetFormatPr defaultColWidth="9.140625" defaultRowHeight="12.75" x14ac:dyDescent="0.2"/>
  <cols>
    <col min="1" max="1" width="31.85546875" style="82" customWidth="1"/>
    <col min="2" max="2" width="16" style="82" customWidth="1"/>
    <col min="3" max="4" width="14.85546875" style="82" customWidth="1"/>
    <col min="5" max="5" width="7" style="82" customWidth="1"/>
    <col min="6" max="6" width="19.7109375" style="82" customWidth="1"/>
    <col min="7" max="7" width="5.7109375" style="82" customWidth="1"/>
    <col min="8" max="8" width="18" style="82" customWidth="1"/>
    <col min="9" max="16384" width="9.140625" style="82"/>
  </cols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"/>
      <c r="B3" s="1"/>
      <c r="C3" s="1"/>
      <c r="D3" s="1"/>
      <c r="E3" s="1"/>
      <c r="F3" s="1"/>
      <c r="G3" s="1"/>
      <c r="H3" s="1"/>
    </row>
    <row r="4" spans="1:8" x14ac:dyDescent="0.2">
      <c r="A4" s="1"/>
      <c r="B4" s="1"/>
      <c r="C4" s="1"/>
      <c r="D4" s="1"/>
      <c r="E4" s="1"/>
      <c r="F4" s="1"/>
      <c r="G4" s="1"/>
      <c r="H4" s="1"/>
    </row>
    <row r="5" spans="1:8" x14ac:dyDescent="0.2">
      <c r="A5" s="1"/>
      <c r="B5" s="1"/>
      <c r="C5" s="1"/>
      <c r="D5" s="1"/>
      <c r="E5" s="1"/>
      <c r="F5" s="1"/>
      <c r="G5" s="1"/>
      <c r="H5" s="1"/>
    </row>
    <row r="6" spans="1:8" x14ac:dyDescent="0.2">
      <c r="A6" s="1"/>
      <c r="B6" s="1"/>
      <c r="C6" s="1"/>
      <c r="D6" s="1"/>
      <c r="E6" s="1"/>
      <c r="F6" s="1"/>
      <c r="G6" s="1"/>
      <c r="H6" s="1"/>
    </row>
    <row r="7" spans="1:8" x14ac:dyDescent="0.2">
      <c r="A7" s="1"/>
      <c r="B7" s="1"/>
      <c r="C7" s="1"/>
      <c r="D7" s="1"/>
      <c r="E7" s="1"/>
      <c r="F7" s="1"/>
      <c r="G7" s="1"/>
      <c r="H7" s="1"/>
    </row>
    <row r="8" spans="1:8" x14ac:dyDescent="0.2">
      <c r="A8" s="1"/>
      <c r="B8" s="1"/>
      <c r="C8" s="1"/>
      <c r="D8" s="1"/>
      <c r="E8" s="1"/>
      <c r="F8" s="1"/>
      <c r="G8" s="1"/>
      <c r="H8" s="1"/>
    </row>
    <row r="9" spans="1:8" x14ac:dyDescent="0.2">
      <c r="A9" s="1"/>
      <c r="B9" s="1"/>
      <c r="C9" s="1"/>
      <c r="D9" s="1"/>
      <c r="E9" s="1"/>
      <c r="F9" s="1"/>
      <c r="G9" s="1"/>
      <c r="H9" s="1"/>
    </row>
    <row r="10" spans="1:8" x14ac:dyDescent="0.2">
      <c r="A10" s="1"/>
      <c r="B10" s="1"/>
      <c r="C10" s="1"/>
      <c r="D10" s="1"/>
      <c r="E10" s="1"/>
      <c r="F10" s="1"/>
      <c r="G10" s="1"/>
      <c r="H10" s="1"/>
    </row>
    <row r="11" spans="1:8" x14ac:dyDescent="0.2">
      <c r="A11" s="1"/>
      <c r="B11" s="1"/>
      <c r="C11" s="1"/>
      <c r="D11" s="1"/>
      <c r="E11" s="1"/>
      <c r="F11" s="1"/>
      <c r="G11" s="1"/>
      <c r="H11" s="1"/>
    </row>
    <row r="12" spans="1:8" x14ac:dyDescent="0.2">
      <c r="A12" s="1"/>
      <c r="B12" s="1"/>
      <c r="C12" s="1"/>
      <c r="D12" s="1"/>
      <c r="E12" s="1"/>
      <c r="F12" s="1"/>
      <c r="G12" s="1"/>
      <c r="H12" s="1"/>
    </row>
    <row r="13" spans="1:8" x14ac:dyDescent="0.2">
      <c r="A13" s="1"/>
      <c r="B13" s="1"/>
      <c r="C13" s="1"/>
      <c r="D13" s="1"/>
      <c r="E13" s="1"/>
      <c r="F13" s="1"/>
      <c r="G13" s="1"/>
      <c r="H13" s="1"/>
    </row>
    <row r="14" spans="1:8" x14ac:dyDescent="0.2">
      <c r="A14" s="1"/>
      <c r="B14" s="1"/>
      <c r="C14" s="1"/>
      <c r="D14" s="1"/>
      <c r="E14" s="1"/>
      <c r="F14" s="1"/>
      <c r="G14" s="1"/>
      <c r="H14" s="1"/>
    </row>
    <row r="15" spans="1:8" x14ac:dyDescent="0.2">
      <c r="A15" s="1"/>
      <c r="B15" s="1"/>
      <c r="C15" s="1"/>
      <c r="D15" s="1"/>
      <c r="E15" s="1"/>
      <c r="F15" s="1"/>
      <c r="G15" s="1"/>
      <c r="H15" s="1"/>
    </row>
    <row r="16" spans="1:8" x14ac:dyDescent="0.2">
      <c r="A16" s="1"/>
      <c r="B16" s="1"/>
      <c r="C16" s="1"/>
      <c r="D16" s="1"/>
      <c r="E16" s="1"/>
      <c r="F16" s="1"/>
      <c r="G16" s="1"/>
      <c r="H16" s="1"/>
    </row>
    <row r="17" spans="1:8" x14ac:dyDescent="0.2">
      <c r="A17" s="1"/>
      <c r="B17" s="1"/>
      <c r="C17" s="1"/>
      <c r="D17" s="1"/>
      <c r="E17" s="1"/>
      <c r="F17" s="1"/>
      <c r="G17" s="1"/>
      <c r="H17" s="1"/>
    </row>
    <row r="18" spans="1:8" x14ac:dyDescent="0.2">
      <c r="A18" s="1"/>
      <c r="B18" s="1"/>
      <c r="C18" s="1"/>
      <c r="D18" s="1"/>
      <c r="E18" s="1"/>
      <c r="F18" s="1"/>
      <c r="G18" s="1"/>
      <c r="H18" s="1"/>
    </row>
    <row r="19" spans="1:8" x14ac:dyDescent="0.2">
      <c r="A19" s="1"/>
      <c r="B19" s="1"/>
      <c r="C19" s="1"/>
      <c r="D19" s="1"/>
      <c r="E19" s="1"/>
      <c r="F19" s="1"/>
      <c r="G19" s="1"/>
      <c r="H19" s="1"/>
    </row>
    <row r="20" spans="1:8" x14ac:dyDescent="0.2">
      <c r="A20" s="1"/>
      <c r="B20" s="1"/>
      <c r="C20" s="1"/>
      <c r="D20" s="1"/>
      <c r="E20" s="1"/>
      <c r="F20" s="1"/>
      <c r="G20" s="1"/>
      <c r="H20" s="1"/>
    </row>
    <row r="21" spans="1:8" x14ac:dyDescent="0.2">
      <c r="A21" s="1"/>
      <c r="B21" s="1"/>
      <c r="C21" s="1"/>
      <c r="D21" s="1"/>
      <c r="E21" s="1"/>
      <c r="F21" s="1"/>
      <c r="G21" s="1"/>
      <c r="H21" s="1"/>
    </row>
    <row r="22" spans="1:8" x14ac:dyDescent="0.2">
      <c r="A22" s="1"/>
      <c r="B22" s="1"/>
      <c r="C22" s="1"/>
      <c r="D22" s="4"/>
      <c r="E22" s="1"/>
      <c r="F22" s="1"/>
      <c r="G22" s="1"/>
      <c r="H22" s="1"/>
    </row>
    <row r="23" spans="1:8" x14ac:dyDescent="0.2">
      <c r="A23" s="1"/>
      <c r="B23" s="1"/>
      <c r="C23" s="1"/>
      <c r="D23" s="1"/>
      <c r="E23" s="1"/>
      <c r="F23" s="1"/>
      <c r="G23" s="1"/>
      <c r="H23" s="1"/>
    </row>
    <row r="24" spans="1:8" x14ac:dyDescent="0.2">
      <c r="A24" s="1"/>
      <c r="B24" s="1"/>
      <c r="C24" s="1"/>
      <c r="D24" s="1"/>
      <c r="E24" s="1"/>
      <c r="F24" s="1"/>
      <c r="G24" s="1"/>
      <c r="H24" s="1"/>
    </row>
    <row r="25" spans="1:8" x14ac:dyDescent="0.2">
      <c r="A25" s="1"/>
      <c r="B25" s="1"/>
      <c r="C25" s="1"/>
      <c r="D25" s="1"/>
      <c r="E25" s="1"/>
      <c r="F25" s="1"/>
      <c r="G25" s="1"/>
      <c r="H25" s="1"/>
    </row>
    <row r="26" spans="1:8" x14ac:dyDescent="0.2">
      <c r="A26" s="1"/>
      <c r="B26" s="1"/>
      <c r="C26" s="1"/>
      <c r="D26" s="1"/>
      <c r="E26" s="1"/>
      <c r="F26" s="1"/>
      <c r="G26" s="1"/>
      <c r="H26" s="1"/>
    </row>
    <row r="27" spans="1:8" x14ac:dyDescent="0.2">
      <c r="A27" s="1"/>
      <c r="B27" s="1"/>
      <c r="C27" s="1"/>
      <c r="D27" s="1"/>
      <c r="E27" s="1"/>
      <c r="F27" s="1"/>
      <c r="G27" s="1"/>
      <c r="H27" s="1"/>
    </row>
    <row r="28" spans="1:8" x14ac:dyDescent="0.2">
      <c r="A28" s="1"/>
      <c r="B28" s="1"/>
      <c r="C28" s="1"/>
      <c r="D28" s="1"/>
      <c r="E28" s="1"/>
      <c r="F28" s="1"/>
      <c r="G28" s="1"/>
      <c r="H28" s="1"/>
    </row>
    <row r="29" spans="1:8" x14ac:dyDescent="0.2">
      <c r="A29" s="1"/>
      <c r="B29" s="1"/>
      <c r="C29" s="1"/>
      <c r="D29" s="1"/>
      <c r="E29" s="1"/>
      <c r="F29" s="1"/>
      <c r="G29" s="1"/>
      <c r="H29" s="1"/>
    </row>
    <row r="30" spans="1:8" x14ac:dyDescent="0.2">
      <c r="A30" s="1"/>
      <c r="B30" s="1"/>
      <c r="C30" s="1"/>
      <c r="D30" s="1"/>
      <c r="E30" s="1"/>
      <c r="F30" s="1"/>
      <c r="G30" s="1"/>
      <c r="H30" s="1"/>
    </row>
    <row r="31" spans="1:8" x14ac:dyDescent="0.2">
      <c r="A31" s="1"/>
      <c r="B31" s="1"/>
      <c r="C31" s="1"/>
      <c r="D31" s="1"/>
      <c r="E31" s="1"/>
      <c r="F31" s="1"/>
      <c r="G31" s="1"/>
      <c r="H31" s="1"/>
    </row>
    <row r="32" spans="1:8" x14ac:dyDescent="0.2">
      <c r="A32" s="1"/>
      <c r="B32" s="1"/>
      <c r="C32" s="1"/>
      <c r="D32" s="1"/>
      <c r="E32" s="1"/>
      <c r="F32" s="1"/>
      <c r="G32" s="1"/>
      <c r="H32" s="1"/>
    </row>
    <row r="33" spans="1:8" x14ac:dyDescent="0.2">
      <c r="A33" s="1"/>
      <c r="B33" s="1"/>
      <c r="C33" s="1"/>
      <c r="D33" s="1"/>
      <c r="E33" s="1"/>
      <c r="F33" s="1"/>
      <c r="G33" s="1"/>
      <c r="H33" s="1"/>
    </row>
    <row r="34" spans="1:8" x14ac:dyDescent="0.2">
      <c r="A34" s="1"/>
      <c r="B34" s="1"/>
      <c r="C34" s="1"/>
      <c r="D34" s="1"/>
      <c r="E34" s="1"/>
      <c r="F34" s="1"/>
      <c r="G34" s="1"/>
      <c r="H34" s="1"/>
    </row>
    <row r="35" spans="1:8" x14ac:dyDescent="0.2">
      <c r="A35" s="1"/>
      <c r="B35" s="1"/>
      <c r="C35" s="1"/>
      <c r="D35" s="1"/>
      <c r="E35" s="1"/>
      <c r="F35" s="1"/>
      <c r="G35" s="1"/>
      <c r="H35" s="1"/>
    </row>
    <row r="36" spans="1:8" x14ac:dyDescent="0.2">
      <c r="A36" s="1"/>
      <c r="B36" s="1"/>
      <c r="C36" s="1"/>
      <c r="D36" s="1"/>
      <c r="E36" s="1"/>
      <c r="F36" s="1"/>
      <c r="G36" s="1"/>
      <c r="H36" s="1"/>
    </row>
    <row r="37" spans="1:8" x14ac:dyDescent="0.2">
      <c r="A37" s="1"/>
      <c r="B37" s="1"/>
      <c r="C37" s="1"/>
      <c r="D37" s="1"/>
      <c r="E37" s="1"/>
      <c r="F37" s="1"/>
      <c r="G37" s="1"/>
      <c r="H37" s="1"/>
    </row>
    <row r="38" spans="1:8" x14ac:dyDescent="0.2">
      <c r="A38" s="1"/>
      <c r="B38" s="1"/>
      <c r="C38" s="1"/>
      <c r="D38" s="1"/>
      <c r="E38" s="1"/>
      <c r="F38" s="1"/>
      <c r="G38" s="1"/>
      <c r="H38" s="1"/>
    </row>
    <row r="39" spans="1:8" x14ac:dyDescent="0.2">
      <c r="A39" s="1"/>
      <c r="B39" s="1"/>
      <c r="C39" s="1"/>
      <c r="D39" s="1"/>
      <c r="E39" s="1"/>
      <c r="F39" s="1"/>
      <c r="G39" s="1"/>
      <c r="H39" s="1"/>
    </row>
    <row r="40" spans="1:8" x14ac:dyDescent="0.2">
      <c r="A40" s="1"/>
      <c r="B40" s="1"/>
      <c r="C40" s="1"/>
      <c r="D40" s="1"/>
      <c r="E40" s="1"/>
      <c r="F40" s="1"/>
      <c r="G40" s="1"/>
      <c r="H40" s="1"/>
    </row>
    <row r="41" spans="1:8" x14ac:dyDescent="0.2">
      <c r="A41" s="1"/>
      <c r="B41" s="1"/>
      <c r="C41" s="1"/>
      <c r="D41" s="1"/>
      <c r="E41" s="1"/>
      <c r="F41" s="1"/>
      <c r="G41" s="1"/>
      <c r="H41" s="1"/>
    </row>
    <row r="42" spans="1:8" x14ac:dyDescent="0.2">
      <c r="A42" s="1"/>
      <c r="B42" s="1"/>
      <c r="C42" s="1"/>
      <c r="D42" s="1"/>
      <c r="E42" s="1"/>
      <c r="F42" s="1"/>
      <c r="G42" s="1"/>
      <c r="H42" s="1"/>
    </row>
    <row r="43" spans="1:8" x14ac:dyDescent="0.2">
      <c r="A43" s="1"/>
      <c r="B43" s="1"/>
      <c r="C43" s="1"/>
      <c r="D43" s="1"/>
      <c r="E43" s="1"/>
      <c r="F43" s="1"/>
      <c r="G43" s="1"/>
      <c r="H43" s="1"/>
    </row>
    <row r="44" spans="1:8" x14ac:dyDescent="0.2">
      <c r="A44" s="1"/>
      <c r="B44" s="1"/>
      <c r="C44" s="1"/>
      <c r="D44" s="1"/>
      <c r="E44" s="1"/>
      <c r="F44" s="1"/>
      <c r="G44" s="1"/>
      <c r="H44" s="1"/>
    </row>
    <row r="45" spans="1:8" x14ac:dyDescent="0.2">
      <c r="A45" s="1"/>
      <c r="B45" s="1"/>
      <c r="C45" s="1"/>
      <c r="D45" s="1"/>
      <c r="E45" s="1"/>
      <c r="F45" s="1"/>
      <c r="G45" s="1"/>
      <c r="H45" s="1"/>
    </row>
    <row r="46" spans="1:8" x14ac:dyDescent="0.2">
      <c r="A46" s="1"/>
      <c r="B46" s="1"/>
      <c r="C46" s="1"/>
      <c r="D46" s="1"/>
      <c r="E46" s="1"/>
      <c r="F46" s="1"/>
      <c r="G46" s="1"/>
      <c r="H46" s="1"/>
    </row>
    <row r="47" spans="1:8" x14ac:dyDescent="0.2">
      <c r="A47" s="1"/>
      <c r="B47" s="1"/>
      <c r="C47" s="1"/>
      <c r="D47" s="1"/>
      <c r="E47" s="1"/>
      <c r="F47" s="1"/>
      <c r="G47" s="1"/>
      <c r="H47" s="1"/>
    </row>
    <row r="48" spans="1:8" x14ac:dyDescent="0.2">
      <c r="A48" s="1"/>
      <c r="B48" s="1"/>
      <c r="C48" s="1"/>
      <c r="D48" s="1"/>
      <c r="E48" s="1"/>
      <c r="F48" s="1"/>
      <c r="G48" s="1"/>
      <c r="H48" s="1"/>
    </row>
    <row r="49" spans="1:8" x14ac:dyDescent="0.2">
      <c r="A49" s="1"/>
      <c r="B49" s="1"/>
      <c r="C49" s="1"/>
      <c r="D49" s="1"/>
      <c r="E49" s="1"/>
      <c r="F49" s="1"/>
      <c r="G49" s="1"/>
      <c r="H49" s="1"/>
    </row>
    <row r="50" spans="1:8" x14ac:dyDescent="0.2">
      <c r="A50" s="1"/>
      <c r="B50" s="1"/>
      <c r="C50" s="1"/>
      <c r="D50" s="1"/>
      <c r="E50" s="1"/>
      <c r="F50" s="1"/>
      <c r="G50" s="1"/>
      <c r="H50" s="1"/>
    </row>
    <row r="51" spans="1:8" x14ac:dyDescent="0.2">
      <c r="A51" s="1"/>
      <c r="B51" s="1"/>
      <c r="C51" s="1"/>
      <c r="D51" s="1"/>
      <c r="E51" s="1"/>
      <c r="F51" s="1"/>
      <c r="G51" s="1"/>
      <c r="H51" s="1"/>
    </row>
    <row r="52" spans="1:8" x14ac:dyDescent="0.2">
      <c r="A52" s="1"/>
      <c r="B52" s="1"/>
      <c r="C52" s="1"/>
      <c r="D52" s="1"/>
      <c r="E52" s="1"/>
      <c r="F52" s="1"/>
      <c r="G52" s="1"/>
      <c r="H52" s="1"/>
    </row>
    <row r="53" spans="1:8" x14ac:dyDescent="0.2">
      <c r="A53" s="1"/>
      <c r="B53" s="1"/>
      <c r="C53" s="1"/>
      <c r="D53" s="1"/>
      <c r="E53" s="1"/>
      <c r="F53" s="1"/>
      <c r="G53" s="1"/>
      <c r="H53" s="1"/>
    </row>
    <row r="54" spans="1:8" x14ac:dyDescent="0.2">
      <c r="A54" s="1"/>
      <c r="B54" s="1"/>
      <c r="C54" s="1"/>
      <c r="D54" s="1"/>
      <c r="E54" s="1"/>
      <c r="F54" s="1"/>
      <c r="G54" s="1"/>
      <c r="H54" s="1"/>
    </row>
    <row r="55" spans="1:8" x14ac:dyDescent="0.2">
      <c r="A55" s="1"/>
      <c r="B55" s="1"/>
      <c r="C55" s="1"/>
      <c r="D55" s="1"/>
      <c r="E55" s="1"/>
      <c r="F55" s="1"/>
      <c r="G55" s="1"/>
      <c r="H55" s="1"/>
    </row>
    <row r="56" spans="1:8" x14ac:dyDescent="0.2">
      <c r="A56" s="1"/>
      <c r="B56" s="1"/>
      <c r="C56" s="1"/>
      <c r="D56" s="1"/>
      <c r="E56" s="1"/>
      <c r="F56" s="1"/>
      <c r="G56" s="1"/>
      <c r="H56" s="1"/>
    </row>
    <row r="57" spans="1:8" x14ac:dyDescent="0.2">
      <c r="A57" s="1"/>
      <c r="B57" s="1"/>
      <c r="C57" s="1"/>
      <c r="D57" s="1"/>
      <c r="E57" s="1"/>
      <c r="F57" s="1"/>
      <c r="G57" s="1"/>
      <c r="H57" s="1"/>
    </row>
    <row r="58" spans="1:8" x14ac:dyDescent="0.2">
      <c r="A58" s="1"/>
      <c r="B58" s="1"/>
      <c r="C58" s="1"/>
      <c r="D58" s="1"/>
      <c r="E58" s="1"/>
      <c r="F58" s="1"/>
      <c r="G58" s="1"/>
      <c r="H58" s="1"/>
    </row>
    <row r="59" spans="1:8" x14ac:dyDescent="0.2">
      <c r="A59" s="1"/>
      <c r="B59" s="1"/>
      <c r="C59" s="1"/>
      <c r="D59" s="1"/>
      <c r="E59" s="1"/>
      <c r="F59" s="1"/>
      <c r="G59" s="1"/>
      <c r="H59" s="1"/>
    </row>
    <row r="60" spans="1:8" x14ac:dyDescent="0.2">
      <c r="A60" s="1"/>
      <c r="B60" s="1"/>
      <c r="C60" s="1"/>
      <c r="D60" s="1"/>
      <c r="E60" s="1"/>
      <c r="F60" s="1"/>
      <c r="G60" s="1"/>
      <c r="H60" s="1"/>
    </row>
    <row r="61" spans="1:8" x14ac:dyDescent="0.2">
      <c r="A61" s="1"/>
      <c r="B61" s="1"/>
      <c r="C61" s="1"/>
      <c r="D61" s="1"/>
      <c r="E61" s="1"/>
      <c r="F61" s="1"/>
      <c r="G61" s="1"/>
      <c r="H61" s="1"/>
    </row>
    <row r="62" spans="1:8" x14ac:dyDescent="0.2">
      <c r="A62" s="1"/>
      <c r="B62" s="1"/>
      <c r="C62" s="1"/>
      <c r="D62" s="1"/>
      <c r="E62" s="1"/>
      <c r="F62" s="1"/>
      <c r="G62" s="1"/>
      <c r="H62" s="1"/>
    </row>
    <row r="63" spans="1:8" x14ac:dyDescent="0.2">
      <c r="A63" s="1"/>
      <c r="B63" s="1"/>
      <c r="C63" s="1"/>
      <c r="D63" s="1"/>
      <c r="E63" s="1"/>
      <c r="F63" s="1"/>
      <c r="G63" s="1"/>
      <c r="H63" s="1"/>
    </row>
    <row r="64" spans="1:8" x14ac:dyDescent="0.2">
      <c r="A64" s="1"/>
      <c r="B64" s="1"/>
      <c r="C64" s="1"/>
      <c r="D64" s="1"/>
      <c r="E64" s="1"/>
      <c r="F64" s="1"/>
      <c r="G64" s="1"/>
      <c r="H64" s="1"/>
    </row>
    <row r="65" spans="1:8" x14ac:dyDescent="0.2">
      <c r="A65" s="1"/>
      <c r="B65" s="1"/>
      <c r="C65" s="1"/>
      <c r="D65" s="1"/>
      <c r="E65" s="1"/>
      <c r="F65" s="1"/>
      <c r="G65" s="1"/>
      <c r="H65" s="1"/>
    </row>
    <row r="66" spans="1:8" x14ac:dyDescent="0.2">
      <c r="A66" s="1"/>
      <c r="B66" s="1"/>
      <c r="C66" s="1"/>
      <c r="D66" s="1"/>
      <c r="E66" s="1"/>
      <c r="F66" s="1"/>
      <c r="G66" s="1"/>
      <c r="H66" s="1"/>
    </row>
    <row r="67" spans="1:8" x14ac:dyDescent="0.2">
      <c r="A67" s="11" t="s">
        <v>1</v>
      </c>
      <c r="B67" s="12"/>
      <c r="C67" s="12"/>
      <c r="D67" s="13"/>
      <c r="E67" s="8"/>
      <c r="F67" s="8"/>
      <c r="G67" s="8"/>
      <c r="H67" s="8"/>
    </row>
    <row r="68" spans="1:8" x14ac:dyDescent="0.2">
      <c r="A68" s="14" t="s">
        <v>15</v>
      </c>
      <c r="B68" s="15"/>
      <c r="C68" s="15"/>
      <c r="D68" s="16"/>
      <c r="E68" s="8"/>
      <c r="F68" s="8"/>
      <c r="G68" s="8"/>
      <c r="H68" s="8"/>
    </row>
    <row r="69" spans="1:8" x14ac:dyDescent="0.2">
      <c r="A69" s="17" t="s">
        <v>62</v>
      </c>
      <c r="B69" s="18"/>
      <c r="C69" s="18"/>
      <c r="D69" s="19"/>
      <c r="E69" s="8"/>
      <c r="F69" s="8"/>
      <c r="G69" s="8"/>
      <c r="H69" s="8"/>
    </row>
    <row r="70" spans="1:8" x14ac:dyDescent="0.2">
      <c r="A70" s="20"/>
      <c r="B70" s="21"/>
      <c r="C70" s="22"/>
      <c r="D70" s="23"/>
      <c r="E70" s="8"/>
      <c r="F70" s="8" t="s">
        <v>34</v>
      </c>
      <c r="G70" s="8"/>
      <c r="H70" s="8"/>
    </row>
    <row r="71" spans="1:8" ht="15.75" x14ac:dyDescent="0.25">
      <c r="A71" s="24" t="s">
        <v>2</v>
      </c>
      <c r="B71" s="25" t="str">
        <f>[1]Charters!B74</f>
        <v>Utah Virtual Academy</v>
      </c>
      <c r="C71" s="26"/>
      <c r="D71" s="27"/>
      <c r="E71" s="8"/>
      <c r="F71" s="8"/>
      <c r="G71" s="8"/>
      <c r="H71" s="8"/>
    </row>
    <row r="72" spans="1:8" x14ac:dyDescent="0.2">
      <c r="A72" s="24"/>
      <c r="B72" s="28"/>
      <c r="C72" s="26"/>
      <c r="D72" s="27"/>
      <c r="E72" s="8"/>
      <c r="F72" s="8"/>
      <c r="G72" s="8"/>
      <c r="H72" s="8"/>
    </row>
    <row r="73" spans="1:8" x14ac:dyDescent="0.2">
      <c r="A73" s="29" t="s">
        <v>0</v>
      </c>
      <c r="B73" s="30">
        <f>[1]Charters!$E$6</f>
        <v>3184</v>
      </c>
      <c r="C73" s="26"/>
      <c r="D73" s="31"/>
      <c r="E73" s="8"/>
      <c r="F73" s="8"/>
      <c r="G73" s="8"/>
      <c r="H73" s="8"/>
    </row>
    <row r="74" spans="1:8" x14ac:dyDescent="0.2">
      <c r="A74" s="32"/>
      <c r="B74" s="6"/>
      <c r="C74" s="33"/>
      <c r="D74" s="34" t="s">
        <v>3</v>
      </c>
      <c r="E74" s="8"/>
      <c r="F74" s="8"/>
      <c r="G74" s="8"/>
      <c r="H74" s="8"/>
    </row>
    <row r="75" spans="1:8" x14ac:dyDescent="0.2">
      <c r="A75" s="29" t="s">
        <v>19</v>
      </c>
      <c r="B75" s="35" t="str">
        <f>[1]Charters!A74</f>
        <v>5F</v>
      </c>
      <c r="C75" s="36" t="s">
        <v>4</v>
      </c>
      <c r="D75" s="37" t="s">
        <v>5</v>
      </c>
      <c r="E75" s="8"/>
      <c r="F75" s="8"/>
      <c r="G75" s="8"/>
      <c r="H75" s="8"/>
    </row>
    <row r="76" spans="1:8" x14ac:dyDescent="0.2">
      <c r="A76" s="38" t="s">
        <v>6</v>
      </c>
      <c r="B76" s="39"/>
      <c r="C76" s="40"/>
      <c r="D76" s="41"/>
      <c r="E76" s="8"/>
      <c r="F76" s="8"/>
      <c r="G76" s="8"/>
      <c r="H76" s="8"/>
    </row>
    <row r="77" spans="1:8" x14ac:dyDescent="0.2">
      <c r="A77" s="38" t="s">
        <v>7</v>
      </c>
      <c r="B77" s="39"/>
      <c r="C77" s="40"/>
      <c r="D77" s="41"/>
      <c r="E77" s="8"/>
      <c r="F77" s="42" t="s">
        <v>23</v>
      </c>
      <c r="G77" s="8"/>
      <c r="H77" s="42" t="s">
        <v>26</v>
      </c>
    </row>
    <row r="78" spans="1:8" x14ac:dyDescent="0.2">
      <c r="A78" s="20" t="s">
        <v>8</v>
      </c>
      <c r="B78" s="43"/>
      <c r="C78" s="44">
        <f>[1]Charters!C534</f>
        <v>1914.8630000000001</v>
      </c>
      <c r="D78" s="45">
        <f>[1]Charters!E534</f>
        <v>6096923.46</v>
      </c>
      <c r="E78" s="8"/>
      <c r="F78" s="42">
        <f>[1]Charters!E689</f>
        <v>6484739.0899999999</v>
      </c>
      <c r="G78" s="8"/>
      <c r="H78" s="42">
        <f>[2]Charters!E228</f>
        <v>9075042.3699999992</v>
      </c>
    </row>
    <row r="79" spans="1:8" x14ac:dyDescent="0.2">
      <c r="A79" s="20" t="s">
        <v>14</v>
      </c>
      <c r="B79" s="43"/>
      <c r="C79" s="44">
        <f>[1]Charters!F534</f>
        <v>121.801</v>
      </c>
      <c r="D79" s="45">
        <f>[1]Charters!H534</f>
        <v>387815.63</v>
      </c>
      <c r="E79" s="8"/>
      <c r="F79" s="42">
        <f>SUM(D78:D80)</f>
        <v>6484739.0899999999</v>
      </c>
      <c r="G79" s="8"/>
      <c r="H79" s="42">
        <f>D91</f>
        <v>9075042.3699999992</v>
      </c>
    </row>
    <row r="80" spans="1:8" x14ac:dyDescent="0.2">
      <c r="A80" s="20" t="s">
        <v>32</v>
      </c>
      <c r="B80" s="43"/>
      <c r="C80" s="44">
        <f>[1]Charters!C227</f>
        <v>0</v>
      </c>
      <c r="D80" s="45">
        <f>[1]Charters!E227</f>
        <v>0</v>
      </c>
      <c r="E80" s="8"/>
      <c r="F80" s="42">
        <f>+F78-F79</f>
        <v>0</v>
      </c>
      <c r="G80" s="8"/>
      <c r="H80" s="42">
        <f>+H78-H79</f>
        <v>0</v>
      </c>
    </row>
    <row r="81" spans="1:8" x14ac:dyDescent="0.2">
      <c r="A81" s="38" t="s">
        <v>9</v>
      </c>
      <c r="B81" s="39"/>
      <c r="C81" s="46"/>
      <c r="D81" s="47"/>
      <c r="E81" s="8"/>
      <c r="F81" s="8"/>
      <c r="G81" s="8"/>
      <c r="H81" s="8"/>
    </row>
    <row r="82" spans="1:8" x14ac:dyDescent="0.2">
      <c r="A82" s="20" t="s">
        <v>10</v>
      </c>
      <c r="B82" s="43"/>
      <c r="C82" s="40">
        <f>[3]Charters!C73</f>
        <v>677.67899999999997</v>
      </c>
      <c r="D82" s="41">
        <f>[3]Charters!E73</f>
        <v>2157730.4700000002</v>
      </c>
      <c r="E82" s="8"/>
      <c r="F82" s="42" t="s">
        <v>24</v>
      </c>
      <c r="G82" s="8"/>
      <c r="H82" s="8"/>
    </row>
    <row r="83" spans="1:8" x14ac:dyDescent="0.2">
      <c r="A83" s="48" t="s">
        <v>11</v>
      </c>
      <c r="B83" s="43"/>
      <c r="C83" s="40">
        <f>[3]Charters!F73</f>
        <v>29.33</v>
      </c>
      <c r="D83" s="49">
        <f>[3]Charters!H73</f>
        <v>93386.72</v>
      </c>
      <c r="E83" s="8"/>
      <c r="F83" s="42">
        <f>[3]Charters!N385</f>
        <v>2278363.21</v>
      </c>
      <c r="G83" s="8"/>
      <c r="H83" s="8"/>
    </row>
    <row r="84" spans="1:8" x14ac:dyDescent="0.2">
      <c r="A84" s="48" t="s">
        <v>12</v>
      </c>
      <c r="B84" s="43"/>
      <c r="C84" s="40">
        <f>[3]Charters!C228</f>
        <v>0</v>
      </c>
      <c r="D84" s="41">
        <f>[3]Charters!E228</f>
        <v>0</v>
      </c>
      <c r="E84" s="8"/>
      <c r="F84" s="42">
        <f>SUM(D82:D88)</f>
        <v>2278363.21</v>
      </c>
      <c r="G84" s="8"/>
      <c r="H84" s="8"/>
    </row>
    <row r="85" spans="1:8" x14ac:dyDescent="0.2">
      <c r="A85" s="20" t="s">
        <v>13</v>
      </c>
      <c r="B85" s="43"/>
      <c r="C85" s="40">
        <f>[3]Charters!F228</f>
        <v>1.9139999999999999</v>
      </c>
      <c r="D85" s="41">
        <f>[3]Charters!H228</f>
        <v>6095.14</v>
      </c>
      <c r="E85" s="8"/>
      <c r="F85" s="42">
        <f>+F83-F84</f>
        <v>0</v>
      </c>
      <c r="G85" s="8"/>
      <c r="H85" s="8"/>
    </row>
    <row r="86" spans="1:8" x14ac:dyDescent="0.2">
      <c r="A86" s="48" t="s">
        <v>54</v>
      </c>
      <c r="B86" s="43"/>
      <c r="C86" s="40">
        <f>[3]Charters!C385</f>
        <v>6.6429999999999998</v>
      </c>
      <c r="D86" s="41">
        <f>[3]Charters!E385</f>
        <v>21150.880000000001</v>
      </c>
      <c r="E86" s="8"/>
      <c r="F86" s="8"/>
      <c r="G86" s="8"/>
      <c r="H86" s="8"/>
    </row>
    <row r="87" spans="1:8" x14ac:dyDescent="0.2">
      <c r="A87" s="48" t="s">
        <v>55</v>
      </c>
      <c r="B87" s="43"/>
      <c r="C87" s="40">
        <f>[3]Charters!F385</f>
        <v>0</v>
      </c>
      <c r="D87" s="41">
        <f>[3]Charters!H385</f>
        <v>0</v>
      </c>
      <c r="E87" s="8"/>
      <c r="F87" s="42" t="s">
        <v>25</v>
      </c>
      <c r="G87" s="8"/>
      <c r="H87" s="8"/>
    </row>
    <row r="88" spans="1:8" x14ac:dyDescent="0.2">
      <c r="A88" s="48" t="s">
        <v>56</v>
      </c>
      <c r="B88" s="43"/>
      <c r="C88" s="40">
        <f>[3]Charters!I385</f>
        <v>0</v>
      </c>
      <c r="D88" s="41">
        <f>[3]Charters!K385</f>
        <v>0</v>
      </c>
      <c r="E88" s="8"/>
      <c r="F88" s="42">
        <f>[2]Charters!H74</f>
        <v>2590303.2799999998</v>
      </c>
      <c r="G88" s="8"/>
      <c r="H88" s="8"/>
    </row>
    <row r="89" spans="1:8" x14ac:dyDescent="0.2">
      <c r="A89" s="20" t="s">
        <v>49</v>
      </c>
      <c r="B89" s="43"/>
      <c r="C89" s="40">
        <f>[3]Charters!C541</f>
        <v>0</v>
      </c>
      <c r="D89" s="41">
        <f>[3]Charters!E541</f>
        <v>0</v>
      </c>
      <c r="E89" s="8"/>
      <c r="F89" s="42">
        <f>SUM(D82:D90)</f>
        <v>2590303.2799999998</v>
      </c>
      <c r="G89" s="8"/>
      <c r="H89" s="8"/>
    </row>
    <row r="90" spans="1:8" x14ac:dyDescent="0.2">
      <c r="A90" s="20" t="s">
        <v>50</v>
      </c>
      <c r="B90" s="43"/>
      <c r="C90" s="40">
        <f>[2]Charters!C74</f>
        <v>97.971000000000004</v>
      </c>
      <c r="D90" s="41">
        <f>[2]Charters!E74</f>
        <v>311940.07</v>
      </c>
      <c r="E90" s="8"/>
      <c r="F90" s="42">
        <f>+F88-F89</f>
        <v>0</v>
      </c>
      <c r="G90" s="8"/>
      <c r="H90" s="8"/>
    </row>
    <row r="91" spans="1:8" x14ac:dyDescent="0.2">
      <c r="A91" s="50"/>
      <c r="B91" s="51" t="s">
        <v>16</v>
      </c>
      <c r="C91" s="52">
        <f>SUM(C78:C90)</f>
        <v>2850.201</v>
      </c>
      <c r="D91" s="53">
        <f>SUM(D78:D90)</f>
        <v>9075042.3699999992</v>
      </c>
      <c r="E91" s="8"/>
      <c r="F91" s="8"/>
      <c r="G91" s="8"/>
      <c r="H91" s="8"/>
    </row>
    <row r="92" spans="1:8" x14ac:dyDescent="0.2">
      <c r="A92" s="54" t="s">
        <v>17</v>
      </c>
      <c r="B92" s="39"/>
      <c r="C92" s="55"/>
      <c r="D92" s="47"/>
      <c r="E92" s="8"/>
      <c r="F92" s="8"/>
      <c r="G92" s="8"/>
      <c r="H92" s="42" t="s">
        <v>29</v>
      </c>
    </row>
    <row r="93" spans="1:8" x14ac:dyDescent="0.2">
      <c r="A93" s="20" t="s">
        <v>33</v>
      </c>
      <c r="B93" s="43"/>
      <c r="C93" s="56"/>
      <c r="D93" s="57">
        <f>[4]Charters!C74</f>
        <v>26303.72</v>
      </c>
      <c r="E93" s="8"/>
      <c r="F93" s="8"/>
      <c r="G93" s="8"/>
      <c r="H93" s="42">
        <f>[4]Charters!F1014</f>
        <v>14101275.800000001</v>
      </c>
    </row>
    <row r="94" spans="1:8" x14ac:dyDescent="0.2">
      <c r="A94" s="58" t="s">
        <v>35</v>
      </c>
      <c r="B94" s="43"/>
      <c r="C94" s="56"/>
      <c r="D94" s="41">
        <f>+[4]Charters!F395</f>
        <v>9492.5300000000007</v>
      </c>
      <c r="E94" s="8"/>
      <c r="F94" s="8"/>
      <c r="G94" s="8"/>
      <c r="H94" s="42">
        <f>SUM(D91:D110)</f>
        <v>14101275.800000001</v>
      </c>
    </row>
    <row r="95" spans="1:8" x14ac:dyDescent="0.2">
      <c r="A95" s="59" t="s">
        <v>36</v>
      </c>
      <c r="B95" s="43"/>
      <c r="C95" s="56"/>
      <c r="D95" s="41">
        <f>[4]Charters!E234</f>
        <v>87971</v>
      </c>
      <c r="E95" s="8"/>
      <c r="F95" s="8"/>
      <c r="G95" s="8"/>
      <c r="H95" s="42">
        <f>+H93-H94</f>
        <v>0</v>
      </c>
    </row>
    <row r="96" spans="1:8" x14ac:dyDescent="0.2">
      <c r="A96" s="59" t="s">
        <v>52</v>
      </c>
      <c r="B96" s="43"/>
      <c r="C96" s="56"/>
      <c r="D96" s="41">
        <f>[4]Charters!G395</f>
        <v>164.1</v>
      </c>
      <c r="E96" s="8"/>
      <c r="F96" s="42" t="s">
        <v>27</v>
      </c>
      <c r="G96" s="8"/>
      <c r="H96" s="42"/>
    </row>
    <row r="97" spans="1:8" x14ac:dyDescent="0.2">
      <c r="A97" s="20" t="s">
        <v>37</v>
      </c>
      <c r="B97" s="43"/>
      <c r="C97" s="56"/>
      <c r="D97" s="41">
        <f>[4]Charters!E551</f>
        <v>137055</v>
      </c>
      <c r="E97" s="8"/>
      <c r="F97" s="42">
        <f>[4]Charters!E234</f>
        <v>87971</v>
      </c>
      <c r="G97" s="8"/>
      <c r="H97" s="8"/>
    </row>
    <row r="98" spans="1:8" x14ac:dyDescent="0.2">
      <c r="A98" s="20" t="s">
        <v>38</v>
      </c>
      <c r="B98" s="43"/>
      <c r="C98" s="56"/>
      <c r="D98" s="41">
        <f>[4]Charters!F551</f>
        <v>0</v>
      </c>
      <c r="E98" s="8"/>
      <c r="F98" s="42">
        <f>SUM(D95:D95)</f>
        <v>87971</v>
      </c>
      <c r="G98" s="8"/>
      <c r="H98" s="8"/>
    </row>
    <row r="99" spans="1:8" x14ac:dyDescent="0.2">
      <c r="A99" s="59" t="s">
        <v>40</v>
      </c>
      <c r="B99" s="43"/>
      <c r="C99" s="56"/>
      <c r="D99" s="41">
        <f>[4]Charters!G551</f>
        <v>0</v>
      </c>
      <c r="E99" s="8"/>
      <c r="F99" s="42">
        <f>+F97-F98</f>
        <v>0</v>
      </c>
      <c r="G99" s="8"/>
      <c r="H99" s="8"/>
    </row>
    <row r="100" spans="1:8" x14ac:dyDescent="0.2">
      <c r="A100" s="20" t="s">
        <v>41</v>
      </c>
      <c r="B100" s="43"/>
      <c r="C100" s="56"/>
      <c r="D100" s="41">
        <f>[4]Charters!C705</f>
        <v>4058028</v>
      </c>
      <c r="E100" s="8"/>
      <c r="F100" s="42" t="s">
        <v>28</v>
      </c>
      <c r="G100" s="8"/>
      <c r="H100" s="8"/>
    </row>
    <row r="101" spans="1:8" x14ac:dyDescent="0.2">
      <c r="A101" s="20" t="s">
        <v>42</v>
      </c>
      <c r="B101" s="43"/>
      <c r="C101" s="56"/>
      <c r="D101" s="41">
        <f>[4]Charters!D705</f>
        <v>400404.33</v>
      </c>
      <c r="E101" s="8"/>
      <c r="F101" s="42">
        <f>[4]Charters!D551</f>
        <v>97627.63</v>
      </c>
      <c r="G101" s="8"/>
      <c r="H101" s="8"/>
    </row>
    <row r="102" spans="1:8" x14ac:dyDescent="0.2">
      <c r="A102" s="20" t="s">
        <v>44</v>
      </c>
      <c r="B102" s="43"/>
      <c r="C102" s="56"/>
      <c r="D102" s="41">
        <f>[4]Charters!E705</f>
        <v>202800</v>
      </c>
      <c r="E102" s="8"/>
      <c r="F102" s="42">
        <f>SUM(D94:D96)</f>
        <v>97627.63</v>
      </c>
      <c r="G102" s="8"/>
      <c r="H102" s="8"/>
    </row>
    <row r="103" spans="1:8" x14ac:dyDescent="0.2">
      <c r="A103" s="59" t="s">
        <v>43</v>
      </c>
      <c r="B103" s="43"/>
      <c r="C103" s="56"/>
      <c r="D103" s="41">
        <f>[4]Charters!F705</f>
        <v>85742.42</v>
      </c>
      <c r="E103" s="8"/>
      <c r="F103" s="42">
        <f>+F101-F102</f>
        <v>0</v>
      </c>
      <c r="G103" s="8"/>
      <c r="H103" s="8"/>
    </row>
    <row r="104" spans="1:8" x14ac:dyDescent="0.2">
      <c r="A104" s="59" t="s">
        <v>45</v>
      </c>
      <c r="B104" s="43"/>
      <c r="C104" s="56"/>
      <c r="D104" s="41">
        <f>[4]Charters!C551</f>
        <v>0</v>
      </c>
      <c r="E104" s="8"/>
      <c r="F104" s="8"/>
      <c r="G104" s="8"/>
      <c r="H104" s="8"/>
    </row>
    <row r="105" spans="1:8" x14ac:dyDescent="0.2">
      <c r="A105" s="59" t="s">
        <v>46</v>
      </c>
      <c r="B105" s="43"/>
      <c r="C105" s="56"/>
      <c r="D105" s="41">
        <f>[4]Charters!C861</f>
        <v>0</v>
      </c>
      <c r="E105" s="42"/>
      <c r="F105" s="42"/>
      <c r="G105" s="42"/>
      <c r="H105" s="42" t="s">
        <v>31</v>
      </c>
    </row>
    <row r="106" spans="1:8" x14ac:dyDescent="0.2">
      <c r="A106" s="59" t="s">
        <v>51</v>
      </c>
      <c r="B106" s="43"/>
      <c r="C106" s="56"/>
      <c r="D106" s="60">
        <f>[4]Charters!D861</f>
        <v>2019.11</v>
      </c>
      <c r="E106" s="42"/>
      <c r="F106" s="42"/>
      <c r="G106" s="42"/>
      <c r="H106" s="42">
        <f>[4]Charters!D1320</f>
        <v>14115569.800000001</v>
      </c>
    </row>
    <row r="107" spans="1:8" x14ac:dyDescent="0.2">
      <c r="A107" s="20" t="s">
        <v>47</v>
      </c>
      <c r="B107" s="43"/>
      <c r="C107" s="56"/>
      <c r="D107" s="60">
        <f>[4]Charters!E861</f>
        <v>0</v>
      </c>
      <c r="E107" s="42"/>
      <c r="F107" s="42"/>
      <c r="G107" s="42"/>
      <c r="H107" s="42">
        <f>D116</f>
        <v>14115569.800000001</v>
      </c>
    </row>
    <row r="108" spans="1:8" x14ac:dyDescent="0.2">
      <c r="A108" s="20" t="s">
        <v>57</v>
      </c>
      <c r="B108" s="43"/>
      <c r="C108" s="56"/>
      <c r="D108" s="60">
        <f>[4]Charters!C1014</f>
        <v>16253.22</v>
      </c>
      <c r="E108" s="42"/>
      <c r="F108" s="42"/>
      <c r="G108" s="42"/>
      <c r="H108" s="42">
        <f>+H106-H107</f>
        <v>0</v>
      </c>
    </row>
    <row r="109" spans="1:8" x14ac:dyDescent="0.2">
      <c r="A109" s="59" t="s">
        <v>53</v>
      </c>
      <c r="B109" s="43"/>
      <c r="C109" s="56"/>
      <c r="D109" s="60">
        <f>[4]Charters!D1014</f>
        <v>0</v>
      </c>
      <c r="E109" s="42"/>
      <c r="F109" s="42" t="s">
        <v>30</v>
      </c>
      <c r="G109" s="42"/>
      <c r="H109" s="42"/>
    </row>
    <row r="110" spans="1:8" x14ac:dyDescent="0.2">
      <c r="A110" s="59" t="s">
        <v>59</v>
      </c>
      <c r="B110" s="43"/>
      <c r="C110" s="56"/>
      <c r="D110" s="60">
        <f>[4]Charters!E1014</f>
        <v>0</v>
      </c>
      <c r="E110" s="42"/>
      <c r="F110" s="42"/>
      <c r="G110" s="42"/>
      <c r="H110" s="42"/>
    </row>
    <row r="111" spans="1:8" x14ac:dyDescent="0.2">
      <c r="A111" s="38" t="s">
        <v>18</v>
      </c>
      <c r="B111" s="61"/>
      <c r="C111" s="62"/>
      <c r="D111" s="87"/>
      <c r="E111" s="42"/>
      <c r="F111" s="42">
        <f>[4]Charters!C1320</f>
        <v>14294</v>
      </c>
      <c r="G111" s="42"/>
      <c r="H111" s="42"/>
    </row>
    <row r="112" spans="1:8" x14ac:dyDescent="0.2">
      <c r="A112" s="59" t="s">
        <v>39</v>
      </c>
      <c r="B112" s="43"/>
      <c r="C112" s="56"/>
      <c r="D112" s="41">
        <f>[4]Charters!C1167</f>
        <v>14294</v>
      </c>
      <c r="E112" s="42"/>
      <c r="F112" s="42">
        <f>SUM(D112:D115)</f>
        <v>14294</v>
      </c>
      <c r="G112" s="42"/>
      <c r="H112" s="42"/>
    </row>
    <row r="113" spans="1:8" x14ac:dyDescent="0.2">
      <c r="A113" s="59" t="s">
        <v>48</v>
      </c>
      <c r="B113" s="43"/>
      <c r="C113" s="56"/>
      <c r="D113" s="41">
        <f>[4]Charters!D1167</f>
        <v>0</v>
      </c>
      <c r="E113" s="42"/>
      <c r="F113" s="42">
        <f>+F111-F112</f>
        <v>0</v>
      </c>
      <c r="G113" s="42"/>
      <c r="H113" s="42"/>
    </row>
    <row r="114" spans="1:8" x14ac:dyDescent="0.2">
      <c r="A114" s="59" t="s">
        <v>60</v>
      </c>
      <c r="B114" s="43"/>
      <c r="C114" s="56"/>
      <c r="D114" s="41">
        <f>[4]Charters!E1167</f>
        <v>0</v>
      </c>
      <c r="E114" s="42"/>
      <c r="F114" s="42"/>
      <c r="G114" s="42"/>
      <c r="H114" s="42"/>
    </row>
    <row r="115" spans="1:8" x14ac:dyDescent="0.2">
      <c r="A115" s="59" t="s">
        <v>61</v>
      </c>
      <c r="B115" s="43"/>
      <c r="C115" s="56"/>
      <c r="D115" s="41">
        <f>[4]Charters!F1167</f>
        <v>0</v>
      </c>
      <c r="E115" s="42"/>
      <c r="F115" s="42"/>
      <c r="G115" s="42"/>
      <c r="H115" s="42"/>
    </row>
    <row r="116" spans="1:8" ht="13.5" thickBot="1" x14ac:dyDescent="0.25">
      <c r="A116" s="64"/>
      <c r="B116" s="65"/>
      <c r="C116" s="66"/>
      <c r="D116" s="67">
        <f>SUM(D91:D115)</f>
        <v>14115569.800000001</v>
      </c>
      <c r="E116" s="42"/>
      <c r="F116" s="42"/>
      <c r="G116" s="42"/>
      <c r="H116" s="42"/>
    </row>
    <row r="117" spans="1:8" ht="13.5" thickTop="1" x14ac:dyDescent="0.2">
      <c r="A117" s="68"/>
      <c r="B117" s="43"/>
      <c r="C117" s="56"/>
      <c r="D117" s="86"/>
      <c r="E117" s="42"/>
      <c r="F117" s="42"/>
      <c r="G117" s="42"/>
      <c r="H117" s="42"/>
    </row>
    <row r="118" spans="1:8" x14ac:dyDescent="0.2">
      <c r="A118" s="38" t="s">
        <v>20</v>
      </c>
      <c r="B118" s="39"/>
      <c r="C118" s="70"/>
      <c r="D118" s="71" t="s">
        <v>21</v>
      </c>
      <c r="E118" s="42"/>
      <c r="F118" s="42"/>
      <c r="G118" s="42"/>
      <c r="H118" s="42"/>
    </row>
    <row r="119" spans="1:8" x14ac:dyDescent="0.2">
      <c r="A119" s="72" t="s">
        <v>22</v>
      </c>
      <c r="B119" s="73"/>
      <c r="C119" s="74"/>
      <c r="D119" s="41">
        <f>[5]Charters!C73</f>
        <v>4168.3500000000004</v>
      </c>
      <c r="E119" s="42"/>
      <c r="F119" s="42"/>
      <c r="G119" s="42"/>
      <c r="H119" s="42"/>
    </row>
    <row r="120" spans="1:8" x14ac:dyDescent="0.2">
      <c r="A120" s="75"/>
      <c r="B120" s="61"/>
      <c r="C120" s="76"/>
      <c r="D120" s="77">
        <f>SUM(D119:D119)</f>
        <v>4168.3500000000004</v>
      </c>
      <c r="E120" s="42"/>
      <c r="F120" s="42"/>
      <c r="G120" s="42"/>
      <c r="H120" s="42"/>
    </row>
    <row r="121" spans="1:8" x14ac:dyDescent="0.2">
      <c r="A121" s="78" t="s">
        <v>58</v>
      </c>
      <c r="B121" s="79"/>
      <c r="C121" s="80"/>
      <c r="D121" s="77">
        <f>D120+D116</f>
        <v>14119738.15</v>
      </c>
      <c r="E121" s="42"/>
      <c r="F121" s="42"/>
      <c r="G121" s="42"/>
      <c r="H121" s="42"/>
    </row>
    <row r="122" spans="1:8" x14ac:dyDescent="0.2">
      <c r="A122" s="84"/>
      <c r="B122" s="84"/>
      <c r="C122" s="85"/>
      <c r="D122" s="81"/>
      <c r="E122" s="42"/>
      <c r="F122" s="42"/>
      <c r="G122" s="42"/>
      <c r="H122" s="42"/>
    </row>
    <row r="123" spans="1:8" x14ac:dyDescent="0.2">
      <c r="A123" s="84"/>
      <c r="B123" s="84"/>
      <c r="C123" s="85"/>
      <c r="D123" s="81">
        <f>[5]Charters!E229</f>
        <v>14119738.15</v>
      </c>
      <c r="E123" s="42"/>
      <c r="F123" s="42"/>
      <c r="G123" s="42"/>
      <c r="H123" s="42"/>
    </row>
    <row r="124" spans="1:8" x14ac:dyDescent="0.2">
      <c r="A124" s="84"/>
      <c r="B124" s="84"/>
      <c r="C124" s="85"/>
      <c r="D124" s="81">
        <f>D121</f>
        <v>14119738.15</v>
      </c>
      <c r="E124" s="42"/>
      <c r="F124" s="42"/>
      <c r="G124" s="42"/>
      <c r="H124" s="42"/>
    </row>
    <row r="125" spans="1:8" x14ac:dyDescent="0.2">
      <c r="C125" s="83"/>
      <c r="D125" s="42">
        <f>D123-D124</f>
        <v>0</v>
      </c>
      <c r="E125" s="42"/>
      <c r="F125" s="42"/>
      <c r="G125" s="42"/>
      <c r="H125" s="42"/>
    </row>
  </sheetData>
  <mergeCells count="4">
    <mergeCell ref="A121:C121"/>
    <mergeCell ref="A68:D68"/>
    <mergeCell ref="A69:D69"/>
    <mergeCell ref="A67:D67"/>
  </mergeCells>
  <phoneticPr fontId="2" type="noConversion"/>
  <printOptions horizontalCentered="1" verticalCentered="1"/>
  <pageMargins left="0.5" right="0.5" top="0.5" bottom="0.5" header="0.25" footer="0.25"/>
  <pageSetup orientation="portrait" r:id="rId1"/>
  <headerFooter alignWithMargins="0">
    <oddHeader>&amp;R&amp;8Current as of: &amp;D</oddHeader>
    <oddFooter>&amp;L&amp;8USOE, School Finance</oddFooter>
  </headerFooter>
  <picture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>
    <pageSetUpPr fitToPage="1"/>
  </sheetPr>
  <dimension ref="A1:H126"/>
  <sheetViews>
    <sheetView topLeftCell="A67" workbookViewId="0">
      <selection activeCell="C12" sqref="C12"/>
    </sheetView>
  </sheetViews>
  <sheetFormatPr defaultColWidth="9.140625" defaultRowHeight="12.75" x14ac:dyDescent="0.2"/>
  <cols>
    <col min="1" max="1" width="31.85546875" style="82" customWidth="1"/>
    <col min="2" max="2" width="16.140625" style="82" customWidth="1"/>
    <col min="3" max="4" width="14.85546875" style="82" customWidth="1"/>
    <col min="5" max="5" width="7" style="82" customWidth="1"/>
    <col min="6" max="6" width="19.7109375" style="82" customWidth="1"/>
    <col min="7" max="7" width="5.7109375" style="82" customWidth="1"/>
    <col min="8" max="8" width="18" style="82" customWidth="1"/>
    <col min="9" max="16384" width="9.140625" style="82"/>
  </cols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"/>
      <c r="B3" s="1"/>
      <c r="C3" s="1"/>
      <c r="D3" s="1"/>
      <c r="E3" s="1"/>
      <c r="F3" s="1"/>
      <c r="G3" s="1"/>
      <c r="H3" s="1"/>
    </row>
    <row r="4" spans="1:8" x14ac:dyDescent="0.2">
      <c r="A4" s="1"/>
      <c r="B4" s="1"/>
      <c r="C4" s="1"/>
      <c r="D4" s="1"/>
      <c r="E4" s="1"/>
      <c r="F4" s="1"/>
      <c r="G4" s="1"/>
      <c r="H4" s="1"/>
    </row>
    <row r="5" spans="1:8" x14ac:dyDescent="0.2">
      <c r="A5" s="1"/>
      <c r="B5" s="1"/>
      <c r="C5" s="1"/>
      <c r="D5" s="1"/>
      <c r="E5" s="1"/>
      <c r="F5" s="1"/>
      <c r="G5" s="1"/>
      <c r="H5" s="1"/>
    </row>
    <row r="6" spans="1:8" x14ac:dyDescent="0.2">
      <c r="A6" s="1"/>
      <c r="B6" s="1"/>
      <c r="C6" s="1"/>
      <c r="D6" s="1"/>
      <c r="E6" s="1"/>
      <c r="F6" s="1"/>
      <c r="G6" s="1"/>
      <c r="H6" s="1"/>
    </row>
    <row r="7" spans="1:8" x14ac:dyDescent="0.2">
      <c r="A7" s="1"/>
      <c r="B7" s="1"/>
      <c r="C7" s="1"/>
      <c r="D7" s="1"/>
      <c r="E7" s="1"/>
      <c r="F7" s="1"/>
      <c r="G7" s="1"/>
      <c r="H7" s="1"/>
    </row>
    <row r="8" spans="1:8" x14ac:dyDescent="0.2">
      <c r="A8" s="1"/>
      <c r="B8" s="1"/>
      <c r="C8" s="1"/>
      <c r="D8" s="1"/>
      <c r="E8" s="1"/>
      <c r="F8" s="1"/>
      <c r="G8" s="1"/>
      <c r="H8" s="1"/>
    </row>
    <row r="9" spans="1:8" x14ac:dyDescent="0.2">
      <c r="A9" s="1"/>
      <c r="B9" s="1"/>
      <c r="C9" s="1"/>
      <c r="D9" s="1"/>
      <c r="E9" s="1"/>
      <c r="F9" s="1"/>
      <c r="G9" s="1"/>
      <c r="H9" s="1"/>
    </row>
    <row r="10" spans="1:8" x14ac:dyDescent="0.2">
      <c r="A10" s="1"/>
      <c r="B10" s="1"/>
      <c r="C10" s="1"/>
      <c r="D10" s="1"/>
      <c r="E10" s="1"/>
      <c r="F10" s="1"/>
      <c r="G10" s="1"/>
      <c r="H10" s="1"/>
    </row>
    <row r="11" spans="1:8" x14ac:dyDescent="0.2">
      <c r="A11" s="1"/>
      <c r="B11" s="1"/>
      <c r="C11" s="1"/>
      <c r="D11" s="1"/>
      <c r="E11" s="1"/>
      <c r="F11" s="1"/>
      <c r="G11" s="1"/>
      <c r="H11" s="1"/>
    </row>
    <row r="12" spans="1:8" x14ac:dyDescent="0.2">
      <c r="A12" s="1"/>
      <c r="B12" s="1"/>
      <c r="C12" s="1"/>
      <c r="D12" s="1"/>
      <c r="E12" s="1"/>
      <c r="F12" s="1"/>
      <c r="G12" s="1"/>
      <c r="H12" s="1"/>
    </row>
    <row r="13" spans="1:8" x14ac:dyDescent="0.2">
      <c r="A13" s="1"/>
      <c r="B13" s="1"/>
      <c r="C13" s="1"/>
      <c r="D13" s="1"/>
      <c r="E13" s="1"/>
      <c r="F13" s="1"/>
      <c r="G13" s="1"/>
      <c r="H13" s="1"/>
    </row>
    <row r="14" spans="1:8" x14ac:dyDescent="0.2">
      <c r="A14" s="1"/>
      <c r="B14" s="1"/>
      <c r="C14" s="1"/>
      <c r="D14" s="1"/>
      <c r="E14" s="1"/>
      <c r="F14" s="1"/>
      <c r="G14" s="1"/>
      <c r="H14" s="1"/>
    </row>
    <row r="15" spans="1:8" x14ac:dyDescent="0.2">
      <c r="A15" s="1"/>
      <c r="B15" s="1"/>
      <c r="C15" s="1"/>
      <c r="D15" s="1"/>
      <c r="E15" s="1"/>
      <c r="F15" s="1"/>
      <c r="G15" s="1"/>
      <c r="H15" s="1"/>
    </row>
    <row r="16" spans="1:8" x14ac:dyDescent="0.2">
      <c r="A16" s="1"/>
      <c r="B16" s="1"/>
      <c r="C16" s="1"/>
      <c r="D16" s="1"/>
      <c r="E16" s="1"/>
      <c r="F16" s="1"/>
      <c r="G16" s="1"/>
      <c r="H16" s="1"/>
    </row>
    <row r="17" spans="1:8" x14ac:dyDescent="0.2">
      <c r="A17" s="1"/>
      <c r="B17" s="1"/>
      <c r="C17" s="1"/>
      <c r="D17" s="1"/>
      <c r="E17" s="1"/>
      <c r="F17" s="1"/>
      <c r="G17" s="1"/>
      <c r="H17" s="1"/>
    </row>
    <row r="18" spans="1:8" x14ac:dyDescent="0.2">
      <c r="A18" s="1"/>
      <c r="B18" s="1"/>
      <c r="C18" s="1"/>
      <c r="D18" s="1"/>
      <c r="E18" s="1"/>
      <c r="F18" s="1"/>
      <c r="G18" s="1"/>
      <c r="H18" s="1"/>
    </row>
    <row r="19" spans="1:8" x14ac:dyDescent="0.2">
      <c r="A19" s="1"/>
      <c r="B19" s="1"/>
      <c r="C19" s="1"/>
      <c r="D19" s="1"/>
      <c r="E19" s="1"/>
      <c r="F19" s="1"/>
      <c r="G19" s="1"/>
      <c r="H19" s="1"/>
    </row>
    <row r="20" spans="1:8" x14ac:dyDescent="0.2">
      <c r="A20" s="1"/>
      <c r="B20" s="1"/>
      <c r="C20" s="1"/>
      <c r="D20" s="1"/>
      <c r="E20" s="1"/>
      <c r="F20" s="1"/>
      <c r="G20" s="1"/>
      <c r="H20" s="1"/>
    </row>
    <row r="21" spans="1:8" x14ac:dyDescent="0.2">
      <c r="A21" s="1"/>
      <c r="B21" s="1"/>
      <c r="C21" s="1"/>
      <c r="D21" s="1"/>
      <c r="E21" s="1"/>
      <c r="F21" s="1"/>
      <c r="G21" s="1"/>
      <c r="H21" s="1"/>
    </row>
    <row r="22" spans="1:8" x14ac:dyDescent="0.2">
      <c r="A22" s="1"/>
      <c r="B22" s="1"/>
      <c r="C22" s="1"/>
      <c r="D22" s="4"/>
      <c r="E22" s="1"/>
      <c r="F22" s="1"/>
      <c r="G22" s="1"/>
      <c r="H22" s="1"/>
    </row>
    <row r="23" spans="1:8" x14ac:dyDescent="0.2">
      <c r="A23" s="1"/>
      <c r="B23" s="1"/>
      <c r="C23" s="1"/>
      <c r="D23" s="1"/>
      <c r="E23" s="1"/>
      <c r="F23" s="1"/>
      <c r="G23" s="1"/>
      <c r="H23" s="1"/>
    </row>
    <row r="24" spans="1:8" x14ac:dyDescent="0.2">
      <c r="A24" s="1"/>
      <c r="B24" s="1"/>
      <c r="C24" s="1"/>
      <c r="D24" s="1"/>
      <c r="E24" s="1"/>
      <c r="F24" s="1"/>
      <c r="G24" s="1"/>
      <c r="H24" s="1"/>
    </row>
    <row r="25" spans="1:8" x14ac:dyDescent="0.2">
      <c r="A25" s="1"/>
      <c r="B25" s="1"/>
      <c r="C25" s="1"/>
      <c r="D25" s="1"/>
      <c r="E25" s="1"/>
      <c r="F25" s="1"/>
      <c r="G25" s="1"/>
      <c r="H25" s="1"/>
    </row>
    <row r="26" spans="1:8" x14ac:dyDescent="0.2">
      <c r="A26" s="1"/>
      <c r="B26" s="1"/>
      <c r="C26" s="1"/>
      <c r="D26" s="1"/>
      <c r="E26" s="1"/>
      <c r="F26" s="1"/>
      <c r="G26" s="1"/>
      <c r="H26" s="1"/>
    </row>
    <row r="27" spans="1:8" x14ac:dyDescent="0.2">
      <c r="A27" s="1"/>
      <c r="B27" s="1"/>
      <c r="C27" s="1"/>
      <c r="D27" s="1"/>
      <c r="E27" s="1"/>
      <c r="F27" s="1"/>
      <c r="G27" s="1"/>
      <c r="H27" s="1"/>
    </row>
    <row r="28" spans="1:8" x14ac:dyDescent="0.2">
      <c r="A28" s="1"/>
      <c r="B28" s="1"/>
      <c r="C28" s="1"/>
      <c r="D28" s="1"/>
      <c r="E28" s="1"/>
      <c r="F28" s="1"/>
      <c r="G28" s="1"/>
      <c r="H28" s="1"/>
    </row>
    <row r="29" spans="1:8" x14ac:dyDescent="0.2">
      <c r="A29" s="1"/>
      <c r="B29" s="1"/>
      <c r="C29" s="1"/>
      <c r="D29" s="1"/>
      <c r="E29" s="1"/>
      <c r="F29" s="1"/>
      <c r="G29" s="1"/>
      <c r="H29" s="1"/>
    </row>
    <row r="30" spans="1:8" x14ac:dyDescent="0.2">
      <c r="A30" s="1"/>
      <c r="B30" s="1"/>
      <c r="C30" s="1"/>
      <c r="D30" s="1"/>
      <c r="E30" s="1"/>
      <c r="F30" s="1"/>
      <c r="G30" s="1"/>
      <c r="H30" s="1"/>
    </row>
    <row r="31" spans="1:8" x14ac:dyDescent="0.2">
      <c r="A31" s="1"/>
      <c r="B31" s="1"/>
      <c r="C31" s="1"/>
      <c r="D31" s="1"/>
      <c r="E31" s="1"/>
      <c r="F31" s="1"/>
      <c r="G31" s="1"/>
      <c r="H31" s="1"/>
    </row>
    <row r="32" spans="1:8" x14ac:dyDescent="0.2">
      <c r="A32" s="1"/>
      <c r="B32" s="1"/>
      <c r="C32" s="1"/>
      <c r="D32" s="1"/>
      <c r="E32" s="1"/>
      <c r="F32" s="1"/>
      <c r="G32" s="1"/>
      <c r="H32" s="1"/>
    </row>
    <row r="33" spans="1:8" x14ac:dyDescent="0.2">
      <c r="A33" s="1"/>
      <c r="B33" s="1"/>
      <c r="C33" s="1"/>
      <c r="D33" s="1"/>
      <c r="E33" s="1"/>
      <c r="F33" s="1"/>
      <c r="G33" s="1"/>
      <c r="H33" s="1"/>
    </row>
    <row r="34" spans="1:8" x14ac:dyDescent="0.2">
      <c r="A34" s="1"/>
      <c r="B34" s="1"/>
      <c r="C34" s="1"/>
      <c r="D34" s="1"/>
      <c r="E34" s="1"/>
      <c r="F34" s="1"/>
      <c r="G34" s="1"/>
      <c r="H34" s="1"/>
    </row>
    <row r="35" spans="1:8" x14ac:dyDescent="0.2">
      <c r="A35" s="1"/>
      <c r="B35" s="1"/>
      <c r="C35" s="1"/>
      <c r="D35" s="1"/>
      <c r="E35" s="1"/>
      <c r="F35" s="1"/>
      <c r="G35" s="1"/>
      <c r="H35" s="1"/>
    </row>
    <row r="36" spans="1:8" x14ac:dyDescent="0.2">
      <c r="A36" s="1"/>
      <c r="B36" s="1"/>
      <c r="C36" s="1"/>
      <c r="D36" s="1"/>
      <c r="E36" s="1"/>
      <c r="F36" s="1"/>
      <c r="G36" s="1"/>
      <c r="H36" s="1"/>
    </row>
    <row r="37" spans="1:8" x14ac:dyDescent="0.2">
      <c r="A37" s="1"/>
      <c r="B37" s="1"/>
      <c r="C37" s="1"/>
      <c r="D37" s="1"/>
      <c r="E37" s="1"/>
      <c r="F37" s="1"/>
      <c r="G37" s="1"/>
      <c r="H37" s="1"/>
    </row>
    <row r="38" spans="1:8" x14ac:dyDescent="0.2">
      <c r="A38" s="1"/>
      <c r="B38" s="1"/>
      <c r="C38" s="1"/>
      <c r="D38" s="1"/>
      <c r="E38" s="1"/>
      <c r="F38" s="1"/>
      <c r="G38" s="1"/>
      <c r="H38" s="1"/>
    </row>
    <row r="39" spans="1:8" x14ac:dyDescent="0.2">
      <c r="A39" s="1"/>
      <c r="B39" s="1"/>
      <c r="C39" s="1"/>
      <c r="D39" s="1"/>
      <c r="E39" s="1"/>
      <c r="F39" s="1"/>
      <c r="G39" s="1"/>
      <c r="H39" s="1"/>
    </row>
    <row r="40" spans="1:8" x14ac:dyDescent="0.2">
      <c r="A40" s="1"/>
      <c r="B40" s="1"/>
      <c r="C40" s="1"/>
      <c r="D40" s="1"/>
      <c r="E40" s="1"/>
      <c r="F40" s="1"/>
      <c r="G40" s="1"/>
      <c r="H40" s="1"/>
    </row>
    <row r="41" spans="1:8" x14ac:dyDescent="0.2">
      <c r="A41" s="1"/>
      <c r="B41" s="1"/>
      <c r="C41" s="1"/>
      <c r="D41" s="1"/>
      <c r="E41" s="1"/>
      <c r="F41" s="1"/>
      <c r="G41" s="1"/>
      <c r="H41" s="1"/>
    </row>
    <row r="42" spans="1:8" x14ac:dyDescent="0.2">
      <c r="A42" s="1"/>
      <c r="B42" s="1"/>
      <c r="C42" s="1"/>
      <c r="D42" s="1"/>
      <c r="E42" s="1"/>
      <c r="F42" s="1"/>
      <c r="G42" s="1"/>
      <c r="H42" s="1"/>
    </row>
    <row r="43" spans="1:8" x14ac:dyDescent="0.2">
      <c r="A43" s="1"/>
      <c r="B43" s="1"/>
      <c r="C43" s="1"/>
      <c r="D43" s="1"/>
      <c r="E43" s="1"/>
      <c r="F43" s="1"/>
      <c r="G43" s="1"/>
      <c r="H43" s="1"/>
    </row>
    <row r="44" spans="1:8" x14ac:dyDescent="0.2">
      <c r="A44" s="1"/>
      <c r="B44" s="1"/>
      <c r="C44" s="1"/>
      <c r="D44" s="1"/>
      <c r="E44" s="1"/>
      <c r="F44" s="1"/>
      <c r="G44" s="1"/>
      <c r="H44" s="1"/>
    </row>
    <row r="45" spans="1:8" x14ac:dyDescent="0.2">
      <c r="A45" s="1"/>
      <c r="B45" s="1"/>
      <c r="C45" s="1"/>
      <c r="D45" s="1"/>
      <c r="E45" s="1"/>
      <c r="F45" s="1"/>
      <c r="G45" s="1"/>
      <c r="H45" s="1"/>
    </row>
    <row r="46" spans="1:8" x14ac:dyDescent="0.2">
      <c r="A46" s="1"/>
      <c r="B46" s="1"/>
      <c r="C46" s="1"/>
      <c r="D46" s="1"/>
      <c r="E46" s="1"/>
      <c r="F46" s="1"/>
      <c r="G46" s="1"/>
      <c r="H46" s="1"/>
    </row>
    <row r="47" spans="1:8" x14ac:dyDescent="0.2">
      <c r="A47" s="1"/>
      <c r="B47" s="1"/>
      <c r="C47" s="1"/>
      <c r="D47" s="1"/>
      <c r="E47" s="1"/>
      <c r="F47" s="1"/>
      <c r="G47" s="1"/>
      <c r="H47" s="1"/>
    </row>
    <row r="48" spans="1:8" x14ac:dyDescent="0.2">
      <c r="A48" s="1"/>
      <c r="B48" s="1"/>
      <c r="C48" s="1"/>
      <c r="D48" s="1"/>
      <c r="E48" s="1"/>
      <c r="F48" s="1"/>
      <c r="G48" s="1"/>
      <c r="H48" s="1"/>
    </row>
    <row r="49" spans="1:8" x14ac:dyDescent="0.2">
      <c r="A49" s="1"/>
      <c r="B49" s="1"/>
      <c r="C49" s="1"/>
      <c r="D49" s="1"/>
      <c r="E49" s="1"/>
      <c r="F49" s="1"/>
      <c r="G49" s="1"/>
      <c r="H49" s="1"/>
    </row>
    <row r="50" spans="1:8" x14ac:dyDescent="0.2">
      <c r="A50" s="1"/>
      <c r="B50" s="1"/>
      <c r="C50" s="1"/>
      <c r="D50" s="1"/>
      <c r="E50" s="1"/>
      <c r="F50" s="1"/>
      <c r="G50" s="1"/>
      <c r="H50" s="1"/>
    </row>
    <row r="51" spans="1:8" x14ac:dyDescent="0.2">
      <c r="A51" s="1"/>
      <c r="B51" s="1"/>
      <c r="C51" s="1"/>
      <c r="D51" s="1"/>
      <c r="E51" s="1"/>
      <c r="F51" s="1"/>
      <c r="G51" s="1"/>
      <c r="H51" s="1"/>
    </row>
    <row r="52" spans="1:8" x14ac:dyDescent="0.2">
      <c r="A52" s="1"/>
      <c r="B52" s="1"/>
      <c r="C52" s="1"/>
      <c r="D52" s="1"/>
      <c r="E52" s="1"/>
      <c r="F52" s="1"/>
      <c r="G52" s="1"/>
      <c r="H52" s="1"/>
    </row>
    <row r="53" spans="1:8" x14ac:dyDescent="0.2">
      <c r="A53" s="1"/>
      <c r="B53" s="1"/>
      <c r="C53" s="1"/>
      <c r="D53" s="1"/>
      <c r="E53" s="1"/>
      <c r="F53" s="1"/>
      <c r="G53" s="1"/>
      <c r="H53" s="1"/>
    </row>
    <row r="54" spans="1:8" x14ac:dyDescent="0.2">
      <c r="A54" s="1"/>
      <c r="B54" s="1"/>
      <c r="C54" s="1"/>
      <c r="D54" s="1"/>
      <c r="E54" s="1"/>
      <c r="F54" s="1"/>
      <c r="G54" s="1"/>
      <c r="H54" s="1"/>
    </row>
    <row r="55" spans="1:8" x14ac:dyDescent="0.2">
      <c r="A55" s="1"/>
      <c r="B55" s="1"/>
      <c r="C55" s="1"/>
      <c r="D55" s="1"/>
      <c r="E55" s="1"/>
      <c r="F55" s="1"/>
      <c r="G55" s="1"/>
      <c r="H55" s="1"/>
    </row>
    <row r="56" spans="1:8" x14ac:dyDescent="0.2">
      <c r="A56" s="1"/>
      <c r="B56" s="1"/>
      <c r="C56" s="1"/>
      <c r="D56" s="1"/>
      <c r="E56" s="1"/>
      <c r="F56" s="1"/>
      <c r="G56" s="1"/>
      <c r="H56" s="1"/>
    </row>
    <row r="57" spans="1:8" x14ac:dyDescent="0.2">
      <c r="A57" s="1"/>
      <c r="B57" s="1"/>
      <c r="C57" s="1"/>
      <c r="D57" s="1"/>
      <c r="E57" s="1"/>
      <c r="F57" s="1"/>
      <c r="G57" s="1"/>
      <c r="H57" s="1"/>
    </row>
    <row r="58" spans="1:8" x14ac:dyDescent="0.2">
      <c r="A58" s="1"/>
      <c r="B58" s="1"/>
      <c r="C58" s="1"/>
      <c r="D58" s="1"/>
      <c r="E58" s="1"/>
      <c r="F58" s="1"/>
      <c r="G58" s="1"/>
      <c r="H58" s="1"/>
    </row>
    <row r="59" spans="1:8" x14ac:dyDescent="0.2">
      <c r="A59" s="1"/>
      <c r="B59" s="1"/>
      <c r="C59" s="1"/>
      <c r="D59" s="1"/>
      <c r="E59" s="1"/>
      <c r="F59" s="1"/>
      <c r="G59" s="1"/>
      <c r="H59" s="1"/>
    </row>
    <row r="60" spans="1:8" x14ac:dyDescent="0.2">
      <c r="A60" s="1"/>
      <c r="B60" s="1"/>
      <c r="C60" s="1"/>
      <c r="D60" s="1"/>
      <c r="E60" s="1"/>
      <c r="F60" s="1"/>
      <c r="G60" s="1"/>
      <c r="H60" s="1"/>
    </row>
    <row r="61" spans="1:8" x14ac:dyDescent="0.2">
      <c r="A61" s="1"/>
      <c r="B61" s="1"/>
      <c r="C61" s="1"/>
      <c r="D61" s="1"/>
      <c r="E61" s="1"/>
      <c r="F61" s="1"/>
      <c r="G61" s="1"/>
      <c r="H61" s="1"/>
    </row>
    <row r="62" spans="1:8" x14ac:dyDescent="0.2">
      <c r="A62" s="1"/>
      <c r="B62" s="1"/>
      <c r="C62" s="1"/>
      <c r="D62" s="1"/>
      <c r="E62" s="1"/>
      <c r="F62" s="1"/>
      <c r="G62" s="1"/>
      <c r="H62" s="1"/>
    </row>
    <row r="63" spans="1:8" x14ac:dyDescent="0.2">
      <c r="A63" s="1"/>
      <c r="B63" s="1"/>
      <c r="C63" s="1"/>
      <c r="D63" s="1"/>
      <c r="E63" s="1"/>
      <c r="F63" s="1"/>
      <c r="G63" s="1"/>
      <c r="H63" s="1"/>
    </row>
    <row r="64" spans="1:8" x14ac:dyDescent="0.2">
      <c r="A64" s="1"/>
      <c r="B64" s="1"/>
      <c r="C64" s="1"/>
      <c r="D64" s="1"/>
      <c r="E64" s="1"/>
      <c r="F64" s="1"/>
      <c r="G64" s="1"/>
      <c r="H64" s="1"/>
    </row>
    <row r="65" spans="1:8" x14ac:dyDescent="0.2">
      <c r="A65" s="1"/>
      <c r="B65" s="1"/>
      <c r="C65" s="1"/>
      <c r="D65" s="1"/>
      <c r="E65" s="1"/>
      <c r="F65" s="1"/>
      <c r="G65" s="1"/>
      <c r="H65" s="1"/>
    </row>
    <row r="66" spans="1:8" x14ac:dyDescent="0.2">
      <c r="A66" s="1"/>
      <c r="B66" s="1"/>
      <c r="C66" s="1"/>
      <c r="D66" s="1"/>
      <c r="E66" s="1"/>
      <c r="F66" s="1"/>
      <c r="G66" s="1"/>
      <c r="H66" s="1"/>
    </row>
    <row r="67" spans="1:8" x14ac:dyDescent="0.2">
      <c r="A67" s="1"/>
      <c r="B67" s="1"/>
      <c r="C67" s="1"/>
      <c r="D67" s="1"/>
      <c r="E67" s="1"/>
      <c r="F67" s="1"/>
      <c r="G67" s="1"/>
      <c r="H67" s="1"/>
    </row>
    <row r="68" spans="1:8" x14ac:dyDescent="0.2">
      <c r="A68" s="11" t="s">
        <v>1</v>
      </c>
      <c r="B68" s="12"/>
      <c r="C68" s="12"/>
      <c r="D68" s="13"/>
      <c r="E68" s="8"/>
      <c r="F68" s="8"/>
      <c r="G68" s="8"/>
      <c r="H68" s="8"/>
    </row>
    <row r="69" spans="1:8" x14ac:dyDescent="0.2">
      <c r="A69" s="14" t="s">
        <v>15</v>
      </c>
      <c r="B69" s="15"/>
      <c r="C69" s="15"/>
      <c r="D69" s="16"/>
      <c r="E69" s="8"/>
      <c r="F69" s="8"/>
      <c r="G69" s="8"/>
      <c r="H69" s="8"/>
    </row>
    <row r="70" spans="1:8" x14ac:dyDescent="0.2">
      <c r="A70" s="17" t="s">
        <v>62</v>
      </c>
      <c r="B70" s="18"/>
      <c r="C70" s="18"/>
      <c r="D70" s="19"/>
      <c r="E70" s="8"/>
      <c r="F70" s="8"/>
      <c r="G70" s="8"/>
      <c r="H70" s="8"/>
    </row>
    <row r="71" spans="1:8" x14ac:dyDescent="0.2">
      <c r="A71" s="20"/>
      <c r="B71" s="21"/>
      <c r="C71" s="22"/>
      <c r="D71" s="23"/>
      <c r="E71" s="8"/>
      <c r="F71" s="8" t="s">
        <v>34</v>
      </c>
      <c r="G71" s="8"/>
      <c r="H71" s="8"/>
    </row>
    <row r="72" spans="1:8" ht="15.75" x14ac:dyDescent="0.25">
      <c r="A72" s="24" t="s">
        <v>2</v>
      </c>
      <c r="B72" s="25" t="str">
        <f>[1]Charters!B75</f>
        <v>The Early Light Academy</v>
      </c>
      <c r="C72" s="26"/>
      <c r="D72" s="27"/>
      <c r="E72" s="8"/>
      <c r="F72" s="8"/>
      <c r="G72" s="8"/>
      <c r="H72" s="8"/>
    </row>
    <row r="73" spans="1:8" x14ac:dyDescent="0.2">
      <c r="A73" s="24"/>
      <c r="B73" s="28"/>
      <c r="C73" s="26"/>
      <c r="D73" s="27"/>
      <c r="E73" s="8"/>
      <c r="F73" s="8"/>
      <c r="G73" s="8"/>
      <c r="H73" s="8"/>
    </row>
    <row r="74" spans="1:8" x14ac:dyDescent="0.2">
      <c r="A74" s="29" t="s">
        <v>0</v>
      </c>
      <c r="B74" s="30">
        <f>[1]Charters!$E$6</f>
        <v>3184</v>
      </c>
      <c r="C74" s="26"/>
      <c r="D74" s="31"/>
      <c r="E74" s="8"/>
      <c r="F74" s="8"/>
      <c r="G74" s="8"/>
      <c r="H74" s="8"/>
    </row>
    <row r="75" spans="1:8" x14ac:dyDescent="0.2">
      <c r="A75" s="32"/>
      <c r="B75" s="6"/>
      <c r="C75" s="33"/>
      <c r="D75" s="34" t="s">
        <v>3</v>
      </c>
      <c r="E75" s="8"/>
      <c r="F75" s="8"/>
      <c r="G75" s="8"/>
      <c r="H75" s="8"/>
    </row>
    <row r="76" spans="1:8" x14ac:dyDescent="0.2">
      <c r="A76" s="29" t="s">
        <v>19</v>
      </c>
      <c r="B76" s="35" t="str">
        <f>[1]Charters!A75</f>
        <v>6F</v>
      </c>
      <c r="C76" s="36" t="s">
        <v>4</v>
      </c>
      <c r="D76" s="37" t="s">
        <v>5</v>
      </c>
      <c r="E76" s="8"/>
      <c r="F76" s="8"/>
      <c r="G76" s="8"/>
      <c r="H76" s="8"/>
    </row>
    <row r="77" spans="1:8" x14ac:dyDescent="0.2">
      <c r="A77" s="38" t="s">
        <v>6</v>
      </c>
      <c r="B77" s="39"/>
      <c r="C77" s="40"/>
      <c r="D77" s="41"/>
      <c r="E77" s="8"/>
      <c r="F77" s="8"/>
      <c r="G77" s="8"/>
      <c r="H77" s="8"/>
    </row>
    <row r="78" spans="1:8" x14ac:dyDescent="0.2">
      <c r="A78" s="38" t="s">
        <v>7</v>
      </c>
      <c r="B78" s="39"/>
      <c r="C78" s="40"/>
      <c r="D78" s="41"/>
      <c r="E78" s="8"/>
      <c r="F78" s="42" t="s">
        <v>23</v>
      </c>
      <c r="G78" s="8"/>
      <c r="H78" s="42" t="s">
        <v>26</v>
      </c>
    </row>
    <row r="79" spans="1:8" x14ac:dyDescent="0.2">
      <c r="A79" s="20" t="s">
        <v>8</v>
      </c>
      <c r="B79" s="43"/>
      <c r="C79" s="44">
        <f>[1]Charters!C535</f>
        <v>892.31600000000003</v>
      </c>
      <c r="D79" s="45">
        <f>[1]Charters!E535</f>
        <v>2841133.84</v>
      </c>
      <c r="E79" s="8"/>
      <c r="F79" s="42">
        <f>[1]Charters!E690</f>
        <v>2999129.29</v>
      </c>
      <c r="G79" s="8"/>
      <c r="H79" s="42">
        <f>[2]Charters!E229</f>
        <v>3839309.62</v>
      </c>
    </row>
    <row r="80" spans="1:8" x14ac:dyDescent="0.2">
      <c r="A80" s="20" t="s">
        <v>14</v>
      </c>
      <c r="B80" s="43"/>
      <c r="C80" s="44">
        <f>[1]Charters!F535</f>
        <v>49.622</v>
      </c>
      <c r="D80" s="45">
        <f>[1]Charters!H535</f>
        <v>157995.45000000001</v>
      </c>
      <c r="E80" s="8"/>
      <c r="F80" s="42">
        <f>SUM(D79:D81)</f>
        <v>2999129.29</v>
      </c>
      <c r="G80" s="8"/>
      <c r="H80" s="42">
        <f>D92</f>
        <v>3839309.62</v>
      </c>
    </row>
    <row r="81" spans="1:8" x14ac:dyDescent="0.2">
      <c r="A81" s="20" t="s">
        <v>32</v>
      </c>
      <c r="B81" s="43"/>
      <c r="C81" s="44">
        <f>[1]Charters!C228</f>
        <v>0</v>
      </c>
      <c r="D81" s="45">
        <f>[1]Charters!E228</f>
        <v>0</v>
      </c>
      <c r="E81" s="8"/>
      <c r="F81" s="42">
        <f>+F79-F80</f>
        <v>0</v>
      </c>
      <c r="G81" s="8"/>
      <c r="H81" s="42">
        <f>+H79-H80</f>
        <v>0</v>
      </c>
    </row>
    <row r="82" spans="1:8" x14ac:dyDescent="0.2">
      <c r="A82" s="38" t="s">
        <v>9</v>
      </c>
      <c r="B82" s="39"/>
      <c r="C82" s="46"/>
      <c r="D82" s="47"/>
      <c r="E82" s="8"/>
      <c r="F82" s="8"/>
      <c r="G82" s="8"/>
      <c r="H82" s="8"/>
    </row>
    <row r="83" spans="1:8" x14ac:dyDescent="0.2">
      <c r="A83" s="20" t="s">
        <v>10</v>
      </c>
      <c r="B83" s="43"/>
      <c r="C83" s="40">
        <f>[3]Charters!C74</f>
        <v>162.96799999999999</v>
      </c>
      <c r="D83" s="41">
        <f>[3]Charters!E74</f>
        <v>518890.68</v>
      </c>
      <c r="E83" s="8"/>
      <c r="F83" s="42" t="s">
        <v>24</v>
      </c>
      <c r="G83" s="8"/>
      <c r="H83" s="8"/>
    </row>
    <row r="84" spans="1:8" x14ac:dyDescent="0.2">
      <c r="A84" s="48" t="s">
        <v>11</v>
      </c>
      <c r="B84" s="43"/>
      <c r="C84" s="40">
        <f>[3]Charters!F74</f>
        <v>7.12</v>
      </c>
      <c r="D84" s="49">
        <f>[3]Charters!H74</f>
        <v>22670.080000000002</v>
      </c>
      <c r="E84" s="8"/>
      <c r="F84" s="42">
        <f>[3]Charters!N386</f>
        <v>554186.72</v>
      </c>
      <c r="G84" s="8"/>
      <c r="H84" s="8"/>
    </row>
    <row r="85" spans="1:8" x14ac:dyDescent="0.2">
      <c r="A85" s="48" t="s">
        <v>12</v>
      </c>
      <c r="B85" s="43"/>
      <c r="C85" s="40">
        <f>[3]Charters!C229</f>
        <v>0</v>
      </c>
      <c r="D85" s="41">
        <f>[3]Charters!E229</f>
        <v>0</v>
      </c>
      <c r="E85" s="8"/>
      <c r="F85" s="42">
        <f>SUM(D83:D89)</f>
        <v>554186.72</v>
      </c>
      <c r="G85" s="8"/>
      <c r="H85" s="8"/>
    </row>
    <row r="86" spans="1:8" x14ac:dyDescent="0.2">
      <c r="A86" s="20" t="s">
        <v>13</v>
      </c>
      <c r="B86" s="43"/>
      <c r="C86" s="40">
        <f>[3]Charters!F229</f>
        <v>1.2090000000000001</v>
      </c>
      <c r="D86" s="41">
        <f>[3]Charters!H229</f>
        <v>3850.59</v>
      </c>
      <c r="E86" s="8"/>
      <c r="F86" s="42">
        <f>+F84-F85</f>
        <v>0</v>
      </c>
      <c r="G86" s="8"/>
      <c r="H86" s="8"/>
    </row>
    <row r="87" spans="1:8" x14ac:dyDescent="0.2">
      <c r="A87" s="48" t="s">
        <v>54</v>
      </c>
      <c r="B87" s="43"/>
      <c r="C87" s="40">
        <f>[3]Charters!C386</f>
        <v>2.7559999999999998</v>
      </c>
      <c r="D87" s="41">
        <f>[3]Charters!E386</f>
        <v>8775.3700000000008</v>
      </c>
      <c r="E87" s="8"/>
      <c r="F87" s="8"/>
      <c r="G87" s="8"/>
      <c r="H87" s="8"/>
    </row>
    <row r="88" spans="1:8" x14ac:dyDescent="0.2">
      <c r="A88" s="48" t="s">
        <v>55</v>
      </c>
      <c r="B88" s="43"/>
      <c r="C88" s="40">
        <f>[3]Charters!F386</f>
        <v>0</v>
      </c>
      <c r="D88" s="41">
        <f>[3]Charters!H386</f>
        <v>0</v>
      </c>
      <c r="E88" s="8"/>
      <c r="F88" s="42" t="s">
        <v>25</v>
      </c>
      <c r="G88" s="8"/>
      <c r="H88" s="8"/>
    </row>
    <row r="89" spans="1:8" x14ac:dyDescent="0.2">
      <c r="A89" s="48" t="s">
        <v>56</v>
      </c>
      <c r="B89" s="43"/>
      <c r="C89" s="40">
        <f>[3]Charters!I386</f>
        <v>0</v>
      </c>
      <c r="D89" s="41">
        <f>[3]Charters!K386</f>
        <v>0</v>
      </c>
      <c r="E89" s="8"/>
      <c r="F89" s="42">
        <f>[2]Charters!H75</f>
        <v>840180.33</v>
      </c>
      <c r="G89" s="8"/>
      <c r="H89" s="8"/>
    </row>
    <row r="90" spans="1:8" x14ac:dyDescent="0.2">
      <c r="A90" s="20" t="s">
        <v>49</v>
      </c>
      <c r="B90" s="43"/>
      <c r="C90" s="40">
        <f>[3]Charters!C542</f>
        <v>7.89</v>
      </c>
      <c r="D90" s="41">
        <f>[3]Charters!E542</f>
        <v>25120.23</v>
      </c>
      <c r="E90" s="8"/>
      <c r="F90" s="42">
        <f>SUM(D83:D91)</f>
        <v>840180.33</v>
      </c>
      <c r="G90" s="8"/>
      <c r="H90" s="8"/>
    </row>
    <row r="91" spans="1:8" x14ac:dyDescent="0.2">
      <c r="A91" s="20" t="s">
        <v>50</v>
      </c>
      <c r="B91" s="43"/>
      <c r="C91" s="40">
        <f>[2]Charters!C75</f>
        <v>81.933000000000007</v>
      </c>
      <c r="D91" s="41">
        <f>[2]Charters!E75</f>
        <v>260873.38</v>
      </c>
      <c r="E91" s="8"/>
      <c r="F91" s="42">
        <f>+F89-F90</f>
        <v>0</v>
      </c>
      <c r="G91" s="8"/>
      <c r="H91" s="8"/>
    </row>
    <row r="92" spans="1:8" x14ac:dyDescent="0.2">
      <c r="A92" s="50"/>
      <c r="B92" s="51" t="s">
        <v>16</v>
      </c>
      <c r="C92" s="52">
        <f>SUM(C79:C91)</f>
        <v>1205.8140000000001</v>
      </c>
      <c r="D92" s="53">
        <f>SUM(D79:D91)</f>
        <v>3839309.62</v>
      </c>
      <c r="E92" s="8"/>
      <c r="F92" s="8"/>
      <c r="G92" s="8"/>
      <c r="H92" s="8"/>
    </row>
    <row r="93" spans="1:8" x14ac:dyDescent="0.2">
      <c r="A93" s="54" t="s">
        <v>17</v>
      </c>
      <c r="B93" s="39"/>
      <c r="C93" s="55"/>
      <c r="D93" s="47"/>
      <c r="E93" s="8"/>
      <c r="F93" s="8"/>
      <c r="G93" s="8"/>
      <c r="H93" s="42" t="s">
        <v>29</v>
      </c>
    </row>
    <row r="94" spans="1:8" x14ac:dyDescent="0.2">
      <c r="A94" s="20" t="s">
        <v>33</v>
      </c>
      <c r="B94" s="43"/>
      <c r="C94" s="56"/>
      <c r="D94" s="57">
        <f>[4]Charters!C75</f>
        <v>11128.12</v>
      </c>
      <c r="E94" s="8"/>
      <c r="F94" s="8"/>
      <c r="G94" s="8"/>
      <c r="H94" s="42">
        <f>[4]Charters!F1015</f>
        <v>6425781.5199999996</v>
      </c>
    </row>
    <row r="95" spans="1:8" x14ac:dyDescent="0.2">
      <c r="A95" s="58" t="s">
        <v>35</v>
      </c>
      <c r="B95" s="43"/>
      <c r="C95" s="56"/>
      <c r="D95" s="41">
        <f>+[4]Charters!F396</f>
        <v>4363.78</v>
      </c>
      <c r="E95" s="8"/>
      <c r="F95" s="8"/>
      <c r="G95" s="8"/>
      <c r="H95" s="42">
        <f>SUM(D92:D111)</f>
        <v>6425781.5199999996</v>
      </c>
    </row>
    <row r="96" spans="1:8" x14ac:dyDescent="0.2">
      <c r="A96" s="59" t="s">
        <v>36</v>
      </c>
      <c r="B96" s="43"/>
      <c r="C96" s="56"/>
      <c r="D96" s="41">
        <f>[4]Charters!E235</f>
        <v>27999</v>
      </c>
      <c r="E96" s="8"/>
      <c r="F96" s="8"/>
      <c r="G96" s="8"/>
      <c r="H96" s="42">
        <f>+H94-H95</f>
        <v>0</v>
      </c>
    </row>
    <row r="97" spans="1:8" x14ac:dyDescent="0.2">
      <c r="A97" s="59" t="s">
        <v>52</v>
      </c>
      <c r="B97" s="43"/>
      <c r="C97" s="56"/>
      <c r="D97" s="41">
        <f>[4]Charters!G396</f>
        <v>0</v>
      </c>
      <c r="E97" s="8"/>
      <c r="F97" s="42" t="s">
        <v>27</v>
      </c>
      <c r="G97" s="8"/>
      <c r="H97" s="42"/>
    </row>
    <row r="98" spans="1:8" x14ac:dyDescent="0.2">
      <c r="A98" s="20" t="s">
        <v>37</v>
      </c>
      <c r="B98" s="43"/>
      <c r="C98" s="56"/>
      <c r="D98" s="41">
        <f>[4]Charters!E552</f>
        <v>71495</v>
      </c>
      <c r="E98" s="8"/>
      <c r="F98" s="42">
        <f>[4]Charters!E235</f>
        <v>27999</v>
      </c>
      <c r="G98" s="8"/>
      <c r="H98" s="8"/>
    </row>
    <row r="99" spans="1:8" x14ac:dyDescent="0.2">
      <c r="A99" s="20" t="s">
        <v>38</v>
      </c>
      <c r="B99" s="43"/>
      <c r="C99" s="56"/>
      <c r="D99" s="41">
        <f>[4]Charters!F552</f>
        <v>0</v>
      </c>
      <c r="E99" s="8"/>
      <c r="F99" s="42">
        <f>SUM(D96:D96)</f>
        <v>27999</v>
      </c>
      <c r="G99" s="8"/>
      <c r="H99" s="8"/>
    </row>
    <row r="100" spans="1:8" x14ac:dyDescent="0.2">
      <c r="A100" s="59" t="s">
        <v>40</v>
      </c>
      <c r="B100" s="43"/>
      <c r="C100" s="56"/>
      <c r="D100" s="41">
        <f>[4]Charters!G552</f>
        <v>0</v>
      </c>
      <c r="E100" s="8"/>
      <c r="F100" s="42">
        <f>+F98-F99</f>
        <v>0</v>
      </c>
      <c r="G100" s="8"/>
      <c r="H100" s="8"/>
    </row>
    <row r="101" spans="1:8" x14ac:dyDescent="0.2">
      <c r="A101" s="20" t="s">
        <v>41</v>
      </c>
      <c r="B101" s="43"/>
      <c r="C101" s="56"/>
      <c r="D101" s="41">
        <f>[4]Charters!C706</f>
        <v>2007003</v>
      </c>
      <c r="E101" s="8"/>
      <c r="F101" s="42" t="s">
        <v>28</v>
      </c>
      <c r="G101" s="8"/>
      <c r="H101" s="8"/>
    </row>
    <row r="102" spans="1:8" x14ac:dyDescent="0.2">
      <c r="A102" s="20" t="s">
        <v>42</v>
      </c>
      <c r="B102" s="43"/>
      <c r="C102" s="56"/>
      <c r="D102" s="41">
        <f>[4]Charters!D706</f>
        <v>245849.22</v>
      </c>
      <c r="E102" s="8"/>
      <c r="F102" s="42">
        <f>[4]Charters!D552</f>
        <v>32362.78</v>
      </c>
      <c r="G102" s="8"/>
      <c r="H102" s="8"/>
    </row>
    <row r="103" spans="1:8" x14ac:dyDescent="0.2">
      <c r="A103" s="20" t="s">
        <v>44</v>
      </c>
      <c r="B103" s="43"/>
      <c r="C103" s="56"/>
      <c r="D103" s="41">
        <f>[4]Charters!E706</f>
        <v>100300</v>
      </c>
      <c r="E103" s="8"/>
      <c r="F103" s="42">
        <f>SUM(D95:D97)</f>
        <v>32362.78</v>
      </c>
      <c r="G103" s="8"/>
      <c r="H103" s="8"/>
    </row>
    <row r="104" spans="1:8" x14ac:dyDescent="0.2">
      <c r="A104" s="59" t="s">
        <v>43</v>
      </c>
      <c r="B104" s="43"/>
      <c r="C104" s="56"/>
      <c r="D104" s="41">
        <f>[4]Charters!F706</f>
        <v>28437.13</v>
      </c>
      <c r="E104" s="8"/>
      <c r="F104" s="42">
        <f>+F102-F103</f>
        <v>0</v>
      </c>
      <c r="G104" s="8"/>
      <c r="H104" s="8"/>
    </row>
    <row r="105" spans="1:8" x14ac:dyDescent="0.2">
      <c r="A105" s="59" t="s">
        <v>45</v>
      </c>
      <c r="B105" s="43"/>
      <c r="C105" s="56"/>
      <c r="D105" s="41">
        <f>[4]Charters!C552</f>
        <v>0</v>
      </c>
      <c r="E105" s="8"/>
      <c r="F105" s="8"/>
      <c r="G105" s="8"/>
      <c r="H105" s="8"/>
    </row>
    <row r="106" spans="1:8" x14ac:dyDescent="0.2">
      <c r="A106" s="59" t="s">
        <v>46</v>
      </c>
      <c r="B106" s="43"/>
      <c r="C106" s="56"/>
      <c r="D106" s="41">
        <f>[4]Charters!C862</f>
        <v>0</v>
      </c>
      <c r="E106" s="42"/>
      <c r="F106" s="42"/>
      <c r="G106" s="42"/>
      <c r="H106" s="42" t="s">
        <v>31</v>
      </c>
    </row>
    <row r="107" spans="1:8" x14ac:dyDescent="0.2">
      <c r="A107" s="59" t="s">
        <v>51</v>
      </c>
      <c r="B107" s="43"/>
      <c r="C107" s="56"/>
      <c r="D107" s="60">
        <f>[4]Charters!D862</f>
        <v>1220.3499999999999</v>
      </c>
      <c r="E107" s="42"/>
      <c r="F107" s="42"/>
      <c r="G107" s="42"/>
      <c r="H107" s="42">
        <f>[4]Charters!D1321</f>
        <v>6445841.0899999999</v>
      </c>
    </row>
    <row r="108" spans="1:8" x14ac:dyDescent="0.2">
      <c r="A108" s="20" t="s">
        <v>47</v>
      </c>
      <c r="B108" s="43"/>
      <c r="C108" s="56"/>
      <c r="D108" s="60">
        <f>[4]Charters!E862</f>
        <v>31207</v>
      </c>
      <c r="E108" s="42"/>
      <c r="F108" s="42"/>
      <c r="G108" s="42"/>
      <c r="H108" s="42">
        <f>D117</f>
        <v>6445841.0999999996</v>
      </c>
    </row>
    <row r="109" spans="1:8" x14ac:dyDescent="0.2">
      <c r="A109" s="20" t="s">
        <v>57</v>
      </c>
      <c r="B109" s="43"/>
      <c r="C109" s="56"/>
      <c r="D109" s="60">
        <f>[4]Charters!C1015</f>
        <v>10293.700000000001</v>
      </c>
      <c r="E109" s="42"/>
      <c r="F109" s="42"/>
      <c r="G109" s="42"/>
      <c r="H109" s="42">
        <f>+H107-H108</f>
        <v>-0.01</v>
      </c>
    </row>
    <row r="110" spans="1:8" x14ac:dyDescent="0.2">
      <c r="A110" s="59" t="s">
        <v>53</v>
      </c>
      <c r="B110" s="43"/>
      <c r="C110" s="56"/>
      <c r="D110" s="60">
        <f>[4]Charters!D1015</f>
        <v>0</v>
      </c>
      <c r="E110" s="42"/>
      <c r="F110" s="42" t="s">
        <v>30</v>
      </c>
      <c r="G110" s="42"/>
      <c r="H110" s="42"/>
    </row>
    <row r="111" spans="1:8" x14ac:dyDescent="0.2">
      <c r="A111" s="59" t="s">
        <v>59</v>
      </c>
      <c r="B111" s="43"/>
      <c r="C111" s="56"/>
      <c r="D111" s="60">
        <f>[4]Charters!E1015</f>
        <v>47175.6</v>
      </c>
      <c r="E111" s="42"/>
      <c r="F111" s="42"/>
      <c r="G111" s="42"/>
      <c r="H111" s="42"/>
    </row>
    <row r="112" spans="1:8" x14ac:dyDescent="0.2">
      <c r="A112" s="38" t="s">
        <v>18</v>
      </c>
      <c r="B112" s="61"/>
      <c r="C112" s="62"/>
      <c r="D112" s="87"/>
      <c r="E112" s="42"/>
      <c r="F112" s="42">
        <f>[4]Charters!C1321</f>
        <v>20059.580000000002</v>
      </c>
      <c r="G112" s="42"/>
      <c r="H112" s="42"/>
    </row>
    <row r="113" spans="1:8" x14ac:dyDescent="0.2">
      <c r="A113" s="59" t="s">
        <v>39</v>
      </c>
      <c r="B113" s="43"/>
      <c r="C113" s="56"/>
      <c r="D113" s="41">
        <f>[4]Charters!C1168</f>
        <v>9126.2099999999991</v>
      </c>
      <c r="E113" s="42"/>
      <c r="F113" s="42">
        <f>SUM(D113:D116)</f>
        <v>20059.580000000002</v>
      </c>
      <c r="G113" s="42"/>
      <c r="H113" s="42"/>
    </row>
    <row r="114" spans="1:8" x14ac:dyDescent="0.2">
      <c r="A114" s="59" t="s">
        <v>48</v>
      </c>
      <c r="B114" s="43"/>
      <c r="C114" s="56"/>
      <c r="D114" s="41">
        <f>[4]Charters!D1168</f>
        <v>0</v>
      </c>
      <c r="E114" s="42"/>
      <c r="F114" s="42">
        <f>+F112-F113</f>
        <v>0</v>
      </c>
      <c r="G114" s="42"/>
      <c r="H114" s="42"/>
    </row>
    <row r="115" spans="1:8" x14ac:dyDescent="0.2">
      <c r="A115" s="59" t="s">
        <v>60</v>
      </c>
      <c r="B115" s="43"/>
      <c r="C115" s="56"/>
      <c r="D115" s="41">
        <f>[4]Charters!E1168</f>
        <v>0</v>
      </c>
      <c r="E115" s="42"/>
      <c r="F115" s="42"/>
      <c r="G115" s="42"/>
      <c r="H115" s="42"/>
    </row>
    <row r="116" spans="1:8" x14ac:dyDescent="0.2">
      <c r="A116" s="59" t="s">
        <v>61</v>
      </c>
      <c r="B116" s="43"/>
      <c r="C116" s="56"/>
      <c r="D116" s="41">
        <f>[4]Charters!F1168</f>
        <v>10933.37</v>
      </c>
      <c r="E116" s="42"/>
      <c r="F116" s="42"/>
      <c r="G116" s="42"/>
      <c r="H116" s="42"/>
    </row>
    <row r="117" spans="1:8" ht="13.5" thickBot="1" x14ac:dyDescent="0.25">
      <c r="A117" s="64"/>
      <c r="B117" s="65"/>
      <c r="C117" s="66"/>
      <c r="D117" s="67">
        <f>SUM(D92:D116)</f>
        <v>6445841.0999999996</v>
      </c>
      <c r="E117" s="42"/>
      <c r="F117" s="42"/>
      <c r="G117" s="42"/>
      <c r="H117" s="42"/>
    </row>
    <row r="118" spans="1:8" ht="13.5" thickTop="1" x14ac:dyDescent="0.2">
      <c r="A118" s="68"/>
      <c r="B118" s="43"/>
      <c r="C118" s="56"/>
      <c r="D118" s="86"/>
      <c r="E118" s="42"/>
      <c r="F118" s="42"/>
      <c r="G118" s="42"/>
      <c r="H118" s="42"/>
    </row>
    <row r="119" spans="1:8" x14ac:dyDescent="0.2">
      <c r="A119" s="38" t="s">
        <v>20</v>
      </c>
      <c r="B119" s="39"/>
      <c r="C119" s="70"/>
      <c r="D119" s="71" t="s">
        <v>21</v>
      </c>
      <c r="E119" s="42"/>
      <c r="F119" s="42"/>
      <c r="G119" s="42"/>
      <c r="H119" s="42"/>
    </row>
    <row r="120" spans="1:8" x14ac:dyDescent="0.2">
      <c r="A120" s="72" t="s">
        <v>22</v>
      </c>
      <c r="B120" s="73"/>
      <c r="C120" s="74"/>
      <c r="D120" s="41">
        <f>[5]Charters!C74</f>
        <v>2221.87</v>
      </c>
      <c r="E120" s="42"/>
      <c r="F120" s="42"/>
      <c r="G120" s="42"/>
      <c r="H120" s="42"/>
    </row>
    <row r="121" spans="1:8" x14ac:dyDescent="0.2">
      <c r="A121" s="75"/>
      <c r="B121" s="61"/>
      <c r="C121" s="76"/>
      <c r="D121" s="77">
        <f>SUM(D120:D120)</f>
        <v>2221.87</v>
      </c>
      <c r="E121" s="42"/>
      <c r="F121" s="42"/>
      <c r="G121" s="42"/>
      <c r="H121" s="42"/>
    </row>
    <row r="122" spans="1:8" x14ac:dyDescent="0.2">
      <c r="A122" s="78" t="s">
        <v>58</v>
      </c>
      <c r="B122" s="79"/>
      <c r="C122" s="80"/>
      <c r="D122" s="77">
        <f>D121+D117</f>
        <v>6448062.9699999997</v>
      </c>
      <c r="E122" s="42"/>
      <c r="F122" s="42"/>
      <c r="G122" s="42"/>
      <c r="H122" s="42"/>
    </row>
    <row r="123" spans="1:8" x14ac:dyDescent="0.2">
      <c r="A123" s="84"/>
      <c r="B123" s="84"/>
      <c r="C123" s="85"/>
      <c r="D123" s="81"/>
      <c r="E123" s="42"/>
      <c r="F123" s="42"/>
      <c r="G123" s="42"/>
      <c r="H123" s="42"/>
    </row>
    <row r="124" spans="1:8" x14ac:dyDescent="0.2">
      <c r="A124" s="84"/>
      <c r="B124" s="84"/>
      <c r="C124" s="85"/>
      <c r="D124" s="81">
        <f>[5]Charters!E230</f>
        <v>6448062.96</v>
      </c>
      <c r="E124" s="42"/>
      <c r="F124" s="42"/>
      <c r="G124" s="42"/>
      <c r="H124" s="42"/>
    </row>
    <row r="125" spans="1:8" x14ac:dyDescent="0.2">
      <c r="A125" s="84"/>
      <c r="B125" s="84"/>
      <c r="C125" s="85"/>
      <c r="D125" s="81">
        <f>D122</f>
        <v>6448062.9699999997</v>
      </c>
      <c r="E125" s="42"/>
      <c r="F125" s="42"/>
      <c r="G125" s="42"/>
      <c r="H125" s="42"/>
    </row>
    <row r="126" spans="1:8" x14ac:dyDescent="0.2">
      <c r="C126" s="83"/>
      <c r="D126" s="42">
        <f>D124-D125</f>
        <v>-0.01</v>
      </c>
      <c r="E126" s="42"/>
      <c r="F126" s="42"/>
      <c r="G126" s="42"/>
      <c r="H126" s="42"/>
    </row>
  </sheetData>
  <mergeCells count="4">
    <mergeCell ref="A122:C122"/>
    <mergeCell ref="A69:D69"/>
    <mergeCell ref="A70:D70"/>
    <mergeCell ref="A68:D68"/>
  </mergeCells>
  <printOptions horizontalCentered="1" verticalCentered="1"/>
  <pageMargins left="0.5" right="0.5" top="0.5" bottom="0.5" header="0.25" footer="0.25"/>
  <pageSetup orientation="portrait" r:id="rId1"/>
  <headerFooter alignWithMargins="0">
    <oddHeader>&amp;R&amp;8Current as of: &amp;D</oddHeader>
    <oddFooter>&amp;L&amp;8USOE, School Finance</oddFooter>
  </headerFooter>
  <picture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>
    <pageSetUpPr fitToPage="1"/>
  </sheetPr>
  <dimension ref="A1:H127"/>
  <sheetViews>
    <sheetView topLeftCell="A65" workbookViewId="0">
      <selection activeCell="C12" sqref="C12"/>
    </sheetView>
  </sheetViews>
  <sheetFormatPr defaultColWidth="9.140625" defaultRowHeight="12.75" x14ac:dyDescent="0.2"/>
  <cols>
    <col min="1" max="1" width="31.85546875" style="82" customWidth="1"/>
    <col min="2" max="2" width="16.140625" style="82" customWidth="1"/>
    <col min="3" max="4" width="14.85546875" style="82" customWidth="1"/>
    <col min="5" max="5" width="7" style="82" customWidth="1"/>
    <col min="6" max="6" width="19.7109375" style="82" customWidth="1"/>
    <col min="7" max="7" width="5.7109375" style="82" customWidth="1"/>
    <col min="8" max="8" width="18" style="82" customWidth="1"/>
    <col min="9" max="16384" width="9.140625" style="82"/>
  </cols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"/>
      <c r="B3" s="1"/>
      <c r="C3" s="1"/>
      <c r="D3" s="1"/>
      <c r="E3" s="1"/>
      <c r="F3" s="1"/>
      <c r="G3" s="1"/>
      <c r="H3" s="1"/>
    </row>
    <row r="4" spans="1:8" x14ac:dyDescent="0.2">
      <c r="A4" s="1"/>
      <c r="B4" s="1"/>
      <c r="C4" s="1"/>
      <c r="D4" s="1"/>
      <c r="E4" s="1"/>
      <c r="F4" s="1"/>
      <c r="G4" s="1"/>
      <c r="H4" s="1"/>
    </row>
    <row r="5" spans="1:8" x14ac:dyDescent="0.2">
      <c r="A5" s="1"/>
      <c r="B5" s="1"/>
      <c r="C5" s="1"/>
      <c r="D5" s="1"/>
      <c r="E5" s="1"/>
      <c r="F5" s="1"/>
      <c r="G5" s="1"/>
      <c r="H5" s="1"/>
    </row>
    <row r="6" spans="1:8" x14ac:dyDescent="0.2">
      <c r="A6" s="1"/>
      <c r="B6" s="1"/>
      <c r="C6" s="1"/>
      <c r="D6" s="1"/>
      <c r="E6" s="1"/>
      <c r="F6" s="1"/>
      <c r="G6" s="1"/>
      <c r="H6" s="1"/>
    </row>
    <row r="7" spans="1:8" x14ac:dyDescent="0.2">
      <c r="A7" s="1"/>
      <c r="B7" s="1"/>
      <c r="C7" s="1"/>
      <c r="D7" s="1"/>
      <c r="E7" s="1"/>
      <c r="F7" s="1"/>
      <c r="G7" s="1"/>
      <c r="H7" s="1"/>
    </row>
    <row r="8" spans="1:8" x14ac:dyDescent="0.2">
      <c r="A8" s="1"/>
      <c r="B8" s="1"/>
      <c r="C8" s="1"/>
      <c r="D8" s="1"/>
      <c r="E8" s="1"/>
      <c r="F8" s="1"/>
      <c r="G8" s="1"/>
      <c r="H8" s="1"/>
    </row>
    <row r="9" spans="1:8" x14ac:dyDescent="0.2">
      <c r="A9" s="1"/>
      <c r="B9" s="1"/>
      <c r="C9" s="1"/>
      <c r="D9" s="1"/>
      <c r="E9" s="1"/>
      <c r="F9" s="1"/>
      <c r="G9" s="1"/>
      <c r="H9" s="1"/>
    </row>
    <row r="10" spans="1:8" x14ac:dyDescent="0.2">
      <c r="A10" s="1"/>
      <c r="B10" s="1"/>
      <c r="C10" s="1"/>
      <c r="D10" s="1"/>
      <c r="E10" s="1"/>
      <c r="F10" s="1"/>
      <c r="G10" s="1"/>
      <c r="H10" s="1"/>
    </row>
    <row r="11" spans="1:8" x14ac:dyDescent="0.2">
      <c r="A11" s="1"/>
      <c r="B11" s="1"/>
      <c r="C11" s="1"/>
      <c r="D11" s="1"/>
      <c r="E11" s="1"/>
      <c r="F11" s="1"/>
      <c r="G11" s="1"/>
      <c r="H11" s="1"/>
    </row>
    <row r="12" spans="1:8" x14ac:dyDescent="0.2">
      <c r="A12" s="1"/>
      <c r="B12" s="1"/>
      <c r="C12" s="1"/>
      <c r="D12" s="1"/>
      <c r="E12" s="1"/>
      <c r="F12" s="1"/>
      <c r="G12" s="1"/>
      <c r="H12" s="1"/>
    </row>
    <row r="13" spans="1:8" x14ac:dyDescent="0.2">
      <c r="A13" s="1"/>
      <c r="B13" s="1"/>
      <c r="C13" s="1"/>
      <c r="D13" s="1"/>
      <c r="E13" s="1"/>
      <c r="F13" s="1"/>
      <c r="G13" s="1"/>
      <c r="H13" s="1"/>
    </row>
    <row r="14" spans="1:8" x14ac:dyDescent="0.2">
      <c r="A14" s="1"/>
      <c r="B14" s="1"/>
      <c r="C14" s="1"/>
      <c r="D14" s="1"/>
      <c r="E14" s="1"/>
      <c r="F14" s="1"/>
      <c r="G14" s="1"/>
      <c r="H14" s="1"/>
    </row>
    <row r="15" spans="1:8" x14ac:dyDescent="0.2">
      <c r="A15" s="1"/>
      <c r="B15" s="1"/>
      <c r="C15" s="1"/>
      <c r="D15" s="1"/>
      <c r="E15" s="1"/>
      <c r="F15" s="1"/>
      <c r="G15" s="1"/>
      <c r="H15" s="1"/>
    </row>
    <row r="16" spans="1:8" x14ac:dyDescent="0.2">
      <c r="A16" s="1"/>
      <c r="B16" s="1"/>
      <c r="C16" s="1"/>
      <c r="D16" s="1"/>
      <c r="E16" s="1"/>
      <c r="F16" s="1"/>
      <c r="G16" s="1"/>
      <c r="H16" s="1"/>
    </row>
    <row r="17" spans="1:8" x14ac:dyDescent="0.2">
      <c r="A17" s="1"/>
      <c r="B17" s="1"/>
      <c r="C17" s="1"/>
      <c r="D17" s="1"/>
      <c r="E17" s="1"/>
      <c r="F17" s="1"/>
      <c r="G17" s="1"/>
      <c r="H17" s="1"/>
    </row>
    <row r="18" spans="1:8" x14ac:dyDescent="0.2">
      <c r="A18" s="1"/>
      <c r="B18" s="1"/>
      <c r="C18" s="1"/>
      <c r="D18" s="1"/>
      <c r="E18" s="1"/>
      <c r="F18" s="1"/>
      <c r="G18" s="1"/>
      <c r="H18" s="1"/>
    </row>
    <row r="19" spans="1:8" x14ac:dyDescent="0.2">
      <c r="A19" s="1"/>
      <c r="B19" s="1"/>
      <c r="C19" s="1"/>
      <c r="D19" s="1"/>
      <c r="E19" s="1"/>
      <c r="F19" s="1"/>
      <c r="G19" s="1"/>
      <c r="H19" s="1"/>
    </row>
    <row r="20" spans="1:8" x14ac:dyDescent="0.2">
      <c r="A20" s="1"/>
      <c r="B20" s="1"/>
      <c r="C20" s="1"/>
      <c r="D20" s="1"/>
      <c r="E20" s="1"/>
      <c r="F20" s="1"/>
      <c r="G20" s="1"/>
      <c r="H20" s="1"/>
    </row>
    <row r="21" spans="1:8" x14ac:dyDescent="0.2">
      <c r="A21" s="1"/>
      <c r="B21" s="1"/>
      <c r="C21" s="1"/>
      <c r="D21" s="1"/>
      <c r="E21" s="1"/>
      <c r="F21" s="1"/>
      <c r="G21" s="1"/>
      <c r="H21" s="1"/>
    </row>
    <row r="22" spans="1:8" x14ac:dyDescent="0.2">
      <c r="A22" s="1"/>
      <c r="B22" s="1"/>
      <c r="C22" s="1"/>
      <c r="D22" s="4"/>
      <c r="E22" s="1"/>
      <c r="F22" s="1"/>
      <c r="G22" s="1"/>
      <c r="H22" s="1"/>
    </row>
    <row r="23" spans="1:8" x14ac:dyDescent="0.2">
      <c r="A23" s="1"/>
      <c r="B23" s="1"/>
      <c r="C23" s="1"/>
      <c r="D23" s="1"/>
      <c r="E23" s="1"/>
      <c r="F23" s="1"/>
      <c r="G23" s="1"/>
      <c r="H23" s="1"/>
    </row>
    <row r="24" spans="1:8" x14ac:dyDescent="0.2">
      <c r="A24" s="1"/>
      <c r="B24" s="1"/>
      <c r="C24" s="1"/>
      <c r="D24" s="1"/>
      <c r="E24" s="1"/>
      <c r="F24" s="1"/>
      <c r="G24" s="1"/>
      <c r="H24" s="1"/>
    </row>
    <row r="25" spans="1:8" x14ac:dyDescent="0.2">
      <c r="A25" s="1"/>
      <c r="B25" s="1"/>
      <c r="C25" s="1"/>
      <c r="D25" s="1"/>
      <c r="E25" s="1"/>
      <c r="F25" s="1"/>
      <c r="G25" s="1"/>
      <c r="H25" s="1"/>
    </row>
    <row r="26" spans="1:8" x14ac:dyDescent="0.2">
      <c r="A26" s="1"/>
      <c r="B26" s="1"/>
      <c r="C26" s="1"/>
      <c r="D26" s="1"/>
      <c r="E26" s="1"/>
      <c r="F26" s="1"/>
      <c r="G26" s="1"/>
      <c r="H26" s="1"/>
    </row>
    <row r="27" spans="1:8" x14ac:dyDescent="0.2">
      <c r="A27" s="1"/>
      <c r="B27" s="1"/>
      <c r="C27" s="1"/>
      <c r="D27" s="1"/>
      <c r="E27" s="1"/>
      <c r="F27" s="1"/>
      <c r="G27" s="1"/>
      <c r="H27" s="1"/>
    </row>
    <row r="28" spans="1:8" x14ac:dyDescent="0.2">
      <c r="A28" s="1"/>
      <c r="B28" s="1"/>
      <c r="C28" s="1"/>
      <c r="D28" s="1"/>
      <c r="E28" s="1"/>
      <c r="F28" s="1"/>
      <c r="G28" s="1"/>
      <c r="H28" s="1"/>
    </row>
    <row r="29" spans="1:8" x14ac:dyDescent="0.2">
      <c r="A29" s="1"/>
      <c r="B29" s="1"/>
      <c r="C29" s="1"/>
      <c r="D29" s="1"/>
      <c r="E29" s="1"/>
      <c r="F29" s="1"/>
      <c r="G29" s="1"/>
      <c r="H29" s="1"/>
    </row>
    <row r="30" spans="1:8" x14ac:dyDescent="0.2">
      <c r="A30" s="1"/>
      <c r="B30" s="1"/>
      <c r="C30" s="1"/>
      <c r="D30" s="1"/>
      <c r="E30" s="1"/>
      <c r="F30" s="1"/>
      <c r="G30" s="1"/>
      <c r="H30" s="1"/>
    </row>
    <row r="31" spans="1:8" x14ac:dyDescent="0.2">
      <c r="A31" s="1"/>
      <c r="B31" s="1"/>
      <c r="C31" s="1"/>
      <c r="D31" s="1"/>
      <c r="E31" s="1"/>
      <c r="F31" s="1"/>
      <c r="G31" s="1"/>
      <c r="H31" s="1"/>
    </row>
    <row r="32" spans="1:8" x14ac:dyDescent="0.2">
      <c r="A32" s="1"/>
      <c r="B32" s="1"/>
      <c r="C32" s="1"/>
      <c r="D32" s="1"/>
      <c r="E32" s="1"/>
      <c r="F32" s="1"/>
      <c r="G32" s="1"/>
      <c r="H32" s="1"/>
    </row>
    <row r="33" spans="1:8" x14ac:dyDescent="0.2">
      <c r="A33" s="1"/>
      <c r="B33" s="1"/>
      <c r="C33" s="1"/>
      <c r="D33" s="1"/>
      <c r="E33" s="1"/>
      <c r="F33" s="1"/>
      <c r="G33" s="1"/>
      <c r="H33" s="1"/>
    </row>
    <row r="34" spans="1:8" x14ac:dyDescent="0.2">
      <c r="A34" s="1"/>
      <c r="B34" s="1"/>
      <c r="C34" s="1"/>
      <c r="D34" s="1"/>
      <c r="E34" s="1"/>
      <c r="F34" s="1"/>
      <c r="G34" s="1"/>
      <c r="H34" s="1"/>
    </row>
    <row r="35" spans="1:8" x14ac:dyDescent="0.2">
      <c r="A35" s="1"/>
      <c r="B35" s="1"/>
      <c r="C35" s="1"/>
      <c r="D35" s="1"/>
      <c r="E35" s="1"/>
      <c r="F35" s="1"/>
      <c r="G35" s="1"/>
      <c r="H35" s="1"/>
    </row>
    <row r="36" spans="1:8" x14ac:dyDescent="0.2">
      <c r="A36" s="1"/>
      <c r="B36" s="1"/>
      <c r="C36" s="1"/>
      <c r="D36" s="1"/>
      <c r="E36" s="1"/>
      <c r="F36" s="1"/>
      <c r="G36" s="1"/>
      <c r="H36" s="1"/>
    </row>
    <row r="37" spans="1:8" x14ac:dyDescent="0.2">
      <c r="A37" s="1"/>
      <c r="B37" s="1"/>
      <c r="C37" s="1"/>
      <c r="D37" s="1"/>
      <c r="E37" s="1"/>
      <c r="F37" s="1"/>
      <c r="G37" s="1"/>
      <c r="H37" s="1"/>
    </row>
    <row r="38" spans="1:8" x14ac:dyDescent="0.2">
      <c r="A38" s="1"/>
      <c r="B38" s="1"/>
      <c r="C38" s="1"/>
      <c r="D38" s="1"/>
      <c r="E38" s="1"/>
      <c r="F38" s="1"/>
      <c r="G38" s="1"/>
      <c r="H38" s="1"/>
    </row>
    <row r="39" spans="1:8" x14ac:dyDescent="0.2">
      <c r="A39" s="1"/>
      <c r="B39" s="1"/>
      <c r="C39" s="1"/>
      <c r="D39" s="1"/>
      <c r="E39" s="1"/>
      <c r="F39" s="1"/>
      <c r="G39" s="1"/>
      <c r="H39" s="1"/>
    </row>
    <row r="40" spans="1:8" x14ac:dyDescent="0.2">
      <c r="A40" s="1"/>
      <c r="B40" s="1"/>
      <c r="C40" s="1"/>
      <c r="D40" s="1"/>
      <c r="E40" s="1"/>
      <c r="F40" s="1"/>
      <c r="G40" s="1"/>
      <c r="H40" s="1"/>
    </row>
    <row r="41" spans="1:8" x14ac:dyDescent="0.2">
      <c r="A41" s="1"/>
      <c r="B41" s="1"/>
      <c r="C41" s="1"/>
      <c r="D41" s="1"/>
      <c r="E41" s="1"/>
      <c r="F41" s="1"/>
      <c r="G41" s="1"/>
      <c r="H41" s="1"/>
    </row>
    <row r="42" spans="1:8" x14ac:dyDescent="0.2">
      <c r="A42" s="1"/>
      <c r="B42" s="1"/>
      <c r="C42" s="1"/>
      <c r="D42" s="1"/>
      <c r="E42" s="1"/>
      <c r="F42" s="1"/>
      <c r="G42" s="1"/>
      <c r="H42" s="1"/>
    </row>
    <row r="43" spans="1:8" x14ac:dyDescent="0.2">
      <c r="A43" s="1"/>
      <c r="B43" s="1"/>
      <c r="C43" s="1"/>
      <c r="D43" s="1"/>
      <c r="E43" s="1"/>
      <c r="F43" s="1"/>
      <c r="G43" s="1"/>
      <c r="H43" s="1"/>
    </row>
    <row r="44" spans="1:8" x14ac:dyDescent="0.2">
      <c r="A44" s="1"/>
      <c r="B44" s="1"/>
      <c r="C44" s="1"/>
      <c r="D44" s="1"/>
      <c r="E44" s="1"/>
      <c r="F44" s="1"/>
      <c r="G44" s="1"/>
      <c r="H44" s="1"/>
    </row>
    <row r="45" spans="1:8" x14ac:dyDescent="0.2">
      <c r="A45" s="1"/>
      <c r="B45" s="1"/>
      <c r="C45" s="1"/>
      <c r="D45" s="1"/>
      <c r="E45" s="1"/>
      <c r="F45" s="1"/>
      <c r="G45" s="1"/>
      <c r="H45" s="1"/>
    </row>
    <row r="46" spans="1:8" x14ac:dyDescent="0.2">
      <c r="A46" s="1"/>
      <c r="B46" s="1"/>
      <c r="C46" s="1"/>
      <c r="D46" s="1"/>
      <c r="E46" s="1"/>
      <c r="F46" s="1"/>
      <c r="G46" s="1"/>
      <c r="H46" s="1"/>
    </row>
    <row r="47" spans="1:8" x14ac:dyDescent="0.2">
      <c r="A47" s="1"/>
      <c r="B47" s="1"/>
      <c r="C47" s="1"/>
      <c r="D47" s="1"/>
      <c r="E47" s="1"/>
      <c r="F47" s="1"/>
      <c r="G47" s="1"/>
      <c r="H47" s="1"/>
    </row>
    <row r="48" spans="1:8" x14ac:dyDescent="0.2">
      <c r="A48" s="1"/>
      <c r="B48" s="1"/>
      <c r="C48" s="1"/>
      <c r="D48" s="1"/>
      <c r="E48" s="1"/>
      <c r="F48" s="1"/>
      <c r="G48" s="1"/>
      <c r="H48" s="1"/>
    </row>
    <row r="49" spans="1:8" x14ac:dyDescent="0.2">
      <c r="A49" s="1"/>
      <c r="B49" s="1"/>
      <c r="C49" s="1"/>
      <c r="D49" s="1"/>
      <c r="E49" s="1"/>
      <c r="F49" s="1"/>
      <c r="G49" s="1"/>
      <c r="H49" s="1"/>
    </row>
    <row r="50" spans="1:8" x14ac:dyDescent="0.2">
      <c r="A50" s="1"/>
      <c r="B50" s="1"/>
      <c r="C50" s="1"/>
      <c r="D50" s="1"/>
      <c r="E50" s="1"/>
      <c r="F50" s="1"/>
      <c r="G50" s="1"/>
      <c r="H50" s="1"/>
    </row>
    <row r="51" spans="1:8" x14ac:dyDescent="0.2">
      <c r="A51" s="1"/>
      <c r="B51" s="1"/>
      <c r="C51" s="1"/>
      <c r="D51" s="1"/>
      <c r="E51" s="1"/>
      <c r="F51" s="1"/>
      <c r="G51" s="1"/>
      <c r="H51" s="1"/>
    </row>
    <row r="52" spans="1:8" x14ac:dyDescent="0.2">
      <c r="A52" s="1"/>
      <c r="B52" s="1"/>
      <c r="C52" s="1"/>
      <c r="D52" s="1"/>
      <c r="E52" s="1"/>
      <c r="F52" s="1"/>
      <c r="G52" s="1"/>
      <c r="H52" s="1"/>
    </row>
    <row r="53" spans="1:8" x14ac:dyDescent="0.2">
      <c r="A53" s="1"/>
      <c r="B53" s="1"/>
      <c r="C53" s="1"/>
      <c r="D53" s="1"/>
      <c r="E53" s="1"/>
      <c r="F53" s="1"/>
      <c r="G53" s="1"/>
      <c r="H53" s="1"/>
    </row>
    <row r="54" spans="1:8" x14ac:dyDescent="0.2">
      <c r="A54" s="1"/>
      <c r="B54" s="1"/>
      <c r="C54" s="1"/>
      <c r="D54" s="1"/>
      <c r="E54" s="1"/>
      <c r="F54" s="1"/>
      <c r="G54" s="1"/>
      <c r="H54" s="1"/>
    </row>
    <row r="55" spans="1:8" x14ac:dyDescent="0.2">
      <c r="A55" s="1"/>
      <c r="B55" s="1"/>
      <c r="C55" s="1"/>
      <c r="D55" s="1"/>
      <c r="E55" s="1"/>
      <c r="F55" s="1"/>
      <c r="G55" s="1"/>
      <c r="H55" s="1"/>
    </row>
    <row r="56" spans="1:8" x14ac:dyDescent="0.2">
      <c r="A56" s="1"/>
      <c r="B56" s="1"/>
      <c r="C56" s="1"/>
      <c r="D56" s="1"/>
      <c r="E56" s="1"/>
      <c r="F56" s="1"/>
      <c r="G56" s="1"/>
      <c r="H56" s="1"/>
    </row>
    <row r="57" spans="1:8" x14ac:dyDescent="0.2">
      <c r="A57" s="1"/>
      <c r="B57" s="1"/>
      <c r="C57" s="1"/>
      <c r="D57" s="1"/>
      <c r="E57" s="1"/>
      <c r="F57" s="1"/>
      <c r="G57" s="1"/>
      <c r="H57" s="1"/>
    </row>
    <row r="58" spans="1:8" x14ac:dyDescent="0.2">
      <c r="A58" s="1"/>
      <c r="B58" s="1"/>
      <c r="C58" s="1"/>
      <c r="D58" s="1"/>
      <c r="E58" s="1"/>
      <c r="F58" s="1"/>
      <c r="G58" s="1"/>
      <c r="H58" s="1"/>
    </row>
    <row r="59" spans="1:8" x14ac:dyDescent="0.2">
      <c r="A59" s="1"/>
      <c r="B59" s="1"/>
      <c r="C59" s="1"/>
      <c r="D59" s="1"/>
      <c r="E59" s="1"/>
      <c r="F59" s="1"/>
      <c r="G59" s="1"/>
      <c r="H59" s="1"/>
    </row>
    <row r="60" spans="1:8" x14ac:dyDescent="0.2">
      <c r="A60" s="1"/>
      <c r="B60" s="1"/>
      <c r="C60" s="1"/>
      <c r="D60" s="1"/>
      <c r="E60" s="1"/>
      <c r="F60" s="1"/>
      <c r="G60" s="1"/>
      <c r="H60" s="1"/>
    </row>
    <row r="61" spans="1:8" x14ac:dyDescent="0.2">
      <c r="A61" s="1"/>
      <c r="B61" s="1"/>
      <c r="C61" s="1"/>
      <c r="D61" s="1"/>
      <c r="E61" s="1"/>
      <c r="F61" s="1"/>
      <c r="G61" s="1"/>
      <c r="H61" s="1"/>
    </row>
    <row r="62" spans="1:8" x14ac:dyDescent="0.2">
      <c r="A62" s="1"/>
      <c r="B62" s="1"/>
      <c r="C62" s="1"/>
      <c r="D62" s="1"/>
      <c r="E62" s="1"/>
      <c r="F62" s="1"/>
      <c r="G62" s="1"/>
      <c r="H62" s="1"/>
    </row>
    <row r="63" spans="1:8" x14ac:dyDescent="0.2">
      <c r="A63" s="1"/>
      <c r="B63" s="1"/>
      <c r="C63" s="1"/>
      <c r="D63" s="1"/>
      <c r="E63" s="1"/>
      <c r="F63" s="1"/>
      <c r="G63" s="1"/>
      <c r="H63" s="1"/>
    </row>
    <row r="64" spans="1:8" x14ac:dyDescent="0.2">
      <c r="A64" s="1"/>
      <c r="B64" s="1"/>
      <c r="C64" s="1"/>
      <c r="D64" s="1"/>
      <c r="E64" s="1"/>
      <c r="F64" s="1"/>
      <c r="G64" s="1"/>
      <c r="H64" s="1"/>
    </row>
    <row r="65" spans="1:8" x14ac:dyDescent="0.2">
      <c r="A65" s="1"/>
      <c r="B65" s="1"/>
      <c r="C65" s="1"/>
      <c r="D65" s="1"/>
      <c r="E65" s="1"/>
      <c r="F65" s="1"/>
      <c r="G65" s="1"/>
      <c r="H65" s="1"/>
    </row>
    <row r="66" spans="1:8" x14ac:dyDescent="0.2">
      <c r="A66" s="1"/>
      <c r="B66" s="1"/>
      <c r="C66" s="1"/>
      <c r="D66" s="1"/>
      <c r="E66" s="1"/>
      <c r="F66" s="1"/>
      <c r="G66" s="1"/>
      <c r="H66" s="1"/>
    </row>
    <row r="67" spans="1:8" x14ac:dyDescent="0.2">
      <c r="A67" s="1"/>
      <c r="B67" s="1"/>
      <c r="C67" s="1"/>
      <c r="D67" s="1"/>
      <c r="E67" s="1"/>
      <c r="F67" s="1"/>
      <c r="G67" s="1"/>
      <c r="H67" s="1"/>
    </row>
    <row r="68" spans="1:8" x14ac:dyDescent="0.2">
      <c r="A68" s="1"/>
      <c r="B68" s="1"/>
      <c r="C68" s="1"/>
      <c r="D68" s="1"/>
      <c r="E68" s="1"/>
      <c r="F68" s="1"/>
      <c r="G68" s="1"/>
      <c r="H68" s="1"/>
    </row>
    <row r="69" spans="1:8" x14ac:dyDescent="0.2">
      <c r="A69" s="11" t="s">
        <v>1</v>
      </c>
      <c r="B69" s="12"/>
      <c r="C69" s="12"/>
      <c r="D69" s="13"/>
      <c r="E69" s="8"/>
      <c r="F69" s="8"/>
      <c r="G69" s="8"/>
      <c r="H69" s="8"/>
    </row>
    <row r="70" spans="1:8" x14ac:dyDescent="0.2">
      <c r="A70" s="14" t="s">
        <v>15</v>
      </c>
      <c r="B70" s="15"/>
      <c r="C70" s="15"/>
      <c r="D70" s="16"/>
      <c r="E70" s="8"/>
      <c r="F70" s="8"/>
      <c r="G70" s="8"/>
      <c r="H70" s="8"/>
    </row>
    <row r="71" spans="1:8" x14ac:dyDescent="0.2">
      <c r="A71" s="17" t="s">
        <v>62</v>
      </c>
      <c r="B71" s="18"/>
      <c r="C71" s="18"/>
      <c r="D71" s="19"/>
      <c r="E71" s="8"/>
      <c r="F71" s="8"/>
      <c r="G71" s="8"/>
      <c r="H71" s="8"/>
    </row>
    <row r="72" spans="1:8" x14ac:dyDescent="0.2">
      <c r="A72" s="20"/>
      <c r="B72" s="21"/>
      <c r="C72" s="22"/>
      <c r="D72" s="23"/>
      <c r="E72" s="8"/>
      <c r="F72" s="8" t="s">
        <v>34</v>
      </c>
      <c r="G72" s="8"/>
      <c r="H72" s="8"/>
    </row>
    <row r="73" spans="1:8" ht="15.75" x14ac:dyDescent="0.25">
      <c r="A73" s="24" t="s">
        <v>2</v>
      </c>
      <c r="B73" s="25" t="str">
        <f>[1]Charters!B76</f>
        <v>Excelsior Academy</v>
      </c>
      <c r="C73" s="26"/>
      <c r="D73" s="27"/>
      <c r="E73" s="8"/>
      <c r="F73" s="8"/>
      <c r="G73" s="8"/>
      <c r="H73" s="8"/>
    </row>
    <row r="74" spans="1:8" x14ac:dyDescent="0.2">
      <c r="A74" s="24"/>
      <c r="B74" s="28"/>
      <c r="C74" s="26"/>
      <c r="D74" s="27"/>
      <c r="E74" s="8"/>
      <c r="F74" s="8"/>
      <c r="G74" s="8"/>
      <c r="H74" s="8"/>
    </row>
    <row r="75" spans="1:8" x14ac:dyDescent="0.2">
      <c r="A75" s="29" t="s">
        <v>0</v>
      </c>
      <c r="B75" s="30">
        <f>[1]Charters!$E$6</f>
        <v>3184</v>
      </c>
      <c r="C75" s="26"/>
      <c r="D75" s="31"/>
      <c r="E75" s="8"/>
      <c r="F75" s="8"/>
      <c r="G75" s="8"/>
      <c r="H75" s="8"/>
    </row>
    <row r="76" spans="1:8" x14ac:dyDescent="0.2">
      <c r="A76" s="32"/>
      <c r="B76" s="6"/>
      <c r="C76" s="33"/>
      <c r="D76" s="34" t="s">
        <v>3</v>
      </c>
      <c r="E76" s="8"/>
      <c r="F76" s="8"/>
      <c r="G76" s="8"/>
      <c r="H76" s="8"/>
    </row>
    <row r="77" spans="1:8" x14ac:dyDescent="0.2">
      <c r="A77" s="29" t="s">
        <v>19</v>
      </c>
      <c r="B77" s="35" t="str">
        <f>[1]Charters!A76</f>
        <v>7F</v>
      </c>
      <c r="C77" s="36" t="s">
        <v>4</v>
      </c>
      <c r="D77" s="37" t="s">
        <v>5</v>
      </c>
      <c r="E77" s="8"/>
      <c r="F77" s="8"/>
      <c r="G77" s="8"/>
      <c r="H77" s="8"/>
    </row>
    <row r="78" spans="1:8" x14ac:dyDescent="0.2">
      <c r="A78" s="38" t="s">
        <v>6</v>
      </c>
      <c r="B78" s="39"/>
      <c r="C78" s="40"/>
      <c r="D78" s="41"/>
      <c r="E78" s="8"/>
      <c r="F78" s="8"/>
      <c r="G78" s="8"/>
      <c r="H78" s="8"/>
    </row>
    <row r="79" spans="1:8" x14ac:dyDescent="0.2">
      <c r="A79" s="38" t="s">
        <v>7</v>
      </c>
      <c r="B79" s="39"/>
      <c r="C79" s="40"/>
      <c r="D79" s="41"/>
      <c r="E79" s="8"/>
      <c r="F79" s="42" t="s">
        <v>23</v>
      </c>
      <c r="G79" s="8"/>
      <c r="H79" s="42" t="s">
        <v>26</v>
      </c>
    </row>
    <row r="80" spans="1:8" x14ac:dyDescent="0.2">
      <c r="A80" s="20" t="s">
        <v>8</v>
      </c>
      <c r="B80" s="43"/>
      <c r="C80" s="44">
        <f>[1]Charters!C536</f>
        <v>634.50800000000004</v>
      </c>
      <c r="D80" s="45">
        <f>[1]Charters!E536</f>
        <v>2020272.59</v>
      </c>
      <c r="E80" s="8"/>
      <c r="F80" s="42">
        <f>[1]Charters!E691</f>
        <v>2111708.11</v>
      </c>
      <c r="G80" s="8"/>
      <c r="H80" s="42">
        <f>[2]Charters!E230</f>
        <v>2547160.06</v>
      </c>
    </row>
    <row r="81" spans="1:8" x14ac:dyDescent="0.2">
      <c r="A81" s="20" t="s">
        <v>14</v>
      </c>
      <c r="B81" s="43"/>
      <c r="C81" s="44">
        <f>[1]Charters!F536</f>
        <v>28.716999999999999</v>
      </c>
      <c r="D81" s="45">
        <f>[1]Charters!H536</f>
        <v>91435.520000000004</v>
      </c>
      <c r="E81" s="8"/>
      <c r="F81" s="42">
        <f>SUM(D80:D82)</f>
        <v>2111708.11</v>
      </c>
      <c r="G81" s="8"/>
      <c r="H81" s="42">
        <f>D93</f>
        <v>2547160.06</v>
      </c>
    </row>
    <row r="82" spans="1:8" x14ac:dyDescent="0.2">
      <c r="A82" s="20" t="s">
        <v>32</v>
      </c>
      <c r="B82" s="43"/>
      <c r="C82" s="44">
        <f>[1]Charters!C229</f>
        <v>0</v>
      </c>
      <c r="D82" s="45">
        <f>[1]Charters!E229</f>
        <v>0</v>
      </c>
      <c r="E82" s="8"/>
      <c r="F82" s="42">
        <f>+F80-F81</f>
        <v>0</v>
      </c>
      <c r="G82" s="8"/>
      <c r="H82" s="42">
        <f>+H80-H81</f>
        <v>0</v>
      </c>
    </row>
    <row r="83" spans="1:8" x14ac:dyDescent="0.2">
      <c r="A83" s="38" t="s">
        <v>9</v>
      </c>
      <c r="B83" s="39"/>
      <c r="C83" s="46"/>
      <c r="D83" s="47"/>
      <c r="E83" s="8"/>
      <c r="F83" s="8"/>
      <c r="G83" s="8"/>
      <c r="H83" s="8"/>
    </row>
    <row r="84" spans="1:8" x14ac:dyDescent="0.2">
      <c r="A84" s="20" t="s">
        <v>10</v>
      </c>
      <c r="B84" s="43"/>
      <c r="C84" s="40">
        <f>[3]Charters!C75</f>
        <v>64.438000000000002</v>
      </c>
      <c r="D84" s="41">
        <f>[3]Charters!E75</f>
        <v>205171.58</v>
      </c>
      <c r="E84" s="8"/>
      <c r="F84" s="42" t="s">
        <v>24</v>
      </c>
      <c r="G84" s="8"/>
      <c r="H84" s="8"/>
    </row>
    <row r="85" spans="1:8" x14ac:dyDescent="0.2">
      <c r="A85" s="48" t="s">
        <v>11</v>
      </c>
      <c r="B85" s="43"/>
      <c r="C85" s="40">
        <f>[3]Charters!F75</f>
        <v>5.14</v>
      </c>
      <c r="D85" s="49">
        <f>[3]Charters!H75</f>
        <v>16365.76</v>
      </c>
      <c r="E85" s="8"/>
      <c r="F85" s="42">
        <f>[3]Charters!N387</f>
        <v>231062.07</v>
      </c>
      <c r="G85" s="8"/>
      <c r="H85" s="8"/>
    </row>
    <row r="86" spans="1:8" x14ac:dyDescent="0.2">
      <c r="A86" s="48" t="s">
        <v>12</v>
      </c>
      <c r="B86" s="43"/>
      <c r="C86" s="40">
        <f>[3]Charters!C230</f>
        <v>0</v>
      </c>
      <c r="D86" s="41">
        <f>[3]Charters!E230</f>
        <v>0</v>
      </c>
      <c r="E86" s="8"/>
      <c r="F86" s="42">
        <f>SUM(D84:D90)</f>
        <v>231062.07</v>
      </c>
      <c r="G86" s="8"/>
      <c r="H86" s="8"/>
    </row>
    <row r="87" spans="1:8" x14ac:dyDescent="0.2">
      <c r="A87" s="20" t="s">
        <v>13</v>
      </c>
      <c r="B87" s="43"/>
      <c r="C87" s="40">
        <f>[3]Charters!F230</f>
        <v>1.06</v>
      </c>
      <c r="D87" s="41">
        <f>[3]Charters!H230</f>
        <v>3374.47</v>
      </c>
      <c r="E87" s="8"/>
      <c r="F87" s="42">
        <f>+F85-F86</f>
        <v>0</v>
      </c>
      <c r="G87" s="8"/>
      <c r="H87" s="8"/>
    </row>
    <row r="88" spans="1:8" x14ac:dyDescent="0.2">
      <c r="A88" s="48" t="s">
        <v>54</v>
      </c>
      <c r="B88" s="43"/>
      <c r="C88" s="40">
        <f>[3]Charters!C387</f>
        <v>1.9319999999999999</v>
      </c>
      <c r="D88" s="41">
        <f>[3]Charters!E387</f>
        <v>6150.26</v>
      </c>
      <c r="E88" s="8"/>
      <c r="F88" s="8"/>
      <c r="G88" s="8"/>
      <c r="H88" s="8"/>
    </row>
    <row r="89" spans="1:8" x14ac:dyDescent="0.2">
      <c r="A89" s="48" t="s">
        <v>55</v>
      </c>
      <c r="B89" s="43"/>
      <c r="C89" s="40">
        <f>[3]Charters!F387</f>
        <v>0</v>
      </c>
      <c r="D89" s="41">
        <f>[3]Charters!H387</f>
        <v>0</v>
      </c>
      <c r="E89" s="8"/>
      <c r="F89" s="42" t="s">
        <v>25</v>
      </c>
      <c r="G89" s="8"/>
      <c r="H89" s="8"/>
    </row>
    <row r="90" spans="1:8" x14ac:dyDescent="0.2">
      <c r="A90" s="48" t="s">
        <v>56</v>
      </c>
      <c r="B90" s="43"/>
      <c r="C90" s="40">
        <f>[3]Charters!I387</f>
        <v>0</v>
      </c>
      <c r="D90" s="41">
        <f>[3]Charters!K387</f>
        <v>0</v>
      </c>
      <c r="E90" s="8"/>
      <c r="F90" s="42">
        <f>[2]Charters!H76</f>
        <v>435451.95</v>
      </c>
      <c r="G90" s="8"/>
      <c r="H90" s="8"/>
    </row>
    <row r="91" spans="1:8" x14ac:dyDescent="0.2">
      <c r="A91" s="20" t="s">
        <v>49</v>
      </c>
      <c r="B91" s="43"/>
      <c r="C91" s="40">
        <f>[3]Charters!C543</f>
        <v>0</v>
      </c>
      <c r="D91" s="41">
        <f>[3]Charters!E543</f>
        <v>0</v>
      </c>
      <c r="E91" s="8"/>
      <c r="F91" s="42">
        <f>SUM(D84:D92)</f>
        <v>435451.95</v>
      </c>
      <c r="G91" s="8"/>
      <c r="H91" s="8"/>
    </row>
    <row r="92" spans="1:8" x14ac:dyDescent="0.2">
      <c r="A92" s="20" t="s">
        <v>50</v>
      </c>
      <c r="B92" s="43"/>
      <c r="C92" s="40">
        <f>[2]Charters!C76</f>
        <v>64.192999999999998</v>
      </c>
      <c r="D92" s="41">
        <f>[2]Charters!E76</f>
        <v>204389.88</v>
      </c>
      <c r="E92" s="8"/>
      <c r="F92" s="42">
        <f>+F90-F91</f>
        <v>0</v>
      </c>
      <c r="G92" s="8"/>
      <c r="H92" s="8"/>
    </row>
    <row r="93" spans="1:8" x14ac:dyDescent="0.2">
      <c r="A93" s="50"/>
      <c r="B93" s="51" t="s">
        <v>16</v>
      </c>
      <c r="C93" s="52">
        <f>SUM(C80:C92)</f>
        <v>799.98800000000006</v>
      </c>
      <c r="D93" s="53">
        <f>SUM(D80:D92)</f>
        <v>2547160.06</v>
      </c>
      <c r="E93" s="8"/>
      <c r="F93" s="8"/>
      <c r="G93" s="8"/>
      <c r="H93" s="8"/>
    </row>
    <row r="94" spans="1:8" x14ac:dyDescent="0.2">
      <c r="A94" s="54" t="s">
        <v>17</v>
      </c>
      <c r="B94" s="39"/>
      <c r="C94" s="55"/>
      <c r="D94" s="47"/>
      <c r="E94" s="8"/>
      <c r="F94" s="8"/>
      <c r="G94" s="8"/>
      <c r="H94" s="42" t="s">
        <v>29</v>
      </c>
    </row>
    <row r="95" spans="1:8" x14ac:dyDescent="0.2">
      <c r="A95" s="20" t="s">
        <v>33</v>
      </c>
      <c r="B95" s="43"/>
      <c r="C95" s="56"/>
      <c r="D95" s="57">
        <f>[4]Charters!C76</f>
        <v>7382.86</v>
      </c>
      <c r="E95" s="8"/>
      <c r="F95" s="8"/>
      <c r="G95" s="8"/>
      <c r="H95" s="42">
        <f>[4]Charters!F1016</f>
        <v>4347718.07</v>
      </c>
    </row>
    <row r="96" spans="1:8" x14ac:dyDescent="0.2">
      <c r="A96" s="58" t="s">
        <v>35</v>
      </c>
      <c r="B96" s="43"/>
      <c r="C96" s="56"/>
      <c r="D96" s="41">
        <f>+[4]Charters!F397</f>
        <v>3053.87</v>
      </c>
      <c r="E96" s="8"/>
      <c r="F96" s="8"/>
      <c r="G96" s="8"/>
      <c r="H96" s="42">
        <f>SUM(D93:D112)</f>
        <v>4347718.07</v>
      </c>
    </row>
    <row r="97" spans="1:8" x14ac:dyDescent="0.2">
      <c r="A97" s="59" t="s">
        <v>36</v>
      </c>
      <c r="B97" s="43"/>
      <c r="C97" s="56"/>
      <c r="D97" s="41">
        <f>[4]Charters!E236</f>
        <v>26997</v>
      </c>
      <c r="E97" s="8"/>
      <c r="F97" s="8"/>
      <c r="G97" s="8"/>
      <c r="H97" s="42">
        <f>+H95-H96</f>
        <v>0</v>
      </c>
    </row>
    <row r="98" spans="1:8" x14ac:dyDescent="0.2">
      <c r="A98" s="59" t="s">
        <v>52</v>
      </c>
      <c r="B98" s="43"/>
      <c r="C98" s="56"/>
      <c r="D98" s="41">
        <f>[4]Charters!G397</f>
        <v>0</v>
      </c>
      <c r="E98" s="8"/>
      <c r="F98" s="42" t="s">
        <v>27</v>
      </c>
      <c r="G98" s="8"/>
      <c r="H98" s="42"/>
    </row>
    <row r="99" spans="1:8" x14ac:dyDescent="0.2">
      <c r="A99" s="20" t="s">
        <v>37</v>
      </c>
      <c r="B99" s="43"/>
      <c r="C99" s="56"/>
      <c r="D99" s="41">
        <f>[4]Charters!E553</f>
        <v>49188</v>
      </c>
      <c r="E99" s="8"/>
      <c r="F99" s="42">
        <f>[4]Charters!E236</f>
        <v>26997</v>
      </c>
      <c r="G99" s="8"/>
      <c r="H99" s="8"/>
    </row>
    <row r="100" spans="1:8" x14ac:dyDescent="0.2">
      <c r="A100" s="20" t="s">
        <v>38</v>
      </c>
      <c r="B100" s="43"/>
      <c r="C100" s="56"/>
      <c r="D100" s="41">
        <f>[4]Charters!F553</f>
        <v>0</v>
      </c>
      <c r="E100" s="8"/>
      <c r="F100" s="42">
        <f>SUM(D97:D97)</f>
        <v>26997</v>
      </c>
      <c r="G100" s="8"/>
      <c r="H100" s="8"/>
    </row>
    <row r="101" spans="1:8" x14ac:dyDescent="0.2">
      <c r="A101" s="59" t="s">
        <v>40</v>
      </c>
      <c r="B101" s="43"/>
      <c r="C101" s="56"/>
      <c r="D101" s="41">
        <f>[4]Charters!G553</f>
        <v>0</v>
      </c>
      <c r="E101" s="8"/>
      <c r="F101" s="42">
        <f>+F99-F100</f>
        <v>0</v>
      </c>
      <c r="G101" s="8"/>
      <c r="H101" s="8"/>
    </row>
    <row r="102" spans="1:8" x14ac:dyDescent="0.2">
      <c r="A102" s="20" t="s">
        <v>41</v>
      </c>
      <c r="B102" s="43"/>
      <c r="C102" s="56"/>
      <c r="D102" s="41">
        <f>[4]Charters!C707</f>
        <v>1462731</v>
      </c>
      <c r="E102" s="8"/>
      <c r="F102" s="42" t="s">
        <v>28</v>
      </c>
      <c r="G102" s="8"/>
      <c r="H102" s="8"/>
    </row>
    <row r="103" spans="1:8" x14ac:dyDescent="0.2">
      <c r="A103" s="20" t="s">
        <v>42</v>
      </c>
      <c r="B103" s="43"/>
      <c r="C103" s="56"/>
      <c r="D103" s="41">
        <f>[4]Charters!D707</f>
        <v>146379.67000000001</v>
      </c>
      <c r="E103" s="8"/>
      <c r="F103" s="42">
        <f>[4]Charters!D553</f>
        <v>30050.87</v>
      </c>
      <c r="G103" s="8"/>
      <c r="H103" s="8"/>
    </row>
    <row r="104" spans="1:8" x14ac:dyDescent="0.2">
      <c r="A104" s="20" t="s">
        <v>44</v>
      </c>
      <c r="B104" s="43"/>
      <c r="C104" s="56"/>
      <c r="D104" s="41">
        <f>[4]Charters!E707</f>
        <v>73100</v>
      </c>
      <c r="E104" s="8"/>
      <c r="F104" s="42">
        <f>SUM(D96:D98)</f>
        <v>30050.87</v>
      </c>
      <c r="G104" s="8"/>
      <c r="H104" s="8"/>
    </row>
    <row r="105" spans="1:8" x14ac:dyDescent="0.2">
      <c r="A105" s="59" t="s">
        <v>43</v>
      </c>
      <c r="B105" s="43"/>
      <c r="C105" s="56"/>
      <c r="D105" s="41">
        <f>[4]Charters!F707</f>
        <v>23124.91</v>
      </c>
      <c r="E105" s="8"/>
      <c r="F105" s="42">
        <f>+F103-F104</f>
        <v>0</v>
      </c>
      <c r="G105" s="8"/>
      <c r="H105" s="8"/>
    </row>
    <row r="106" spans="1:8" x14ac:dyDescent="0.2">
      <c r="A106" s="59" t="s">
        <v>45</v>
      </c>
      <c r="B106" s="43"/>
      <c r="C106" s="56"/>
      <c r="D106" s="41">
        <f>[4]Charters!C553</f>
        <v>0</v>
      </c>
      <c r="E106" s="8"/>
      <c r="F106" s="8"/>
      <c r="G106" s="8"/>
      <c r="H106" s="8"/>
    </row>
    <row r="107" spans="1:8" x14ac:dyDescent="0.2">
      <c r="A107" s="59" t="s">
        <v>46</v>
      </c>
      <c r="B107" s="43"/>
      <c r="C107" s="56"/>
      <c r="D107" s="41">
        <f>[4]Charters!C863</f>
        <v>0</v>
      </c>
      <c r="E107" s="42"/>
      <c r="F107" s="42"/>
      <c r="G107" s="42"/>
      <c r="H107" s="42" t="s">
        <v>31</v>
      </c>
    </row>
    <row r="108" spans="1:8" x14ac:dyDescent="0.2">
      <c r="A108" s="59" t="s">
        <v>51</v>
      </c>
      <c r="B108" s="43"/>
      <c r="C108" s="56"/>
      <c r="D108" s="60">
        <f>[4]Charters!D863</f>
        <v>907.52</v>
      </c>
      <c r="E108" s="42"/>
      <c r="F108" s="42"/>
      <c r="G108" s="42"/>
      <c r="H108" s="42">
        <f>[4]Charters!D1322</f>
        <v>4353103.6399999997</v>
      </c>
    </row>
    <row r="109" spans="1:8" x14ac:dyDescent="0.2">
      <c r="A109" s="20" t="s">
        <v>47</v>
      </c>
      <c r="B109" s="43"/>
      <c r="C109" s="56"/>
      <c r="D109" s="60">
        <f>[4]Charters!E863</f>
        <v>0</v>
      </c>
      <c r="E109" s="42"/>
      <c r="F109" s="42"/>
      <c r="G109" s="42"/>
      <c r="H109" s="42">
        <f>D118</f>
        <v>4353103.6399999997</v>
      </c>
    </row>
    <row r="110" spans="1:8" x14ac:dyDescent="0.2">
      <c r="A110" s="20" t="s">
        <v>57</v>
      </c>
      <c r="B110" s="43"/>
      <c r="C110" s="56"/>
      <c r="D110" s="60">
        <f>[4]Charters!C1016</f>
        <v>7693.18</v>
      </c>
      <c r="E110" s="42"/>
      <c r="F110" s="42"/>
      <c r="G110" s="42"/>
      <c r="H110" s="42">
        <f>+H108-H109</f>
        <v>0</v>
      </c>
    </row>
    <row r="111" spans="1:8" x14ac:dyDescent="0.2">
      <c r="A111" s="59" t="s">
        <v>53</v>
      </c>
      <c r="B111" s="43"/>
      <c r="C111" s="56"/>
      <c r="D111" s="60">
        <f>[4]Charters!D1016</f>
        <v>0</v>
      </c>
      <c r="E111" s="42"/>
      <c r="F111" s="42" t="s">
        <v>30</v>
      </c>
      <c r="G111" s="42"/>
      <c r="H111" s="42"/>
    </row>
    <row r="112" spans="1:8" x14ac:dyDescent="0.2">
      <c r="A112" s="59" t="s">
        <v>59</v>
      </c>
      <c r="B112" s="43"/>
      <c r="C112" s="56"/>
      <c r="D112" s="60">
        <f>[4]Charters!E1016</f>
        <v>0</v>
      </c>
      <c r="E112" s="42"/>
      <c r="F112" s="42"/>
      <c r="G112" s="42"/>
      <c r="H112" s="42"/>
    </row>
    <row r="113" spans="1:8" x14ac:dyDescent="0.2">
      <c r="A113" s="38" t="s">
        <v>18</v>
      </c>
      <c r="B113" s="61"/>
      <c r="C113" s="62"/>
      <c r="D113" s="87"/>
      <c r="E113" s="42"/>
      <c r="F113" s="42">
        <f>[4]Charters!C1322</f>
        <v>5385.57</v>
      </c>
      <c r="G113" s="42"/>
      <c r="H113" s="42"/>
    </row>
    <row r="114" spans="1:8" x14ac:dyDescent="0.2">
      <c r="A114" s="59" t="s">
        <v>39</v>
      </c>
      <c r="B114" s="43"/>
      <c r="C114" s="56"/>
      <c r="D114" s="41">
        <f>[4]Charters!C1169</f>
        <v>5385.57</v>
      </c>
      <c r="E114" s="42"/>
      <c r="F114" s="42">
        <f>SUM(D114:D117)</f>
        <v>5385.57</v>
      </c>
      <c r="G114" s="42"/>
      <c r="H114" s="42"/>
    </row>
    <row r="115" spans="1:8" x14ac:dyDescent="0.2">
      <c r="A115" s="59" t="s">
        <v>48</v>
      </c>
      <c r="B115" s="43"/>
      <c r="C115" s="56"/>
      <c r="D115" s="41">
        <f>[4]Charters!D1169</f>
        <v>0</v>
      </c>
      <c r="E115" s="42"/>
      <c r="F115" s="42">
        <f>+F113-F114</f>
        <v>0</v>
      </c>
      <c r="G115" s="42"/>
      <c r="H115" s="42"/>
    </row>
    <row r="116" spans="1:8" x14ac:dyDescent="0.2">
      <c r="A116" s="59" t="s">
        <v>60</v>
      </c>
      <c r="B116" s="43"/>
      <c r="C116" s="56"/>
      <c r="D116" s="41">
        <f>[4]Charters!E1169</f>
        <v>0</v>
      </c>
      <c r="E116" s="42"/>
      <c r="F116" s="42"/>
      <c r="G116" s="42"/>
      <c r="H116" s="42"/>
    </row>
    <row r="117" spans="1:8" x14ac:dyDescent="0.2">
      <c r="A117" s="59" t="s">
        <v>61</v>
      </c>
      <c r="B117" s="43"/>
      <c r="C117" s="56"/>
      <c r="D117" s="41">
        <f>[4]Charters!F1169</f>
        <v>0</v>
      </c>
      <c r="E117" s="42"/>
      <c r="F117" s="42"/>
      <c r="G117" s="42"/>
      <c r="H117" s="42"/>
    </row>
    <row r="118" spans="1:8" ht="13.5" thickBot="1" x14ac:dyDescent="0.25">
      <c r="A118" s="64"/>
      <c r="B118" s="65"/>
      <c r="C118" s="66"/>
      <c r="D118" s="67">
        <f>SUM(D93:D117)</f>
        <v>4353103.6399999997</v>
      </c>
      <c r="E118" s="42"/>
      <c r="F118" s="42"/>
      <c r="G118" s="42"/>
      <c r="H118" s="42"/>
    </row>
    <row r="119" spans="1:8" ht="13.5" thickTop="1" x14ac:dyDescent="0.2">
      <c r="A119" s="68"/>
      <c r="B119" s="43"/>
      <c r="C119" s="56"/>
      <c r="D119" s="86"/>
      <c r="E119" s="42"/>
      <c r="F119" s="42"/>
      <c r="G119" s="42"/>
      <c r="H119" s="42"/>
    </row>
    <row r="120" spans="1:8" x14ac:dyDescent="0.2">
      <c r="A120" s="38" t="s">
        <v>20</v>
      </c>
      <c r="B120" s="39"/>
      <c r="C120" s="70"/>
      <c r="D120" s="71" t="s">
        <v>21</v>
      </c>
      <c r="E120" s="42"/>
      <c r="F120" s="42"/>
      <c r="G120" s="42"/>
      <c r="H120" s="42"/>
    </row>
    <row r="121" spans="1:8" x14ac:dyDescent="0.2">
      <c r="A121" s="72" t="s">
        <v>22</v>
      </c>
      <c r="B121" s="73"/>
      <c r="C121" s="74"/>
      <c r="D121" s="41">
        <f>[5]Charters!C75</f>
        <v>1559.6</v>
      </c>
      <c r="E121" s="42"/>
      <c r="F121" s="42"/>
      <c r="G121" s="42"/>
      <c r="H121" s="42"/>
    </row>
    <row r="122" spans="1:8" x14ac:dyDescent="0.2">
      <c r="A122" s="75"/>
      <c r="B122" s="61"/>
      <c r="C122" s="76"/>
      <c r="D122" s="77">
        <f>SUM(D121:D121)</f>
        <v>1559.6</v>
      </c>
      <c r="E122" s="42"/>
      <c r="F122" s="42"/>
      <c r="G122" s="42"/>
      <c r="H122" s="42"/>
    </row>
    <row r="123" spans="1:8" x14ac:dyDescent="0.2">
      <c r="A123" s="78" t="s">
        <v>58</v>
      </c>
      <c r="B123" s="79"/>
      <c r="C123" s="80"/>
      <c r="D123" s="77">
        <f>D122+D118</f>
        <v>4354663.24</v>
      </c>
      <c r="E123" s="42"/>
      <c r="F123" s="42"/>
      <c r="G123" s="42"/>
      <c r="H123" s="42"/>
    </row>
    <row r="124" spans="1:8" x14ac:dyDescent="0.2">
      <c r="A124" s="84"/>
      <c r="B124" s="84"/>
      <c r="C124" s="85"/>
      <c r="D124" s="81"/>
      <c r="E124" s="42"/>
      <c r="F124" s="42"/>
      <c r="G124" s="42"/>
      <c r="H124" s="42"/>
    </row>
    <row r="125" spans="1:8" x14ac:dyDescent="0.2">
      <c r="A125" s="84"/>
      <c r="B125" s="84"/>
      <c r="C125" s="85"/>
      <c r="D125" s="81">
        <f>[5]Charters!E231</f>
        <v>4354663.24</v>
      </c>
      <c r="E125" s="42"/>
      <c r="F125" s="42"/>
      <c r="G125" s="42"/>
      <c r="H125" s="42"/>
    </row>
    <row r="126" spans="1:8" x14ac:dyDescent="0.2">
      <c r="A126" s="84"/>
      <c r="B126" s="84"/>
      <c r="C126" s="85"/>
      <c r="D126" s="81">
        <f>D123</f>
        <v>4354663.24</v>
      </c>
      <c r="E126" s="42"/>
      <c r="F126" s="42"/>
      <c r="G126" s="42"/>
      <c r="H126" s="42"/>
    </row>
    <row r="127" spans="1:8" x14ac:dyDescent="0.2">
      <c r="C127" s="83"/>
      <c r="D127" s="42">
        <f>D125-D126</f>
        <v>0</v>
      </c>
      <c r="E127" s="42"/>
      <c r="F127" s="42"/>
      <c r="G127" s="42"/>
      <c r="H127" s="42"/>
    </row>
  </sheetData>
  <mergeCells count="4">
    <mergeCell ref="A123:C123"/>
    <mergeCell ref="A70:D70"/>
    <mergeCell ref="A71:D71"/>
    <mergeCell ref="A69:D69"/>
  </mergeCells>
  <printOptions horizontalCentered="1" verticalCentered="1"/>
  <pageMargins left="0.5" right="0.5" top="0.5" bottom="0.5" header="0.25" footer="0.25"/>
  <pageSetup orientation="portrait" r:id="rId1"/>
  <headerFooter alignWithMargins="0">
    <oddHeader>&amp;R&amp;8Current as of: &amp;D</oddHeader>
    <oddFooter>&amp;L&amp;8USOE, School Finance</oddFooter>
  </headerFooter>
  <picture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>
    <pageSetUpPr fitToPage="1"/>
  </sheetPr>
  <dimension ref="A1:H128"/>
  <sheetViews>
    <sheetView topLeftCell="A66" workbookViewId="0">
      <selection activeCell="C12" sqref="C12"/>
    </sheetView>
  </sheetViews>
  <sheetFormatPr defaultColWidth="9.140625" defaultRowHeight="12.75" x14ac:dyDescent="0.2"/>
  <cols>
    <col min="1" max="1" width="31.85546875" style="82" customWidth="1"/>
    <col min="2" max="2" width="16.28515625" style="82" customWidth="1"/>
    <col min="3" max="4" width="14.85546875" style="82" customWidth="1"/>
    <col min="5" max="5" width="7" style="82" customWidth="1"/>
    <col min="6" max="6" width="19.7109375" style="82" customWidth="1"/>
    <col min="7" max="7" width="5.7109375" style="82" customWidth="1"/>
    <col min="8" max="8" width="18" style="82" customWidth="1"/>
    <col min="9" max="16384" width="9.140625" style="82"/>
  </cols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"/>
      <c r="B3" s="1"/>
      <c r="C3" s="1"/>
      <c r="D3" s="1"/>
      <c r="E3" s="1"/>
      <c r="F3" s="1"/>
      <c r="G3" s="1"/>
      <c r="H3" s="1"/>
    </row>
    <row r="4" spans="1:8" x14ac:dyDescent="0.2">
      <c r="A4" s="1"/>
      <c r="B4" s="1"/>
      <c r="C4" s="1"/>
      <c r="D4" s="1"/>
      <c r="E4" s="1"/>
      <c r="F4" s="1"/>
      <c r="G4" s="1"/>
      <c r="H4" s="1"/>
    </row>
    <row r="5" spans="1:8" x14ac:dyDescent="0.2">
      <c r="A5" s="1"/>
      <c r="B5" s="1"/>
      <c r="C5" s="1"/>
      <c r="D5" s="1"/>
      <c r="E5" s="1"/>
      <c r="F5" s="1"/>
      <c r="G5" s="1"/>
      <c r="H5" s="1"/>
    </row>
    <row r="6" spans="1:8" x14ac:dyDescent="0.2">
      <c r="A6" s="1"/>
      <c r="B6" s="1"/>
      <c r="C6" s="1"/>
      <c r="D6" s="1"/>
      <c r="E6" s="1"/>
      <c r="F6" s="1"/>
      <c r="G6" s="1"/>
      <c r="H6" s="1"/>
    </row>
    <row r="7" spans="1:8" x14ac:dyDescent="0.2">
      <c r="A7" s="1"/>
      <c r="B7" s="1"/>
      <c r="C7" s="1"/>
      <c r="D7" s="1"/>
      <c r="E7" s="1"/>
      <c r="F7" s="1"/>
      <c r="G7" s="1"/>
      <c r="H7" s="1"/>
    </row>
    <row r="8" spans="1:8" x14ac:dyDescent="0.2">
      <c r="A8" s="1"/>
      <c r="B8" s="1"/>
      <c r="C8" s="1"/>
      <c r="D8" s="1"/>
      <c r="E8" s="1"/>
      <c r="F8" s="1"/>
      <c r="G8" s="1"/>
      <c r="H8" s="1"/>
    </row>
    <row r="9" spans="1:8" x14ac:dyDescent="0.2">
      <c r="A9" s="1"/>
      <c r="B9" s="1"/>
      <c r="C9" s="1"/>
      <c r="D9" s="1"/>
      <c r="E9" s="1"/>
      <c r="F9" s="1"/>
      <c r="G9" s="1"/>
      <c r="H9" s="1"/>
    </row>
    <row r="10" spans="1:8" x14ac:dyDescent="0.2">
      <c r="A10" s="1"/>
      <c r="B10" s="1"/>
      <c r="C10" s="1"/>
      <c r="D10" s="1"/>
      <c r="E10" s="1"/>
      <c r="F10" s="1"/>
      <c r="G10" s="1"/>
      <c r="H10" s="1"/>
    </row>
    <row r="11" spans="1:8" x14ac:dyDescent="0.2">
      <c r="A11" s="1"/>
      <c r="B11" s="1"/>
      <c r="C11" s="1"/>
      <c r="D11" s="1"/>
      <c r="E11" s="1"/>
      <c r="F11" s="1"/>
      <c r="G11" s="1"/>
      <c r="H11" s="1"/>
    </row>
    <row r="12" spans="1:8" x14ac:dyDescent="0.2">
      <c r="A12" s="1"/>
      <c r="B12" s="1"/>
      <c r="C12" s="1"/>
      <c r="D12" s="1"/>
      <c r="E12" s="1"/>
      <c r="F12" s="1"/>
      <c r="G12" s="1"/>
      <c r="H12" s="1"/>
    </row>
    <row r="13" spans="1:8" x14ac:dyDescent="0.2">
      <c r="A13" s="1"/>
      <c r="B13" s="1"/>
      <c r="C13" s="1"/>
      <c r="D13" s="1"/>
      <c r="E13" s="1"/>
      <c r="F13" s="1"/>
      <c r="G13" s="1"/>
      <c r="H13" s="1"/>
    </row>
    <row r="14" spans="1:8" x14ac:dyDescent="0.2">
      <c r="A14" s="1"/>
      <c r="B14" s="1"/>
      <c r="C14" s="1"/>
      <c r="D14" s="1"/>
      <c r="E14" s="1"/>
      <c r="F14" s="1"/>
      <c r="G14" s="1"/>
      <c r="H14" s="1"/>
    </row>
    <row r="15" spans="1:8" x14ac:dyDescent="0.2">
      <c r="A15" s="1"/>
      <c r="B15" s="1"/>
      <c r="C15" s="1"/>
      <c r="D15" s="1"/>
      <c r="E15" s="1"/>
      <c r="F15" s="1"/>
      <c r="G15" s="1"/>
      <c r="H15" s="1"/>
    </row>
    <row r="16" spans="1:8" x14ac:dyDescent="0.2">
      <c r="A16" s="1"/>
      <c r="B16" s="1"/>
      <c r="C16" s="1"/>
      <c r="D16" s="1"/>
      <c r="E16" s="1"/>
      <c r="F16" s="1"/>
      <c r="G16" s="1"/>
      <c r="H16" s="1"/>
    </row>
    <row r="17" spans="1:8" x14ac:dyDescent="0.2">
      <c r="A17" s="1"/>
      <c r="B17" s="1"/>
      <c r="C17" s="1"/>
      <c r="D17" s="1"/>
      <c r="E17" s="1"/>
      <c r="F17" s="1"/>
      <c r="G17" s="1"/>
      <c r="H17" s="1"/>
    </row>
    <row r="18" spans="1:8" x14ac:dyDescent="0.2">
      <c r="A18" s="1"/>
      <c r="B18" s="1"/>
      <c r="C18" s="1"/>
      <c r="D18" s="1"/>
      <c r="E18" s="1"/>
      <c r="F18" s="1"/>
      <c r="G18" s="1"/>
      <c r="H18" s="1"/>
    </row>
    <row r="19" spans="1:8" x14ac:dyDescent="0.2">
      <c r="A19" s="1"/>
      <c r="B19" s="1"/>
      <c r="C19" s="1"/>
      <c r="D19" s="1"/>
      <c r="E19" s="1"/>
      <c r="F19" s="1"/>
      <c r="G19" s="1"/>
      <c r="H19" s="1"/>
    </row>
    <row r="20" spans="1:8" x14ac:dyDescent="0.2">
      <c r="A20" s="1"/>
      <c r="B20" s="1"/>
      <c r="C20" s="1"/>
      <c r="D20" s="1"/>
      <c r="E20" s="1"/>
      <c r="F20" s="1"/>
      <c r="G20" s="1"/>
      <c r="H20" s="1"/>
    </row>
    <row r="21" spans="1:8" x14ac:dyDescent="0.2">
      <c r="A21" s="1"/>
      <c r="B21" s="1"/>
      <c r="C21" s="1"/>
      <c r="D21" s="1"/>
      <c r="E21" s="1"/>
      <c r="F21" s="1"/>
      <c r="G21" s="1"/>
      <c r="H21" s="1"/>
    </row>
    <row r="22" spans="1:8" x14ac:dyDescent="0.2">
      <c r="A22" s="1"/>
      <c r="B22" s="1"/>
      <c r="C22" s="1"/>
      <c r="D22" s="4"/>
      <c r="E22" s="1"/>
      <c r="F22" s="1"/>
      <c r="G22" s="1"/>
      <c r="H22" s="1"/>
    </row>
    <row r="23" spans="1:8" x14ac:dyDescent="0.2">
      <c r="A23" s="1"/>
      <c r="B23" s="1"/>
      <c r="C23" s="1"/>
      <c r="D23" s="1"/>
      <c r="E23" s="1"/>
      <c r="F23" s="1"/>
      <c r="G23" s="1"/>
      <c r="H23" s="1"/>
    </row>
    <row r="24" spans="1:8" x14ac:dyDescent="0.2">
      <c r="A24" s="1"/>
      <c r="B24" s="1"/>
      <c r="C24" s="1"/>
      <c r="D24" s="1"/>
      <c r="E24" s="1"/>
      <c r="F24" s="1"/>
      <c r="G24" s="1"/>
      <c r="H24" s="1"/>
    </row>
    <row r="25" spans="1:8" x14ac:dyDescent="0.2">
      <c r="A25" s="1"/>
      <c r="B25" s="1"/>
      <c r="C25" s="1"/>
      <c r="D25" s="1"/>
      <c r="E25" s="1"/>
      <c r="F25" s="1"/>
      <c r="G25" s="1"/>
      <c r="H25" s="1"/>
    </row>
    <row r="26" spans="1:8" x14ac:dyDescent="0.2">
      <c r="A26" s="1"/>
      <c r="B26" s="1"/>
      <c r="C26" s="1"/>
      <c r="D26" s="1"/>
      <c r="E26" s="1"/>
      <c r="F26" s="1"/>
      <c r="G26" s="1"/>
      <c r="H26" s="1"/>
    </row>
    <row r="27" spans="1:8" x14ac:dyDescent="0.2">
      <c r="A27" s="1"/>
      <c r="B27" s="1"/>
      <c r="C27" s="1"/>
      <c r="D27" s="1"/>
      <c r="E27" s="1"/>
      <c r="F27" s="1"/>
      <c r="G27" s="1"/>
      <c r="H27" s="1"/>
    </row>
    <row r="28" spans="1:8" x14ac:dyDescent="0.2">
      <c r="A28" s="1"/>
      <c r="B28" s="1"/>
      <c r="C28" s="1"/>
      <c r="D28" s="1"/>
      <c r="E28" s="1"/>
      <c r="F28" s="1"/>
      <c r="G28" s="1"/>
      <c r="H28" s="1"/>
    </row>
    <row r="29" spans="1:8" x14ac:dyDescent="0.2">
      <c r="A29" s="1"/>
      <c r="B29" s="1"/>
      <c r="C29" s="1"/>
      <c r="D29" s="1"/>
      <c r="E29" s="1"/>
      <c r="F29" s="1"/>
      <c r="G29" s="1"/>
      <c r="H29" s="1"/>
    </row>
    <row r="30" spans="1:8" x14ac:dyDescent="0.2">
      <c r="A30" s="1"/>
      <c r="B30" s="1"/>
      <c r="C30" s="1"/>
      <c r="D30" s="1"/>
      <c r="E30" s="1"/>
      <c r="F30" s="1"/>
      <c r="G30" s="1"/>
      <c r="H30" s="1"/>
    </row>
    <row r="31" spans="1:8" x14ac:dyDescent="0.2">
      <c r="A31" s="1"/>
      <c r="B31" s="1"/>
      <c r="C31" s="1"/>
      <c r="D31" s="1"/>
      <c r="E31" s="1"/>
      <c r="F31" s="1"/>
      <c r="G31" s="1"/>
      <c r="H31" s="1"/>
    </row>
    <row r="32" spans="1:8" x14ac:dyDescent="0.2">
      <c r="A32" s="1"/>
      <c r="B32" s="1"/>
      <c r="C32" s="1"/>
      <c r="D32" s="1"/>
      <c r="E32" s="1"/>
      <c r="F32" s="1"/>
      <c r="G32" s="1"/>
      <c r="H32" s="1"/>
    </row>
    <row r="33" spans="1:8" x14ac:dyDescent="0.2">
      <c r="A33" s="1"/>
      <c r="B33" s="1"/>
      <c r="C33" s="1"/>
      <c r="D33" s="1"/>
      <c r="E33" s="1"/>
      <c r="F33" s="1"/>
      <c r="G33" s="1"/>
      <c r="H33" s="1"/>
    </row>
    <row r="34" spans="1:8" x14ac:dyDescent="0.2">
      <c r="A34" s="1"/>
      <c r="B34" s="1"/>
      <c r="C34" s="1"/>
      <c r="D34" s="1"/>
      <c r="E34" s="1"/>
      <c r="F34" s="1"/>
      <c r="G34" s="1"/>
      <c r="H34" s="1"/>
    </row>
    <row r="35" spans="1:8" x14ac:dyDescent="0.2">
      <c r="A35" s="1"/>
      <c r="B35" s="1"/>
      <c r="C35" s="1"/>
      <c r="D35" s="1"/>
      <c r="E35" s="1"/>
      <c r="F35" s="1"/>
      <c r="G35" s="1"/>
      <c r="H35" s="1"/>
    </row>
    <row r="36" spans="1:8" x14ac:dyDescent="0.2">
      <c r="A36" s="1"/>
      <c r="B36" s="1"/>
      <c r="C36" s="1"/>
      <c r="D36" s="1"/>
      <c r="E36" s="1"/>
      <c r="F36" s="1"/>
      <c r="G36" s="1"/>
      <c r="H36" s="1"/>
    </row>
    <row r="37" spans="1:8" x14ac:dyDescent="0.2">
      <c r="A37" s="1"/>
      <c r="B37" s="1"/>
      <c r="C37" s="1"/>
      <c r="D37" s="1"/>
      <c r="E37" s="1"/>
      <c r="F37" s="1"/>
      <c r="G37" s="1"/>
      <c r="H37" s="1"/>
    </row>
    <row r="38" spans="1:8" x14ac:dyDescent="0.2">
      <c r="A38" s="1"/>
      <c r="B38" s="1"/>
      <c r="C38" s="1"/>
      <c r="D38" s="1"/>
      <c r="E38" s="1"/>
      <c r="F38" s="1"/>
      <c r="G38" s="1"/>
      <c r="H38" s="1"/>
    </row>
    <row r="39" spans="1:8" x14ac:dyDescent="0.2">
      <c r="A39" s="1"/>
      <c r="B39" s="1"/>
      <c r="C39" s="1"/>
      <c r="D39" s="1"/>
      <c r="E39" s="1"/>
      <c r="F39" s="1"/>
      <c r="G39" s="1"/>
      <c r="H39" s="1"/>
    </row>
    <row r="40" spans="1:8" x14ac:dyDescent="0.2">
      <c r="A40" s="1"/>
      <c r="B40" s="1"/>
      <c r="C40" s="1"/>
      <c r="D40" s="1"/>
      <c r="E40" s="1"/>
      <c r="F40" s="1"/>
      <c r="G40" s="1"/>
      <c r="H40" s="1"/>
    </row>
    <row r="41" spans="1:8" x14ac:dyDescent="0.2">
      <c r="A41" s="1"/>
      <c r="B41" s="1"/>
      <c r="C41" s="1"/>
      <c r="D41" s="1"/>
      <c r="E41" s="1"/>
      <c r="F41" s="1"/>
      <c r="G41" s="1"/>
      <c r="H41" s="1"/>
    </row>
    <row r="42" spans="1:8" x14ac:dyDescent="0.2">
      <c r="A42" s="1"/>
      <c r="B42" s="1"/>
      <c r="C42" s="1"/>
      <c r="D42" s="1"/>
      <c r="E42" s="1"/>
      <c r="F42" s="1"/>
      <c r="G42" s="1"/>
      <c r="H42" s="1"/>
    </row>
    <row r="43" spans="1:8" x14ac:dyDescent="0.2">
      <c r="A43" s="1"/>
      <c r="B43" s="1"/>
      <c r="C43" s="1"/>
      <c r="D43" s="1"/>
      <c r="E43" s="1"/>
      <c r="F43" s="1"/>
      <c r="G43" s="1"/>
      <c r="H43" s="1"/>
    </row>
    <row r="44" spans="1:8" x14ac:dyDescent="0.2">
      <c r="A44" s="1"/>
      <c r="B44" s="1"/>
      <c r="C44" s="1"/>
      <c r="D44" s="1"/>
      <c r="E44" s="1"/>
      <c r="F44" s="1"/>
      <c r="G44" s="1"/>
      <c r="H44" s="1"/>
    </row>
    <row r="45" spans="1:8" x14ac:dyDescent="0.2">
      <c r="A45" s="1"/>
      <c r="B45" s="1"/>
      <c r="C45" s="1"/>
      <c r="D45" s="1"/>
      <c r="E45" s="1"/>
      <c r="F45" s="1"/>
      <c r="G45" s="1"/>
      <c r="H45" s="1"/>
    </row>
    <row r="46" spans="1:8" x14ac:dyDescent="0.2">
      <c r="A46" s="1"/>
      <c r="B46" s="1"/>
      <c r="C46" s="1"/>
      <c r="D46" s="1"/>
      <c r="E46" s="1"/>
      <c r="F46" s="1"/>
      <c r="G46" s="1"/>
      <c r="H46" s="1"/>
    </row>
    <row r="47" spans="1:8" x14ac:dyDescent="0.2">
      <c r="A47" s="1"/>
      <c r="B47" s="1"/>
      <c r="C47" s="1"/>
      <c r="D47" s="1"/>
      <c r="E47" s="1"/>
      <c r="F47" s="1"/>
      <c r="G47" s="1"/>
      <c r="H47" s="1"/>
    </row>
    <row r="48" spans="1:8" x14ac:dyDescent="0.2">
      <c r="A48" s="1"/>
      <c r="B48" s="1"/>
      <c r="C48" s="1"/>
      <c r="D48" s="1"/>
      <c r="E48" s="1"/>
      <c r="F48" s="1"/>
      <c r="G48" s="1"/>
      <c r="H48" s="1"/>
    </row>
    <row r="49" spans="1:8" x14ac:dyDescent="0.2">
      <c r="A49" s="1"/>
      <c r="B49" s="1"/>
      <c r="C49" s="1"/>
      <c r="D49" s="1"/>
      <c r="E49" s="1"/>
      <c r="F49" s="1"/>
      <c r="G49" s="1"/>
      <c r="H49" s="1"/>
    </row>
    <row r="50" spans="1:8" x14ac:dyDescent="0.2">
      <c r="A50" s="1"/>
      <c r="B50" s="1"/>
      <c r="C50" s="1"/>
      <c r="D50" s="1"/>
      <c r="E50" s="1"/>
      <c r="F50" s="1"/>
      <c r="G50" s="1"/>
      <c r="H50" s="1"/>
    </row>
    <row r="51" spans="1:8" x14ac:dyDescent="0.2">
      <c r="A51" s="1"/>
      <c r="B51" s="1"/>
      <c r="C51" s="1"/>
      <c r="D51" s="1"/>
      <c r="E51" s="1"/>
      <c r="F51" s="1"/>
      <c r="G51" s="1"/>
      <c r="H51" s="1"/>
    </row>
    <row r="52" spans="1:8" x14ac:dyDescent="0.2">
      <c r="A52" s="1"/>
      <c r="B52" s="1"/>
      <c r="C52" s="1"/>
      <c r="D52" s="1"/>
      <c r="E52" s="1"/>
      <c r="F52" s="1"/>
      <c r="G52" s="1"/>
      <c r="H52" s="1"/>
    </row>
    <row r="53" spans="1:8" x14ac:dyDescent="0.2">
      <c r="A53" s="1"/>
      <c r="B53" s="1"/>
      <c r="C53" s="1"/>
      <c r="D53" s="1"/>
      <c r="E53" s="1"/>
      <c r="F53" s="1"/>
      <c r="G53" s="1"/>
      <c r="H53" s="1"/>
    </row>
    <row r="54" spans="1:8" x14ac:dyDescent="0.2">
      <c r="A54" s="1"/>
      <c r="B54" s="1"/>
      <c r="C54" s="1"/>
      <c r="D54" s="1"/>
      <c r="E54" s="1"/>
      <c r="F54" s="1"/>
      <c r="G54" s="1"/>
      <c r="H54" s="1"/>
    </row>
    <row r="55" spans="1:8" x14ac:dyDescent="0.2">
      <c r="A55" s="1"/>
      <c r="B55" s="1"/>
      <c r="C55" s="1"/>
      <c r="D55" s="1"/>
      <c r="E55" s="1"/>
      <c r="F55" s="1"/>
      <c r="G55" s="1"/>
      <c r="H55" s="1"/>
    </row>
    <row r="56" spans="1:8" x14ac:dyDescent="0.2">
      <c r="A56" s="1"/>
      <c r="B56" s="1"/>
      <c r="C56" s="1"/>
      <c r="D56" s="1"/>
      <c r="E56" s="1"/>
      <c r="F56" s="1"/>
      <c r="G56" s="1"/>
      <c r="H56" s="1"/>
    </row>
    <row r="57" spans="1:8" x14ac:dyDescent="0.2">
      <c r="A57" s="1"/>
      <c r="B57" s="1"/>
      <c r="C57" s="1"/>
      <c r="D57" s="1"/>
      <c r="E57" s="1"/>
      <c r="F57" s="1"/>
      <c r="G57" s="1"/>
      <c r="H57" s="1"/>
    </row>
    <row r="58" spans="1:8" x14ac:dyDescent="0.2">
      <c r="A58" s="1"/>
      <c r="B58" s="1"/>
      <c r="C58" s="1"/>
      <c r="D58" s="1"/>
      <c r="E58" s="1"/>
      <c r="F58" s="1"/>
      <c r="G58" s="1"/>
      <c r="H58" s="1"/>
    </row>
    <row r="59" spans="1:8" x14ac:dyDescent="0.2">
      <c r="A59" s="1"/>
      <c r="B59" s="1"/>
      <c r="C59" s="1"/>
      <c r="D59" s="1"/>
      <c r="E59" s="1"/>
      <c r="F59" s="1"/>
      <c r="G59" s="1"/>
      <c r="H59" s="1"/>
    </row>
    <row r="60" spans="1:8" x14ac:dyDescent="0.2">
      <c r="A60" s="1"/>
      <c r="B60" s="1"/>
      <c r="C60" s="1"/>
      <c r="D60" s="1"/>
      <c r="E60" s="1"/>
      <c r="F60" s="1"/>
      <c r="G60" s="1"/>
      <c r="H60" s="1"/>
    </row>
    <row r="61" spans="1:8" x14ac:dyDescent="0.2">
      <c r="A61" s="1"/>
      <c r="B61" s="1"/>
      <c r="C61" s="1"/>
      <c r="D61" s="1"/>
      <c r="E61" s="1"/>
      <c r="F61" s="1"/>
      <c r="G61" s="1"/>
      <c r="H61" s="1"/>
    </row>
    <row r="62" spans="1:8" x14ac:dyDescent="0.2">
      <c r="A62" s="1"/>
      <c r="B62" s="1"/>
      <c r="C62" s="1"/>
      <c r="D62" s="1"/>
      <c r="E62" s="1"/>
      <c r="F62" s="1"/>
      <c r="G62" s="1"/>
      <c r="H62" s="1"/>
    </row>
    <row r="63" spans="1:8" x14ac:dyDescent="0.2">
      <c r="A63" s="1"/>
      <c r="B63" s="1"/>
      <c r="C63" s="1"/>
      <c r="D63" s="1"/>
      <c r="E63" s="1"/>
      <c r="F63" s="1"/>
      <c r="G63" s="1"/>
      <c r="H63" s="1"/>
    </row>
    <row r="64" spans="1:8" x14ac:dyDescent="0.2">
      <c r="A64" s="1"/>
      <c r="B64" s="1"/>
      <c r="C64" s="1"/>
      <c r="D64" s="1"/>
      <c r="E64" s="1"/>
      <c r="F64" s="1"/>
      <c r="G64" s="1"/>
      <c r="H64" s="1"/>
    </row>
    <row r="65" spans="1:8" x14ac:dyDescent="0.2">
      <c r="A65" s="1"/>
      <c r="B65" s="1"/>
      <c r="C65" s="1"/>
      <c r="D65" s="1"/>
      <c r="E65" s="1"/>
      <c r="F65" s="1"/>
      <c r="G65" s="1"/>
      <c r="H65" s="1"/>
    </row>
    <row r="66" spans="1:8" x14ac:dyDescent="0.2">
      <c r="A66" s="1"/>
      <c r="B66" s="1"/>
      <c r="C66" s="1"/>
      <c r="D66" s="1"/>
      <c r="E66" s="1"/>
      <c r="F66" s="1"/>
      <c r="G66" s="1"/>
      <c r="H66" s="1"/>
    </row>
    <row r="67" spans="1:8" x14ac:dyDescent="0.2">
      <c r="A67" s="1"/>
      <c r="B67" s="1"/>
      <c r="C67" s="1"/>
      <c r="D67" s="1"/>
      <c r="E67" s="1"/>
      <c r="F67" s="1"/>
      <c r="G67" s="1"/>
      <c r="H67" s="1"/>
    </row>
    <row r="68" spans="1:8" x14ac:dyDescent="0.2">
      <c r="A68" s="1"/>
      <c r="B68" s="1"/>
      <c r="C68" s="1"/>
      <c r="D68" s="1"/>
      <c r="E68" s="1"/>
      <c r="F68" s="1"/>
      <c r="G68" s="1"/>
      <c r="H68" s="1"/>
    </row>
    <row r="69" spans="1:8" x14ac:dyDescent="0.2">
      <c r="A69" s="1"/>
      <c r="B69" s="1"/>
      <c r="C69" s="1"/>
      <c r="D69" s="1"/>
      <c r="E69" s="1"/>
      <c r="F69" s="1"/>
      <c r="G69" s="1"/>
      <c r="H69" s="1"/>
    </row>
    <row r="70" spans="1:8" x14ac:dyDescent="0.2">
      <c r="A70" s="11" t="s">
        <v>1</v>
      </c>
      <c r="B70" s="12"/>
      <c r="C70" s="12"/>
      <c r="D70" s="13"/>
      <c r="E70" s="8"/>
      <c r="F70" s="8"/>
      <c r="G70" s="8"/>
      <c r="H70" s="8"/>
    </row>
    <row r="71" spans="1:8" x14ac:dyDescent="0.2">
      <c r="A71" s="14" t="s">
        <v>15</v>
      </c>
      <c r="B71" s="15"/>
      <c r="C71" s="15"/>
      <c r="D71" s="16"/>
      <c r="E71" s="8"/>
      <c r="F71" s="8"/>
      <c r="G71" s="8"/>
      <c r="H71" s="8"/>
    </row>
    <row r="72" spans="1:8" x14ac:dyDescent="0.2">
      <c r="A72" s="17" t="s">
        <v>62</v>
      </c>
      <c r="B72" s="18"/>
      <c r="C72" s="18"/>
      <c r="D72" s="19"/>
      <c r="E72" s="8"/>
      <c r="F72" s="8"/>
      <c r="G72" s="8"/>
      <c r="H72" s="8"/>
    </row>
    <row r="73" spans="1:8" x14ac:dyDescent="0.2">
      <c r="A73" s="20"/>
      <c r="B73" s="21"/>
      <c r="C73" s="22"/>
      <c r="D73" s="23"/>
      <c r="E73" s="8"/>
      <c r="F73" s="8" t="s">
        <v>34</v>
      </c>
      <c r="G73" s="8"/>
      <c r="H73" s="8"/>
    </row>
    <row r="74" spans="1:8" ht="15.75" x14ac:dyDescent="0.25">
      <c r="A74" s="24" t="s">
        <v>2</v>
      </c>
      <c r="B74" s="25" t="str">
        <f>[1]Charters!B77</f>
        <v>Hawthorn Academy</v>
      </c>
      <c r="C74" s="26"/>
      <c r="D74" s="27"/>
      <c r="E74" s="8"/>
      <c r="F74" s="8"/>
      <c r="G74" s="8"/>
      <c r="H74" s="8"/>
    </row>
    <row r="75" spans="1:8" x14ac:dyDescent="0.2">
      <c r="A75" s="24"/>
      <c r="B75" s="28"/>
      <c r="C75" s="26"/>
      <c r="D75" s="27"/>
      <c r="E75" s="8"/>
      <c r="F75" s="8"/>
      <c r="G75" s="8"/>
      <c r="H75" s="8"/>
    </row>
    <row r="76" spans="1:8" x14ac:dyDescent="0.2">
      <c r="A76" s="29" t="s">
        <v>0</v>
      </c>
      <c r="B76" s="30">
        <f>[1]Charters!$E$6</f>
        <v>3184</v>
      </c>
      <c r="C76" s="26"/>
      <c r="D76" s="31"/>
      <c r="E76" s="8"/>
      <c r="F76" s="8"/>
      <c r="G76" s="8"/>
      <c r="H76" s="8"/>
    </row>
    <row r="77" spans="1:8" x14ac:dyDescent="0.2">
      <c r="A77" s="32"/>
      <c r="B77" s="6"/>
      <c r="C77" s="33"/>
      <c r="D77" s="34" t="s">
        <v>3</v>
      </c>
      <c r="E77" s="8"/>
      <c r="F77" s="8"/>
      <c r="G77" s="8"/>
      <c r="H77" s="8"/>
    </row>
    <row r="78" spans="1:8" x14ac:dyDescent="0.2">
      <c r="A78" s="29" t="s">
        <v>19</v>
      </c>
      <c r="B78" s="35" t="str">
        <f>[1]Charters!A77</f>
        <v>8F</v>
      </c>
      <c r="C78" s="36" t="s">
        <v>4</v>
      </c>
      <c r="D78" s="37" t="s">
        <v>5</v>
      </c>
      <c r="E78" s="8"/>
      <c r="F78" s="8"/>
      <c r="G78" s="8"/>
      <c r="H78" s="8"/>
    </row>
    <row r="79" spans="1:8" x14ac:dyDescent="0.2">
      <c r="A79" s="38" t="s">
        <v>6</v>
      </c>
      <c r="B79" s="39"/>
      <c r="C79" s="40"/>
      <c r="D79" s="41"/>
      <c r="E79" s="8"/>
      <c r="F79" s="8"/>
      <c r="G79" s="8"/>
      <c r="H79" s="8"/>
    </row>
    <row r="80" spans="1:8" x14ac:dyDescent="0.2">
      <c r="A80" s="38" t="s">
        <v>7</v>
      </c>
      <c r="B80" s="39"/>
      <c r="C80" s="40"/>
      <c r="D80" s="41"/>
      <c r="E80" s="8"/>
      <c r="F80" s="42" t="s">
        <v>23</v>
      </c>
      <c r="G80" s="8"/>
      <c r="H80" s="42" t="s">
        <v>26</v>
      </c>
    </row>
    <row r="81" spans="1:8" x14ac:dyDescent="0.2">
      <c r="A81" s="20" t="s">
        <v>8</v>
      </c>
      <c r="B81" s="43"/>
      <c r="C81" s="44">
        <f>[1]Charters!C537</f>
        <v>1320.96</v>
      </c>
      <c r="D81" s="45">
        <f>[1]Charters!E537</f>
        <v>4205936.2300000004</v>
      </c>
      <c r="E81" s="8"/>
      <c r="F81" s="42">
        <f>[1]Charters!E692</f>
        <v>4419496.8499999996</v>
      </c>
      <c r="G81" s="8"/>
      <c r="H81" s="42">
        <f>[2]Charters!E231</f>
        <v>5682134.71</v>
      </c>
    </row>
    <row r="82" spans="1:8" x14ac:dyDescent="0.2">
      <c r="A82" s="20" t="s">
        <v>14</v>
      </c>
      <c r="B82" s="43"/>
      <c r="C82" s="44">
        <f>[1]Charters!F537</f>
        <v>67.072999999999993</v>
      </c>
      <c r="D82" s="45">
        <f>[1]Charters!H537</f>
        <v>213560.62</v>
      </c>
      <c r="E82" s="8"/>
      <c r="F82" s="42">
        <f>SUM(D81:D83)</f>
        <v>4419496.8499999996</v>
      </c>
      <c r="G82" s="8"/>
      <c r="H82" s="42">
        <f>D94</f>
        <v>5682134.71</v>
      </c>
    </row>
    <row r="83" spans="1:8" x14ac:dyDescent="0.2">
      <c r="A83" s="20" t="s">
        <v>32</v>
      </c>
      <c r="B83" s="43"/>
      <c r="C83" s="44">
        <f>[1]Charters!C230</f>
        <v>0</v>
      </c>
      <c r="D83" s="45">
        <f>[1]Charters!E230</f>
        <v>0</v>
      </c>
      <c r="E83" s="8"/>
      <c r="F83" s="42">
        <f>+F81-F82</f>
        <v>0</v>
      </c>
      <c r="G83" s="8"/>
      <c r="H83" s="42">
        <f>+H81-H82</f>
        <v>0</v>
      </c>
    </row>
    <row r="84" spans="1:8" x14ac:dyDescent="0.2">
      <c r="A84" s="38" t="s">
        <v>9</v>
      </c>
      <c r="B84" s="39"/>
      <c r="C84" s="46"/>
      <c r="D84" s="47"/>
      <c r="E84" s="8"/>
      <c r="F84" s="8"/>
      <c r="G84" s="8"/>
      <c r="H84" s="8"/>
    </row>
    <row r="85" spans="1:8" x14ac:dyDescent="0.2">
      <c r="A85" s="20" t="s">
        <v>10</v>
      </c>
      <c r="B85" s="43"/>
      <c r="C85" s="40">
        <f>[3]Charters!C76</f>
        <v>251.46100000000001</v>
      </c>
      <c r="D85" s="41">
        <f>[3]Charters!E76</f>
        <v>800651.25</v>
      </c>
      <c r="E85" s="8"/>
      <c r="F85" s="42" t="s">
        <v>24</v>
      </c>
      <c r="G85" s="8"/>
      <c r="H85" s="8"/>
    </row>
    <row r="86" spans="1:8" x14ac:dyDescent="0.2">
      <c r="A86" s="48" t="s">
        <v>11</v>
      </c>
      <c r="B86" s="43"/>
      <c r="C86" s="40">
        <f>[3]Charters!F76</f>
        <v>7.31</v>
      </c>
      <c r="D86" s="49">
        <f>[3]Charters!H76</f>
        <v>23275.040000000001</v>
      </c>
      <c r="E86" s="8"/>
      <c r="F86" s="42">
        <f>[3]Charters!N388</f>
        <v>837585.77</v>
      </c>
      <c r="G86" s="8"/>
      <c r="H86" s="8"/>
    </row>
    <row r="87" spans="1:8" x14ac:dyDescent="0.2">
      <c r="A87" s="48" t="s">
        <v>12</v>
      </c>
      <c r="B87" s="43"/>
      <c r="C87" s="40">
        <f>[3]Charters!C231</f>
        <v>0</v>
      </c>
      <c r="D87" s="41">
        <f>[3]Charters!E231</f>
        <v>0</v>
      </c>
      <c r="E87" s="8"/>
      <c r="F87" s="42">
        <f>SUM(D85:D91)</f>
        <v>837585.77</v>
      </c>
      <c r="G87" s="8"/>
      <c r="H87" s="8"/>
    </row>
    <row r="88" spans="1:8" x14ac:dyDescent="0.2">
      <c r="A88" s="20" t="s">
        <v>13</v>
      </c>
      <c r="B88" s="43"/>
      <c r="C88" s="40">
        <f>[3]Charters!F231</f>
        <v>0.70899999999999996</v>
      </c>
      <c r="D88" s="41">
        <f>[3]Charters!H231</f>
        <v>2259</v>
      </c>
      <c r="E88" s="8"/>
      <c r="F88" s="42">
        <f>+F86-F87</f>
        <v>0</v>
      </c>
      <c r="G88" s="8"/>
      <c r="H88" s="8"/>
    </row>
    <row r="89" spans="1:8" x14ac:dyDescent="0.2">
      <c r="A89" s="48" t="s">
        <v>54</v>
      </c>
      <c r="B89" s="43"/>
      <c r="C89" s="40">
        <f>[3]Charters!C388</f>
        <v>3.581</v>
      </c>
      <c r="D89" s="41">
        <f>[3]Charters!E388</f>
        <v>11400.48</v>
      </c>
      <c r="E89" s="8"/>
      <c r="F89" s="8"/>
      <c r="G89" s="8"/>
      <c r="H89" s="8"/>
    </row>
    <row r="90" spans="1:8" x14ac:dyDescent="0.2">
      <c r="A90" s="48" t="s">
        <v>55</v>
      </c>
      <c r="B90" s="43"/>
      <c r="C90" s="40">
        <f>[3]Charters!F388</f>
        <v>0</v>
      </c>
      <c r="D90" s="41">
        <f>[3]Charters!H388</f>
        <v>0</v>
      </c>
      <c r="E90" s="8"/>
      <c r="F90" s="42" t="s">
        <v>25</v>
      </c>
      <c r="G90" s="8"/>
      <c r="H90" s="8"/>
    </row>
    <row r="91" spans="1:8" x14ac:dyDescent="0.2">
      <c r="A91" s="48" t="s">
        <v>56</v>
      </c>
      <c r="B91" s="43"/>
      <c r="C91" s="40">
        <f>[3]Charters!I388</f>
        <v>0</v>
      </c>
      <c r="D91" s="41">
        <f>[3]Charters!K388</f>
        <v>0</v>
      </c>
      <c r="E91" s="8"/>
      <c r="F91" s="42">
        <f>[2]Charters!H77</f>
        <v>1262637.8600000001</v>
      </c>
      <c r="G91" s="8"/>
      <c r="H91" s="8"/>
    </row>
    <row r="92" spans="1:8" x14ac:dyDescent="0.2">
      <c r="A92" s="20" t="s">
        <v>49</v>
      </c>
      <c r="B92" s="43"/>
      <c r="C92" s="40">
        <f>[3]Charters!C544</f>
        <v>7.8769999999999998</v>
      </c>
      <c r="D92" s="41">
        <f>[3]Charters!E544</f>
        <v>25080.52</v>
      </c>
      <c r="E92" s="8"/>
      <c r="F92" s="42">
        <f>SUM(D85:D93)</f>
        <v>1262637.8600000001</v>
      </c>
      <c r="G92" s="8"/>
      <c r="H92" s="8"/>
    </row>
    <row r="93" spans="1:8" x14ac:dyDescent="0.2">
      <c r="A93" s="20" t="s">
        <v>50</v>
      </c>
      <c r="B93" s="43"/>
      <c r="C93" s="40">
        <f>[2]Charters!C77</f>
        <v>125.619</v>
      </c>
      <c r="D93" s="41">
        <f>[2]Charters!E77</f>
        <v>399971.57</v>
      </c>
      <c r="E93" s="8"/>
      <c r="F93" s="42">
        <f>+F91-F92</f>
        <v>0</v>
      </c>
      <c r="G93" s="8"/>
      <c r="H93" s="8"/>
    </row>
    <row r="94" spans="1:8" x14ac:dyDescent="0.2">
      <c r="A94" s="50"/>
      <c r="B94" s="51" t="s">
        <v>16</v>
      </c>
      <c r="C94" s="52">
        <f>SUM(C81:C93)</f>
        <v>1784.59</v>
      </c>
      <c r="D94" s="53">
        <f>SUM(D81:D93)</f>
        <v>5682134.71</v>
      </c>
      <c r="E94" s="8"/>
      <c r="F94" s="8"/>
      <c r="G94" s="8"/>
      <c r="H94" s="8"/>
    </row>
    <row r="95" spans="1:8" x14ac:dyDescent="0.2">
      <c r="A95" s="54" t="s">
        <v>17</v>
      </c>
      <c r="B95" s="39"/>
      <c r="C95" s="55"/>
      <c r="D95" s="47"/>
      <c r="E95" s="8"/>
      <c r="F95" s="8"/>
      <c r="G95" s="8"/>
      <c r="H95" s="42" t="s">
        <v>29</v>
      </c>
    </row>
    <row r="96" spans="1:8" x14ac:dyDescent="0.2">
      <c r="A96" s="20" t="s">
        <v>33</v>
      </c>
      <c r="B96" s="43"/>
      <c r="C96" s="56"/>
      <c r="D96" s="57">
        <f>[4]Charters!C77</f>
        <v>16469.48</v>
      </c>
      <c r="E96" s="8"/>
      <c r="F96" s="8"/>
      <c r="G96" s="8"/>
      <c r="H96" s="42">
        <f>[4]Charters!F1017</f>
        <v>9691379.7300000004</v>
      </c>
    </row>
    <row r="97" spans="1:8" x14ac:dyDescent="0.2">
      <c r="A97" s="58" t="s">
        <v>35</v>
      </c>
      <c r="B97" s="43"/>
      <c r="C97" s="56"/>
      <c r="D97" s="41">
        <f>+[4]Charters!F398</f>
        <v>10136.44</v>
      </c>
      <c r="E97" s="8"/>
      <c r="F97" s="8"/>
      <c r="G97" s="8"/>
      <c r="H97" s="42">
        <f>SUM(D94:D113)</f>
        <v>9691379.7300000004</v>
      </c>
    </row>
    <row r="98" spans="1:8" x14ac:dyDescent="0.2">
      <c r="A98" s="59" t="s">
        <v>36</v>
      </c>
      <c r="B98" s="43"/>
      <c r="C98" s="56"/>
      <c r="D98" s="41">
        <f>[4]Charters!E237</f>
        <v>29381</v>
      </c>
      <c r="E98" s="8"/>
      <c r="F98" s="8"/>
      <c r="G98" s="8"/>
      <c r="H98" s="42">
        <f>+H96-H97</f>
        <v>0</v>
      </c>
    </row>
    <row r="99" spans="1:8" x14ac:dyDescent="0.2">
      <c r="A99" s="59" t="s">
        <v>52</v>
      </c>
      <c r="B99" s="43"/>
      <c r="C99" s="56"/>
      <c r="D99" s="41">
        <f>[4]Charters!G398</f>
        <v>0</v>
      </c>
      <c r="E99" s="8"/>
      <c r="F99" s="42" t="s">
        <v>27</v>
      </c>
      <c r="G99" s="8"/>
      <c r="H99" s="42"/>
    </row>
    <row r="100" spans="1:8" x14ac:dyDescent="0.2">
      <c r="A100" s="20" t="s">
        <v>37</v>
      </c>
      <c r="B100" s="43"/>
      <c r="C100" s="56"/>
      <c r="D100" s="41">
        <f>[4]Charters!E554</f>
        <v>105026</v>
      </c>
      <c r="E100" s="8"/>
      <c r="F100" s="42">
        <f>[4]Charters!E237</f>
        <v>29381</v>
      </c>
      <c r="G100" s="8"/>
      <c r="H100" s="8"/>
    </row>
    <row r="101" spans="1:8" x14ac:dyDescent="0.2">
      <c r="A101" s="20" t="s">
        <v>38</v>
      </c>
      <c r="B101" s="43"/>
      <c r="C101" s="56"/>
      <c r="D101" s="41">
        <f>[4]Charters!F554</f>
        <v>4531</v>
      </c>
      <c r="E101" s="8"/>
      <c r="F101" s="42">
        <f>SUM(D98:D98)</f>
        <v>29381</v>
      </c>
      <c r="G101" s="8"/>
      <c r="H101" s="8"/>
    </row>
    <row r="102" spans="1:8" x14ac:dyDescent="0.2">
      <c r="A102" s="59" t="s">
        <v>40</v>
      </c>
      <c r="B102" s="43"/>
      <c r="C102" s="56"/>
      <c r="D102" s="41">
        <f>[4]Charters!G554</f>
        <v>27986</v>
      </c>
      <c r="E102" s="8"/>
      <c r="F102" s="42">
        <f>+F100-F101</f>
        <v>0</v>
      </c>
      <c r="G102" s="8"/>
      <c r="H102" s="8"/>
    </row>
    <row r="103" spans="1:8" x14ac:dyDescent="0.2">
      <c r="A103" s="20" t="s">
        <v>41</v>
      </c>
      <c r="B103" s="43"/>
      <c r="C103" s="56"/>
      <c r="D103" s="41">
        <f>[4]Charters!C708</f>
        <v>3055527</v>
      </c>
      <c r="E103" s="8"/>
      <c r="F103" s="42" t="s">
        <v>28</v>
      </c>
      <c r="G103" s="8"/>
      <c r="H103" s="8"/>
    </row>
    <row r="104" spans="1:8" x14ac:dyDescent="0.2">
      <c r="A104" s="20" t="s">
        <v>42</v>
      </c>
      <c r="B104" s="43"/>
      <c r="C104" s="56"/>
      <c r="D104" s="41">
        <f>[4]Charters!D708</f>
        <v>363765.71</v>
      </c>
      <c r="E104" s="8"/>
      <c r="F104" s="42">
        <f>[4]Charters!D554</f>
        <v>39517.440000000002</v>
      </c>
      <c r="G104" s="8"/>
      <c r="H104" s="8"/>
    </row>
    <row r="105" spans="1:8" x14ac:dyDescent="0.2">
      <c r="A105" s="20" t="s">
        <v>44</v>
      </c>
      <c r="B105" s="43"/>
      <c r="C105" s="56"/>
      <c r="D105" s="41">
        <f>[4]Charters!E708</f>
        <v>152700</v>
      </c>
      <c r="E105" s="8"/>
      <c r="F105" s="42">
        <f>SUM(D97:D99)</f>
        <v>39517.440000000002</v>
      </c>
      <c r="G105" s="8"/>
      <c r="H105" s="8"/>
    </row>
    <row r="106" spans="1:8" x14ac:dyDescent="0.2">
      <c r="A106" s="59" t="s">
        <v>43</v>
      </c>
      <c r="B106" s="43"/>
      <c r="C106" s="56"/>
      <c r="D106" s="41">
        <f>[4]Charters!F708</f>
        <v>48989.71</v>
      </c>
      <c r="E106" s="8"/>
      <c r="F106" s="42">
        <f>+F104-F105</f>
        <v>0</v>
      </c>
      <c r="G106" s="8"/>
      <c r="H106" s="8"/>
    </row>
    <row r="107" spans="1:8" x14ac:dyDescent="0.2">
      <c r="A107" s="59" t="s">
        <v>45</v>
      </c>
      <c r="B107" s="43"/>
      <c r="C107" s="56"/>
      <c r="D107" s="41">
        <f>[4]Charters!C554</f>
        <v>0</v>
      </c>
      <c r="E107" s="8"/>
      <c r="F107" s="8"/>
      <c r="G107" s="8"/>
      <c r="H107" s="8"/>
    </row>
    <row r="108" spans="1:8" x14ac:dyDescent="0.2">
      <c r="A108" s="59" t="s">
        <v>46</v>
      </c>
      <c r="B108" s="43"/>
      <c r="C108" s="56"/>
      <c r="D108" s="41">
        <f>[4]Charters!C864</f>
        <v>0</v>
      </c>
      <c r="E108" s="42"/>
      <c r="F108" s="42"/>
      <c r="G108" s="42"/>
      <c r="H108" s="42" t="s">
        <v>31</v>
      </c>
    </row>
    <row r="109" spans="1:8" x14ac:dyDescent="0.2">
      <c r="A109" s="59" t="s">
        <v>51</v>
      </c>
      <c r="B109" s="43"/>
      <c r="C109" s="56"/>
      <c r="D109" s="60">
        <f>[4]Charters!D864</f>
        <v>1892.41</v>
      </c>
      <c r="E109" s="42"/>
      <c r="F109" s="42"/>
      <c r="G109" s="42"/>
      <c r="H109" s="42">
        <f>[4]Charters!D1323</f>
        <v>9720443.9499999993</v>
      </c>
    </row>
    <row r="110" spans="1:8" x14ac:dyDescent="0.2">
      <c r="A110" s="20" t="s">
        <v>47</v>
      </c>
      <c r="B110" s="43"/>
      <c r="C110" s="56"/>
      <c r="D110" s="60">
        <f>[4]Charters!E864</f>
        <v>47830</v>
      </c>
      <c r="E110" s="42"/>
      <c r="F110" s="42"/>
      <c r="G110" s="42"/>
      <c r="H110" s="42">
        <f>D119</f>
        <v>9720443.9399999995</v>
      </c>
    </row>
    <row r="111" spans="1:8" x14ac:dyDescent="0.2">
      <c r="A111" s="20" t="s">
        <v>57</v>
      </c>
      <c r="B111" s="43"/>
      <c r="C111" s="56"/>
      <c r="D111" s="60">
        <f>[4]Charters!C1017</f>
        <v>10483.32</v>
      </c>
      <c r="E111" s="42"/>
      <c r="F111" s="42"/>
      <c r="G111" s="42"/>
      <c r="H111" s="42">
        <f>+H109-H110</f>
        <v>0.01</v>
      </c>
    </row>
    <row r="112" spans="1:8" x14ac:dyDescent="0.2">
      <c r="A112" s="59" t="s">
        <v>53</v>
      </c>
      <c r="B112" s="43"/>
      <c r="C112" s="56"/>
      <c r="D112" s="60">
        <f>[4]Charters!D1017</f>
        <v>65226</v>
      </c>
      <c r="E112" s="42"/>
      <c r="F112" s="42" t="s">
        <v>30</v>
      </c>
      <c r="G112" s="42"/>
      <c r="H112" s="42"/>
    </row>
    <row r="113" spans="1:8" x14ac:dyDescent="0.2">
      <c r="A113" s="59" t="s">
        <v>59</v>
      </c>
      <c r="B113" s="43"/>
      <c r="C113" s="56"/>
      <c r="D113" s="60">
        <f>[4]Charters!E1017</f>
        <v>69300.95</v>
      </c>
      <c r="E113" s="42"/>
      <c r="F113" s="42"/>
      <c r="G113" s="42"/>
      <c r="H113" s="42"/>
    </row>
    <row r="114" spans="1:8" x14ac:dyDescent="0.2">
      <c r="A114" s="38" t="s">
        <v>18</v>
      </c>
      <c r="B114" s="61"/>
      <c r="C114" s="62"/>
      <c r="D114" s="87"/>
      <c r="E114" s="42"/>
      <c r="F114" s="42">
        <f>[4]Charters!C1323</f>
        <v>29064.21</v>
      </c>
      <c r="G114" s="42"/>
      <c r="H114" s="42"/>
    </row>
    <row r="115" spans="1:8" x14ac:dyDescent="0.2">
      <c r="A115" s="59" t="s">
        <v>39</v>
      </c>
      <c r="B115" s="43"/>
      <c r="C115" s="56"/>
      <c r="D115" s="41">
        <f>[4]Charters!C1170</f>
        <v>13003.1</v>
      </c>
      <c r="E115" s="42"/>
      <c r="F115" s="42">
        <f>SUM(D115:D118)</f>
        <v>29064.21</v>
      </c>
      <c r="G115" s="42"/>
      <c r="H115" s="42"/>
    </row>
    <row r="116" spans="1:8" x14ac:dyDescent="0.2">
      <c r="A116" s="59" t="s">
        <v>48</v>
      </c>
      <c r="B116" s="43"/>
      <c r="C116" s="56"/>
      <c r="D116" s="41">
        <f>[4]Charters!D1170</f>
        <v>0</v>
      </c>
      <c r="E116" s="42"/>
      <c r="F116" s="42">
        <f>+F114-F115</f>
        <v>0</v>
      </c>
      <c r="G116" s="42"/>
      <c r="H116" s="42"/>
    </row>
    <row r="117" spans="1:8" x14ac:dyDescent="0.2">
      <c r="A117" s="59" t="s">
        <v>60</v>
      </c>
      <c r="B117" s="43"/>
      <c r="C117" s="56"/>
      <c r="D117" s="41">
        <f>[4]Charters!E1170</f>
        <v>0</v>
      </c>
      <c r="E117" s="42"/>
      <c r="F117" s="42"/>
      <c r="G117" s="42"/>
      <c r="H117" s="42"/>
    </row>
    <row r="118" spans="1:8" x14ac:dyDescent="0.2">
      <c r="A118" s="59" t="s">
        <v>61</v>
      </c>
      <c r="B118" s="43"/>
      <c r="C118" s="56"/>
      <c r="D118" s="41">
        <f>[4]Charters!F1170</f>
        <v>16061.11</v>
      </c>
      <c r="E118" s="42"/>
      <c r="F118" s="42"/>
      <c r="G118" s="42"/>
      <c r="H118" s="42"/>
    </row>
    <row r="119" spans="1:8" ht="13.5" thickBot="1" x14ac:dyDescent="0.25">
      <c r="A119" s="64"/>
      <c r="B119" s="65"/>
      <c r="C119" s="66"/>
      <c r="D119" s="67">
        <f>SUM(D94:D118)</f>
        <v>9720443.9399999995</v>
      </c>
      <c r="E119" s="42"/>
      <c r="F119" s="42"/>
      <c r="G119" s="42"/>
      <c r="H119" s="42"/>
    </row>
    <row r="120" spans="1:8" ht="13.5" thickTop="1" x14ac:dyDescent="0.2">
      <c r="A120" s="68"/>
      <c r="B120" s="43"/>
      <c r="C120" s="56"/>
      <c r="D120" s="86"/>
      <c r="E120" s="42"/>
      <c r="F120" s="42"/>
      <c r="G120" s="42"/>
      <c r="H120" s="42"/>
    </row>
    <row r="121" spans="1:8" x14ac:dyDescent="0.2">
      <c r="A121" s="38" t="s">
        <v>20</v>
      </c>
      <c r="B121" s="39"/>
      <c r="C121" s="70"/>
      <c r="D121" s="71" t="s">
        <v>21</v>
      </c>
      <c r="E121" s="42"/>
      <c r="F121" s="42"/>
      <c r="G121" s="42"/>
      <c r="H121" s="42"/>
    </row>
    <row r="122" spans="1:8" x14ac:dyDescent="0.2">
      <c r="A122" s="72" t="s">
        <v>22</v>
      </c>
      <c r="B122" s="73"/>
      <c r="C122" s="74"/>
      <c r="D122" s="41">
        <f>[5]Charters!C76</f>
        <v>3217.39</v>
      </c>
      <c r="E122" s="42"/>
      <c r="F122" s="42"/>
      <c r="G122" s="42"/>
      <c r="H122" s="42"/>
    </row>
    <row r="123" spans="1:8" x14ac:dyDescent="0.2">
      <c r="A123" s="75"/>
      <c r="B123" s="61"/>
      <c r="C123" s="76"/>
      <c r="D123" s="77">
        <f>SUM(D122:D122)</f>
        <v>3217.39</v>
      </c>
      <c r="E123" s="42"/>
      <c r="F123" s="42"/>
      <c r="G123" s="42"/>
      <c r="H123" s="42"/>
    </row>
    <row r="124" spans="1:8" x14ac:dyDescent="0.2">
      <c r="A124" s="78" t="s">
        <v>58</v>
      </c>
      <c r="B124" s="79"/>
      <c r="C124" s="80"/>
      <c r="D124" s="77">
        <f>D123+D119</f>
        <v>9723661.3300000001</v>
      </c>
      <c r="E124" s="42"/>
      <c r="F124" s="42"/>
      <c r="G124" s="42"/>
      <c r="H124" s="42"/>
    </row>
    <row r="125" spans="1:8" x14ac:dyDescent="0.2">
      <c r="A125" s="84"/>
      <c r="B125" s="84"/>
      <c r="C125" s="85"/>
      <c r="D125" s="81"/>
      <c r="E125" s="42"/>
      <c r="F125" s="42"/>
      <c r="G125" s="42"/>
      <c r="H125" s="42"/>
    </row>
    <row r="126" spans="1:8" x14ac:dyDescent="0.2">
      <c r="A126" s="84"/>
      <c r="B126" s="84"/>
      <c r="C126" s="85"/>
      <c r="D126" s="81">
        <f>[5]Charters!E232</f>
        <v>9723661.3399999999</v>
      </c>
      <c r="E126" s="42"/>
      <c r="F126" s="42"/>
      <c r="G126" s="42"/>
      <c r="H126" s="42"/>
    </row>
    <row r="127" spans="1:8" x14ac:dyDescent="0.2">
      <c r="A127" s="84"/>
      <c r="B127" s="84"/>
      <c r="C127" s="85"/>
      <c r="D127" s="81">
        <f>D124</f>
        <v>9723661.3300000001</v>
      </c>
      <c r="E127" s="42"/>
      <c r="F127" s="42"/>
      <c r="G127" s="42"/>
      <c r="H127" s="42"/>
    </row>
    <row r="128" spans="1:8" x14ac:dyDescent="0.2">
      <c r="C128" s="83"/>
      <c r="D128" s="42">
        <f>D126-D127</f>
        <v>0.01</v>
      </c>
      <c r="E128" s="42"/>
      <c r="F128" s="42"/>
      <c r="G128" s="42"/>
      <c r="H128" s="42"/>
    </row>
  </sheetData>
  <mergeCells count="4">
    <mergeCell ref="A124:C124"/>
    <mergeCell ref="A71:D71"/>
    <mergeCell ref="A72:D72"/>
    <mergeCell ref="A70:D70"/>
  </mergeCells>
  <printOptions horizontalCentered="1" verticalCentered="1"/>
  <pageMargins left="0.5" right="0.5" top="0.5" bottom="0.5" header="0.25" footer="0.25"/>
  <pageSetup orientation="portrait" r:id="rId1"/>
  <headerFooter alignWithMargins="0">
    <oddHeader>&amp;R&amp;8Current as of: &amp;D</oddHeader>
    <oddFooter>&amp;L&amp;8USOE, School Finance</oddFooter>
  </headerFooter>
  <picture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>
    <pageSetUpPr fitToPage="1"/>
  </sheetPr>
  <dimension ref="A1:H129"/>
  <sheetViews>
    <sheetView topLeftCell="A69" workbookViewId="0">
      <selection activeCell="C12" sqref="C12"/>
    </sheetView>
  </sheetViews>
  <sheetFormatPr defaultColWidth="9.140625" defaultRowHeight="12.75" x14ac:dyDescent="0.2"/>
  <cols>
    <col min="1" max="1" width="31.85546875" style="82" customWidth="1"/>
    <col min="2" max="2" width="16.140625" style="82" customWidth="1"/>
    <col min="3" max="4" width="14.85546875" style="82" customWidth="1"/>
    <col min="5" max="5" width="7" style="82" customWidth="1"/>
    <col min="6" max="6" width="19.7109375" style="82" customWidth="1"/>
    <col min="7" max="7" width="5.7109375" style="82" customWidth="1"/>
    <col min="8" max="8" width="18" style="82" customWidth="1"/>
    <col min="9" max="16384" width="9.140625" style="82"/>
  </cols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"/>
      <c r="B3" s="1"/>
      <c r="C3" s="1"/>
      <c r="D3" s="1"/>
      <c r="E3" s="1"/>
      <c r="F3" s="1"/>
      <c r="G3" s="1"/>
      <c r="H3" s="1"/>
    </row>
    <row r="4" spans="1:8" x14ac:dyDescent="0.2">
      <c r="A4" s="1"/>
      <c r="B4" s="1"/>
      <c r="C4" s="1"/>
      <c r="D4" s="1"/>
      <c r="E4" s="1"/>
      <c r="F4" s="1"/>
      <c r="G4" s="1"/>
      <c r="H4" s="1"/>
    </row>
    <row r="5" spans="1:8" x14ac:dyDescent="0.2">
      <c r="A5" s="1"/>
      <c r="B5" s="1"/>
      <c r="C5" s="1"/>
      <c r="D5" s="1"/>
      <c r="E5" s="1"/>
      <c r="F5" s="1"/>
      <c r="G5" s="1"/>
      <c r="H5" s="1"/>
    </row>
    <row r="6" spans="1:8" x14ac:dyDescent="0.2">
      <c r="A6" s="1"/>
      <c r="B6" s="1"/>
      <c r="C6" s="1"/>
      <c r="D6" s="1"/>
      <c r="E6" s="1"/>
      <c r="F6" s="1"/>
      <c r="G6" s="1"/>
      <c r="H6" s="1"/>
    </row>
    <row r="7" spans="1:8" x14ac:dyDescent="0.2">
      <c r="A7" s="1"/>
      <c r="B7" s="1"/>
      <c r="C7" s="1"/>
      <c r="D7" s="1"/>
      <c r="E7" s="1"/>
      <c r="F7" s="1"/>
      <c r="G7" s="1"/>
      <c r="H7" s="1"/>
    </row>
    <row r="8" spans="1:8" x14ac:dyDescent="0.2">
      <c r="A8" s="1"/>
      <c r="B8" s="1"/>
      <c r="C8" s="1"/>
      <c r="D8" s="1"/>
      <c r="E8" s="1"/>
      <c r="F8" s="1"/>
      <c r="G8" s="1"/>
      <c r="H8" s="1"/>
    </row>
    <row r="9" spans="1:8" x14ac:dyDescent="0.2">
      <c r="A9" s="1"/>
      <c r="B9" s="1"/>
      <c r="C9" s="1"/>
      <c r="D9" s="1"/>
      <c r="E9" s="1"/>
      <c r="F9" s="1"/>
      <c r="G9" s="1"/>
      <c r="H9" s="1"/>
    </row>
    <row r="10" spans="1:8" x14ac:dyDescent="0.2">
      <c r="A10" s="1"/>
      <c r="B10" s="1"/>
      <c r="C10" s="1"/>
      <c r="D10" s="1"/>
      <c r="E10" s="1"/>
      <c r="F10" s="1"/>
      <c r="G10" s="1"/>
      <c r="H10" s="1"/>
    </row>
    <row r="11" spans="1:8" x14ac:dyDescent="0.2">
      <c r="A11" s="1"/>
      <c r="B11" s="1"/>
      <c r="C11" s="1"/>
      <c r="D11" s="1"/>
      <c r="E11" s="1"/>
      <c r="F11" s="1"/>
      <c r="G11" s="1"/>
      <c r="H11" s="1"/>
    </row>
    <row r="12" spans="1:8" x14ac:dyDescent="0.2">
      <c r="A12" s="1"/>
      <c r="B12" s="1"/>
      <c r="C12" s="1"/>
      <c r="D12" s="1"/>
      <c r="E12" s="1"/>
      <c r="F12" s="1"/>
      <c r="G12" s="1"/>
      <c r="H12" s="1"/>
    </row>
    <row r="13" spans="1:8" x14ac:dyDescent="0.2">
      <c r="A13" s="1"/>
      <c r="B13" s="1"/>
      <c r="C13" s="1"/>
      <c r="D13" s="1"/>
      <c r="E13" s="1"/>
      <c r="F13" s="1"/>
      <c r="G13" s="1"/>
      <c r="H13" s="1"/>
    </row>
    <row r="14" spans="1:8" x14ac:dyDescent="0.2">
      <c r="A14" s="1"/>
      <c r="B14" s="1"/>
      <c r="C14" s="1"/>
      <c r="D14" s="1"/>
      <c r="E14" s="1"/>
      <c r="F14" s="1"/>
      <c r="G14" s="1"/>
      <c r="H14" s="1"/>
    </row>
    <row r="15" spans="1:8" x14ac:dyDescent="0.2">
      <c r="A15" s="1"/>
      <c r="B15" s="1"/>
      <c r="C15" s="1"/>
      <c r="D15" s="1"/>
      <c r="E15" s="1"/>
      <c r="F15" s="1"/>
      <c r="G15" s="1"/>
      <c r="H15" s="1"/>
    </row>
    <row r="16" spans="1:8" x14ac:dyDescent="0.2">
      <c r="A16" s="1"/>
      <c r="B16" s="1"/>
      <c r="C16" s="1"/>
      <c r="D16" s="1"/>
      <c r="E16" s="1"/>
      <c r="F16" s="1"/>
      <c r="G16" s="1"/>
      <c r="H16" s="1"/>
    </row>
    <row r="17" spans="1:8" x14ac:dyDescent="0.2">
      <c r="A17" s="1"/>
      <c r="B17" s="1"/>
      <c r="C17" s="1"/>
      <c r="D17" s="1"/>
      <c r="E17" s="1"/>
      <c r="F17" s="1"/>
      <c r="G17" s="1"/>
      <c r="H17" s="1"/>
    </row>
    <row r="18" spans="1:8" x14ac:dyDescent="0.2">
      <c r="A18" s="1"/>
      <c r="B18" s="1"/>
      <c r="C18" s="1"/>
      <c r="D18" s="1"/>
      <c r="E18" s="1"/>
      <c r="F18" s="1"/>
      <c r="G18" s="1"/>
      <c r="H18" s="1"/>
    </row>
    <row r="19" spans="1:8" x14ac:dyDescent="0.2">
      <c r="A19" s="1"/>
      <c r="B19" s="1"/>
      <c r="C19" s="1"/>
      <c r="D19" s="1"/>
      <c r="E19" s="1"/>
      <c r="F19" s="1"/>
      <c r="G19" s="1"/>
      <c r="H19" s="1"/>
    </row>
    <row r="20" spans="1:8" x14ac:dyDescent="0.2">
      <c r="A20" s="1"/>
      <c r="B20" s="1"/>
      <c r="C20" s="1"/>
      <c r="D20" s="1"/>
      <c r="E20" s="1"/>
      <c r="F20" s="1"/>
      <c r="G20" s="1"/>
      <c r="H20" s="1"/>
    </row>
    <row r="21" spans="1:8" x14ac:dyDescent="0.2">
      <c r="A21" s="1"/>
      <c r="B21" s="1"/>
      <c r="C21" s="1"/>
      <c r="D21" s="1"/>
      <c r="E21" s="1"/>
      <c r="F21" s="1"/>
      <c r="G21" s="1"/>
      <c r="H21" s="1"/>
    </row>
    <row r="22" spans="1:8" x14ac:dyDescent="0.2">
      <c r="A22" s="1"/>
      <c r="B22" s="1"/>
      <c r="C22" s="1"/>
      <c r="D22" s="4"/>
      <c r="E22" s="1"/>
      <c r="F22" s="1"/>
      <c r="G22" s="1"/>
      <c r="H22" s="1"/>
    </row>
    <row r="23" spans="1:8" x14ac:dyDescent="0.2">
      <c r="A23" s="1"/>
      <c r="B23" s="1"/>
      <c r="C23" s="1"/>
      <c r="D23" s="1"/>
      <c r="E23" s="1"/>
      <c r="F23" s="1"/>
      <c r="G23" s="1"/>
      <c r="H23" s="1"/>
    </row>
    <row r="24" spans="1:8" x14ac:dyDescent="0.2">
      <c r="A24" s="1"/>
      <c r="B24" s="1"/>
      <c r="C24" s="1"/>
      <c r="D24" s="1"/>
      <c r="E24" s="1"/>
      <c r="F24" s="1"/>
      <c r="G24" s="1"/>
      <c r="H24" s="1"/>
    </row>
    <row r="25" spans="1:8" x14ac:dyDescent="0.2">
      <c r="A25" s="1"/>
      <c r="B25" s="1"/>
      <c r="C25" s="1"/>
      <c r="D25" s="1"/>
      <c r="E25" s="1"/>
      <c r="F25" s="1"/>
      <c r="G25" s="1"/>
      <c r="H25" s="1"/>
    </row>
    <row r="26" spans="1:8" x14ac:dyDescent="0.2">
      <c r="A26" s="1"/>
      <c r="B26" s="1"/>
      <c r="C26" s="1"/>
      <c r="D26" s="1"/>
      <c r="E26" s="1"/>
      <c r="F26" s="1"/>
      <c r="G26" s="1"/>
      <c r="H26" s="1"/>
    </row>
    <row r="27" spans="1:8" x14ac:dyDescent="0.2">
      <c r="A27" s="1"/>
      <c r="B27" s="1"/>
      <c r="C27" s="1"/>
      <c r="D27" s="1"/>
      <c r="E27" s="1"/>
      <c r="F27" s="1"/>
      <c r="G27" s="1"/>
      <c r="H27" s="1"/>
    </row>
    <row r="28" spans="1:8" x14ac:dyDescent="0.2">
      <c r="A28" s="1"/>
      <c r="B28" s="1"/>
      <c r="C28" s="1"/>
      <c r="D28" s="1"/>
      <c r="E28" s="1"/>
      <c r="F28" s="1"/>
      <c r="G28" s="1"/>
      <c r="H28" s="1"/>
    </row>
    <row r="29" spans="1:8" x14ac:dyDescent="0.2">
      <c r="A29" s="1"/>
      <c r="B29" s="1"/>
      <c r="C29" s="1"/>
      <c r="D29" s="1"/>
      <c r="E29" s="1"/>
      <c r="F29" s="1"/>
      <c r="G29" s="1"/>
      <c r="H29" s="1"/>
    </row>
    <row r="30" spans="1:8" x14ac:dyDescent="0.2">
      <c r="A30" s="1"/>
      <c r="B30" s="1"/>
      <c r="C30" s="1"/>
      <c r="D30" s="1"/>
      <c r="E30" s="1"/>
      <c r="F30" s="1"/>
      <c r="G30" s="1"/>
      <c r="H30" s="1"/>
    </row>
    <row r="31" spans="1:8" x14ac:dyDescent="0.2">
      <c r="A31" s="1"/>
      <c r="B31" s="1"/>
      <c r="C31" s="1"/>
      <c r="D31" s="1"/>
      <c r="E31" s="1"/>
      <c r="F31" s="1"/>
      <c r="G31" s="1"/>
      <c r="H31" s="1"/>
    </row>
    <row r="32" spans="1:8" x14ac:dyDescent="0.2">
      <c r="A32" s="1"/>
      <c r="B32" s="1"/>
      <c r="C32" s="1"/>
      <c r="D32" s="1"/>
      <c r="E32" s="1"/>
      <c r="F32" s="1"/>
      <c r="G32" s="1"/>
      <c r="H32" s="1"/>
    </row>
    <row r="33" spans="1:8" x14ac:dyDescent="0.2">
      <c r="A33" s="1"/>
      <c r="B33" s="1"/>
      <c r="C33" s="1"/>
      <c r="D33" s="1"/>
      <c r="E33" s="1"/>
      <c r="F33" s="1"/>
      <c r="G33" s="1"/>
      <c r="H33" s="1"/>
    </row>
    <row r="34" spans="1:8" x14ac:dyDescent="0.2">
      <c r="A34" s="1"/>
      <c r="B34" s="1"/>
      <c r="C34" s="1"/>
      <c r="D34" s="1"/>
      <c r="E34" s="1"/>
      <c r="F34" s="1"/>
      <c r="G34" s="1"/>
      <c r="H34" s="1"/>
    </row>
    <row r="35" spans="1:8" x14ac:dyDescent="0.2">
      <c r="A35" s="1"/>
      <c r="B35" s="1"/>
      <c r="C35" s="1"/>
      <c r="D35" s="1"/>
      <c r="E35" s="1"/>
      <c r="F35" s="1"/>
      <c r="G35" s="1"/>
      <c r="H35" s="1"/>
    </row>
    <row r="36" spans="1:8" x14ac:dyDescent="0.2">
      <c r="A36" s="1"/>
      <c r="B36" s="1"/>
      <c r="C36" s="1"/>
      <c r="D36" s="1"/>
      <c r="E36" s="1"/>
      <c r="F36" s="1"/>
      <c r="G36" s="1"/>
      <c r="H36" s="1"/>
    </row>
    <row r="37" spans="1:8" x14ac:dyDescent="0.2">
      <c r="A37" s="1"/>
      <c r="B37" s="1"/>
      <c r="C37" s="1"/>
      <c r="D37" s="1"/>
      <c r="E37" s="1"/>
      <c r="F37" s="1"/>
      <c r="G37" s="1"/>
      <c r="H37" s="1"/>
    </row>
    <row r="38" spans="1:8" x14ac:dyDescent="0.2">
      <c r="A38" s="1"/>
      <c r="B38" s="1"/>
      <c r="C38" s="1"/>
      <c r="D38" s="1"/>
      <c r="E38" s="1"/>
      <c r="F38" s="1"/>
      <c r="G38" s="1"/>
      <c r="H38" s="1"/>
    </row>
    <row r="39" spans="1:8" x14ac:dyDescent="0.2">
      <c r="A39" s="1"/>
      <c r="B39" s="1"/>
      <c r="C39" s="1"/>
      <c r="D39" s="1"/>
      <c r="E39" s="1"/>
      <c r="F39" s="1"/>
      <c r="G39" s="1"/>
      <c r="H39" s="1"/>
    </row>
    <row r="40" spans="1:8" x14ac:dyDescent="0.2">
      <c r="A40" s="1"/>
      <c r="B40" s="1"/>
      <c r="C40" s="1"/>
      <c r="D40" s="1"/>
      <c r="E40" s="1"/>
      <c r="F40" s="1"/>
      <c r="G40" s="1"/>
      <c r="H40" s="1"/>
    </row>
    <row r="41" spans="1:8" x14ac:dyDescent="0.2">
      <c r="A41" s="1"/>
      <c r="B41" s="1"/>
      <c r="C41" s="1"/>
      <c r="D41" s="1"/>
      <c r="E41" s="1"/>
      <c r="F41" s="1"/>
      <c r="G41" s="1"/>
      <c r="H41" s="1"/>
    </row>
    <row r="42" spans="1:8" x14ac:dyDescent="0.2">
      <c r="A42" s="1"/>
      <c r="B42" s="1"/>
      <c r="C42" s="1"/>
      <c r="D42" s="1"/>
      <c r="E42" s="1"/>
      <c r="F42" s="1"/>
      <c r="G42" s="1"/>
      <c r="H42" s="1"/>
    </row>
    <row r="43" spans="1:8" x14ac:dyDescent="0.2">
      <c r="A43" s="1"/>
      <c r="B43" s="1"/>
      <c r="C43" s="1"/>
      <c r="D43" s="1"/>
      <c r="E43" s="1"/>
      <c r="F43" s="1"/>
      <c r="G43" s="1"/>
      <c r="H43" s="1"/>
    </row>
    <row r="44" spans="1:8" x14ac:dyDescent="0.2">
      <c r="A44" s="1"/>
      <c r="B44" s="1"/>
      <c r="C44" s="1"/>
      <c r="D44" s="1"/>
      <c r="E44" s="1"/>
      <c r="F44" s="1"/>
      <c r="G44" s="1"/>
      <c r="H44" s="1"/>
    </row>
    <row r="45" spans="1:8" x14ac:dyDescent="0.2">
      <c r="A45" s="1"/>
      <c r="B45" s="1"/>
      <c r="C45" s="1"/>
      <c r="D45" s="1"/>
      <c r="E45" s="1"/>
      <c r="F45" s="1"/>
      <c r="G45" s="1"/>
      <c r="H45" s="1"/>
    </row>
    <row r="46" spans="1:8" x14ac:dyDescent="0.2">
      <c r="A46" s="1"/>
      <c r="B46" s="1"/>
      <c r="C46" s="1"/>
      <c r="D46" s="1"/>
      <c r="E46" s="1"/>
      <c r="F46" s="1"/>
      <c r="G46" s="1"/>
      <c r="H46" s="1"/>
    </row>
    <row r="47" spans="1:8" x14ac:dyDescent="0.2">
      <c r="A47" s="1"/>
      <c r="B47" s="1"/>
      <c r="C47" s="1"/>
      <c r="D47" s="1"/>
      <c r="E47" s="1"/>
      <c r="F47" s="1"/>
      <c r="G47" s="1"/>
      <c r="H47" s="1"/>
    </row>
    <row r="48" spans="1:8" x14ac:dyDescent="0.2">
      <c r="A48" s="1"/>
      <c r="B48" s="1"/>
      <c r="C48" s="1"/>
      <c r="D48" s="1"/>
      <c r="E48" s="1"/>
      <c r="F48" s="1"/>
      <c r="G48" s="1"/>
      <c r="H48" s="1"/>
    </row>
    <row r="49" spans="1:8" x14ac:dyDescent="0.2">
      <c r="A49" s="1"/>
      <c r="B49" s="1"/>
      <c r="C49" s="1"/>
      <c r="D49" s="1"/>
      <c r="E49" s="1"/>
      <c r="F49" s="1"/>
      <c r="G49" s="1"/>
      <c r="H49" s="1"/>
    </row>
    <row r="50" spans="1:8" x14ac:dyDescent="0.2">
      <c r="A50" s="1"/>
      <c r="B50" s="1"/>
      <c r="C50" s="1"/>
      <c r="D50" s="1"/>
      <c r="E50" s="1"/>
      <c r="F50" s="1"/>
      <c r="G50" s="1"/>
      <c r="H50" s="1"/>
    </row>
    <row r="51" spans="1:8" x14ac:dyDescent="0.2">
      <c r="A51" s="1"/>
      <c r="B51" s="1"/>
      <c r="C51" s="1"/>
      <c r="D51" s="1"/>
      <c r="E51" s="1"/>
      <c r="F51" s="1"/>
      <c r="G51" s="1"/>
      <c r="H51" s="1"/>
    </row>
    <row r="52" spans="1:8" x14ac:dyDescent="0.2">
      <c r="A52" s="1"/>
      <c r="B52" s="1"/>
      <c r="C52" s="1"/>
      <c r="D52" s="1"/>
      <c r="E52" s="1"/>
      <c r="F52" s="1"/>
      <c r="G52" s="1"/>
      <c r="H52" s="1"/>
    </row>
    <row r="53" spans="1:8" x14ac:dyDescent="0.2">
      <c r="A53" s="1"/>
      <c r="B53" s="1"/>
      <c r="C53" s="1"/>
      <c r="D53" s="1"/>
      <c r="E53" s="1"/>
      <c r="F53" s="1"/>
      <c r="G53" s="1"/>
      <c r="H53" s="1"/>
    </row>
    <row r="54" spans="1:8" x14ac:dyDescent="0.2">
      <c r="A54" s="1"/>
      <c r="B54" s="1"/>
      <c r="C54" s="1"/>
      <c r="D54" s="1"/>
      <c r="E54" s="1"/>
      <c r="F54" s="1"/>
      <c r="G54" s="1"/>
      <c r="H54" s="1"/>
    </row>
    <row r="55" spans="1:8" x14ac:dyDescent="0.2">
      <c r="A55" s="1"/>
      <c r="B55" s="1"/>
      <c r="C55" s="1"/>
      <c r="D55" s="1"/>
      <c r="E55" s="1"/>
      <c r="F55" s="1"/>
      <c r="G55" s="1"/>
      <c r="H55" s="1"/>
    </row>
    <row r="56" spans="1:8" x14ac:dyDescent="0.2">
      <c r="A56" s="1"/>
      <c r="B56" s="1"/>
      <c r="C56" s="1"/>
      <c r="D56" s="1"/>
      <c r="E56" s="1"/>
      <c r="F56" s="1"/>
      <c r="G56" s="1"/>
      <c r="H56" s="1"/>
    </row>
    <row r="57" spans="1:8" x14ac:dyDescent="0.2">
      <c r="A57" s="1"/>
      <c r="B57" s="1"/>
      <c r="C57" s="1"/>
      <c r="D57" s="1"/>
      <c r="E57" s="1"/>
      <c r="F57" s="1"/>
      <c r="G57" s="1"/>
      <c r="H57" s="1"/>
    </row>
    <row r="58" spans="1:8" x14ac:dyDescent="0.2">
      <c r="A58" s="1"/>
      <c r="B58" s="1"/>
      <c r="C58" s="1"/>
      <c r="D58" s="1"/>
      <c r="E58" s="1"/>
      <c r="F58" s="1"/>
      <c r="G58" s="1"/>
      <c r="H58" s="1"/>
    </row>
    <row r="59" spans="1:8" x14ac:dyDescent="0.2">
      <c r="A59" s="1"/>
      <c r="B59" s="1"/>
      <c r="C59" s="1"/>
      <c r="D59" s="1"/>
      <c r="E59" s="1"/>
      <c r="F59" s="1"/>
      <c r="G59" s="1"/>
      <c r="H59" s="1"/>
    </row>
    <row r="60" spans="1:8" x14ac:dyDescent="0.2">
      <c r="A60" s="1"/>
      <c r="B60" s="1"/>
      <c r="C60" s="1"/>
      <c r="D60" s="1"/>
      <c r="E60" s="1"/>
      <c r="F60" s="1"/>
      <c r="G60" s="1"/>
      <c r="H60" s="1"/>
    </row>
    <row r="61" spans="1:8" x14ac:dyDescent="0.2">
      <c r="A61" s="1"/>
      <c r="B61" s="1"/>
      <c r="C61" s="1"/>
      <c r="D61" s="1"/>
      <c r="E61" s="1"/>
      <c r="F61" s="1"/>
      <c r="G61" s="1"/>
      <c r="H61" s="1"/>
    </row>
    <row r="62" spans="1:8" x14ac:dyDescent="0.2">
      <c r="A62" s="1"/>
      <c r="B62" s="1"/>
      <c r="C62" s="1"/>
      <c r="D62" s="1"/>
      <c r="E62" s="1"/>
      <c r="F62" s="1"/>
      <c r="G62" s="1"/>
      <c r="H62" s="1"/>
    </row>
    <row r="63" spans="1:8" x14ac:dyDescent="0.2">
      <c r="A63" s="1"/>
      <c r="B63" s="1"/>
      <c r="C63" s="1"/>
      <c r="D63" s="1"/>
      <c r="E63" s="1"/>
      <c r="F63" s="1"/>
      <c r="G63" s="1"/>
      <c r="H63" s="1"/>
    </row>
    <row r="64" spans="1:8" x14ac:dyDescent="0.2">
      <c r="A64" s="1"/>
      <c r="B64" s="1"/>
      <c r="C64" s="1"/>
      <c r="D64" s="1"/>
      <c r="E64" s="1"/>
      <c r="F64" s="1"/>
      <c r="G64" s="1"/>
      <c r="H64" s="1"/>
    </row>
    <row r="65" spans="1:8" x14ac:dyDescent="0.2">
      <c r="A65" s="1"/>
      <c r="B65" s="1"/>
      <c r="C65" s="1"/>
      <c r="D65" s="1"/>
      <c r="E65" s="1"/>
      <c r="F65" s="1"/>
      <c r="G65" s="1"/>
      <c r="H65" s="1"/>
    </row>
    <row r="66" spans="1:8" x14ac:dyDescent="0.2">
      <c r="A66" s="1"/>
      <c r="B66" s="1"/>
      <c r="C66" s="1"/>
      <c r="D66" s="1"/>
      <c r="E66" s="1"/>
      <c r="F66" s="1"/>
      <c r="G66" s="1"/>
      <c r="H66" s="1"/>
    </row>
    <row r="67" spans="1:8" x14ac:dyDescent="0.2">
      <c r="A67" s="1"/>
      <c r="B67" s="1"/>
      <c r="C67" s="1"/>
      <c r="D67" s="1"/>
      <c r="E67" s="1"/>
      <c r="F67" s="1"/>
      <c r="G67" s="1"/>
      <c r="H67" s="1"/>
    </row>
    <row r="68" spans="1:8" x14ac:dyDescent="0.2">
      <c r="A68" s="1"/>
      <c r="B68" s="1"/>
      <c r="C68" s="1"/>
      <c r="D68" s="1"/>
      <c r="E68" s="1"/>
      <c r="F68" s="1"/>
      <c r="G68" s="1"/>
      <c r="H68" s="1"/>
    </row>
    <row r="69" spans="1:8" x14ac:dyDescent="0.2">
      <c r="A69" s="1"/>
      <c r="B69" s="1"/>
      <c r="C69" s="1"/>
      <c r="D69" s="1"/>
      <c r="E69" s="1"/>
      <c r="F69" s="1"/>
      <c r="G69" s="1"/>
      <c r="H69" s="1"/>
    </row>
    <row r="70" spans="1:8" x14ac:dyDescent="0.2">
      <c r="A70" s="1"/>
      <c r="B70" s="1"/>
      <c r="C70" s="1"/>
      <c r="D70" s="1"/>
      <c r="E70" s="1"/>
      <c r="F70" s="1"/>
      <c r="G70" s="1"/>
      <c r="H70" s="1"/>
    </row>
    <row r="71" spans="1:8" x14ac:dyDescent="0.2">
      <c r="A71" s="11" t="s">
        <v>1</v>
      </c>
      <c r="B71" s="12"/>
      <c r="C71" s="12"/>
      <c r="D71" s="13"/>
      <c r="E71" s="8"/>
      <c r="F71" s="8"/>
      <c r="G71" s="8"/>
      <c r="H71" s="8"/>
    </row>
    <row r="72" spans="1:8" x14ac:dyDescent="0.2">
      <c r="A72" s="14" t="s">
        <v>15</v>
      </c>
      <c r="B72" s="15"/>
      <c r="C72" s="15"/>
      <c r="D72" s="16"/>
      <c r="E72" s="8"/>
      <c r="F72" s="8"/>
      <c r="G72" s="8"/>
      <c r="H72" s="8"/>
    </row>
    <row r="73" spans="1:8" x14ac:dyDescent="0.2">
      <c r="A73" s="17" t="s">
        <v>62</v>
      </c>
      <c r="B73" s="18"/>
      <c r="C73" s="18"/>
      <c r="D73" s="19"/>
      <c r="E73" s="8"/>
      <c r="F73" s="8"/>
      <c r="G73" s="8"/>
      <c r="H73" s="8"/>
    </row>
    <row r="74" spans="1:8" x14ac:dyDescent="0.2">
      <c r="A74" s="20"/>
      <c r="B74" s="21"/>
      <c r="C74" s="22"/>
      <c r="D74" s="23"/>
      <c r="E74" s="8"/>
      <c r="F74" s="8" t="s">
        <v>34</v>
      </c>
      <c r="G74" s="8"/>
      <c r="H74" s="8"/>
    </row>
    <row r="75" spans="1:8" ht="15.75" x14ac:dyDescent="0.25">
      <c r="A75" s="24" t="s">
        <v>2</v>
      </c>
      <c r="B75" s="25" t="str">
        <f>[1]Charters!B78</f>
        <v>Mountain Heights Academy</v>
      </c>
      <c r="C75" s="26"/>
      <c r="D75" s="27"/>
      <c r="E75" s="8"/>
      <c r="F75" s="8"/>
      <c r="G75" s="8"/>
      <c r="H75" s="8"/>
    </row>
    <row r="76" spans="1:8" x14ac:dyDescent="0.2">
      <c r="A76" s="24"/>
      <c r="B76" s="28"/>
      <c r="C76" s="26"/>
      <c r="D76" s="27"/>
      <c r="E76" s="8"/>
      <c r="F76" s="8"/>
      <c r="G76" s="8"/>
      <c r="H76" s="8"/>
    </row>
    <row r="77" spans="1:8" x14ac:dyDescent="0.2">
      <c r="A77" s="29" t="s">
        <v>0</v>
      </c>
      <c r="B77" s="30">
        <f>[1]Charters!$E$6</f>
        <v>3184</v>
      </c>
      <c r="C77" s="26"/>
      <c r="D77" s="31"/>
      <c r="E77" s="8"/>
      <c r="F77" s="8"/>
      <c r="G77" s="8"/>
      <c r="H77" s="8"/>
    </row>
    <row r="78" spans="1:8" x14ac:dyDescent="0.2">
      <c r="A78" s="32"/>
      <c r="B78" s="6"/>
      <c r="C78" s="33"/>
      <c r="D78" s="34" t="s">
        <v>3</v>
      </c>
      <c r="E78" s="8"/>
      <c r="F78" s="8"/>
      <c r="G78" s="8"/>
      <c r="H78" s="8"/>
    </row>
    <row r="79" spans="1:8" x14ac:dyDescent="0.2">
      <c r="A79" s="29" t="s">
        <v>19</v>
      </c>
      <c r="B79" s="35" t="str">
        <f>[1]Charters!A78</f>
        <v>9F</v>
      </c>
      <c r="C79" s="36" t="s">
        <v>4</v>
      </c>
      <c r="D79" s="37" t="s">
        <v>5</v>
      </c>
      <c r="E79" s="8"/>
      <c r="F79" s="8"/>
      <c r="G79" s="8"/>
      <c r="H79" s="8"/>
    </row>
    <row r="80" spans="1:8" x14ac:dyDescent="0.2">
      <c r="A80" s="38" t="s">
        <v>6</v>
      </c>
      <c r="B80" s="39"/>
      <c r="C80" s="40"/>
      <c r="D80" s="41"/>
      <c r="E80" s="8"/>
      <c r="F80" s="8"/>
      <c r="G80" s="8"/>
      <c r="H80" s="8"/>
    </row>
    <row r="81" spans="1:8" x14ac:dyDescent="0.2">
      <c r="A81" s="38" t="s">
        <v>7</v>
      </c>
      <c r="B81" s="39"/>
      <c r="C81" s="40"/>
      <c r="D81" s="41"/>
      <c r="E81" s="8"/>
      <c r="F81" s="42" t="s">
        <v>23</v>
      </c>
      <c r="G81" s="8"/>
      <c r="H81" s="42" t="s">
        <v>26</v>
      </c>
    </row>
    <row r="82" spans="1:8" x14ac:dyDescent="0.2">
      <c r="A82" s="20" t="s">
        <v>8</v>
      </c>
      <c r="B82" s="43"/>
      <c r="C82" s="44">
        <f>[1]Charters!C538</f>
        <v>579.83600000000001</v>
      </c>
      <c r="D82" s="45">
        <f>[1]Charters!E538</f>
        <v>1846199.37</v>
      </c>
      <c r="E82" s="8"/>
      <c r="F82" s="42">
        <f>[1]Charters!E693</f>
        <v>1973843.34</v>
      </c>
      <c r="G82" s="8"/>
      <c r="H82" s="42">
        <f>[2]Charters!E232</f>
        <v>2257370.06</v>
      </c>
    </row>
    <row r="83" spans="1:8" x14ac:dyDescent="0.2">
      <c r="A83" s="20" t="s">
        <v>14</v>
      </c>
      <c r="B83" s="43"/>
      <c r="C83" s="44">
        <f>[1]Charters!F538</f>
        <v>40.088999999999999</v>
      </c>
      <c r="D83" s="45">
        <f>[1]Charters!H538</f>
        <v>127643.97</v>
      </c>
      <c r="E83" s="8"/>
      <c r="F83" s="42">
        <f>SUM(D82:D84)</f>
        <v>1973843.34</v>
      </c>
      <c r="G83" s="8"/>
      <c r="H83" s="42">
        <f>D95</f>
        <v>2257370.06</v>
      </c>
    </row>
    <row r="84" spans="1:8" x14ac:dyDescent="0.2">
      <c r="A84" s="20" t="s">
        <v>32</v>
      </c>
      <c r="B84" s="43"/>
      <c r="C84" s="44">
        <f>[1]Charters!C231</f>
        <v>0</v>
      </c>
      <c r="D84" s="45">
        <f>[1]Charters!E231</f>
        <v>0</v>
      </c>
      <c r="E84" s="8"/>
      <c r="F84" s="42">
        <f>+F82-F83</f>
        <v>0</v>
      </c>
      <c r="G84" s="8"/>
      <c r="H84" s="42">
        <f>+H82-H83</f>
        <v>0</v>
      </c>
    </row>
    <row r="85" spans="1:8" x14ac:dyDescent="0.2">
      <c r="A85" s="38" t="s">
        <v>9</v>
      </c>
      <c r="B85" s="39"/>
      <c r="C85" s="46"/>
      <c r="D85" s="47"/>
      <c r="E85" s="8"/>
      <c r="F85" s="8"/>
      <c r="G85" s="8"/>
      <c r="H85" s="8"/>
    </row>
    <row r="86" spans="1:8" x14ac:dyDescent="0.2">
      <c r="A86" s="20" t="s">
        <v>10</v>
      </c>
      <c r="B86" s="43"/>
      <c r="C86" s="40">
        <f>[3]Charters!C77</f>
        <v>71.596999999999994</v>
      </c>
      <c r="D86" s="41">
        <f>[3]Charters!E77</f>
        <v>227966.14</v>
      </c>
      <c r="E86" s="8"/>
      <c r="F86" s="42" t="s">
        <v>24</v>
      </c>
      <c r="G86" s="8"/>
      <c r="H86" s="8"/>
    </row>
    <row r="87" spans="1:8" x14ac:dyDescent="0.2">
      <c r="A87" s="48" t="s">
        <v>11</v>
      </c>
      <c r="B87" s="43"/>
      <c r="C87" s="40">
        <f>[3]Charters!F77</f>
        <v>1.82</v>
      </c>
      <c r="D87" s="49">
        <f>[3]Charters!H77</f>
        <v>5794.88</v>
      </c>
      <c r="E87" s="8"/>
      <c r="F87" s="42">
        <f>[3]Charters!N389</f>
        <v>240895.22</v>
      </c>
      <c r="G87" s="8"/>
      <c r="H87" s="8"/>
    </row>
    <row r="88" spans="1:8" x14ac:dyDescent="0.2">
      <c r="A88" s="48" t="s">
        <v>12</v>
      </c>
      <c r="B88" s="43"/>
      <c r="C88" s="40">
        <f>[3]Charters!C232</f>
        <v>0</v>
      </c>
      <c r="D88" s="41">
        <f>[3]Charters!E232</f>
        <v>0</v>
      </c>
      <c r="E88" s="8"/>
      <c r="F88" s="42">
        <f>SUM(D86:D92)</f>
        <v>240895.22</v>
      </c>
      <c r="G88" s="8"/>
      <c r="H88" s="8"/>
    </row>
    <row r="89" spans="1:8" x14ac:dyDescent="0.2">
      <c r="A89" s="20" t="s">
        <v>13</v>
      </c>
      <c r="B89" s="43"/>
      <c r="C89" s="40">
        <f>[3]Charters!F232</f>
        <v>0.70899999999999996</v>
      </c>
      <c r="D89" s="41">
        <f>[3]Charters!H232</f>
        <v>2259</v>
      </c>
      <c r="E89" s="8"/>
      <c r="F89" s="42">
        <f>+F87-F88</f>
        <v>0</v>
      </c>
      <c r="G89" s="8"/>
      <c r="H89" s="8"/>
    </row>
    <row r="90" spans="1:8" x14ac:dyDescent="0.2">
      <c r="A90" s="48" t="s">
        <v>54</v>
      </c>
      <c r="B90" s="43"/>
      <c r="C90" s="40">
        <f>[3]Charters!C389</f>
        <v>1.5309999999999999</v>
      </c>
      <c r="D90" s="41">
        <f>[3]Charters!E389</f>
        <v>4875.2</v>
      </c>
      <c r="E90" s="8"/>
      <c r="F90" s="8"/>
      <c r="G90" s="8"/>
      <c r="H90" s="8"/>
    </row>
    <row r="91" spans="1:8" x14ac:dyDescent="0.2">
      <c r="A91" s="48" t="s">
        <v>55</v>
      </c>
      <c r="B91" s="43"/>
      <c r="C91" s="40">
        <f>[3]Charters!F389</f>
        <v>0</v>
      </c>
      <c r="D91" s="41">
        <f>[3]Charters!H389</f>
        <v>0</v>
      </c>
      <c r="E91" s="8"/>
      <c r="F91" s="42" t="s">
        <v>25</v>
      </c>
      <c r="G91" s="8"/>
      <c r="H91" s="8"/>
    </row>
    <row r="92" spans="1:8" x14ac:dyDescent="0.2">
      <c r="A92" s="48" t="s">
        <v>56</v>
      </c>
      <c r="B92" s="43"/>
      <c r="C92" s="40">
        <f>[3]Charters!I389</f>
        <v>0</v>
      </c>
      <c r="D92" s="41">
        <f>[3]Charters!K389</f>
        <v>0</v>
      </c>
      <c r="E92" s="8"/>
      <c r="F92" s="42">
        <f>[2]Charters!H78</f>
        <v>283526.71999999997</v>
      </c>
      <c r="G92" s="8"/>
      <c r="H92" s="8"/>
    </row>
    <row r="93" spans="1:8" x14ac:dyDescent="0.2">
      <c r="A93" s="20" t="s">
        <v>49</v>
      </c>
      <c r="B93" s="43"/>
      <c r="C93" s="40">
        <f>[3]Charters!C545</f>
        <v>0</v>
      </c>
      <c r="D93" s="41">
        <f>[3]Charters!E545</f>
        <v>0</v>
      </c>
      <c r="E93" s="8"/>
      <c r="F93" s="42">
        <f>SUM(D86:D94)</f>
        <v>283526.71999999997</v>
      </c>
      <c r="G93" s="8"/>
      <c r="H93" s="8"/>
    </row>
    <row r="94" spans="1:8" x14ac:dyDescent="0.2">
      <c r="A94" s="20" t="s">
        <v>50</v>
      </c>
      <c r="B94" s="43"/>
      <c r="C94" s="40">
        <f>[2]Charters!C78</f>
        <v>13.388999999999999</v>
      </c>
      <c r="D94" s="41">
        <f>[2]Charters!E78</f>
        <v>42631.5</v>
      </c>
      <c r="E94" s="8"/>
      <c r="F94" s="42">
        <f>+F92-F93</f>
        <v>0</v>
      </c>
      <c r="G94" s="8"/>
      <c r="H94" s="8"/>
    </row>
    <row r="95" spans="1:8" x14ac:dyDescent="0.2">
      <c r="A95" s="50"/>
      <c r="B95" s="51" t="s">
        <v>16</v>
      </c>
      <c r="C95" s="52">
        <f>SUM(C82:C94)</f>
        <v>708.971</v>
      </c>
      <c r="D95" s="53">
        <f>SUM(D82:D94)</f>
        <v>2257370.06</v>
      </c>
      <c r="E95" s="8"/>
      <c r="F95" s="8"/>
      <c r="G95" s="8"/>
      <c r="H95" s="8"/>
    </row>
    <row r="96" spans="1:8" x14ac:dyDescent="0.2">
      <c r="A96" s="54" t="s">
        <v>17</v>
      </c>
      <c r="B96" s="39"/>
      <c r="C96" s="55"/>
      <c r="D96" s="47"/>
      <c r="E96" s="8"/>
      <c r="F96" s="8"/>
      <c r="G96" s="8"/>
      <c r="H96" s="42" t="s">
        <v>29</v>
      </c>
    </row>
    <row r="97" spans="1:8" x14ac:dyDescent="0.2">
      <c r="A97" s="20" t="s">
        <v>33</v>
      </c>
      <c r="B97" s="43"/>
      <c r="C97" s="56"/>
      <c r="D97" s="57">
        <f>[4]Charters!C78</f>
        <v>6542.91</v>
      </c>
      <c r="E97" s="8"/>
      <c r="F97" s="8"/>
      <c r="G97" s="8"/>
      <c r="H97" s="42">
        <f>[4]Charters!F1018</f>
        <v>3671146.93</v>
      </c>
    </row>
    <row r="98" spans="1:8" x14ac:dyDescent="0.2">
      <c r="A98" s="58" t="s">
        <v>35</v>
      </c>
      <c r="B98" s="43"/>
      <c r="C98" s="56"/>
      <c r="D98" s="41">
        <f>+[4]Charters!F399</f>
        <v>2790.74</v>
      </c>
      <c r="E98" s="8"/>
      <c r="F98" s="8"/>
      <c r="G98" s="8"/>
      <c r="H98" s="42">
        <f>SUM(D95:D114)</f>
        <v>3671146.93</v>
      </c>
    </row>
    <row r="99" spans="1:8" x14ac:dyDescent="0.2">
      <c r="A99" s="59" t="s">
        <v>36</v>
      </c>
      <c r="B99" s="43"/>
      <c r="C99" s="56"/>
      <c r="D99" s="41">
        <f>[4]Charters!E238</f>
        <v>22432</v>
      </c>
      <c r="E99" s="8"/>
      <c r="F99" s="8"/>
      <c r="G99" s="8"/>
      <c r="H99" s="42">
        <f>+H97-H98</f>
        <v>0</v>
      </c>
    </row>
    <row r="100" spans="1:8" x14ac:dyDescent="0.2">
      <c r="A100" s="59" t="s">
        <v>52</v>
      </c>
      <c r="B100" s="43"/>
      <c r="C100" s="56"/>
      <c r="D100" s="41">
        <f>[4]Charters!G399</f>
        <v>984.58</v>
      </c>
      <c r="E100" s="8"/>
      <c r="F100" s="42" t="s">
        <v>27</v>
      </c>
      <c r="G100" s="8"/>
      <c r="H100" s="42"/>
    </row>
    <row r="101" spans="1:8" x14ac:dyDescent="0.2">
      <c r="A101" s="20" t="s">
        <v>37</v>
      </c>
      <c r="B101" s="43"/>
      <c r="C101" s="56"/>
      <c r="D101" s="41">
        <f>[4]Charters!E555</f>
        <v>36462</v>
      </c>
      <c r="E101" s="8"/>
      <c r="F101" s="42">
        <f>[4]Charters!E238</f>
        <v>22432</v>
      </c>
      <c r="G101" s="8"/>
      <c r="H101" s="8"/>
    </row>
    <row r="102" spans="1:8" x14ac:dyDescent="0.2">
      <c r="A102" s="20" t="s">
        <v>38</v>
      </c>
      <c r="B102" s="43"/>
      <c r="C102" s="56"/>
      <c r="D102" s="41">
        <f>[4]Charters!F555</f>
        <v>0</v>
      </c>
      <c r="E102" s="8"/>
      <c r="F102" s="42">
        <f>SUM(D99:D99)</f>
        <v>22432</v>
      </c>
      <c r="G102" s="8"/>
      <c r="H102" s="8"/>
    </row>
    <row r="103" spans="1:8" x14ac:dyDescent="0.2">
      <c r="A103" s="59" t="s">
        <v>40</v>
      </c>
      <c r="B103" s="43"/>
      <c r="C103" s="56"/>
      <c r="D103" s="41">
        <f>[4]Charters!G555</f>
        <v>0</v>
      </c>
      <c r="E103" s="8"/>
      <c r="F103" s="42">
        <f>+F101-F102</f>
        <v>0</v>
      </c>
      <c r="G103" s="8"/>
      <c r="H103" s="8"/>
    </row>
    <row r="104" spans="1:8" x14ac:dyDescent="0.2">
      <c r="A104" s="20" t="s">
        <v>41</v>
      </c>
      <c r="B104" s="43"/>
      <c r="C104" s="56"/>
      <c r="D104" s="41">
        <f>[4]Charters!C709</f>
        <v>1050525</v>
      </c>
      <c r="E104" s="8"/>
      <c r="F104" s="42" t="s">
        <v>28</v>
      </c>
      <c r="G104" s="8"/>
      <c r="H104" s="8"/>
    </row>
    <row r="105" spans="1:8" x14ac:dyDescent="0.2">
      <c r="A105" s="20" t="s">
        <v>42</v>
      </c>
      <c r="B105" s="43"/>
      <c r="C105" s="56"/>
      <c r="D105" s="41">
        <f>[4]Charters!D709</f>
        <v>159284.85999999999</v>
      </c>
      <c r="E105" s="8"/>
      <c r="F105" s="42">
        <f>[4]Charters!D555</f>
        <v>26207.32</v>
      </c>
      <c r="G105" s="8"/>
      <c r="H105" s="8"/>
    </row>
    <row r="106" spans="1:8" x14ac:dyDescent="0.2">
      <c r="A106" s="20" t="s">
        <v>44</v>
      </c>
      <c r="B106" s="43"/>
      <c r="C106" s="56"/>
      <c r="D106" s="41">
        <f>[4]Charters!E709</f>
        <v>52500</v>
      </c>
      <c r="E106" s="8"/>
      <c r="F106" s="42">
        <f>SUM(D98:D100)</f>
        <v>26207.32</v>
      </c>
      <c r="G106" s="8"/>
      <c r="H106" s="8"/>
    </row>
    <row r="107" spans="1:8" x14ac:dyDescent="0.2">
      <c r="A107" s="59" t="s">
        <v>43</v>
      </c>
      <c r="B107" s="43"/>
      <c r="C107" s="56"/>
      <c r="D107" s="41">
        <f>[4]Charters!F709</f>
        <v>0</v>
      </c>
      <c r="E107" s="8"/>
      <c r="F107" s="42">
        <f>+F105-F106</f>
        <v>0</v>
      </c>
      <c r="G107" s="8"/>
      <c r="H107" s="8"/>
    </row>
    <row r="108" spans="1:8" x14ac:dyDescent="0.2">
      <c r="A108" s="59" t="s">
        <v>45</v>
      </c>
      <c r="B108" s="43"/>
      <c r="C108" s="56"/>
      <c r="D108" s="41">
        <f>[4]Charters!C555</f>
        <v>0</v>
      </c>
      <c r="E108" s="8"/>
      <c r="F108" s="8"/>
      <c r="G108" s="8"/>
      <c r="H108" s="8"/>
    </row>
    <row r="109" spans="1:8" x14ac:dyDescent="0.2">
      <c r="A109" s="59" t="s">
        <v>46</v>
      </c>
      <c r="B109" s="43"/>
      <c r="C109" s="56"/>
      <c r="D109" s="41">
        <f>[4]Charters!C865</f>
        <v>0</v>
      </c>
      <c r="E109" s="42"/>
      <c r="F109" s="42"/>
      <c r="G109" s="42"/>
      <c r="H109" s="42" t="s">
        <v>31</v>
      </c>
    </row>
    <row r="110" spans="1:8" x14ac:dyDescent="0.2">
      <c r="A110" s="59" t="s">
        <v>51</v>
      </c>
      <c r="B110" s="43"/>
      <c r="C110" s="56"/>
      <c r="D110" s="60">
        <f>[4]Charters!D865</f>
        <v>712.99</v>
      </c>
      <c r="E110" s="42"/>
      <c r="F110" s="42"/>
      <c r="G110" s="42"/>
      <c r="H110" s="42">
        <f>[4]Charters!D1324</f>
        <v>3677091.49</v>
      </c>
    </row>
    <row r="111" spans="1:8" x14ac:dyDescent="0.2">
      <c r="A111" s="20" t="s">
        <v>47</v>
      </c>
      <c r="B111" s="43"/>
      <c r="C111" s="56"/>
      <c r="D111" s="60">
        <f>[4]Charters!E865</f>
        <v>0</v>
      </c>
      <c r="E111" s="42"/>
      <c r="F111" s="42"/>
      <c r="G111" s="42"/>
      <c r="H111" s="42">
        <f>D120</f>
        <v>3677091.49</v>
      </c>
    </row>
    <row r="112" spans="1:8" x14ac:dyDescent="0.2">
      <c r="A112" s="20" t="s">
        <v>57</v>
      </c>
      <c r="B112" s="43"/>
      <c r="C112" s="56"/>
      <c r="D112" s="60">
        <f>[4]Charters!C1018</f>
        <v>13381.79</v>
      </c>
      <c r="E112" s="42"/>
      <c r="F112" s="42"/>
      <c r="G112" s="42"/>
      <c r="H112" s="42">
        <f>+H110-H111</f>
        <v>0</v>
      </c>
    </row>
    <row r="113" spans="1:8" x14ac:dyDescent="0.2">
      <c r="A113" s="59" t="s">
        <v>53</v>
      </c>
      <c r="B113" s="43"/>
      <c r="C113" s="56"/>
      <c r="D113" s="60">
        <f>[4]Charters!D1018</f>
        <v>68160</v>
      </c>
      <c r="E113" s="42"/>
      <c r="F113" s="42" t="s">
        <v>30</v>
      </c>
      <c r="G113" s="42"/>
      <c r="H113" s="42"/>
    </row>
    <row r="114" spans="1:8" x14ac:dyDescent="0.2">
      <c r="A114" s="59" t="s">
        <v>59</v>
      </c>
      <c r="B114" s="43"/>
      <c r="C114" s="56"/>
      <c r="D114" s="60">
        <f>[4]Charters!E1018</f>
        <v>0</v>
      </c>
      <c r="E114" s="42"/>
      <c r="F114" s="42"/>
      <c r="G114" s="42"/>
      <c r="H114" s="42"/>
    </row>
    <row r="115" spans="1:8" x14ac:dyDescent="0.2">
      <c r="A115" s="38" t="s">
        <v>18</v>
      </c>
      <c r="B115" s="61"/>
      <c r="C115" s="62"/>
      <c r="D115" s="87"/>
      <c r="E115" s="42"/>
      <c r="F115" s="42">
        <f>[4]Charters!C1324</f>
        <v>5944.56</v>
      </c>
      <c r="G115" s="42"/>
      <c r="H115" s="42"/>
    </row>
    <row r="116" spans="1:8" x14ac:dyDescent="0.2">
      <c r="A116" s="59" t="s">
        <v>39</v>
      </c>
      <c r="B116" s="43"/>
      <c r="C116" s="56"/>
      <c r="D116" s="41">
        <f>[4]Charters!C1171</f>
        <v>5944.56</v>
      </c>
      <c r="E116" s="42"/>
      <c r="F116" s="42">
        <f>SUM(D116:D119)</f>
        <v>5944.56</v>
      </c>
      <c r="G116" s="42"/>
      <c r="H116" s="42"/>
    </row>
    <row r="117" spans="1:8" x14ac:dyDescent="0.2">
      <c r="A117" s="59" t="s">
        <v>48</v>
      </c>
      <c r="B117" s="43"/>
      <c r="C117" s="56"/>
      <c r="D117" s="41">
        <f>[4]Charters!D1171</f>
        <v>0</v>
      </c>
      <c r="E117" s="42"/>
      <c r="F117" s="42">
        <f>+F115-F116</f>
        <v>0</v>
      </c>
      <c r="G117" s="42"/>
      <c r="H117" s="42"/>
    </row>
    <row r="118" spans="1:8" x14ac:dyDescent="0.2">
      <c r="A118" s="59" t="s">
        <v>60</v>
      </c>
      <c r="B118" s="43"/>
      <c r="C118" s="56"/>
      <c r="D118" s="41">
        <f>[4]Charters!E1171</f>
        <v>0</v>
      </c>
      <c r="E118" s="42"/>
      <c r="F118" s="42"/>
      <c r="G118" s="42"/>
      <c r="H118" s="42"/>
    </row>
    <row r="119" spans="1:8" x14ac:dyDescent="0.2">
      <c r="A119" s="59" t="s">
        <v>61</v>
      </c>
      <c r="B119" s="43"/>
      <c r="C119" s="56"/>
      <c r="D119" s="41">
        <f>[4]Charters!F1171</f>
        <v>0</v>
      </c>
      <c r="E119" s="42"/>
      <c r="F119" s="42"/>
      <c r="G119" s="42"/>
      <c r="H119" s="42"/>
    </row>
    <row r="120" spans="1:8" ht="13.5" thickBot="1" x14ac:dyDescent="0.25">
      <c r="A120" s="64"/>
      <c r="B120" s="65"/>
      <c r="C120" s="66"/>
      <c r="D120" s="67">
        <f>SUM(D95:D119)</f>
        <v>3677091.49</v>
      </c>
      <c r="E120" s="42"/>
      <c r="F120" s="42"/>
      <c r="G120" s="42"/>
      <c r="H120" s="42"/>
    </row>
    <row r="121" spans="1:8" ht="13.5" thickTop="1" x14ac:dyDescent="0.2">
      <c r="A121" s="68"/>
      <c r="B121" s="43"/>
      <c r="C121" s="56"/>
      <c r="D121" s="86"/>
      <c r="E121" s="42"/>
      <c r="F121" s="42"/>
      <c r="G121" s="42"/>
      <c r="H121" s="42"/>
    </row>
    <row r="122" spans="1:8" x14ac:dyDescent="0.2">
      <c r="A122" s="38" t="s">
        <v>20</v>
      </c>
      <c r="B122" s="39"/>
      <c r="C122" s="70"/>
      <c r="D122" s="71" t="s">
        <v>21</v>
      </c>
      <c r="E122" s="42"/>
      <c r="F122" s="42"/>
      <c r="G122" s="42"/>
      <c r="H122" s="42"/>
    </row>
    <row r="123" spans="1:8" x14ac:dyDescent="0.2">
      <c r="A123" s="72" t="s">
        <v>22</v>
      </c>
      <c r="B123" s="73"/>
      <c r="C123" s="74"/>
      <c r="D123" s="41">
        <f>[5]Charters!C77</f>
        <v>1181.77</v>
      </c>
      <c r="E123" s="42"/>
      <c r="F123" s="42"/>
      <c r="G123" s="42"/>
      <c r="H123" s="42"/>
    </row>
    <row r="124" spans="1:8" x14ac:dyDescent="0.2">
      <c r="A124" s="75"/>
      <c r="B124" s="61"/>
      <c r="C124" s="76"/>
      <c r="D124" s="77">
        <f>SUM(D123:D123)</f>
        <v>1181.77</v>
      </c>
      <c r="E124" s="42"/>
      <c r="F124" s="42"/>
      <c r="G124" s="42"/>
      <c r="H124" s="42"/>
    </row>
    <row r="125" spans="1:8" x14ac:dyDescent="0.2">
      <c r="A125" s="78" t="s">
        <v>58</v>
      </c>
      <c r="B125" s="79"/>
      <c r="C125" s="80"/>
      <c r="D125" s="77">
        <f>D124+D120</f>
        <v>3678273.26</v>
      </c>
      <c r="E125" s="42"/>
      <c r="F125" s="42"/>
      <c r="G125" s="42"/>
      <c r="H125" s="42"/>
    </row>
    <row r="126" spans="1:8" x14ac:dyDescent="0.2">
      <c r="A126" s="84"/>
      <c r="B126" s="84"/>
      <c r="C126" s="85"/>
      <c r="D126" s="81"/>
      <c r="E126" s="42"/>
      <c r="F126" s="42"/>
      <c r="G126" s="42"/>
      <c r="H126" s="42"/>
    </row>
    <row r="127" spans="1:8" x14ac:dyDescent="0.2">
      <c r="A127" s="84"/>
      <c r="B127" s="84"/>
      <c r="C127" s="85"/>
      <c r="D127" s="81">
        <f>[5]Charters!E233</f>
        <v>3678273.26</v>
      </c>
      <c r="E127" s="42"/>
      <c r="F127" s="42"/>
      <c r="G127" s="42"/>
      <c r="H127" s="42"/>
    </row>
    <row r="128" spans="1:8" x14ac:dyDescent="0.2">
      <c r="A128" s="84"/>
      <c r="B128" s="84"/>
      <c r="C128" s="85"/>
      <c r="D128" s="81">
        <f>D125</f>
        <v>3678273.26</v>
      </c>
      <c r="E128" s="42"/>
      <c r="F128" s="42"/>
      <c r="G128" s="42"/>
      <c r="H128" s="42"/>
    </row>
    <row r="129" spans="3:8" x14ac:dyDescent="0.2">
      <c r="C129" s="83"/>
      <c r="D129" s="42">
        <f>D127-D128</f>
        <v>0</v>
      </c>
      <c r="E129" s="42"/>
      <c r="F129" s="42"/>
      <c r="G129" s="42"/>
      <c r="H129" s="42"/>
    </row>
  </sheetData>
  <mergeCells count="4">
    <mergeCell ref="A125:C125"/>
    <mergeCell ref="A73:D73"/>
    <mergeCell ref="A72:D72"/>
    <mergeCell ref="A71:D71"/>
  </mergeCells>
  <printOptions horizontalCentered="1" verticalCentered="1"/>
  <pageMargins left="0.5" right="0.5" top="0.5" bottom="0.5" header="0.25" footer="0.25"/>
  <pageSetup orientation="portrait" r:id="rId1"/>
  <headerFooter alignWithMargins="0">
    <oddHeader>&amp;R&amp;8Current as of: &amp;D</oddHeader>
    <oddFooter>&amp;L&amp;8USOE, School Finance</oddFooter>
  </headerFooter>
  <picture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>
    <pageSetUpPr fitToPage="1"/>
  </sheetPr>
  <dimension ref="A1:H130"/>
  <sheetViews>
    <sheetView topLeftCell="A65" workbookViewId="0">
      <selection activeCell="C12" sqref="C12"/>
    </sheetView>
  </sheetViews>
  <sheetFormatPr defaultColWidth="9.140625" defaultRowHeight="12.75" x14ac:dyDescent="0.2"/>
  <cols>
    <col min="1" max="1" width="31.85546875" style="82" customWidth="1"/>
    <col min="2" max="2" width="16.140625" style="82" customWidth="1"/>
    <col min="3" max="4" width="14.85546875" style="82" customWidth="1"/>
    <col min="5" max="5" width="7" style="82" customWidth="1"/>
    <col min="6" max="6" width="19.7109375" style="82" customWidth="1"/>
    <col min="7" max="7" width="5.7109375" style="82" customWidth="1"/>
    <col min="8" max="8" width="18" style="82" customWidth="1"/>
    <col min="9" max="16384" width="9.140625" style="82"/>
  </cols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"/>
      <c r="B3" s="1"/>
      <c r="C3" s="1"/>
      <c r="D3" s="1"/>
      <c r="E3" s="1"/>
      <c r="F3" s="1"/>
      <c r="G3" s="1"/>
      <c r="H3" s="1"/>
    </row>
    <row r="4" spans="1:8" x14ac:dyDescent="0.2">
      <c r="A4" s="1"/>
      <c r="B4" s="1"/>
      <c r="C4" s="1"/>
      <c r="D4" s="1"/>
      <c r="E4" s="1"/>
      <c r="F4" s="1"/>
      <c r="G4" s="1"/>
      <c r="H4" s="1"/>
    </row>
    <row r="5" spans="1:8" x14ac:dyDescent="0.2">
      <c r="A5" s="1"/>
      <c r="B5" s="1"/>
      <c r="C5" s="1"/>
      <c r="D5" s="1"/>
      <c r="E5" s="1"/>
      <c r="F5" s="1"/>
      <c r="G5" s="1"/>
      <c r="H5" s="1"/>
    </row>
    <row r="6" spans="1:8" x14ac:dyDescent="0.2">
      <c r="A6" s="1"/>
      <c r="B6" s="1"/>
      <c r="C6" s="1"/>
      <c r="D6" s="1"/>
      <c r="E6" s="1"/>
      <c r="F6" s="1"/>
      <c r="G6" s="1"/>
      <c r="H6" s="1"/>
    </row>
    <row r="7" spans="1:8" x14ac:dyDescent="0.2">
      <c r="A7" s="1"/>
      <c r="B7" s="1"/>
      <c r="C7" s="1"/>
      <c r="D7" s="1"/>
      <c r="E7" s="1"/>
      <c r="F7" s="1"/>
      <c r="G7" s="1"/>
      <c r="H7" s="1"/>
    </row>
    <row r="8" spans="1:8" x14ac:dyDescent="0.2">
      <c r="A8" s="1"/>
      <c r="B8" s="1"/>
      <c r="C8" s="1"/>
      <c r="D8" s="1"/>
      <c r="E8" s="1"/>
      <c r="F8" s="1"/>
      <c r="G8" s="1"/>
      <c r="H8" s="1"/>
    </row>
    <row r="9" spans="1:8" x14ac:dyDescent="0.2">
      <c r="A9" s="1"/>
      <c r="B9" s="1"/>
      <c r="C9" s="1"/>
      <c r="D9" s="1"/>
      <c r="E9" s="1"/>
      <c r="F9" s="1"/>
      <c r="G9" s="1"/>
      <c r="H9" s="1"/>
    </row>
    <row r="10" spans="1:8" x14ac:dyDescent="0.2">
      <c r="A10" s="1"/>
      <c r="B10" s="1"/>
      <c r="C10" s="1"/>
      <c r="D10" s="1"/>
      <c r="E10" s="1"/>
      <c r="F10" s="1"/>
      <c r="G10" s="1"/>
      <c r="H10" s="1"/>
    </row>
    <row r="11" spans="1:8" x14ac:dyDescent="0.2">
      <c r="A11" s="1"/>
      <c r="B11" s="1"/>
      <c r="C11" s="1"/>
      <c r="D11" s="1"/>
      <c r="E11" s="1"/>
      <c r="F11" s="1"/>
      <c r="G11" s="1"/>
      <c r="H11" s="1"/>
    </row>
    <row r="12" spans="1:8" x14ac:dyDescent="0.2">
      <c r="A12" s="1"/>
      <c r="B12" s="1"/>
      <c r="C12" s="1"/>
      <c r="D12" s="1"/>
      <c r="E12" s="1"/>
      <c r="F12" s="1"/>
      <c r="G12" s="1"/>
      <c r="H12" s="1"/>
    </row>
    <row r="13" spans="1:8" x14ac:dyDescent="0.2">
      <c r="A13" s="1"/>
      <c r="B13" s="1"/>
      <c r="C13" s="1"/>
      <c r="D13" s="1"/>
      <c r="E13" s="1"/>
      <c r="F13" s="1"/>
      <c r="G13" s="1"/>
      <c r="H13" s="1"/>
    </row>
    <row r="14" spans="1:8" x14ac:dyDescent="0.2">
      <c r="A14" s="1"/>
      <c r="B14" s="1"/>
      <c r="C14" s="1"/>
      <c r="D14" s="1"/>
      <c r="E14" s="1"/>
      <c r="F14" s="1"/>
      <c r="G14" s="1"/>
      <c r="H14" s="1"/>
    </row>
    <row r="15" spans="1:8" x14ac:dyDescent="0.2">
      <c r="A15" s="1"/>
      <c r="B15" s="1"/>
      <c r="C15" s="1"/>
      <c r="D15" s="1"/>
      <c r="E15" s="1"/>
      <c r="F15" s="1"/>
      <c r="G15" s="1"/>
      <c r="H15" s="1"/>
    </row>
    <row r="16" spans="1:8" x14ac:dyDescent="0.2">
      <c r="A16" s="1"/>
      <c r="B16" s="1"/>
      <c r="C16" s="1"/>
      <c r="D16" s="1"/>
      <c r="E16" s="1"/>
      <c r="F16" s="1"/>
      <c r="G16" s="1"/>
      <c r="H16" s="1"/>
    </row>
    <row r="17" spans="1:8" x14ac:dyDescent="0.2">
      <c r="A17" s="1"/>
      <c r="B17" s="1"/>
      <c r="C17" s="1"/>
      <c r="D17" s="1"/>
      <c r="E17" s="1"/>
      <c r="F17" s="1"/>
      <c r="G17" s="1"/>
      <c r="H17" s="1"/>
    </row>
    <row r="18" spans="1:8" x14ac:dyDescent="0.2">
      <c r="A18" s="1"/>
      <c r="B18" s="1"/>
      <c r="C18" s="1"/>
      <c r="D18" s="1"/>
      <c r="E18" s="1"/>
      <c r="F18" s="1"/>
      <c r="G18" s="1"/>
      <c r="H18" s="1"/>
    </row>
    <row r="19" spans="1:8" x14ac:dyDescent="0.2">
      <c r="A19" s="1"/>
      <c r="B19" s="1"/>
      <c r="C19" s="1"/>
      <c r="D19" s="1"/>
      <c r="E19" s="1"/>
      <c r="F19" s="1"/>
      <c r="G19" s="1"/>
      <c r="H19" s="1"/>
    </row>
    <row r="20" spans="1:8" x14ac:dyDescent="0.2">
      <c r="A20" s="1"/>
      <c r="B20" s="1"/>
      <c r="C20" s="1"/>
      <c r="D20" s="1"/>
      <c r="E20" s="1"/>
      <c r="F20" s="1"/>
      <c r="G20" s="1"/>
      <c r="H20" s="1"/>
    </row>
    <row r="21" spans="1:8" x14ac:dyDescent="0.2">
      <c r="A21" s="1"/>
      <c r="B21" s="1"/>
      <c r="C21" s="1"/>
      <c r="D21" s="1"/>
      <c r="E21" s="1"/>
      <c r="F21" s="1"/>
      <c r="G21" s="1"/>
      <c r="H21" s="1"/>
    </row>
    <row r="22" spans="1:8" x14ac:dyDescent="0.2">
      <c r="A22" s="1"/>
      <c r="B22" s="1"/>
      <c r="C22" s="1"/>
      <c r="D22" s="4"/>
      <c r="E22" s="1"/>
      <c r="F22" s="1"/>
      <c r="G22" s="1"/>
      <c r="H22" s="1"/>
    </row>
    <row r="23" spans="1:8" x14ac:dyDescent="0.2">
      <c r="A23" s="1"/>
      <c r="B23" s="1"/>
      <c r="C23" s="1"/>
      <c r="D23" s="1"/>
      <c r="E23" s="1"/>
      <c r="F23" s="1"/>
      <c r="G23" s="1"/>
      <c r="H23" s="1"/>
    </row>
    <row r="24" spans="1:8" x14ac:dyDescent="0.2">
      <c r="A24" s="1"/>
      <c r="B24" s="1"/>
      <c r="C24" s="1"/>
      <c r="D24" s="1"/>
      <c r="E24" s="1"/>
      <c r="F24" s="1"/>
      <c r="G24" s="1"/>
      <c r="H24" s="1"/>
    </row>
    <row r="25" spans="1:8" x14ac:dyDescent="0.2">
      <c r="A25" s="1"/>
      <c r="B25" s="1"/>
      <c r="C25" s="1"/>
      <c r="D25" s="1"/>
      <c r="E25" s="1"/>
      <c r="F25" s="1"/>
      <c r="G25" s="1"/>
      <c r="H25" s="1"/>
    </row>
    <row r="26" spans="1:8" x14ac:dyDescent="0.2">
      <c r="A26" s="1"/>
      <c r="B26" s="1"/>
      <c r="C26" s="1"/>
      <c r="D26" s="1"/>
      <c r="E26" s="1"/>
      <c r="F26" s="1"/>
      <c r="G26" s="1"/>
      <c r="H26" s="1"/>
    </row>
    <row r="27" spans="1:8" x14ac:dyDescent="0.2">
      <c r="A27" s="1"/>
      <c r="B27" s="1"/>
      <c r="C27" s="1"/>
      <c r="D27" s="1"/>
      <c r="E27" s="1"/>
      <c r="F27" s="1"/>
      <c r="G27" s="1"/>
      <c r="H27" s="1"/>
    </row>
    <row r="28" spans="1:8" x14ac:dyDescent="0.2">
      <c r="A28" s="1"/>
      <c r="B28" s="1"/>
      <c r="C28" s="1"/>
      <c r="D28" s="1"/>
      <c r="E28" s="1"/>
      <c r="F28" s="1"/>
      <c r="G28" s="1"/>
      <c r="H28" s="1"/>
    </row>
    <row r="29" spans="1:8" x14ac:dyDescent="0.2">
      <c r="A29" s="1"/>
      <c r="B29" s="1"/>
      <c r="C29" s="1"/>
      <c r="D29" s="1"/>
      <c r="E29" s="1"/>
      <c r="F29" s="1"/>
      <c r="G29" s="1"/>
      <c r="H29" s="1"/>
    </row>
    <row r="30" spans="1:8" x14ac:dyDescent="0.2">
      <c r="A30" s="1"/>
      <c r="B30" s="1"/>
      <c r="C30" s="1"/>
      <c r="D30" s="1"/>
      <c r="E30" s="1"/>
      <c r="F30" s="1"/>
      <c r="G30" s="1"/>
      <c r="H30" s="1"/>
    </row>
    <row r="31" spans="1:8" x14ac:dyDescent="0.2">
      <c r="A31" s="1"/>
      <c r="B31" s="1"/>
      <c r="C31" s="1"/>
      <c r="D31" s="1"/>
      <c r="E31" s="1"/>
      <c r="F31" s="1"/>
      <c r="G31" s="1"/>
      <c r="H31" s="1"/>
    </row>
    <row r="32" spans="1:8" x14ac:dyDescent="0.2">
      <c r="A32" s="1"/>
      <c r="B32" s="1"/>
      <c r="C32" s="1"/>
      <c r="D32" s="1"/>
      <c r="E32" s="1"/>
      <c r="F32" s="1"/>
      <c r="G32" s="1"/>
      <c r="H32" s="1"/>
    </row>
    <row r="33" spans="1:8" x14ac:dyDescent="0.2">
      <c r="A33" s="1"/>
      <c r="B33" s="1"/>
      <c r="C33" s="1"/>
      <c r="D33" s="1"/>
      <c r="E33" s="1"/>
      <c r="F33" s="1"/>
      <c r="G33" s="1"/>
      <c r="H33" s="1"/>
    </row>
    <row r="34" spans="1:8" x14ac:dyDescent="0.2">
      <c r="A34" s="1"/>
      <c r="B34" s="1"/>
      <c r="C34" s="1"/>
      <c r="D34" s="1"/>
      <c r="E34" s="1"/>
      <c r="F34" s="1"/>
      <c r="G34" s="1"/>
      <c r="H34" s="1"/>
    </row>
    <row r="35" spans="1:8" x14ac:dyDescent="0.2">
      <c r="A35" s="1"/>
      <c r="B35" s="1"/>
      <c r="C35" s="1"/>
      <c r="D35" s="1"/>
      <c r="E35" s="1"/>
      <c r="F35" s="1"/>
      <c r="G35" s="1"/>
      <c r="H35" s="1"/>
    </row>
    <row r="36" spans="1:8" x14ac:dyDescent="0.2">
      <c r="A36" s="1"/>
      <c r="B36" s="1"/>
      <c r="C36" s="1"/>
      <c r="D36" s="1"/>
      <c r="E36" s="1"/>
      <c r="F36" s="1"/>
      <c r="G36" s="1"/>
      <c r="H36" s="1"/>
    </row>
    <row r="37" spans="1:8" x14ac:dyDescent="0.2">
      <c r="A37" s="1"/>
      <c r="B37" s="1"/>
      <c r="C37" s="1"/>
      <c r="D37" s="1"/>
      <c r="E37" s="1"/>
      <c r="F37" s="1"/>
      <c r="G37" s="1"/>
      <c r="H37" s="1"/>
    </row>
    <row r="38" spans="1:8" x14ac:dyDescent="0.2">
      <c r="A38" s="1"/>
      <c r="B38" s="1"/>
      <c r="C38" s="1"/>
      <c r="D38" s="1"/>
      <c r="E38" s="1"/>
      <c r="F38" s="1"/>
      <c r="G38" s="1"/>
      <c r="H38" s="1"/>
    </row>
    <row r="39" spans="1:8" x14ac:dyDescent="0.2">
      <c r="A39" s="1"/>
      <c r="B39" s="1"/>
      <c r="C39" s="1"/>
      <c r="D39" s="1"/>
      <c r="E39" s="1"/>
      <c r="F39" s="1"/>
      <c r="G39" s="1"/>
      <c r="H39" s="1"/>
    </row>
    <row r="40" spans="1:8" x14ac:dyDescent="0.2">
      <c r="A40" s="1"/>
      <c r="B40" s="1"/>
      <c r="C40" s="1"/>
      <c r="D40" s="1"/>
      <c r="E40" s="1"/>
      <c r="F40" s="1"/>
      <c r="G40" s="1"/>
      <c r="H40" s="1"/>
    </row>
    <row r="41" spans="1:8" x14ac:dyDescent="0.2">
      <c r="A41" s="1"/>
      <c r="B41" s="1"/>
      <c r="C41" s="1"/>
      <c r="D41" s="1"/>
      <c r="E41" s="1"/>
      <c r="F41" s="1"/>
      <c r="G41" s="1"/>
      <c r="H41" s="1"/>
    </row>
    <row r="42" spans="1:8" x14ac:dyDescent="0.2">
      <c r="A42" s="1"/>
      <c r="B42" s="1"/>
      <c r="C42" s="1"/>
      <c r="D42" s="1"/>
      <c r="E42" s="1"/>
      <c r="F42" s="1"/>
      <c r="G42" s="1"/>
      <c r="H42" s="1"/>
    </row>
    <row r="43" spans="1:8" x14ac:dyDescent="0.2">
      <c r="A43" s="1"/>
      <c r="B43" s="1"/>
      <c r="C43" s="1"/>
      <c r="D43" s="1"/>
      <c r="E43" s="1"/>
      <c r="F43" s="1"/>
      <c r="G43" s="1"/>
      <c r="H43" s="1"/>
    </row>
    <row r="44" spans="1:8" x14ac:dyDescent="0.2">
      <c r="A44" s="1"/>
      <c r="B44" s="1"/>
      <c r="C44" s="1"/>
      <c r="D44" s="1"/>
      <c r="E44" s="1"/>
      <c r="F44" s="1"/>
      <c r="G44" s="1"/>
      <c r="H44" s="1"/>
    </row>
    <row r="45" spans="1:8" x14ac:dyDescent="0.2">
      <c r="A45" s="1"/>
      <c r="B45" s="1"/>
      <c r="C45" s="1"/>
      <c r="D45" s="1"/>
      <c r="E45" s="1"/>
      <c r="F45" s="1"/>
      <c r="G45" s="1"/>
      <c r="H45" s="1"/>
    </row>
    <row r="46" spans="1:8" x14ac:dyDescent="0.2">
      <c r="A46" s="1"/>
      <c r="B46" s="1"/>
      <c r="C46" s="1"/>
      <c r="D46" s="1"/>
      <c r="E46" s="1"/>
      <c r="F46" s="1"/>
      <c r="G46" s="1"/>
      <c r="H46" s="1"/>
    </row>
    <row r="47" spans="1:8" x14ac:dyDescent="0.2">
      <c r="A47" s="1"/>
      <c r="B47" s="1"/>
      <c r="C47" s="1"/>
      <c r="D47" s="1"/>
      <c r="E47" s="1"/>
      <c r="F47" s="1"/>
      <c r="G47" s="1"/>
      <c r="H47" s="1"/>
    </row>
    <row r="48" spans="1:8" x14ac:dyDescent="0.2">
      <c r="A48" s="1"/>
      <c r="B48" s="1"/>
      <c r="C48" s="1"/>
      <c r="D48" s="1"/>
      <c r="E48" s="1"/>
      <c r="F48" s="1"/>
      <c r="G48" s="1"/>
      <c r="H48" s="1"/>
    </row>
    <row r="49" spans="1:8" x14ac:dyDescent="0.2">
      <c r="A49" s="1"/>
      <c r="B49" s="1"/>
      <c r="C49" s="1"/>
      <c r="D49" s="1"/>
      <c r="E49" s="1"/>
      <c r="F49" s="1"/>
      <c r="G49" s="1"/>
      <c r="H49" s="1"/>
    </row>
    <row r="50" spans="1:8" x14ac:dyDescent="0.2">
      <c r="A50" s="1"/>
      <c r="B50" s="1"/>
      <c r="C50" s="1"/>
      <c r="D50" s="1"/>
      <c r="E50" s="1"/>
      <c r="F50" s="1"/>
      <c r="G50" s="1"/>
      <c r="H50" s="1"/>
    </row>
    <row r="51" spans="1:8" x14ac:dyDescent="0.2">
      <c r="A51" s="1"/>
      <c r="B51" s="1"/>
      <c r="C51" s="1"/>
      <c r="D51" s="1"/>
      <c r="E51" s="1"/>
      <c r="F51" s="1"/>
      <c r="G51" s="1"/>
      <c r="H51" s="1"/>
    </row>
    <row r="52" spans="1:8" x14ac:dyDescent="0.2">
      <c r="A52" s="1"/>
      <c r="B52" s="1"/>
      <c r="C52" s="1"/>
      <c r="D52" s="1"/>
      <c r="E52" s="1"/>
      <c r="F52" s="1"/>
      <c r="G52" s="1"/>
      <c r="H52" s="1"/>
    </row>
    <row r="53" spans="1:8" x14ac:dyDescent="0.2">
      <c r="A53" s="1"/>
      <c r="B53" s="1"/>
      <c r="C53" s="1"/>
      <c r="D53" s="1"/>
      <c r="E53" s="1"/>
      <c r="F53" s="1"/>
      <c r="G53" s="1"/>
      <c r="H53" s="1"/>
    </row>
    <row r="54" spans="1:8" x14ac:dyDescent="0.2">
      <c r="A54" s="1"/>
      <c r="B54" s="1"/>
      <c r="C54" s="1"/>
      <c r="D54" s="1"/>
      <c r="E54" s="1"/>
      <c r="F54" s="1"/>
      <c r="G54" s="1"/>
      <c r="H54" s="1"/>
    </row>
    <row r="55" spans="1:8" x14ac:dyDescent="0.2">
      <c r="A55" s="1"/>
      <c r="B55" s="1"/>
      <c r="C55" s="1"/>
      <c r="D55" s="1"/>
      <c r="E55" s="1"/>
      <c r="F55" s="1"/>
      <c r="G55" s="1"/>
      <c r="H55" s="1"/>
    </row>
    <row r="56" spans="1:8" x14ac:dyDescent="0.2">
      <c r="A56" s="1"/>
      <c r="B56" s="1"/>
      <c r="C56" s="1"/>
      <c r="D56" s="1"/>
      <c r="E56" s="1"/>
      <c r="F56" s="1"/>
      <c r="G56" s="1"/>
      <c r="H56" s="1"/>
    </row>
    <row r="57" spans="1:8" x14ac:dyDescent="0.2">
      <c r="A57" s="1"/>
      <c r="B57" s="1"/>
      <c r="C57" s="1"/>
      <c r="D57" s="1"/>
      <c r="E57" s="1"/>
      <c r="F57" s="1"/>
      <c r="G57" s="1"/>
      <c r="H57" s="1"/>
    </row>
    <row r="58" spans="1:8" x14ac:dyDescent="0.2">
      <c r="A58" s="1"/>
      <c r="B58" s="1"/>
      <c r="C58" s="1"/>
      <c r="D58" s="1"/>
      <c r="E58" s="1"/>
      <c r="F58" s="1"/>
      <c r="G58" s="1"/>
      <c r="H58" s="1"/>
    </row>
    <row r="59" spans="1:8" x14ac:dyDescent="0.2">
      <c r="A59" s="1"/>
      <c r="B59" s="1"/>
      <c r="C59" s="1"/>
      <c r="D59" s="1"/>
      <c r="E59" s="1"/>
      <c r="F59" s="1"/>
      <c r="G59" s="1"/>
      <c r="H59" s="1"/>
    </row>
    <row r="60" spans="1:8" x14ac:dyDescent="0.2">
      <c r="A60" s="1"/>
      <c r="B60" s="1"/>
      <c r="C60" s="1"/>
      <c r="D60" s="1"/>
      <c r="E60" s="1"/>
      <c r="F60" s="1"/>
      <c r="G60" s="1"/>
      <c r="H60" s="1"/>
    </row>
    <row r="61" spans="1:8" x14ac:dyDescent="0.2">
      <c r="A61" s="1"/>
      <c r="B61" s="1"/>
      <c r="C61" s="1"/>
      <c r="D61" s="1"/>
      <c r="E61" s="1"/>
      <c r="F61" s="1"/>
      <c r="G61" s="1"/>
      <c r="H61" s="1"/>
    </row>
    <row r="62" spans="1:8" x14ac:dyDescent="0.2">
      <c r="A62" s="1"/>
      <c r="B62" s="1"/>
      <c r="C62" s="1"/>
      <c r="D62" s="1"/>
      <c r="E62" s="1"/>
      <c r="F62" s="1"/>
      <c r="G62" s="1"/>
      <c r="H62" s="1"/>
    </row>
    <row r="63" spans="1:8" x14ac:dyDescent="0.2">
      <c r="A63" s="1"/>
      <c r="B63" s="1"/>
      <c r="C63" s="1"/>
      <c r="D63" s="1"/>
      <c r="E63" s="1"/>
      <c r="F63" s="1"/>
      <c r="G63" s="1"/>
      <c r="H63" s="1"/>
    </row>
    <row r="64" spans="1:8" x14ac:dyDescent="0.2">
      <c r="A64" s="1"/>
      <c r="B64" s="1"/>
      <c r="C64" s="1"/>
      <c r="D64" s="1"/>
      <c r="E64" s="1"/>
      <c r="F64" s="1"/>
      <c r="G64" s="1"/>
      <c r="H64" s="1"/>
    </row>
    <row r="65" spans="1:8" x14ac:dyDescent="0.2">
      <c r="A65" s="1"/>
      <c r="B65" s="1"/>
      <c r="C65" s="1"/>
      <c r="D65" s="1"/>
      <c r="E65" s="1"/>
      <c r="F65" s="1"/>
      <c r="G65" s="1"/>
      <c r="H65" s="1"/>
    </row>
    <row r="66" spans="1:8" x14ac:dyDescent="0.2">
      <c r="A66" s="1"/>
      <c r="B66" s="1"/>
      <c r="C66" s="1"/>
      <c r="D66" s="1"/>
      <c r="E66" s="1"/>
      <c r="F66" s="1"/>
      <c r="G66" s="1"/>
      <c r="H66" s="1"/>
    </row>
    <row r="67" spans="1:8" x14ac:dyDescent="0.2">
      <c r="A67" s="1"/>
      <c r="B67" s="1"/>
      <c r="C67" s="1"/>
      <c r="D67" s="1"/>
      <c r="E67" s="1"/>
      <c r="F67" s="1"/>
      <c r="G67" s="1"/>
      <c r="H67" s="1"/>
    </row>
    <row r="68" spans="1:8" x14ac:dyDescent="0.2">
      <c r="A68" s="1"/>
      <c r="B68" s="1"/>
      <c r="C68" s="1"/>
      <c r="D68" s="1"/>
      <c r="E68" s="1"/>
      <c r="F68" s="1"/>
      <c r="G68" s="1"/>
      <c r="H68" s="1"/>
    </row>
    <row r="69" spans="1:8" x14ac:dyDescent="0.2">
      <c r="A69" s="1"/>
      <c r="B69" s="1"/>
      <c r="C69" s="1"/>
      <c r="D69" s="1"/>
      <c r="E69" s="1"/>
      <c r="F69" s="1"/>
      <c r="G69" s="1"/>
      <c r="H69" s="1"/>
    </row>
    <row r="70" spans="1:8" x14ac:dyDescent="0.2">
      <c r="A70" s="1"/>
      <c r="B70" s="1"/>
      <c r="C70" s="1"/>
      <c r="D70" s="1"/>
      <c r="E70" s="1"/>
      <c r="F70" s="1"/>
      <c r="G70" s="1"/>
      <c r="H70" s="1"/>
    </row>
    <row r="71" spans="1:8" x14ac:dyDescent="0.2">
      <c r="A71" s="1"/>
      <c r="B71" s="1"/>
      <c r="C71" s="1"/>
      <c r="D71" s="1"/>
      <c r="E71" s="1"/>
      <c r="F71" s="1"/>
      <c r="G71" s="1"/>
      <c r="H71" s="1"/>
    </row>
    <row r="72" spans="1:8" x14ac:dyDescent="0.2">
      <c r="A72" s="11" t="s">
        <v>1</v>
      </c>
      <c r="B72" s="12"/>
      <c r="C72" s="12"/>
      <c r="D72" s="13"/>
      <c r="E72" s="8"/>
      <c r="F72" s="8"/>
      <c r="G72" s="8"/>
      <c r="H72" s="8"/>
    </row>
    <row r="73" spans="1:8" x14ac:dyDescent="0.2">
      <c r="A73" s="14" t="s">
        <v>15</v>
      </c>
      <c r="B73" s="15"/>
      <c r="C73" s="15"/>
      <c r="D73" s="16"/>
      <c r="E73" s="8"/>
      <c r="F73" s="8"/>
      <c r="G73" s="8"/>
      <c r="H73" s="8"/>
    </row>
    <row r="74" spans="1:8" x14ac:dyDescent="0.2">
      <c r="A74" s="17" t="s">
        <v>62</v>
      </c>
      <c r="B74" s="18"/>
      <c r="C74" s="18"/>
      <c r="D74" s="19"/>
      <c r="E74" s="8"/>
      <c r="F74" s="8"/>
      <c r="G74" s="8"/>
      <c r="H74" s="8"/>
    </row>
    <row r="75" spans="1:8" x14ac:dyDescent="0.2">
      <c r="A75" s="20"/>
      <c r="B75" s="21"/>
      <c r="C75" s="22"/>
      <c r="D75" s="23"/>
      <c r="E75" s="8"/>
      <c r="F75" s="8" t="s">
        <v>34</v>
      </c>
      <c r="G75" s="8"/>
      <c r="H75" s="8"/>
    </row>
    <row r="76" spans="1:8" ht="15.75" x14ac:dyDescent="0.25">
      <c r="A76" s="24" t="s">
        <v>2</v>
      </c>
      <c r="B76" s="25" t="str">
        <f>[1]Charters!B79</f>
        <v>Jefferson Academy</v>
      </c>
      <c r="C76" s="26"/>
      <c r="D76" s="27"/>
      <c r="E76" s="8"/>
      <c r="F76" s="8"/>
      <c r="G76" s="8"/>
      <c r="H76" s="8"/>
    </row>
    <row r="77" spans="1:8" x14ac:dyDescent="0.2">
      <c r="A77" s="24"/>
      <c r="B77" s="28"/>
      <c r="C77" s="26"/>
      <c r="D77" s="27"/>
      <c r="E77" s="8"/>
      <c r="F77" s="8"/>
      <c r="G77" s="8"/>
      <c r="H77" s="8"/>
    </row>
    <row r="78" spans="1:8" x14ac:dyDescent="0.2">
      <c r="A78" s="29" t="s">
        <v>0</v>
      </c>
      <c r="B78" s="30">
        <f>[1]Charters!$E$6</f>
        <v>3184</v>
      </c>
      <c r="C78" s="26"/>
      <c r="D78" s="31"/>
      <c r="E78" s="8"/>
      <c r="F78" s="8"/>
      <c r="G78" s="8"/>
      <c r="H78" s="8"/>
    </row>
    <row r="79" spans="1:8" x14ac:dyDescent="0.2">
      <c r="A79" s="32"/>
      <c r="B79" s="6"/>
      <c r="C79" s="33"/>
      <c r="D79" s="34" t="s">
        <v>3</v>
      </c>
      <c r="E79" s="8"/>
      <c r="F79" s="8"/>
      <c r="G79" s="8"/>
      <c r="H79" s="8"/>
    </row>
    <row r="80" spans="1:8" x14ac:dyDescent="0.2">
      <c r="A80" s="29" t="s">
        <v>19</v>
      </c>
      <c r="B80" s="35" t="str">
        <f>[1]Charters!A79</f>
        <v>1G</v>
      </c>
      <c r="C80" s="36" t="s">
        <v>4</v>
      </c>
      <c r="D80" s="37" t="s">
        <v>5</v>
      </c>
      <c r="E80" s="8"/>
      <c r="F80" s="8"/>
      <c r="G80" s="8"/>
      <c r="H80" s="8"/>
    </row>
    <row r="81" spans="1:8" x14ac:dyDescent="0.2">
      <c r="A81" s="38" t="s">
        <v>6</v>
      </c>
      <c r="B81" s="39"/>
      <c r="C81" s="40"/>
      <c r="D81" s="41"/>
      <c r="E81" s="8"/>
      <c r="F81" s="8"/>
      <c r="G81" s="8"/>
      <c r="H81" s="8"/>
    </row>
    <row r="82" spans="1:8" x14ac:dyDescent="0.2">
      <c r="A82" s="38" t="s">
        <v>7</v>
      </c>
      <c r="B82" s="39"/>
      <c r="C82" s="40"/>
      <c r="D82" s="41"/>
      <c r="E82" s="8"/>
      <c r="F82" s="42" t="s">
        <v>23</v>
      </c>
      <c r="G82" s="8"/>
      <c r="H82" s="42" t="s">
        <v>26</v>
      </c>
    </row>
    <row r="83" spans="1:8" x14ac:dyDescent="0.2">
      <c r="A83" s="20" t="s">
        <v>8</v>
      </c>
      <c r="B83" s="43"/>
      <c r="C83" s="44">
        <f>[1]Charters!C539</f>
        <v>474.983</v>
      </c>
      <c r="D83" s="45">
        <f>[1]Charters!E539</f>
        <v>1512347.3</v>
      </c>
      <c r="E83" s="8"/>
      <c r="F83" s="42">
        <f>[1]Charters!E694</f>
        <v>1583427.62</v>
      </c>
      <c r="G83" s="8"/>
      <c r="H83" s="42">
        <f>[2]Charters!E233</f>
        <v>1980416.64</v>
      </c>
    </row>
    <row r="84" spans="1:8" x14ac:dyDescent="0.2">
      <c r="A84" s="20" t="s">
        <v>14</v>
      </c>
      <c r="B84" s="43"/>
      <c r="C84" s="44">
        <f>[1]Charters!F539</f>
        <v>22.324000000000002</v>
      </c>
      <c r="D84" s="45">
        <f>[1]Charters!H539</f>
        <v>71080.320000000007</v>
      </c>
      <c r="E84" s="8"/>
      <c r="F84" s="42">
        <f>SUM(D83:D85)</f>
        <v>1583427.62</v>
      </c>
      <c r="G84" s="8"/>
      <c r="H84" s="42">
        <f>D96</f>
        <v>1980416.64</v>
      </c>
    </row>
    <row r="85" spans="1:8" x14ac:dyDescent="0.2">
      <c r="A85" s="20" t="s">
        <v>32</v>
      </c>
      <c r="B85" s="43"/>
      <c r="C85" s="44">
        <f>[1]Charters!C232</f>
        <v>0</v>
      </c>
      <c r="D85" s="45">
        <f>[1]Charters!E232</f>
        <v>0</v>
      </c>
      <c r="E85" s="8"/>
      <c r="F85" s="42">
        <f>+F83-F84</f>
        <v>0</v>
      </c>
      <c r="G85" s="8"/>
      <c r="H85" s="42">
        <f>+H83-H84</f>
        <v>0</v>
      </c>
    </row>
    <row r="86" spans="1:8" x14ac:dyDescent="0.2">
      <c r="A86" s="38" t="s">
        <v>9</v>
      </c>
      <c r="B86" s="39"/>
      <c r="C86" s="46"/>
      <c r="D86" s="47"/>
      <c r="E86" s="8"/>
      <c r="F86" s="8"/>
      <c r="G86" s="8"/>
      <c r="H86" s="8"/>
    </row>
    <row r="87" spans="1:8" x14ac:dyDescent="0.2">
      <c r="A87" s="20" t="s">
        <v>10</v>
      </c>
      <c r="B87" s="43"/>
      <c r="C87" s="40">
        <f>[3]Charters!C78</f>
        <v>71.025000000000006</v>
      </c>
      <c r="D87" s="41">
        <f>[3]Charters!E78</f>
        <v>226142.96</v>
      </c>
      <c r="E87" s="8"/>
      <c r="F87" s="42" t="s">
        <v>24</v>
      </c>
      <c r="G87" s="8"/>
      <c r="H87" s="8"/>
    </row>
    <row r="88" spans="1:8" x14ac:dyDescent="0.2">
      <c r="A88" s="48" t="s">
        <v>11</v>
      </c>
      <c r="B88" s="43"/>
      <c r="C88" s="40">
        <f>[3]Charters!F78</f>
        <v>1</v>
      </c>
      <c r="D88" s="49">
        <f>[3]Charters!H78</f>
        <v>3184</v>
      </c>
      <c r="E88" s="8"/>
      <c r="F88" s="42">
        <f>[3]Charters!N390</f>
        <v>235261.11</v>
      </c>
      <c r="G88" s="8"/>
      <c r="H88" s="8"/>
    </row>
    <row r="89" spans="1:8" x14ac:dyDescent="0.2">
      <c r="A89" s="48" t="s">
        <v>12</v>
      </c>
      <c r="B89" s="43"/>
      <c r="C89" s="40">
        <f>[3]Charters!C233</f>
        <v>0</v>
      </c>
      <c r="D89" s="41">
        <f>[3]Charters!E233</f>
        <v>0</v>
      </c>
      <c r="E89" s="8"/>
      <c r="F89" s="42">
        <f>SUM(D87:D93)</f>
        <v>235261.11</v>
      </c>
      <c r="G89" s="8"/>
      <c r="H89" s="8"/>
    </row>
    <row r="90" spans="1:8" x14ac:dyDescent="0.2">
      <c r="A90" s="20" t="s">
        <v>13</v>
      </c>
      <c r="B90" s="43"/>
      <c r="C90" s="40">
        <f>[3]Charters!F233</f>
        <v>0.70899999999999996</v>
      </c>
      <c r="D90" s="41">
        <f>[3]Charters!H233</f>
        <v>2259</v>
      </c>
      <c r="E90" s="8"/>
      <c r="F90" s="42">
        <f>+F88-F89</f>
        <v>0</v>
      </c>
      <c r="G90" s="8"/>
      <c r="H90" s="8"/>
    </row>
    <row r="91" spans="1:8" x14ac:dyDescent="0.2">
      <c r="A91" s="48" t="s">
        <v>54</v>
      </c>
      <c r="B91" s="43"/>
      <c r="C91" s="40">
        <f>[3]Charters!C390</f>
        <v>1.1539999999999999</v>
      </c>
      <c r="D91" s="41">
        <f>[3]Charters!E390</f>
        <v>3675.15</v>
      </c>
      <c r="E91" s="8"/>
      <c r="F91" s="8"/>
      <c r="G91" s="8"/>
      <c r="H91" s="8"/>
    </row>
    <row r="92" spans="1:8" x14ac:dyDescent="0.2">
      <c r="A92" s="48" t="s">
        <v>55</v>
      </c>
      <c r="B92" s="43"/>
      <c r="C92" s="40">
        <f>[3]Charters!F390</f>
        <v>0</v>
      </c>
      <c r="D92" s="41">
        <f>[3]Charters!H390</f>
        <v>0</v>
      </c>
      <c r="E92" s="8"/>
      <c r="F92" s="42" t="s">
        <v>25</v>
      </c>
      <c r="G92" s="8"/>
      <c r="H92" s="8"/>
    </row>
    <row r="93" spans="1:8" x14ac:dyDescent="0.2">
      <c r="A93" s="48" t="s">
        <v>56</v>
      </c>
      <c r="B93" s="43"/>
      <c r="C93" s="40">
        <f>[3]Charters!I390</f>
        <v>0</v>
      </c>
      <c r="D93" s="41">
        <f>[3]Charters!K390</f>
        <v>0</v>
      </c>
      <c r="E93" s="8"/>
      <c r="F93" s="42">
        <f>[2]Charters!H79</f>
        <v>396989.02</v>
      </c>
      <c r="G93" s="8"/>
      <c r="H93" s="8"/>
    </row>
    <row r="94" spans="1:8" x14ac:dyDescent="0.2">
      <c r="A94" s="20" t="s">
        <v>49</v>
      </c>
      <c r="B94" s="43"/>
      <c r="C94" s="40">
        <f>[3]Charters!C546</f>
        <v>0</v>
      </c>
      <c r="D94" s="41">
        <f>[3]Charters!E546</f>
        <v>0</v>
      </c>
      <c r="E94" s="8"/>
      <c r="F94" s="42">
        <f>SUM(D87:D95)</f>
        <v>396989.02</v>
      </c>
      <c r="G94" s="8"/>
      <c r="H94" s="8"/>
    </row>
    <row r="95" spans="1:8" x14ac:dyDescent="0.2">
      <c r="A95" s="20" t="s">
        <v>50</v>
      </c>
      <c r="B95" s="43"/>
      <c r="C95" s="40">
        <f>[2]Charters!C79</f>
        <v>50.793999999999997</v>
      </c>
      <c r="D95" s="41">
        <f>[2]Charters!E79</f>
        <v>161727.91</v>
      </c>
      <c r="E95" s="8"/>
      <c r="F95" s="42">
        <f>+F93-F94</f>
        <v>0</v>
      </c>
      <c r="G95" s="8"/>
      <c r="H95" s="8"/>
    </row>
    <row r="96" spans="1:8" x14ac:dyDescent="0.2">
      <c r="A96" s="50"/>
      <c r="B96" s="51" t="s">
        <v>16</v>
      </c>
      <c r="C96" s="52">
        <f>SUM(C83:C95)</f>
        <v>621.98900000000003</v>
      </c>
      <c r="D96" s="53">
        <f>SUM(D83:D95)</f>
        <v>1980416.64</v>
      </c>
      <c r="E96" s="8"/>
      <c r="F96" s="8"/>
      <c r="G96" s="8"/>
      <c r="H96" s="8"/>
    </row>
    <row r="97" spans="1:8" x14ac:dyDescent="0.2">
      <c r="A97" s="54" t="s">
        <v>17</v>
      </c>
      <c r="B97" s="39"/>
      <c r="C97" s="55"/>
      <c r="D97" s="47"/>
      <c r="E97" s="8"/>
      <c r="F97" s="8"/>
      <c r="G97" s="8"/>
      <c r="H97" s="42" t="s">
        <v>29</v>
      </c>
    </row>
    <row r="98" spans="1:8" x14ac:dyDescent="0.2">
      <c r="A98" s="20" t="s">
        <v>33</v>
      </c>
      <c r="B98" s="43"/>
      <c r="C98" s="56"/>
      <c r="D98" s="57">
        <f>[4]Charters!C79</f>
        <v>5740.17</v>
      </c>
      <c r="E98" s="8"/>
      <c r="F98" s="8"/>
      <c r="G98" s="8"/>
      <c r="H98" s="42">
        <f>[4]Charters!F1019</f>
        <v>3401504.7</v>
      </c>
    </row>
    <row r="99" spans="1:8" x14ac:dyDescent="0.2">
      <c r="A99" s="58" t="s">
        <v>35</v>
      </c>
      <c r="B99" s="43"/>
      <c r="C99" s="56"/>
      <c r="D99" s="41">
        <f>+[4]Charters!F400</f>
        <v>2286.09</v>
      </c>
      <c r="E99" s="8"/>
      <c r="F99" s="8"/>
      <c r="G99" s="8"/>
      <c r="H99" s="42">
        <f>SUM(D96:D115)</f>
        <v>3401504.7</v>
      </c>
    </row>
    <row r="100" spans="1:8" x14ac:dyDescent="0.2">
      <c r="A100" s="59" t="s">
        <v>36</v>
      </c>
      <c r="B100" s="43"/>
      <c r="C100" s="56"/>
      <c r="D100" s="41">
        <f>[4]Charters!E239</f>
        <v>17511</v>
      </c>
      <c r="E100" s="8"/>
      <c r="F100" s="8"/>
      <c r="G100" s="8"/>
      <c r="H100" s="42">
        <f>+H98-H99</f>
        <v>0</v>
      </c>
    </row>
    <row r="101" spans="1:8" x14ac:dyDescent="0.2">
      <c r="A101" s="59" t="s">
        <v>52</v>
      </c>
      <c r="B101" s="43"/>
      <c r="C101" s="56"/>
      <c r="D101" s="41">
        <f>[4]Charters!G400</f>
        <v>0</v>
      </c>
      <c r="E101" s="8"/>
      <c r="F101" s="42" t="s">
        <v>27</v>
      </c>
      <c r="G101" s="8"/>
      <c r="H101" s="42"/>
    </row>
    <row r="102" spans="1:8" x14ac:dyDescent="0.2">
      <c r="A102" s="20" t="s">
        <v>37</v>
      </c>
      <c r="B102" s="43"/>
      <c r="C102" s="56"/>
      <c r="D102" s="41">
        <f>[4]Charters!E556</f>
        <v>39536</v>
      </c>
      <c r="E102" s="8"/>
      <c r="F102" s="42">
        <f>[4]Charters!E239</f>
        <v>17511</v>
      </c>
      <c r="G102" s="8"/>
      <c r="H102" s="8"/>
    </row>
    <row r="103" spans="1:8" x14ac:dyDescent="0.2">
      <c r="A103" s="20" t="s">
        <v>38</v>
      </c>
      <c r="B103" s="43"/>
      <c r="C103" s="56"/>
      <c r="D103" s="41">
        <f>[4]Charters!F556</f>
        <v>0</v>
      </c>
      <c r="E103" s="8"/>
      <c r="F103" s="42">
        <f>SUM(D100:D100)</f>
        <v>17511</v>
      </c>
      <c r="G103" s="8"/>
      <c r="H103" s="8"/>
    </row>
    <row r="104" spans="1:8" x14ac:dyDescent="0.2">
      <c r="A104" s="59" t="s">
        <v>40</v>
      </c>
      <c r="B104" s="43"/>
      <c r="C104" s="56"/>
      <c r="D104" s="41">
        <f>[4]Charters!G556</f>
        <v>0</v>
      </c>
      <c r="E104" s="8"/>
      <c r="F104" s="42">
        <f>+F102-F103</f>
        <v>0</v>
      </c>
      <c r="G104" s="8"/>
      <c r="H104" s="8"/>
    </row>
    <row r="105" spans="1:8" x14ac:dyDescent="0.2">
      <c r="A105" s="20" t="s">
        <v>41</v>
      </c>
      <c r="B105" s="43"/>
      <c r="C105" s="56"/>
      <c r="D105" s="41">
        <f>[4]Charters!C710</f>
        <v>1140570</v>
      </c>
      <c r="E105" s="8"/>
      <c r="F105" s="42" t="s">
        <v>28</v>
      </c>
      <c r="G105" s="8"/>
      <c r="H105" s="8"/>
    </row>
    <row r="106" spans="1:8" x14ac:dyDescent="0.2">
      <c r="A106" s="20" t="s">
        <v>42</v>
      </c>
      <c r="B106" s="43"/>
      <c r="C106" s="56"/>
      <c r="D106" s="41">
        <f>[4]Charters!D710</f>
        <v>141579.65</v>
      </c>
      <c r="E106" s="8"/>
      <c r="F106" s="42">
        <f>[4]Charters!D556</f>
        <v>19797.09</v>
      </c>
      <c r="G106" s="8"/>
      <c r="H106" s="8"/>
    </row>
    <row r="107" spans="1:8" x14ac:dyDescent="0.2">
      <c r="A107" s="20" t="s">
        <v>44</v>
      </c>
      <c r="B107" s="43"/>
      <c r="C107" s="56"/>
      <c r="D107" s="41">
        <f>[4]Charters!E710</f>
        <v>57000</v>
      </c>
      <c r="E107" s="8"/>
      <c r="F107" s="42">
        <f>SUM(D99:D101)</f>
        <v>19797.09</v>
      </c>
      <c r="G107" s="8"/>
      <c r="H107" s="8"/>
    </row>
    <row r="108" spans="1:8" x14ac:dyDescent="0.2">
      <c r="A108" s="59" t="s">
        <v>43</v>
      </c>
      <c r="B108" s="43"/>
      <c r="C108" s="56"/>
      <c r="D108" s="41">
        <f>[4]Charters!F710</f>
        <v>16087.95</v>
      </c>
      <c r="E108" s="8"/>
      <c r="F108" s="42">
        <f>+F106-F107</f>
        <v>0</v>
      </c>
      <c r="G108" s="8"/>
      <c r="H108" s="8"/>
    </row>
    <row r="109" spans="1:8" x14ac:dyDescent="0.2">
      <c r="A109" s="59" t="s">
        <v>45</v>
      </c>
      <c r="B109" s="43"/>
      <c r="C109" s="56"/>
      <c r="D109" s="41">
        <f>[4]Charters!C556</f>
        <v>0</v>
      </c>
      <c r="E109" s="8"/>
      <c r="F109" s="8"/>
      <c r="G109" s="8"/>
      <c r="H109" s="8"/>
    </row>
    <row r="110" spans="1:8" x14ac:dyDescent="0.2">
      <c r="A110" s="59" t="s">
        <v>46</v>
      </c>
      <c r="B110" s="43"/>
      <c r="C110" s="56"/>
      <c r="D110" s="41">
        <f>[4]Charters!C866</f>
        <v>0</v>
      </c>
      <c r="E110" s="42"/>
      <c r="F110" s="42"/>
      <c r="G110" s="42"/>
      <c r="H110" s="42" t="s">
        <v>31</v>
      </c>
    </row>
    <row r="111" spans="1:8" x14ac:dyDescent="0.2">
      <c r="A111" s="59" t="s">
        <v>51</v>
      </c>
      <c r="B111" s="43"/>
      <c r="C111" s="56"/>
      <c r="D111" s="60">
        <f>[4]Charters!D866</f>
        <v>777.2</v>
      </c>
      <c r="E111" s="42"/>
      <c r="F111" s="42"/>
      <c r="G111" s="42"/>
      <c r="H111" s="42">
        <f>[4]Charters!D1325</f>
        <v>3406944.36</v>
      </c>
    </row>
    <row r="112" spans="1:8" x14ac:dyDescent="0.2">
      <c r="A112" s="20" t="s">
        <v>47</v>
      </c>
      <c r="B112" s="43"/>
      <c r="C112" s="56"/>
      <c r="D112" s="60">
        <f>[4]Charters!E866</f>
        <v>0</v>
      </c>
      <c r="E112" s="42"/>
      <c r="F112" s="42"/>
      <c r="G112" s="42"/>
      <c r="H112" s="42">
        <f>D121</f>
        <v>3406944.36</v>
      </c>
    </row>
    <row r="113" spans="1:8" x14ac:dyDescent="0.2">
      <c r="A113" s="20" t="s">
        <v>57</v>
      </c>
      <c r="B113" s="43"/>
      <c r="C113" s="56"/>
      <c r="D113" s="60">
        <f>[4]Charters!C1019</f>
        <v>0</v>
      </c>
      <c r="E113" s="42"/>
      <c r="F113" s="42"/>
      <c r="G113" s="42"/>
      <c r="H113" s="42">
        <f>+H111-H112</f>
        <v>0</v>
      </c>
    </row>
    <row r="114" spans="1:8" x14ac:dyDescent="0.2">
      <c r="A114" s="59" t="s">
        <v>53</v>
      </c>
      <c r="B114" s="43"/>
      <c r="C114" s="56"/>
      <c r="D114" s="60">
        <f>[4]Charters!D1019</f>
        <v>0</v>
      </c>
      <c r="E114" s="42"/>
      <c r="F114" s="42" t="s">
        <v>30</v>
      </c>
      <c r="G114" s="42"/>
      <c r="H114" s="42"/>
    </row>
    <row r="115" spans="1:8" x14ac:dyDescent="0.2">
      <c r="A115" s="59" t="s">
        <v>59</v>
      </c>
      <c r="B115" s="43"/>
      <c r="C115" s="56"/>
      <c r="D115" s="60">
        <f>[4]Charters!E1019</f>
        <v>0</v>
      </c>
      <c r="E115" s="42"/>
      <c r="F115" s="42"/>
      <c r="G115" s="42"/>
      <c r="H115" s="42"/>
    </row>
    <row r="116" spans="1:8" x14ac:dyDescent="0.2">
      <c r="A116" s="38" t="s">
        <v>18</v>
      </c>
      <c r="B116" s="61"/>
      <c r="C116" s="62"/>
      <c r="D116" s="87"/>
      <c r="E116" s="42"/>
      <c r="F116" s="42">
        <f>[4]Charters!C1325</f>
        <v>5439.66</v>
      </c>
      <c r="G116" s="42"/>
      <c r="H116" s="42"/>
    </row>
    <row r="117" spans="1:8" x14ac:dyDescent="0.2">
      <c r="A117" s="59" t="s">
        <v>39</v>
      </c>
      <c r="B117" s="43"/>
      <c r="C117" s="56"/>
      <c r="D117" s="41">
        <f>[4]Charters!C1172</f>
        <v>5439.66</v>
      </c>
      <c r="E117" s="42"/>
      <c r="F117" s="42">
        <f>SUM(D117:D120)</f>
        <v>5439.66</v>
      </c>
      <c r="G117" s="42"/>
      <c r="H117" s="42"/>
    </row>
    <row r="118" spans="1:8" x14ac:dyDescent="0.2">
      <c r="A118" s="59" t="s">
        <v>48</v>
      </c>
      <c r="B118" s="43"/>
      <c r="C118" s="56"/>
      <c r="D118" s="41">
        <f>[4]Charters!D1172</f>
        <v>0</v>
      </c>
      <c r="E118" s="42"/>
      <c r="F118" s="42">
        <f>+F116-F117</f>
        <v>0</v>
      </c>
      <c r="G118" s="42"/>
      <c r="H118" s="42"/>
    </row>
    <row r="119" spans="1:8" x14ac:dyDescent="0.2">
      <c r="A119" s="59" t="s">
        <v>60</v>
      </c>
      <c r="B119" s="43"/>
      <c r="C119" s="56"/>
      <c r="D119" s="41">
        <f>[4]Charters!E1172</f>
        <v>0</v>
      </c>
      <c r="E119" s="42"/>
      <c r="F119" s="42"/>
      <c r="G119" s="42"/>
      <c r="H119" s="42"/>
    </row>
    <row r="120" spans="1:8" x14ac:dyDescent="0.2">
      <c r="A120" s="59" t="s">
        <v>61</v>
      </c>
      <c r="B120" s="43"/>
      <c r="C120" s="56"/>
      <c r="D120" s="41">
        <f>[4]Charters!F1172</f>
        <v>0</v>
      </c>
      <c r="E120" s="42"/>
      <c r="F120" s="42"/>
      <c r="G120" s="42"/>
      <c r="H120" s="42"/>
    </row>
    <row r="121" spans="1:8" ht="13.5" thickBot="1" x14ac:dyDescent="0.25">
      <c r="A121" s="64"/>
      <c r="B121" s="65"/>
      <c r="C121" s="66"/>
      <c r="D121" s="67">
        <f>SUM(D96:D120)</f>
        <v>3406944.36</v>
      </c>
      <c r="E121" s="42"/>
      <c r="F121" s="42"/>
      <c r="G121" s="42"/>
      <c r="H121" s="42"/>
    </row>
    <row r="122" spans="1:8" ht="13.5" thickTop="1" x14ac:dyDescent="0.2">
      <c r="A122" s="68"/>
      <c r="B122" s="43"/>
      <c r="C122" s="56"/>
      <c r="D122" s="86"/>
      <c r="E122" s="42"/>
      <c r="F122" s="42"/>
      <c r="G122" s="42"/>
      <c r="H122" s="42"/>
    </row>
    <row r="123" spans="1:8" x14ac:dyDescent="0.2">
      <c r="A123" s="38" t="s">
        <v>20</v>
      </c>
      <c r="B123" s="39"/>
      <c r="C123" s="70"/>
      <c r="D123" s="71" t="s">
        <v>21</v>
      </c>
      <c r="E123" s="42"/>
      <c r="F123" s="42"/>
      <c r="G123" s="42"/>
      <c r="H123" s="42"/>
    </row>
    <row r="124" spans="1:8" x14ac:dyDescent="0.2">
      <c r="A124" s="72" t="s">
        <v>22</v>
      </c>
      <c r="B124" s="73"/>
      <c r="C124" s="74"/>
      <c r="D124" s="41">
        <f>[5]Charters!C78</f>
        <v>1273.04</v>
      </c>
      <c r="E124" s="42"/>
      <c r="F124" s="42"/>
      <c r="G124" s="42"/>
      <c r="H124" s="42"/>
    </row>
    <row r="125" spans="1:8" x14ac:dyDescent="0.2">
      <c r="A125" s="75"/>
      <c r="B125" s="61"/>
      <c r="C125" s="76"/>
      <c r="D125" s="77">
        <f>SUM(D124:D124)</f>
        <v>1273.04</v>
      </c>
      <c r="E125" s="42"/>
      <c r="F125" s="42"/>
      <c r="G125" s="42"/>
      <c r="H125" s="42"/>
    </row>
    <row r="126" spans="1:8" x14ac:dyDescent="0.2">
      <c r="A126" s="78" t="s">
        <v>58</v>
      </c>
      <c r="B126" s="79"/>
      <c r="C126" s="80"/>
      <c r="D126" s="77">
        <f>D125+D121</f>
        <v>3408217.4</v>
      </c>
      <c r="E126" s="42"/>
      <c r="F126" s="42"/>
      <c r="G126" s="42"/>
      <c r="H126" s="42"/>
    </row>
    <row r="127" spans="1:8" x14ac:dyDescent="0.2">
      <c r="A127" s="84"/>
      <c r="B127" s="84"/>
      <c r="C127" s="85"/>
      <c r="D127" s="81"/>
      <c r="E127" s="42"/>
      <c r="F127" s="42"/>
      <c r="G127" s="42"/>
      <c r="H127" s="42"/>
    </row>
    <row r="128" spans="1:8" x14ac:dyDescent="0.2">
      <c r="A128" s="84"/>
      <c r="B128" s="84"/>
      <c r="C128" s="85"/>
      <c r="D128" s="81">
        <f>[5]Charters!E234</f>
        <v>3408217.4</v>
      </c>
      <c r="E128" s="42"/>
      <c r="F128" s="42"/>
      <c r="G128" s="42"/>
      <c r="H128" s="42"/>
    </row>
    <row r="129" spans="1:8" x14ac:dyDescent="0.2">
      <c r="A129" s="84"/>
      <c r="B129" s="84"/>
      <c r="C129" s="85"/>
      <c r="D129" s="81">
        <f>D126</f>
        <v>3408217.4</v>
      </c>
      <c r="E129" s="42"/>
      <c r="F129" s="42"/>
      <c r="G129" s="42"/>
      <c r="H129" s="42"/>
    </row>
    <row r="130" spans="1:8" x14ac:dyDescent="0.2">
      <c r="C130" s="83"/>
      <c r="D130" s="42">
        <f>D128-D129</f>
        <v>0</v>
      </c>
      <c r="E130" s="42"/>
      <c r="F130" s="42"/>
      <c r="G130" s="42"/>
      <c r="H130" s="42"/>
    </row>
  </sheetData>
  <mergeCells count="4">
    <mergeCell ref="A126:C126"/>
    <mergeCell ref="A73:D73"/>
    <mergeCell ref="A74:D74"/>
    <mergeCell ref="A72:D72"/>
  </mergeCells>
  <printOptions horizontalCentered="1" verticalCentered="1"/>
  <pageMargins left="0.5" right="0.5" top="0.5" bottom="0.5" header="0.25" footer="0.25"/>
  <pageSetup orientation="portrait" r:id="rId1"/>
  <headerFooter alignWithMargins="0">
    <oddHeader>&amp;R&amp;8Current as of: &amp;D</oddHeader>
    <oddFooter>&amp;L&amp;8USOE, School Finance</oddFooter>
  </headerFooter>
  <picture r:id="rId2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>
    <pageSetUpPr fitToPage="1"/>
  </sheetPr>
  <dimension ref="A1:H131"/>
  <sheetViews>
    <sheetView topLeftCell="A66" workbookViewId="0">
      <selection activeCell="C12" sqref="C12"/>
    </sheetView>
  </sheetViews>
  <sheetFormatPr defaultColWidth="9.140625" defaultRowHeight="12.75" x14ac:dyDescent="0.2"/>
  <cols>
    <col min="1" max="1" width="31.85546875" style="82" customWidth="1"/>
    <col min="2" max="2" width="16.140625" style="82" customWidth="1"/>
    <col min="3" max="4" width="14.85546875" style="82" customWidth="1"/>
    <col min="5" max="5" width="7" style="82" customWidth="1"/>
    <col min="6" max="6" width="19.7109375" style="82" customWidth="1"/>
    <col min="7" max="7" width="5.7109375" style="82" customWidth="1"/>
    <col min="8" max="8" width="18" style="82" customWidth="1"/>
    <col min="9" max="16384" width="9.140625" style="82"/>
  </cols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"/>
      <c r="B3" s="1"/>
      <c r="C3" s="1"/>
      <c r="D3" s="1"/>
      <c r="E3" s="1"/>
      <c r="F3" s="1"/>
      <c r="G3" s="1"/>
      <c r="H3" s="1"/>
    </row>
    <row r="4" spans="1:8" x14ac:dyDescent="0.2">
      <c r="A4" s="1"/>
      <c r="B4" s="1"/>
      <c r="C4" s="1"/>
      <c r="D4" s="1"/>
      <c r="E4" s="1"/>
      <c r="F4" s="1"/>
      <c r="G4" s="1"/>
      <c r="H4" s="1"/>
    </row>
    <row r="5" spans="1:8" x14ac:dyDescent="0.2">
      <c r="A5" s="1"/>
      <c r="B5" s="1"/>
      <c r="C5" s="1"/>
      <c r="D5" s="1"/>
      <c r="E5" s="1"/>
      <c r="F5" s="1"/>
      <c r="G5" s="1"/>
      <c r="H5" s="1"/>
    </row>
    <row r="6" spans="1:8" x14ac:dyDescent="0.2">
      <c r="A6" s="1"/>
      <c r="B6" s="1"/>
      <c r="C6" s="1"/>
      <c r="D6" s="1"/>
      <c r="E6" s="1"/>
      <c r="F6" s="1"/>
      <c r="G6" s="1"/>
      <c r="H6" s="1"/>
    </row>
    <row r="7" spans="1:8" x14ac:dyDescent="0.2">
      <c r="A7" s="1"/>
      <c r="B7" s="1"/>
      <c r="C7" s="1"/>
      <c r="D7" s="1"/>
      <c r="E7" s="1"/>
      <c r="F7" s="1"/>
      <c r="G7" s="1"/>
      <c r="H7" s="1"/>
    </row>
    <row r="8" spans="1:8" x14ac:dyDescent="0.2">
      <c r="A8" s="1"/>
      <c r="B8" s="1"/>
      <c r="C8" s="1"/>
      <c r="D8" s="1"/>
      <c r="E8" s="1"/>
      <c r="F8" s="1"/>
      <c r="G8" s="1"/>
      <c r="H8" s="1"/>
    </row>
    <row r="9" spans="1:8" x14ac:dyDescent="0.2">
      <c r="A9" s="1"/>
      <c r="B9" s="1"/>
      <c r="C9" s="1"/>
      <c r="D9" s="1"/>
      <c r="E9" s="1"/>
      <c r="F9" s="1"/>
      <c r="G9" s="1"/>
      <c r="H9" s="1"/>
    </row>
    <row r="10" spans="1:8" x14ac:dyDescent="0.2">
      <c r="A10" s="1"/>
      <c r="B10" s="1"/>
      <c r="C10" s="1"/>
      <c r="D10" s="1"/>
      <c r="E10" s="1"/>
      <c r="F10" s="1"/>
      <c r="G10" s="1"/>
      <c r="H10" s="1"/>
    </row>
    <row r="11" spans="1:8" x14ac:dyDescent="0.2">
      <c r="A11" s="1"/>
      <c r="B11" s="1"/>
      <c r="C11" s="1"/>
      <c r="D11" s="1"/>
      <c r="E11" s="1"/>
      <c r="F11" s="1"/>
      <c r="G11" s="1"/>
      <c r="H11" s="1"/>
    </row>
    <row r="12" spans="1:8" x14ac:dyDescent="0.2">
      <c r="A12" s="1"/>
      <c r="B12" s="1"/>
      <c r="C12" s="1"/>
      <c r="D12" s="1"/>
      <c r="E12" s="1"/>
      <c r="F12" s="1"/>
      <c r="G12" s="1"/>
      <c r="H12" s="1"/>
    </row>
    <row r="13" spans="1:8" x14ac:dyDescent="0.2">
      <c r="A13" s="1"/>
      <c r="B13" s="1"/>
      <c r="C13" s="1"/>
      <c r="D13" s="1"/>
      <c r="E13" s="1"/>
      <c r="F13" s="1"/>
      <c r="G13" s="1"/>
      <c r="H13" s="1"/>
    </row>
    <row r="14" spans="1:8" x14ac:dyDescent="0.2">
      <c r="A14" s="1"/>
      <c r="B14" s="1"/>
      <c r="C14" s="1"/>
      <c r="D14" s="1"/>
      <c r="E14" s="1"/>
      <c r="F14" s="1"/>
      <c r="G14" s="1"/>
      <c r="H14" s="1"/>
    </row>
    <row r="15" spans="1:8" x14ac:dyDescent="0.2">
      <c r="A15" s="1"/>
      <c r="B15" s="1"/>
      <c r="C15" s="1"/>
      <c r="D15" s="1"/>
      <c r="E15" s="1"/>
      <c r="F15" s="1"/>
      <c r="G15" s="1"/>
      <c r="H15" s="1"/>
    </row>
    <row r="16" spans="1:8" x14ac:dyDescent="0.2">
      <c r="A16" s="1"/>
      <c r="B16" s="1"/>
      <c r="C16" s="1"/>
      <c r="D16" s="1"/>
      <c r="E16" s="1"/>
      <c r="F16" s="1"/>
      <c r="G16" s="1"/>
      <c r="H16" s="1"/>
    </row>
    <row r="17" spans="1:8" x14ac:dyDescent="0.2">
      <c r="A17" s="1"/>
      <c r="B17" s="1"/>
      <c r="C17" s="1"/>
      <c r="D17" s="1"/>
      <c r="E17" s="1"/>
      <c r="F17" s="1"/>
      <c r="G17" s="1"/>
      <c r="H17" s="1"/>
    </row>
    <row r="18" spans="1:8" x14ac:dyDescent="0.2">
      <c r="A18" s="1"/>
      <c r="B18" s="1"/>
      <c r="C18" s="1"/>
      <c r="D18" s="1"/>
      <c r="E18" s="1"/>
      <c r="F18" s="1"/>
      <c r="G18" s="1"/>
      <c r="H18" s="1"/>
    </row>
    <row r="19" spans="1:8" x14ac:dyDescent="0.2">
      <c r="A19" s="1"/>
      <c r="B19" s="1"/>
      <c r="C19" s="1"/>
      <c r="D19" s="1"/>
      <c r="E19" s="1"/>
      <c r="F19" s="1"/>
      <c r="G19" s="1"/>
      <c r="H19" s="1"/>
    </row>
    <row r="20" spans="1:8" x14ac:dyDescent="0.2">
      <c r="A20" s="1"/>
      <c r="B20" s="1"/>
      <c r="C20" s="1"/>
      <c r="D20" s="1"/>
      <c r="E20" s="1"/>
      <c r="F20" s="1"/>
      <c r="G20" s="1"/>
      <c r="H20" s="1"/>
    </row>
    <row r="21" spans="1:8" x14ac:dyDescent="0.2">
      <c r="A21" s="1"/>
      <c r="B21" s="1"/>
      <c r="C21" s="1"/>
      <c r="D21" s="1"/>
      <c r="E21" s="1"/>
      <c r="F21" s="1"/>
      <c r="G21" s="1"/>
      <c r="H21" s="1"/>
    </row>
    <row r="22" spans="1:8" x14ac:dyDescent="0.2">
      <c r="A22" s="1"/>
      <c r="B22" s="1"/>
      <c r="C22" s="1"/>
      <c r="D22" s="4"/>
      <c r="E22" s="1"/>
      <c r="F22" s="1"/>
      <c r="G22" s="1"/>
      <c r="H22" s="1"/>
    </row>
    <row r="23" spans="1:8" x14ac:dyDescent="0.2">
      <c r="A23" s="1"/>
      <c r="B23" s="1"/>
      <c r="C23" s="1"/>
      <c r="D23" s="1"/>
      <c r="E23" s="1"/>
      <c r="F23" s="1"/>
      <c r="G23" s="1"/>
      <c r="H23" s="1"/>
    </row>
    <row r="24" spans="1:8" x14ac:dyDescent="0.2">
      <c r="A24" s="1"/>
      <c r="B24" s="1"/>
      <c r="C24" s="1"/>
      <c r="D24" s="1"/>
      <c r="E24" s="1"/>
      <c r="F24" s="1"/>
      <c r="G24" s="1"/>
      <c r="H24" s="1"/>
    </row>
    <row r="25" spans="1:8" x14ac:dyDescent="0.2">
      <c r="A25" s="1"/>
      <c r="B25" s="1"/>
      <c r="C25" s="1"/>
      <c r="D25" s="1"/>
      <c r="E25" s="1"/>
      <c r="F25" s="1"/>
      <c r="G25" s="1"/>
      <c r="H25" s="1"/>
    </row>
    <row r="26" spans="1:8" x14ac:dyDescent="0.2">
      <c r="A26" s="1"/>
      <c r="B26" s="1"/>
      <c r="C26" s="1"/>
      <c r="D26" s="1"/>
      <c r="E26" s="1"/>
      <c r="F26" s="1"/>
      <c r="G26" s="1"/>
      <c r="H26" s="1"/>
    </row>
    <row r="27" spans="1:8" x14ac:dyDescent="0.2">
      <c r="A27" s="1"/>
      <c r="B27" s="1"/>
      <c r="C27" s="1"/>
      <c r="D27" s="1"/>
      <c r="E27" s="1"/>
      <c r="F27" s="1"/>
      <c r="G27" s="1"/>
      <c r="H27" s="1"/>
    </row>
    <row r="28" spans="1:8" x14ac:dyDescent="0.2">
      <c r="A28" s="1"/>
      <c r="B28" s="1"/>
      <c r="C28" s="1"/>
      <c r="D28" s="1"/>
      <c r="E28" s="1"/>
      <c r="F28" s="1"/>
      <c r="G28" s="1"/>
      <c r="H28" s="1"/>
    </row>
    <row r="29" spans="1:8" x14ac:dyDescent="0.2">
      <c r="A29" s="1"/>
      <c r="B29" s="1"/>
      <c r="C29" s="1"/>
      <c r="D29" s="1"/>
      <c r="E29" s="1"/>
      <c r="F29" s="1"/>
      <c r="G29" s="1"/>
      <c r="H29" s="1"/>
    </row>
    <row r="30" spans="1:8" x14ac:dyDescent="0.2">
      <c r="A30" s="1"/>
      <c r="B30" s="1"/>
      <c r="C30" s="1"/>
      <c r="D30" s="1"/>
      <c r="E30" s="1"/>
      <c r="F30" s="1"/>
      <c r="G30" s="1"/>
      <c r="H30" s="1"/>
    </row>
    <row r="31" spans="1:8" x14ac:dyDescent="0.2">
      <c r="A31" s="1"/>
      <c r="B31" s="1"/>
      <c r="C31" s="1"/>
      <c r="D31" s="1"/>
      <c r="E31" s="1"/>
      <c r="F31" s="1"/>
      <c r="G31" s="1"/>
      <c r="H31" s="1"/>
    </row>
    <row r="32" spans="1:8" x14ac:dyDescent="0.2">
      <c r="A32" s="1"/>
      <c r="B32" s="1"/>
      <c r="C32" s="1"/>
      <c r="D32" s="1"/>
      <c r="E32" s="1"/>
      <c r="F32" s="1"/>
      <c r="G32" s="1"/>
      <c r="H32" s="1"/>
    </row>
    <row r="33" spans="1:8" x14ac:dyDescent="0.2">
      <c r="A33" s="1"/>
      <c r="B33" s="1"/>
      <c r="C33" s="1"/>
      <c r="D33" s="1"/>
      <c r="E33" s="1"/>
      <c r="F33" s="1"/>
      <c r="G33" s="1"/>
      <c r="H33" s="1"/>
    </row>
    <row r="34" spans="1:8" x14ac:dyDescent="0.2">
      <c r="A34" s="1"/>
      <c r="B34" s="1"/>
      <c r="C34" s="1"/>
      <c r="D34" s="1"/>
      <c r="E34" s="1"/>
      <c r="F34" s="1"/>
      <c r="G34" s="1"/>
      <c r="H34" s="1"/>
    </row>
    <row r="35" spans="1:8" x14ac:dyDescent="0.2">
      <c r="A35" s="1"/>
      <c r="B35" s="1"/>
      <c r="C35" s="1"/>
      <c r="D35" s="1"/>
      <c r="E35" s="1"/>
      <c r="F35" s="1"/>
      <c r="G35" s="1"/>
      <c r="H35" s="1"/>
    </row>
    <row r="36" spans="1:8" x14ac:dyDescent="0.2">
      <c r="A36" s="1"/>
      <c r="B36" s="1"/>
      <c r="C36" s="1"/>
      <c r="D36" s="1"/>
      <c r="E36" s="1"/>
      <c r="F36" s="1"/>
      <c r="G36" s="1"/>
      <c r="H36" s="1"/>
    </row>
    <row r="37" spans="1:8" x14ac:dyDescent="0.2">
      <c r="A37" s="1"/>
      <c r="B37" s="1"/>
      <c r="C37" s="1"/>
      <c r="D37" s="1"/>
      <c r="E37" s="1"/>
      <c r="F37" s="1"/>
      <c r="G37" s="1"/>
      <c r="H37" s="1"/>
    </row>
    <row r="38" spans="1:8" x14ac:dyDescent="0.2">
      <c r="A38" s="1"/>
      <c r="B38" s="1"/>
      <c r="C38" s="1"/>
      <c r="D38" s="1"/>
      <c r="E38" s="1"/>
      <c r="F38" s="1"/>
      <c r="G38" s="1"/>
      <c r="H38" s="1"/>
    </row>
    <row r="39" spans="1:8" x14ac:dyDescent="0.2">
      <c r="A39" s="1"/>
      <c r="B39" s="1"/>
      <c r="C39" s="1"/>
      <c r="D39" s="1"/>
      <c r="E39" s="1"/>
      <c r="F39" s="1"/>
      <c r="G39" s="1"/>
      <c r="H39" s="1"/>
    </row>
    <row r="40" spans="1:8" x14ac:dyDescent="0.2">
      <c r="A40" s="1"/>
      <c r="B40" s="1"/>
      <c r="C40" s="1"/>
      <c r="D40" s="1"/>
      <c r="E40" s="1"/>
      <c r="F40" s="1"/>
      <c r="G40" s="1"/>
      <c r="H40" s="1"/>
    </row>
    <row r="41" spans="1:8" x14ac:dyDescent="0.2">
      <c r="A41" s="1"/>
      <c r="B41" s="1"/>
      <c r="C41" s="1"/>
      <c r="D41" s="1"/>
      <c r="E41" s="1"/>
      <c r="F41" s="1"/>
      <c r="G41" s="1"/>
      <c r="H41" s="1"/>
    </row>
    <row r="42" spans="1:8" x14ac:dyDescent="0.2">
      <c r="A42" s="1"/>
      <c r="B42" s="1"/>
      <c r="C42" s="1"/>
      <c r="D42" s="1"/>
      <c r="E42" s="1"/>
      <c r="F42" s="1"/>
      <c r="G42" s="1"/>
      <c r="H42" s="1"/>
    </row>
    <row r="43" spans="1:8" x14ac:dyDescent="0.2">
      <c r="A43" s="1"/>
      <c r="B43" s="1"/>
      <c r="C43" s="1"/>
      <c r="D43" s="1"/>
      <c r="E43" s="1"/>
      <c r="F43" s="1"/>
      <c r="G43" s="1"/>
      <c r="H43" s="1"/>
    </row>
    <row r="44" spans="1:8" x14ac:dyDescent="0.2">
      <c r="A44" s="1"/>
      <c r="B44" s="1"/>
      <c r="C44" s="1"/>
      <c r="D44" s="1"/>
      <c r="E44" s="1"/>
      <c r="F44" s="1"/>
      <c r="G44" s="1"/>
      <c r="H44" s="1"/>
    </row>
    <row r="45" spans="1:8" x14ac:dyDescent="0.2">
      <c r="A45" s="1"/>
      <c r="B45" s="1"/>
      <c r="C45" s="1"/>
      <c r="D45" s="1"/>
      <c r="E45" s="1"/>
      <c r="F45" s="1"/>
      <c r="G45" s="1"/>
      <c r="H45" s="1"/>
    </row>
    <row r="46" spans="1:8" x14ac:dyDescent="0.2">
      <c r="A46" s="1"/>
      <c r="B46" s="1"/>
      <c r="C46" s="1"/>
      <c r="D46" s="1"/>
      <c r="E46" s="1"/>
      <c r="F46" s="1"/>
      <c r="G46" s="1"/>
      <c r="H46" s="1"/>
    </row>
    <row r="47" spans="1:8" x14ac:dyDescent="0.2">
      <c r="A47" s="1"/>
      <c r="B47" s="1"/>
      <c r="C47" s="1"/>
      <c r="D47" s="1"/>
      <c r="E47" s="1"/>
      <c r="F47" s="1"/>
      <c r="G47" s="1"/>
      <c r="H47" s="1"/>
    </row>
    <row r="48" spans="1:8" x14ac:dyDescent="0.2">
      <c r="A48" s="1"/>
      <c r="B48" s="1"/>
      <c r="C48" s="1"/>
      <c r="D48" s="1"/>
      <c r="E48" s="1"/>
      <c r="F48" s="1"/>
      <c r="G48" s="1"/>
      <c r="H48" s="1"/>
    </row>
    <row r="49" spans="1:8" x14ac:dyDescent="0.2">
      <c r="A49" s="1"/>
      <c r="B49" s="1"/>
      <c r="C49" s="1"/>
      <c r="D49" s="1"/>
      <c r="E49" s="1"/>
      <c r="F49" s="1"/>
      <c r="G49" s="1"/>
      <c r="H49" s="1"/>
    </row>
    <row r="50" spans="1:8" x14ac:dyDescent="0.2">
      <c r="A50" s="1"/>
      <c r="B50" s="1"/>
      <c r="C50" s="1"/>
      <c r="D50" s="1"/>
      <c r="E50" s="1"/>
      <c r="F50" s="1"/>
      <c r="G50" s="1"/>
      <c r="H50" s="1"/>
    </row>
    <row r="51" spans="1:8" x14ac:dyDescent="0.2">
      <c r="A51" s="1"/>
      <c r="B51" s="1"/>
      <c r="C51" s="1"/>
      <c r="D51" s="1"/>
      <c r="E51" s="1"/>
      <c r="F51" s="1"/>
      <c r="G51" s="1"/>
      <c r="H51" s="1"/>
    </row>
    <row r="52" spans="1:8" x14ac:dyDescent="0.2">
      <c r="A52" s="1"/>
      <c r="B52" s="1"/>
      <c r="C52" s="1"/>
      <c r="D52" s="1"/>
      <c r="E52" s="1"/>
      <c r="F52" s="1"/>
      <c r="G52" s="1"/>
      <c r="H52" s="1"/>
    </row>
    <row r="53" spans="1:8" x14ac:dyDescent="0.2">
      <c r="A53" s="1"/>
      <c r="B53" s="1"/>
      <c r="C53" s="1"/>
      <c r="D53" s="1"/>
      <c r="E53" s="1"/>
      <c r="F53" s="1"/>
      <c r="G53" s="1"/>
      <c r="H53" s="1"/>
    </row>
    <row r="54" spans="1:8" x14ac:dyDescent="0.2">
      <c r="A54" s="1"/>
      <c r="B54" s="1"/>
      <c r="C54" s="1"/>
      <c r="D54" s="1"/>
      <c r="E54" s="1"/>
      <c r="F54" s="1"/>
      <c r="G54" s="1"/>
      <c r="H54" s="1"/>
    </row>
    <row r="55" spans="1:8" x14ac:dyDescent="0.2">
      <c r="A55" s="1"/>
      <c r="B55" s="1"/>
      <c r="C55" s="1"/>
      <c r="D55" s="1"/>
      <c r="E55" s="1"/>
      <c r="F55" s="1"/>
      <c r="G55" s="1"/>
      <c r="H55" s="1"/>
    </row>
    <row r="56" spans="1:8" x14ac:dyDescent="0.2">
      <c r="A56" s="1"/>
      <c r="B56" s="1"/>
      <c r="C56" s="1"/>
      <c r="D56" s="1"/>
      <c r="E56" s="1"/>
      <c r="F56" s="1"/>
      <c r="G56" s="1"/>
      <c r="H56" s="1"/>
    </row>
    <row r="57" spans="1:8" x14ac:dyDescent="0.2">
      <c r="A57" s="1"/>
      <c r="B57" s="1"/>
      <c r="C57" s="1"/>
      <c r="D57" s="1"/>
      <c r="E57" s="1"/>
      <c r="F57" s="1"/>
      <c r="G57" s="1"/>
      <c r="H57" s="1"/>
    </row>
    <row r="58" spans="1:8" x14ac:dyDescent="0.2">
      <c r="A58" s="1"/>
      <c r="B58" s="1"/>
      <c r="C58" s="1"/>
      <c r="D58" s="1"/>
      <c r="E58" s="1"/>
      <c r="F58" s="1"/>
      <c r="G58" s="1"/>
      <c r="H58" s="1"/>
    </row>
    <row r="59" spans="1:8" x14ac:dyDescent="0.2">
      <c r="A59" s="1"/>
      <c r="B59" s="1"/>
      <c r="C59" s="1"/>
      <c r="D59" s="1"/>
      <c r="E59" s="1"/>
      <c r="F59" s="1"/>
      <c r="G59" s="1"/>
      <c r="H59" s="1"/>
    </row>
    <row r="60" spans="1:8" x14ac:dyDescent="0.2">
      <c r="A60" s="1"/>
      <c r="B60" s="1"/>
      <c r="C60" s="1"/>
      <c r="D60" s="1"/>
      <c r="E60" s="1"/>
      <c r="F60" s="1"/>
      <c r="G60" s="1"/>
      <c r="H60" s="1"/>
    </row>
    <row r="61" spans="1:8" x14ac:dyDescent="0.2">
      <c r="A61" s="1"/>
      <c r="B61" s="1"/>
      <c r="C61" s="1"/>
      <c r="D61" s="1"/>
      <c r="E61" s="1"/>
      <c r="F61" s="1"/>
      <c r="G61" s="1"/>
      <c r="H61" s="1"/>
    </row>
    <row r="62" spans="1:8" x14ac:dyDescent="0.2">
      <c r="A62" s="1"/>
      <c r="B62" s="1"/>
      <c r="C62" s="1"/>
      <c r="D62" s="1"/>
      <c r="E62" s="1"/>
      <c r="F62" s="1"/>
      <c r="G62" s="1"/>
      <c r="H62" s="1"/>
    </row>
    <row r="63" spans="1:8" x14ac:dyDescent="0.2">
      <c r="A63" s="1"/>
      <c r="B63" s="1"/>
      <c r="C63" s="1"/>
      <c r="D63" s="1"/>
      <c r="E63" s="1"/>
      <c r="F63" s="1"/>
      <c r="G63" s="1"/>
      <c r="H63" s="1"/>
    </row>
    <row r="64" spans="1:8" x14ac:dyDescent="0.2">
      <c r="A64" s="1"/>
      <c r="B64" s="1"/>
      <c r="C64" s="1"/>
      <c r="D64" s="1"/>
      <c r="E64" s="1"/>
      <c r="F64" s="1"/>
      <c r="G64" s="1"/>
      <c r="H64" s="1"/>
    </row>
    <row r="65" spans="1:8" x14ac:dyDescent="0.2">
      <c r="A65" s="1"/>
      <c r="B65" s="1"/>
      <c r="C65" s="1"/>
      <c r="D65" s="1"/>
      <c r="E65" s="1"/>
      <c r="F65" s="1"/>
      <c r="G65" s="1"/>
      <c r="H65" s="1"/>
    </row>
    <row r="66" spans="1:8" x14ac:dyDescent="0.2">
      <c r="A66" s="1"/>
      <c r="B66" s="1"/>
      <c r="C66" s="1"/>
      <c r="D66" s="1"/>
      <c r="E66" s="1"/>
      <c r="F66" s="1"/>
      <c r="G66" s="1"/>
      <c r="H66" s="1"/>
    </row>
    <row r="67" spans="1:8" x14ac:dyDescent="0.2">
      <c r="A67" s="1"/>
      <c r="B67" s="1"/>
      <c r="C67" s="1"/>
      <c r="D67" s="1"/>
      <c r="E67" s="1"/>
      <c r="F67" s="1"/>
      <c r="G67" s="1"/>
      <c r="H67" s="1"/>
    </row>
    <row r="68" spans="1:8" x14ac:dyDescent="0.2">
      <c r="A68" s="1"/>
      <c r="B68" s="1"/>
      <c r="C68" s="1"/>
      <c r="D68" s="1"/>
      <c r="E68" s="1"/>
      <c r="F68" s="1"/>
      <c r="G68" s="1"/>
      <c r="H68" s="1"/>
    </row>
    <row r="69" spans="1:8" x14ac:dyDescent="0.2">
      <c r="A69" s="1"/>
      <c r="B69" s="1"/>
      <c r="C69" s="1"/>
      <c r="D69" s="1"/>
      <c r="E69" s="1"/>
      <c r="F69" s="1"/>
      <c r="G69" s="1"/>
      <c r="H69" s="1"/>
    </row>
    <row r="70" spans="1:8" x14ac:dyDescent="0.2">
      <c r="A70" s="1"/>
      <c r="B70" s="1"/>
      <c r="C70" s="1"/>
      <c r="D70" s="1"/>
      <c r="E70" s="1"/>
      <c r="F70" s="1"/>
      <c r="G70" s="1"/>
      <c r="H70" s="1"/>
    </row>
    <row r="71" spans="1:8" x14ac:dyDescent="0.2">
      <c r="A71" s="1"/>
      <c r="B71" s="1"/>
      <c r="C71" s="1"/>
      <c r="D71" s="1"/>
      <c r="E71" s="1"/>
      <c r="F71" s="1"/>
      <c r="G71" s="1"/>
      <c r="H71" s="1"/>
    </row>
    <row r="72" spans="1:8" x14ac:dyDescent="0.2">
      <c r="A72" s="1"/>
      <c r="B72" s="1"/>
      <c r="C72" s="1"/>
      <c r="D72" s="1"/>
      <c r="E72" s="1"/>
      <c r="F72" s="1"/>
      <c r="G72" s="1"/>
      <c r="H72" s="1"/>
    </row>
    <row r="73" spans="1:8" x14ac:dyDescent="0.2">
      <c r="A73" s="11" t="s">
        <v>1</v>
      </c>
      <c r="B73" s="12"/>
      <c r="C73" s="12"/>
      <c r="D73" s="13"/>
      <c r="E73" s="8"/>
      <c r="F73" s="8"/>
      <c r="G73" s="8"/>
      <c r="H73" s="8"/>
    </row>
    <row r="74" spans="1:8" x14ac:dyDescent="0.2">
      <c r="A74" s="14" t="s">
        <v>15</v>
      </c>
      <c r="B74" s="15"/>
      <c r="C74" s="15"/>
      <c r="D74" s="16"/>
      <c r="E74" s="8"/>
      <c r="F74" s="8"/>
      <c r="G74" s="8"/>
      <c r="H74" s="8"/>
    </row>
    <row r="75" spans="1:8" x14ac:dyDescent="0.2">
      <c r="A75" s="17" t="s">
        <v>62</v>
      </c>
      <c r="B75" s="18"/>
      <c r="C75" s="18"/>
      <c r="D75" s="19"/>
      <c r="E75" s="8"/>
      <c r="F75" s="8"/>
      <c r="G75" s="8"/>
      <c r="H75" s="8"/>
    </row>
    <row r="76" spans="1:8" x14ac:dyDescent="0.2">
      <c r="A76" s="20"/>
      <c r="B76" s="21"/>
      <c r="C76" s="22"/>
      <c r="D76" s="23"/>
      <c r="E76" s="8"/>
      <c r="F76" s="8" t="s">
        <v>34</v>
      </c>
      <c r="G76" s="8"/>
      <c r="H76" s="8"/>
    </row>
    <row r="77" spans="1:8" ht="15.75" x14ac:dyDescent="0.25">
      <c r="A77" s="24" t="s">
        <v>2</v>
      </c>
      <c r="B77" s="25" t="str">
        <f>[1]Charters!B80</f>
        <v>Vista Schl Performing Arts</v>
      </c>
      <c r="C77" s="26"/>
      <c r="D77" s="27"/>
      <c r="E77" s="8"/>
      <c r="F77" s="8"/>
      <c r="G77" s="8"/>
      <c r="H77" s="8"/>
    </row>
    <row r="78" spans="1:8" x14ac:dyDescent="0.2">
      <c r="A78" s="24"/>
      <c r="B78" s="28"/>
      <c r="C78" s="26"/>
      <c r="D78" s="27"/>
      <c r="E78" s="8"/>
      <c r="F78" s="8"/>
      <c r="G78" s="8"/>
      <c r="H78" s="8"/>
    </row>
    <row r="79" spans="1:8" x14ac:dyDescent="0.2">
      <c r="A79" s="29" t="s">
        <v>0</v>
      </c>
      <c r="B79" s="30">
        <f>[1]Charters!$E$6</f>
        <v>3184</v>
      </c>
      <c r="C79" s="26"/>
      <c r="D79" s="31"/>
      <c r="E79" s="8"/>
      <c r="F79" s="8"/>
      <c r="G79" s="8"/>
      <c r="H79" s="8"/>
    </row>
    <row r="80" spans="1:8" x14ac:dyDescent="0.2">
      <c r="A80" s="32"/>
      <c r="B80" s="6"/>
      <c r="C80" s="33"/>
      <c r="D80" s="34" t="s">
        <v>3</v>
      </c>
      <c r="E80" s="8"/>
      <c r="F80" s="8"/>
      <c r="G80" s="8"/>
      <c r="H80" s="8"/>
    </row>
    <row r="81" spans="1:8" x14ac:dyDescent="0.2">
      <c r="A81" s="29" t="s">
        <v>19</v>
      </c>
      <c r="B81" s="35" t="str">
        <f>[1]Charters!A80</f>
        <v>2G</v>
      </c>
      <c r="C81" s="36" t="s">
        <v>4</v>
      </c>
      <c r="D81" s="37" t="s">
        <v>5</v>
      </c>
      <c r="E81" s="8"/>
      <c r="F81" s="8"/>
      <c r="G81" s="8"/>
      <c r="H81" s="8"/>
    </row>
    <row r="82" spans="1:8" x14ac:dyDescent="0.2">
      <c r="A82" s="38" t="s">
        <v>6</v>
      </c>
      <c r="B82" s="39"/>
      <c r="C82" s="40"/>
      <c r="D82" s="41"/>
      <c r="E82" s="8"/>
      <c r="F82" s="8"/>
      <c r="G82" s="8"/>
      <c r="H82" s="8"/>
    </row>
    <row r="83" spans="1:8" x14ac:dyDescent="0.2">
      <c r="A83" s="38" t="s">
        <v>7</v>
      </c>
      <c r="B83" s="39"/>
      <c r="C83" s="40"/>
      <c r="D83" s="41"/>
      <c r="E83" s="8"/>
      <c r="F83" s="42" t="s">
        <v>23</v>
      </c>
      <c r="G83" s="8"/>
      <c r="H83" s="42" t="s">
        <v>26</v>
      </c>
    </row>
    <row r="84" spans="1:8" x14ac:dyDescent="0.2">
      <c r="A84" s="20" t="s">
        <v>8</v>
      </c>
      <c r="B84" s="43"/>
      <c r="C84" s="44">
        <f>[1]Charters!C540</f>
        <v>762.06799999999998</v>
      </c>
      <c r="D84" s="45">
        <f>[1]Charters!E540</f>
        <v>2426424.5099999998</v>
      </c>
      <c r="E84" s="8"/>
      <c r="F84" s="42">
        <f>[1]Charters!E695</f>
        <v>2578753.0099999998</v>
      </c>
      <c r="G84" s="8"/>
      <c r="H84" s="42">
        <f>[2]Charters!E234</f>
        <v>3283830.04</v>
      </c>
    </row>
    <row r="85" spans="1:8" x14ac:dyDescent="0.2">
      <c r="A85" s="20" t="s">
        <v>14</v>
      </c>
      <c r="B85" s="43"/>
      <c r="C85" s="44">
        <f>[1]Charters!F540</f>
        <v>47.841999999999999</v>
      </c>
      <c r="D85" s="45">
        <f>[1]Charters!H540</f>
        <v>152328.5</v>
      </c>
      <c r="E85" s="8"/>
      <c r="F85" s="42">
        <f>SUM(D84:D86)</f>
        <v>2578753.0099999998</v>
      </c>
      <c r="G85" s="8"/>
      <c r="H85" s="42">
        <f>D97</f>
        <v>3283830.04</v>
      </c>
    </row>
    <row r="86" spans="1:8" x14ac:dyDescent="0.2">
      <c r="A86" s="20" t="s">
        <v>32</v>
      </c>
      <c r="B86" s="43"/>
      <c r="C86" s="44">
        <f>[1]Charters!C233</f>
        <v>0</v>
      </c>
      <c r="D86" s="45">
        <f>[1]Charters!E233</f>
        <v>0</v>
      </c>
      <c r="E86" s="8"/>
      <c r="F86" s="42">
        <f>+F84-F85</f>
        <v>0</v>
      </c>
      <c r="G86" s="8"/>
      <c r="H86" s="42">
        <f>+H84-H85</f>
        <v>0</v>
      </c>
    </row>
    <row r="87" spans="1:8" x14ac:dyDescent="0.2">
      <c r="A87" s="38" t="s">
        <v>9</v>
      </c>
      <c r="B87" s="39"/>
      <c r="C87" s="46"/>
      <c r="D87" s="47"/>
      <c r="E87" s="8"/>
      <c r="F87" s="8"/>
      <c r="G87" s="8"/>
      <c r="H87" s="8"/>
    </row>
    <row r="88" spans="1:8" x14ac:dyDescent="0.2">
      <c r="A88" s="20" t="s">
        <v>10</v>
      </c>
      <c r="B88" s="43"/>
      <c r="C88" s="40">
        <f>[3]Charters!C79</f>
        <v>128.28899999999999</v>
      </c>
      <c r="D88" s="41">
        <f>[3]Charters!E79</f>
        <v>408473.43</v>
      </c>
      <c r="E88" s="8"/>
      <c r="F88" s="42" t="s">
        <v>24</v>
      </c>
      <c r="G88" s="8"/>
      <c r="H88" s="8"/>
    </row>
    <row r="89" spans="1:8" x14ac:dyDescent="0.2">
      <c r="A89" s="48" t="s">
        <v>11</v>
      </c>
      <c r="B89" s="43"/>
      <c r="C89" s="40">
        <f>[3]Charters!F79</f>
        <v>12.19</v>
      </c>
      <c r="D89" s="49">
        <f>[3]Charters!H79</f>
        <v>38812.959999999999</v>
      </c>
      <c r="E89" s="8"/>
      <c r="F89" s="42">
        <f>[3]Charters!N391</f>
        <v>456070.66</v>
      </c>
      <c r="G89" s="8"/>
      <c r="H89" s="8"/>
    </row>
    <row r="90" spans="1:8" x14ac:dyDescent="0.2">
      <c r="A90" s="48" t="s">
        <v>12</v>
      </c>
      <c r="B90" s="43"/>
      <c r="C90" s="40">
        <f>[3]Charters!C234</f>
        <v>0</v>
      </c>
      <c r="D90" s="41">
        <f>[3]Charters!E234</f>
        <v>0</v>
      </c>
      <c r="E90" s="8"/>
      <c r="F90" s="42">
        <f>SUM(D88:D94)</f>
        <v>456070.66</v>
      </c>
      <c r="G90" s="8"/>
      <c r="H90" s="8"/>
    </row>
    <row r="91" spans="1:8" x14ac:dyDescent="0.2">
      <c r="A91" s="20" t="s">
        <v>13</v>
      </c>
      <c r="B91" s="43"/>
      <c r="C91" s="40">
        <f>[3]Charters!F234</f>
        <v>0.70899999999999996</v>
      </c>
      <c r="D91" s="41">
        <f>[3]Charters!H234</f>
        <v>2259</v>
      </c>
      <c r="E91" s="8"/>
      <c r="F91" s="42">
        <f>+F89-F90</f>
        <v>0</v>
      </c>
      <c r="G91" s="8"/>
      <c r="H91" s="8"/>
    </row>
    <row r="92" spans="1:8" x14ac:dyDescent="0.2">
      <c r="A92" s="48" t="s">
        <v>54</v>
      </c>
      <c r="B92" s="43"/>
      <c r="C92" s="40">
        <f>[3]Charters!C391</f>
        <v>2.0489999999999999</v>
      </c>
      <c r="D92" s="41">
        <f>[3]Charters!E391</f>
        <v>6525.27</v>
      </c>
      <c r="E92" s="8"/>
      <c r="F92" s="8"/>
      <c r="G92" s="8"/>
      <c r="H92" s="8"/>
    </row>
    <row r="93" spans="1:8" x14ac:dyDescent="0.2">
      <c r="A93" s="48" t="s">
        <v>55</v>
      </c>
      <c r="B93" s="43"/>
      <c r="C93" s="40">
        <f>[3]Charters!F391</f>
        <v>0</v>
      </c>
      <c r="D93" s="41">
        <f>[3]Charters!H391</f>
        <v>0</v>
      </c>
      <c r="E93" s="8"/>
      <c r="F93" s="42" t="s">
        <v>25</v>
      </c>
      <c r="G93" s="8"/>
      <c r="H93" s="8"/>
    </row>
    <row r="94" spans="1:8" x14ac:dyDescent="0.2">
      <c r="A94" s="48" t="s">
        <v>56</v>
      </c>
      <c r="B94" s="43"/>
      <c r="C94" s="40">
        <f>[3]Charters!I391</f>
        <v>0</v>
      </c>
      <c r="D94" s="41">
        <f>[3]Charters!K391</f>
        <v>0</v>
      </c>
      <c r="E94" s="8"/>
      <c r="F94" s="42">
        <f>[2]Charters!H80</f>
        <v>705077.03</v>
      </c>
      <c r="G94" s="8"/>
      <c r="H94" s="8"/>
    </row>
    <row r="95" spans="1:8" x14ac:dyDescent="0.2">
      <c r="A95" s="20" t="s">
        <v>49</v>
      </c>
      <c r="B95" s="43"/>
      <c r="C95" s="40">
        <f>[3]Charters!C547</f>
        <v>1.6020000000000001</v>
      </c>
      <c r="D95" s="41">
        <f>[3]Charters!E547</f>
        <v>5100.49</v>
      </c>
      <c r="E95" s="8"/>
      <c r="F95" s="42">
        <f>SUM(D88:D96)</f>
        <v>705077.03</v>
      </c>
      <c r="G95" s="8"/>
      <c r="H95" s="8"/>
    </row>
    <row r="96" spans="1:8" x14ac:dyDescent="0.2">
      <c r="A96" s="20" t="s">
        <v>50</v>
      </c>
      <c r="B96" s="43"/>
      <c r="C96" s="40">
        <f>[2]Charters!C80</f>
        <v>76.603999999999999</v>
      </c>
      <c r="D96" s="41">
        <f>[2]Charters!E80</f>
        <v>243905.88</v>
      </c>
      <c r="E96" s="8"/>
      <c r="F96" s="42">
        <f>+F94-F95</f>
        <v>0</v>
      </c>
      <c r="G96" s="8"/>
      <c r="H96" s="8"/>
    </row>
    <row r="97" spans="1:8" x14ac:dyDescent="0.2">
      <c r="A97" s="50"/>
      <c r="B97" s="51" t="s">
        <v>16</v>
      </c>
      <c r="C97" s="52">
        <f>SUM(C84:C96)</f>
        <v>1031.3530000000001</v>
      </c>
      <c r="D97" s="53">
        <f>SUM(D84:D96)</f>
        <v>3283830.04</v>
      </c>
      <c r="E97" s="8"/>
      <c r="F97" s="8"/>
      <c r="G97" s="8"/>
      <c r="H97" s="8"/>
    </row>
    <row r="98" spans="1:8" x14ac:dyDescent="0.2">
      <c r="A98" s="54" t="s">
        <v>17</v>
      </c>
      <c r="B98" s="39"/>
      <c r="C98" s="55"/>
      <c r="D98" s="47"/>
      <c r="E98" s="8"/>
      <c r="F98" s="8"/>
      <c r="G98" s="8"/>
      <c r="H98" s="42" t="s">
        <v>29</v>
      </c>
    </row>
    <row r="99" spans="1:8" x14ac:dyDescent="0.2">
      <c r="A99" s="20" t="s">
        <v>33</v>
      </c>
      <c r="B99" s="43"/>
      <c r="C99" s="56"/>
      <c r="D99" s="57">
        <f>[4]Charters!C80</f>
        <v>9518.08</v>
      </c>
      <c r="E99" s="8"/>
      <c r="F99" s="8"/>
      <c r="G99" s="8"/>
      <c r="H99" s="42">
        <f>[4]Charters!F1020</f>
        <v>5494303.6299999999</v>
      </c>
    </row>
    <row r="100" spans="1:8" x14ac:dyDescent="0.2">
      <c r="A100" s="58" t="s">
        <v>35</v>
      </c>
      <c r="B100" s="43"/>
      <c r="C100" s="56"/>
      <c r="D100" s="41">
        <f>+[4]Charters!F401</f>
        <v>3667.82</v>
      </c>
      <c r="E100" s="8"/>
      <c r="F100" s="8"/>
      <c r="G100" s="8"/>
      <c r="H100" s="42">
        <f>SUM(D97:D116)</f>
        <v>5494303.6299999999</v>
      </c>
    </row>
    <row r="101" spans="1:8" x14ac:dyDescent="0.2">
      <c r="A101" s="59" t="s">
        <v>36</v>
      </c>
      <c r="B101" s="43"/>
      <c r="C101" s="56"/>
      <c r="D101" s="41">
        <f>[4]Charters!E240</f>
        <v>33135</v>
      </c>
      <c r="E101" s="8"/>
      <c r="F101" s="8"/>
      <c r="G101" s="8"/>
      <c r="H101" s="42">
        <f>+H99-H100</f>
        <v>0</v>
      </c>
    </row>
    <row r="102" spans="1:8" x14ac:dyDescent="0.2">
      <c r="A102" s="59" t="s">
        <v>52</v>
      </c>
      <c r="B102" s="43"/>
      <c r="C102" s="56"/>
      <c r="D102" s="41">
        <f>[4]Charters!G401</f>
        <v>0</v>
      </c>
      <c r="E102" s="8"/>
      <c r="F102" s="42" t="s">
        <v>27</v>
      </c>
      <c r="G102" s="8"/>
      <c r="H102" s="42"/>
    </row>
    <row r="103" spans="1:8" x14ac:dyDescent="0.2">
      <c r="A103" s="20" t="s">
        <v>37</v>
      </c>
      <c r="B103" s="43"/>
      <c r="C103" s="56"/>
      <c r="D103" s="41">
        <f>[4]Charters!E557</f>
        <v>63702</v>
      </c>
      <c r="E103" s="8"/>
      <c r="F103" s="42">
        <f>[4]Charters!E240</f>
        <v>33135</v>
      </c>
      <c r="G103" s="8"/>
      <c r="H103" s="8"/>
    </row>
    <row r="104" spans="1:8" x14ac:dyDescent="0.2">
      <c r="A104" s="20" t="s">
        <v>38</v>
      </c>
      <c r="B104" s="43"/>
      <c r="C104" s="56"/>
      <c r="D104" s="41">
        <f>[4]Charters!F557</f>
        <v>0</v>
      </c>
      <c r="E104" s="8"/>
      <c r="F104" s="42">
        <f>SUM(D101:D101)</f>
        <v>33135</v>
      </c>
      <c r="G104" s="8"/>
      <c r="H104" s="8"/>
    </row>
    <row r="105" spans="1:8" x14ac:dyDescent="0.2">
      <c r="A105" s="59" t="s">
        <v>40</v>
      </c>
      <c r="B105" s="43"/>
      <c r="C105" s="56"/>
      <c r="D105" s="41">
        <f>[4]Charters!G557</f>
        <v>0</v>
      </c>
      <c r="E105" s="8"/>
      <c r="F105" s="42">
        <f>+F103-F104</f>
        <v>0</v>
      </c>
      <c r="G105" s="8"/>
      <c r="H105" s="8"/>
    </row>
    <row r="106" spans="1:8" x14ac:dyDescent="0.2">
      <c r="A106" s="20" t="s">
        <v>41</v>
      </c>
      <c r="B106" s="43"/>
      <c r="C106" s="56"/>
      <c r="D106" s="41">
        <f>[4]Charters!C711</f>
        <v>1754877</v>
      </c>
      <c r="E106" s="8"/>
      <c r="F106" s="42" t="s">
        <v>28</v>
      </c>
      <c r="G106" s="8"/>
      <c r="H106" s="8"/>
    </row>
    <row r="107" spans="1:8" x14ac:dyDescent="0.2">
      <c r="A107" s="20" t="s">
        <v>42</v>
      </c>
      <c r="B107" s="43"/>
      <c r="C107" s="56"/>
      <c r="D107" s="41">
        <f>[4]Charters!D711</f>
        <v>224103.83</v>
      </c>
      <c r="E107" s="8"/>
      <c r="F107" s="42">
        <f>[4]Charters!D557</f>
        <v>36802.82</v>
      </c>
      <c r="G107" s="8"/>
      <c r="H107" s="8"/>
    </row>
    <row r="108" spans="1:8" x14ac:dyDescent="0.2">
      <c r="A108" s="20" t="s">
        <v>44</v>
      </c>
      <c r="B108" s="43"/>
      <c r="C108" s="56"/>
      <c r="D108" s="41">
        <f>[4]Charters!E711</f>
        <v>87700</v>
      </c>
      <c r="E108" s="8"/>
      <c r="F108" s="42">
        <f>SUM(D100:D102)</f>
        <v>36802.82</v>
      </c>
      <c r="G108" s="8"/>
      <c r="H108" s="8"/>
    </row>
    <row r="109" spans="1:8" x14ac:dyDescent="0.2">
      <c r="A109" s="59" t="s">
        <v>43</v>
      </c>
      <c r="B109" s="43"/>
      <c r="C109" s="56"/>
      <c r="D109" s="41">
        <f>[4]Charters!F711</f>
        <v>32675.72</v>
      </c>
      <c r="E109" s="8"/>
      <c r="F109" s="42">
        <f>+F107-F108</f>
        <v>0</v>
      </c>
      <c r="G109" s="8"/>
      <c r="H109" s="8"/>
    </row>
    <row r="110" spans="1:8" x14ac:dyDescent="0.2">
      <c r="A110" s="59" t="s">
        <v>45</v>
      </c>
      <c r="B110" s="43"/>
      <c r="C110" s="56"/>
      <c r="D110" s="41">
        <f>[4]Charters!C557</f>
        <v>0</v>
      </c>
      <c r="E110" s="8"/>
      <c r="F110" s="8"/>
      <c r="G110" s="8"/>
      <c r="H110" s="8"/>
    </row>
    <row r="111" spans="1:8" x14ac:dyDescent="0.2">
      <c r="A111" s="59" t="s">
        <v>46</v>
      </c>
      <c r="B111" s="43"/>
      <c r="C111" s="56"/>
      <c r="D111" s="41">
        <f>[4]Charters!C867</f>
        <v>0</v>
      </c>
      <c r="E111" s="42"/>
      <c r="F111" s="42"/>
      <c r="G111" s="42"/>
      <c r="H111" s="42" t="s">
        <v>31</v>
      </c>
    </row>
    <row r="112" spans="1:8" x14ac:dyDescent="0.2">
      <c r="A112" s="59" t="s">
        <v>51</v>
      </c>
      <c r="B112" s="43"/>
      <c r="C112" s="56"/>
      <c r="D112" s="60">
        <f>[4]Charters!D867</f>
        <v>1094.1400000000001</v>
      </c>
      <c r="E112" s="42"/>
      <c r="F112" s="42"/>
      <c r="G112" s="42"/>
      <c r="H112" s="42">
        <f>[4]Charters!D1326</f>
        <v>5502794.7199999997</v>
      </c>
    </row>
    <row r="113" spans="1:8" x14ac:dyDescent="0.2">
      <c r="A113" s="20" t="s">
        <v>47</v>
      </c>
      <c r="B113" s="43"/>
      <c r="C113" s="56"/>
      <c r="D113" s="60">
        <f>[4]Charters!E867</f>
        <v>0</v>
      </c>
      <c r="E113" s="42"/>
      <c r="F113" s="42"/>
      <c r="G113" s="42"/>
      <c r="H113" s="42">
        <f>D122</f>
        <v>5502794.7199999997</v>
      </c>
    </row>
    <row r="114" spans="1:8" x14ac:dyDescent="0.2">
      <c r="A114" s="20" t="s">
        <v>57</v>
      </c>
      <c r="B114" s="43"/>
      <c r="C114" s="56"/>
      <c r="D114" s="60">
        <f>[4]Charters!C1020</f>
        <v>0</v>
      </c>
      <c r="E114" s="42"/>
      <c r="F114" s="42"/>
      <c r="G114" s="42"/>
      <c r="H114" s="42">
        <f>+H112-H113</f>
        <v>0</v>
      </c>
    </row>
    <row r="115" spans="1:8" x14ac:dyDescent="0.2">
      <c r="A115" s="59" t="s">
        <v>53</v>
      </c>
      <c r="B115" s="43"/>
      <c r="C115" s="56"/>
      <c r="D115" s="60">
        <f>[4]Charters!D1020</f>
        <v>0</v>
      </c>
      <c r="E115" s="42"/>
      <c r="F115" s="42" t="s">
        <v>30</v>
      </c>
      <c r="G115" s="42"/>
      <c r="H115" s="42"/>
    </row>
    <row r="116" spans="1:8" x14ac:dyDescent="0.2">
      <c r="A116" s="59" t="s">
        <v>59</v>
      </c>
      <c r="B116" s="43"/>
      <c r="C116" s="56"/>
      <c r="D116" s="60">
        <f>[4]Charters!E1020</f>
        <v>0</v>
      </c>
      <c r="E116" s="42"/>
      <c r="F116" s="42"/>
      <c r="G116" s="42"/>
      <c r="H116" s="42"/>
    </row>
    <row r="117" spans="1:8" x14ac:dyDescent="0.2">
      <c r="A117" s="38" t="s">
        <v>18</v>
      </c>
      <c r="B117" s="61"/>
      <c r="C117" s="62"/>
      <c r="D117" s="87"/>
      <c r="E117" s="42"/>
      <c r="F117" s="42">
        <f>[4]Charters!C1326</f>
        <v>8491.09</v>
      </c>
      <c r="G117" s="42"/>
      <c r="H117" s="42"/>
    </row>
    <row r="118" spans="1:8" x14ac:dyDescent="0.2">
      <c r="A118" s="59" t="s">
        <v>39</v>
      </c>
      <c r="B118" s="43"/>
      <c r="C118" s="56"/>
      <c r="D118" s="41">
        <f>[4]Charters!C1173</f>
        <v>8491.09</v>
      </c>
      <c r="E118" s="42"/>
      <c r="F118" s="42">
        <f>SUM(D118:D121)</f>
        <v>8491.09</v>
      </c>
      <c r="G118" s="42"/>
      <c r="H118" s="42"/>
    </row>
    <row r="119" spans="1:8" x14ac:dyDescent="0.2">
      <c r="A119" s="59" t="s">
        <v>48</v>
      </c>
      <c r="B119" s="43"/>
      <c r="C119" s="56"/>
      <c r="D119" s="41">
        <f>[4]Charters!D1173</f>
        <v>0</v>
      </c>
      <c r="E119" s="42"/>
      <c r="F119" s="42">
        <f>+F117-F118</f>
        <v>0</v>
      </c>
      <c r="G119" s="42"/>
      <c r="H119" s="42"/>
    </row>
    <row r="120" spans="1:8" x14ac:dyDescent="0.2">
      <c r="A120" s="59" t="s">
        <v>60</v>
      </c>
      <c r="B120" s="43"/>
      <c r="C120" s="56"/>
      <c r="D120" s="41">
        <f>[4]Charters!E1173</f>
        <v>0</v>
      </c>
      <c r="E120" s="42"/>
      <c r="F120" s="42"/>
      <c r="G120" s="42"/>
      <c r="H120" s="42"/>
    </row>
    <row r="121" spans="1:8" x14ac:dyDescent="0.2">
      <c r="A121" s="59" t="s">
        <v>61</v>
      </c>
      <c r="B121" s="43"/>
      <c r="C121" s="56"/>
      <c r="D121" s="41">
        <f>[4]Charters!F1173</f>
        <v>0</v>
      </c>
      <c r="E121" s="42"/>
      <c r="F121" s="42"/>
      <c r="G121" s="42"/>
      <c r="H121" s="42"/>
    </row>
    <row r="122" spans="1:8" ht="13.5" thickBot="1" x14ac:dyDescent="0.25">
      <c r="A122" s="64"/>
      <c r="B122" s="65"/>
      <c r="C122" s="66"/>
      <c r="D122" s="67">
        <f>SUM(D97:D121)</f>
        <v>5502794.7199999997</v>
      </c>
      <c r="E122" s="42"/>
      <c r="F122" s="42"/>
      <c r="G122" s="42"/>
      <c r="H122" s="42"/>
    </row>
    <row r="123" spans="1:8" ht="13.5" thickTop="1" x14ac:dyDescent="0.2">
      <c r="A123" s="68"/>
      <c r="B123" s="43"/>
      <c r="C123" s="56"/>
      <c r="D123" s="86"/>
      <c r="E123" s="42"/>
      <c r="F123" s="42"/>
      <c r="G123" s="42"/>
      <c r="H123" s="42"/>
    </row>
    <row r="124" spans="1:8" x14ac:dyDescent="0.2">
      <c r="A124" s="38" t="s">
        <v>20</v>
      </c>
      <c r="B124" s="39"/>
      <c r="C124" s="70"/>
      <c r="D124" s="71" t="s">
        <v>21</v>
      </c>
      <c r="E124" s="42"/>
      <c r="F124" s="42"/>
      <c r="G124" s="42"/>
      <c r="H124" s="42"/>
    </row>
    <row r="125" spans="1:8" x14ac:dyDescent="0.2">
      <c r="A125" s="72" t="s">
        <v>22</v>
      </c>
      <c r="B125" s="73"/>
      <c r="C125" s="74"/>
      <c r="D125" s="41">
        <f>[5]Charters!C79</f>
        <v>1990.5</v>
      </c>
      <c r="E125" s="42"/>
      <c r="F125" s="42"/>
      <c r="G125" s="42"/>
      <c r="H125" s="42"/>
    </row>
    <row r="126" spans="1:8" x14ac:dyDescent="0.2">
      <c r="A126" s="75"/>
      <c r="B126" s="61"/>
      <c r="C126" s="76"/>
      <c r="D126" s="77">
        <f>SUM(D125:D125)</f>
        <v>1990.5</v>
      </c>
      <c r="E126" s="42"/>
      <c r="F126" s="42"/>
      <c r="G126" s="42"/>
      <c r="H126" s="42"/>
    </row>
    <row r="127" spans="1:8" x14ac:dyDescent="0.2">
      <c r="A127" s="78" t="s">
        <v>58</v>
      </c>
      <c r="B127" s="79"/>
      <c r="C127" s="80"/>
      <c r="D127" s="77">
        <f>D126+D122</f>
        <v>5504785.2199999997</v>
      </c>
      <c r="E127" s="42"/>
      <c r="F127" s="42"/>
      <c r="G127" s="42"/>
      <c r="H127" s="42"/>
    </row>
    <row r="128" spans="1:8" x14ac:dyDescent="0.2">
      <c r="A128" s="84"/>
      <c r="B128" s="84"/>
      <c r="C128" s="85"/>
      <c r="D128" s="81"/>
      <c r="E128" s="42"/>
      <c r="F128" s="42"/>
      <c r="G128" s="42"/>
      <c r="H128" s="42"/>
    </row>
    <row r="129" spans="1:8" x14ac:dyDescent="0.2">
      <c r="A129" s="84"/>
      <c r="B129" s="84"/>
      <c r="C129" s="85"/>
      <c r="D129" s="81">
        <f>[5]Charters!E235</f>
        <v>5504785.2199999997</v>
      </c>
      <c r="E129" s="42"/>
      <c r="F129" s="42"/>
      <c r="G129" s="42"/>
      <c r="H129" s="42"/>
    </row>
    <row r="130" spans="1:8" x14ac:dyDescent="0.2">
      <c r="A130" s="84"/>
      <c r="B130" s="84"/>
      <c r="C130" s="85"/>
      <c r="D130" s="81">
        <f>D127</f>
        <v>5504785.2199999997</v>
      </c>
      <c r="E130" s="42"/>
      <c r="F130" s="42"/>
      <c r="G130" s="42"/>
      <c r="H130" s="42"/>
    </row>
    <row r="131" spans="1:8" x14ac:dyDescent="0.2">
      <c r="C131" s="83"/>
      <c r="D131" s="42">
        <f>D129-D130</f>
        <v>0</v>
      </c>
      <c r="E131" s="42"/>
      <c r="F131" s="42"/>
      <c r="G131" s="42"/>
      <c r="H131" s="42"/>
    </row>
  </sheetData>
  <mergeCells count="4">
    <mergeCell ref="A127:C127"/>
    <mergeCell ref="A74:D74"/>
    <mergeCell ref="A75:D75"/>
    <mergeCell ref="A73:D73"/>
  </mergeCells>
  <printOptions horizontalCentered="1" verticalCentered="1"/>
  <pageMargins left="0.5" right="0.5" top="0.5" bottom="0.5" header="0.25" footer="0.25"/>
  <pageSetup orientation="portrait" r:id="rId1"/>
  <headerFooter alignWithMargins="0">
    <oddHeader>&amp;R&amp;8Current as of: &amp;D</oddHeader>
    <oddFooter>&amp;L&amp;8USOE, School Finance</oddFooter>
  </headerFooter>
  <picture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sheetPr>
    <pageSetUpPr fitToPage="1"/>
  </sheetPr>
  <dimension ref="A1:H132"/>
  <sheetViews>
    <sheetView topLeftCell="A67" workbookViewId="0">
      <selection activeCell="C12" sqref="C12"/>
    </sheetView>
  </sheetViews>
  <sheetFormatPr defaultColWidth="9.140625" defaultRowHeight="12.75" x14ac:dyDescent="0.2"/>
  <cols>
    <col min="1" max="1" width="31.85546875" style="82" customWidth="1"/>
    <col min="2" max="2" width="16.28515625" style="82" customWidth="1"/>
    <col min="3" max="4" width="14.85546875" style="82" customWidth="1"/>
    <col min="5" max="5" width="7" style="82" customWidth="1"/>
    <col min="6" max="6" width="19.7109375" style="82" customWidth="1"/>
    <col min="7" max="7" width="5.7109375" style="82" customWidth="1"/>
    <col min="8" max="8" width="18" style="82" customWidth="1"/>
    <col min="9" max="16384" width="9.140625" style="82"/>
  </cols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"/>
      <c r="B3" s="1"/>
      <c r="C3" s="1"/>
      <c r="D3" s="1"/>
      <c r="E3" s="1"/>
      <c r="F3" s="1"/>
      <c r="G3" s="1"/>
      <c r="H3" s="1"/>
    </row>
    <row r="4" spans="1:8" x14ac:dyDescent="0.2">
      <c r="A4" s="1"/>
      <c r="B4" s="1"/>
      <c r="C4" s="1"/>
      <c r="D4" s="1"/>
      <c r="E4" s="1"/>
      <c r="F4" s="1"/>
      <c r="G4" s="1"/>
      <c r="H4" s="1"/>
    </row>
    <row r="5" spans="1:8" x14ac:dyDescent="0.2">
      <c r="A5" s="1"/>
      <c r="B5" s="1"/>
      <c r="C5" s="1"/>
      <c r="D5" s="1"/>
      <c r="E5" s="1"/>
      <c r="F5" s="1"/>
      <c r="G5" s="1"/>
      <c r="H5" s="1"/>
    </row>
    <row r="6" spans="1:8" x14ac:dyDescent="0.2">
      <c r="A6" s="1"/>
      <c r="B6" s="1"/>
      <c r="C6" s="1"/>
      <c r="D6" s="1"/>
      <c r="E6" s="1"/>
      <c r="F6" s="1"/>
      <c r="G6" s="1"/>
      <c r="H6" s="1"/>
    </row>
    <row r="7" spans="1:8" x14ac:dyDescent="0.2">
      <c r="A7" s="1"/>
      <c r="B7" s="1"/>
      <c r="C7" s="1"/>
      <c r="D7" s="1"/>
      <c r="E7" s="1"/>
      <c r="F7" s="1"/>
      <c r="G7" s="1"/>
      <c r="H7" s="1"/>
    </row>
    <row r="8" spans="1:8" x14ac:dyDescent="0.2">
      <c r="A8" s="1"/>
      <c r="B8" s="1"/>
      <c r="C8" s="1"/>
      <c r="D8" s="1"/>
      <c r="E8" s="1"/>
      <c r="F8" s="1"/>
      <c r="G8" s="1"/>
      <c r="H8" s="1"/>
    </row>
    <row r="9" spans="1:8" x14ac:dyDescent="0.2">
      <c r="A9" s="1"/>
      <c r="B9" s="1"/>
      <c r="C9" s="1"/>
      <c r="D9" s="1"/>
      <c r="E9" s="1"/>
      <c r="F9" s="1"/>
      <c r="G9" s="1"/>
      <c r="H9" s="1"/>
    </row>
    <row r="10" spans="1:8" x14ac:dyDescent="0.2">
      <c r="A10" s="1"/>
      <c r="B10" s="1"/>
      <c r="C10" s="1"/>
      <c r="D10" s="1"/>
      <c r="E10" s="1"/>
      <c r="F10" s="1"/>
      <c r="G10" s="1"/>
      <c r="H10" s="1"/>
    </row>
    <row r="11" spans="1:8" x14ac:dyDescent="0.2">
      <c r="A11" s="1"/>
      <c r="B11" s="1"/>
      <c r="C11" s="1"/>
      <c r="D11" s="1"/>
      <c r="E11" s="1"/>
      <c r="F11" s="1"/>
      <c r="G11" s="1"/>
      <c r="H11" s="1"/>
    </row>
    <row r="12" spans="1:8" x14ac:dyDescent="0.2">
      <c r="A12" s="1"/>
      <c r="B12" s="1"/>
      <c r="C12" s="1"/>
      <c r="D12" s="1"/>
      <c r="E12" s="1"/>
      <c r="F12" s="1"/>
      <c r="G12" s="1"/>
      <c r="H12" s="1"/>
    </row>
    <row r="13" spans="1:8" x14ac:dyDescent="0.2">
      <c r="A13" s="1"/>
      <c r="B13" s="1"/>
      <c r="C13" s="1"/>
      <c r="D13" s="1"/>
      <c r="E13" s="1"/>
      <c r="F13" s="1"/>
      <c r="G13" s="1"/>
      <c r="H13" s="1"/>
    </row>
    <row r="14" spans="1:8" x14ac:dyDescent="0.2">
      <c r="A14" s="1"/>
      <c r="B14" s="1"/>
      <c r="C14" s="1"/>
      <c r="D14" s="1"/>
      <c r="E14" s="1"/>
      <c r="F14" s="1"/>
      <c r="G14" s="1"/>
      <c r="H14" s="1"/>
    </row>
    <row r="15" spans="1:8" x14ac:dyDescent="0.2">
      <c r="A15" s="1"/>
      <c r="B15" s="1"/>
      <c r="C15" s="1"/>
      <c r="D15" s="1"/>
      <c r="E15" s="1"/>
      <c r="F15" s="1"/>
      <c r="G15" s="1"/>
      <c r="H15" s="1"/>
    </row>
    <row r="16" spans="1:8" x14ac:dyDescent="0.2">
      <c r="A16" s="1"/>
      <c r="B16" s="1"/>
      <c r="C16" s="1"/>
      <c r="D16" s="1"/>
      <c r="E16" s="1"/>
      <c r="F16" s="1"/>
      <c r="G16" s="1"/>
      <c r="H16" s="1"/>
    </row>
    <row r="17" spans="1:8" x14ac:dyDescent="0.2">
      <c r="A17" s="1"/>
      <c r="B17" s="1"/>
      <c r="C17" s="1"/>
      <c r="D17" s="1"/>
      <c r="E17" s="1"/>
      <c r="F17" s="1"/>
      <c r="G17" s="1"/>
      <c r="H17" s="1"/>
    </row>
    <row r="18" spans="1:8" x14ac:dyDescent="0.2">
      <c r="A18" s="1"/>
      <c r="B18" s="1"/>
      <c r="C18" s="1"/>
      <c r="D18" s="1"/>
      <c r="E18" s="1"/>
      <c r="F18" s="1"/>
      <c r="G18" s="1"/>
      <c r="H18" s="1"/>
    </row>
    <row r="19" spans="1:8" x14ac:dyDescent="0.2">
      <c r="A19" s="1"/>
      <c r="B19" s="1"/>
      <c r="C19" s="1"/>
      <c r="D19" s="1"/>
      <c r="E19" s="1"/>
      <c r="F19" s="1"/>
      <c r="G19" s="1"/>
      <c r="H19" s="1"/>
    </row>
    <row r="20" spans="1:8" x14ac:dyDescent="0.2">
      <c r="A20" s="1"/>
      <c r="B20" s="1"/>
      <c r="C20" s="1"/>
      <c r="D20" s="1"/>
      <c r="E20" s="1"/>
      <c r="F20" s="1"/>
      <c r="G20" s="1"/>
      <c r="H20" s="1"/>
    </row>
    <row r="21" spans="1:8" x14ac:dyDescent="0.2">
      <c r="A21" s="1"/>
      <c r="B21" s="1"/>
      <c r="C21" s="1"/>
      <c r="D21" s="1"/>
      <c r="E21" s="1"/>
      <c r="F21" s="1"/>
      <c r="G21" s="1"/>
      <c r="H21" s="1"/>
    </row>
    <row r="22" spans="1:8" x14ac:dyDescent="0.2">
      <c r="A22" s="1"/>
      <c r="B22" s="1"/>
      <c r="C22" s="1"/>
      <c r="D22" s="4"/>
      <c r="E22" s="1"/>
      <c r="F22" s="1"/>
      <c r="G22" s="1"/>
      <c r="H22" s="1"/>
    </row>
    <row r="23" spans="1:8" x14ac:dyDescent="0.2">
      <c r="A23" s="1"/>
      <c r="B23" s="1"/>
      <c r="C23" s="1"/>
      <c r="D23" s="1"/>
      <c r="E23" s="1"/>
      <c r="F23" s="1"/>
      <c r="G23" s="1"/>
      <c r="H23" s="1"/>
    </row>
    <row r="24" spans="1:8" x14ac:dyDescent="0.2">
      <c r="A24" s="1"/>
      <c r="B24" s="1"/>
      <c r="C24" s="1"/>
      <c r="D24" s="1"/>
      <c r="E24" s="1"/>
      <c r="F24" s="1"/>
      <c r="G24" s="1"/>
      <c r="H24" s="1"/>
    </row>
    <row r="25" spans="1:8" x14ac:dyDescent="0.2">
      <c r="A25" s="1"/>
      <c r="B25" s="1"/>
      <c r="C25" s="1"/>
      <c r="D25" s="1"/>
      <c r="E25" s="1"/>
      <c r="F25" s="1"/>
      <c r="G25" s="1"/>
      <c r="H25" s="1"/>
    </row>
    <row r="26" spans="1:8" x14ac:dyDescent="0.2">
      <c r="A26" s="1"/>
      <c r="B26" s="1"/>
      <c r="C26" s="1"/>
      <c r="D26" s="1"/>
      <c r="E26" s="1"/>
      <c r="F26" s="1"/>
      <c r="G26" s="1"/>
      <c r="H26" s="1"/>
    </row>
    <row r="27" spans="1:8" x14ac:dyDescent="0.2">
      <c r="A27" s="1"/>
      <c r="B27" s="1"/>
      <c r="C27" s="1"/>
      <c r="D27" s="1"/>
      <c r="E27" s="1"/>
      <c r="F27" s="1"/>
      <c r="G27" s="1"/>
      <c r="H27" s="1"/>
    </row>
    <row r="28" spans="1:8" x14ac:dyDescent="0.2">
      <c r="A28" s="1"/>
      <c r="B28" s="1"/>
      <c r="C28" s="1"/>
      <c r="D28" s="1"/>
      <c r="E28" s="1"/>
      <c r="F28" s="1"/>
      <c r="G28" s="1"/>
      <c r="H28" s="1"/>
    </row>
    <row r="29" spans="1:8" x14ac:dyDescent="0.2">
      <c r="A29" s="1"/>
      <c r="B29" s="1"/>
      <c r="C29" s="1"/>
      <c r="D29" s="1"/>
      <c r="E29" s="1"/>
      <c r="F29" s="1"/>
      <c r="G29" s="1"/>
      <c r="H29" s="1"/>
    </row>
    <row r="30" spans="1:8" x14ac:dyDescent="0.2">
      <c r="A30" s="1"/>
      <c r="B30" s="1"/>
      <c r="C30" s="1"/>
      <c r="D30" s="1"/>
      <c r="E30" s="1"/>
      <c r="F30" s="1"/>
      <c r="G30" s="1"/>
      <c r="H30" s="1"/>
    </row>
    <row r="31" spans="1:8" x14ac:dyDescent="0.2">
      <c r="A31" s="1"/>
      <c r="B31" s="1"/>
      <c r="C31" s="1"/>
      <c r="D31" s="1"/>
      <c r="E31" s="1"/>
      <c r="F31" s="1"/>
      <c r="G31" s="1"/>
      <c r="H31" s="1"/>
    </row>
    <row r="32" spans="1:8" x14ac:dyDescent="0.2">
      <c r="A32" s="1"/>
      <c r="B32" s="1"/>
      <c r="C32" s="1"/>
      <c r="D32" s="1"/>
      <c r="E32" s="1"/>
      <c r="F32" s="1"/>
      <c r="G32" s="1"/>
      <c r="H32" s="1"/>
    </row>
    <row r="33" spans="1:8" x14ac:dyDescent="0.2">
      <c r="A33" s="1"/>
      <c r="B33" s="1"/>
      <c r="C33" s="1"/>
      <c r="D33" s="1"/>
      <c r="E33" s="1"/>
      <c r="F33" s="1"/>
      <c r="G33" s="1"/>
      <c r="H33" s="1"/>
    </row>
    <row r="34" spans="1:8" x14ac:dyDescent="0.2">
      <c r="A34" s="1"/>
      <c r="B34" s="1"/>
      <c r="C34" s="1"/>
      <c r="D34" s="1"/>
      <c r="E34" s="1"/>
      <c r="F34" s="1"/>
      <c r="G34" s="1"/>
      <c r="H34" s="1"/>
    </row>
    <row r="35" spans="1:8" x14ac:dyDescent="0.2">
      <c r="A35" s="1"/>
      <c r="B35" s="1"/>
      <c r="C35" s="1"/>
      <c r="D35" s="1"/>
      <c r="E35" s="1"/>
      <c r="F35" s="1"/>
      <c r="G35" s="1"/>
      <c r="H35" s="1"/>
    </row>
    <row r="36" spans="1:8" x14ac:dyDescent="0.2">
      <c r="A36" s="1"/>
      <c r="B36" s="1"/>
      <c r="C36" s="1"/>
      <c r="D36" s="1"/>
      <c r="E36" s="1"/>
      <c r="F36" s="1"/>
      <c r="G36" s="1"/>
      <c r="H36" s="1"/>
    </row>
    <row r="37" spans="1:8" x14ac:dyDescent="0.2">
      <c r="A37" s="1"/>
      <c r="B37" s="1"/>
      <c r="C37" s="1"/>
      <c r="D37" s="1"/>
      <c r="E37" s="1"/>
      <c r="F37" s="1"/>
      <c r="G37" s="1"/>
      <c r="H37" s="1"/>
    </row>
    <row r="38" spans="1:8" x14ac:dyDescent="0.2">
      <c r="A38" s="1"/>
      <c r="B38" s="1"/>
      <c r="C38" s="1"/>
      <c r="D38" s="1"/>
      <c r="E38" s="1"/>
      <c r="F38" s="1"/>
      <c r="G38" s="1"/>
      <c r="H38" s="1"/>
    </row>
    <row r="39" spans="1:8" x14ac:dyDescent="0.2">
      <c r="A39" s="1"/>
      <c r="B39" s="1"/>
      <c r="C39" s="1"/>
      <c r="D39" s="1"/>
      <c r="E39" s="1"/>
      <c r="F39" s="1"/>
      <c r="G39" s="1"/>
      <c r="H39" s="1"/>
    </row>
    <row r="40" spans="1:8" x14ac:dyDescent="0.2">
      <c r="A40" s="1"/>
      <c r="B40" s="1"/>
      <c r="C40" s="1"/>
      <c r="D40" s="1"/>
      <c r="E40" s="1"/>
      <c r="F40" s="1"/>
      <c r="G40" s="1"/>
      <c r="H40" s="1"/>
    </row>
    <row r="41" spans="1:8" x14ac:dyDescent="0.2">
      <c r="A41" s="1"/>
      <c r="B41" s="1"/>
      <c r="C41" s="1"/>
      <c r="D41" s="1"/>
      <c r="E41" s="1"/>
      <c r="F41" s="1"/>
      <c r="G41" s="1"/>
      <c r="H41" s="1"/>
    </row>
    <row r="42" spans="1:8" x14ac:dyDescent="0.2">
      <c r="A42" s="1"/>
      <c r="B42" s="1"/>
      <c r="C42" s="1"/>
      <c r="D42" s="1"/>
      <c r="E42" s="1"/>
      <c r="F42" s="1"/>
      <c r="G42" s="1"/>
      <c r="H42" s="1"/>
    </row>
    <row r="43" spans="1:8" x14ac:dyDescent="0.2">
      <c r="A43" s="1"/>
      <c r="B43" s="1"/>
      <c r="C43" s="1"/>
      <c r="D43" s="1"/>
      <c r="E43" s="1"/>
      <c r="F43" s="1"/>
      <c r="G43" s="1"/>
      <c r="H43" s="1"/>
    </row>
    <row r="44" spans="1:8" x14ac:dyDescent="0.2">
      <c r="A44" s="1"/>
      <c r="B44" s="1"/>
      <c r="C44" s="1"/>
      <c r="D44" s="1"/>
      <c r="E44" s="1"/>
      <c r="F44" s="1"/>
      <c r="G44" s="1"/>
      <c r="H44" s="1"/>
    </row>
    <row r="45" spans="1:8" x14ac:dyDescent="0.2">
      <c r="A45" s="1"/>
      <c r="B45" s="1"/>
      <c r="C45" s="1"/>
      <c r="D45" s="1"/>
      <c r="E45" s="1"/>
      <c r="F45" s="1"/>
      <c r="G45" s="1"/>
      <c r="H45" s="1"/>
    </row>
    <row r="46" spans="1:8" x14ac:dyDescent="0.2">
      <c r="A46" s="1"/>
      <c r="B46" s="1"/>
      <c r="C46" s="1"/>
      <c r="D46" s="1"/>
      <c r="E46" s="1"/>
      <c r="F46" s="1"/>
      <c r="G46" s="1"/>
      <c r="H46" s="1"/>
    </row>
    <row r="47" spans="1:8" x14ac:dyDescent="0.2">
      <c r="A47" s="1"/>
      <c r="B47" s="1"/>
      <c r="C47" s="1"/>
      <c r="D47" s="1"/>
      <c r="E47" s="1"/>
      <c r="F47" s="1"/>
      <c r="G47" s="1"/>
      <c r="H47" s="1"/>
    </row>
    <row r="48" spans="1:8" x14ac:dyDescent="0.2">
      <c r="A48" s="1"/>
      <c r="B48" s="1"/>
      <c r="C48" s="1"/>
      <c r="D48" s="1"/>
      <c r="E48" s="1"/>
      <c r="F48" s="1"/>
      <c r="G48" s="1"/>
      <c r="H48" s="1"/>
    </row>
    <row r="49" spans="1:8" x14ac:dyDescent="0.2">
      <c r="A49" s="1"/>
      <c r="B49" s="1"/>
      <c r="C49" s="1"/>
      <c r="D49" s="1"/>
      <c r="E49" s="1"/>
      <c r="F49" s="1"/>
      <c r="G49" s="1"/>
      <c r="H49" s="1"/>
    </row>
    <row r="50" spans="1:8" x14ac:dyDescent="0.2">
      <c r="A50" s="1"/>
      <c r="B50" s="1"/>
      <c r="C50" s="1"/>
      <c r="D50" s="1"/>
      <c r="E50" s="1"/>
      <c r="F50" s="1"/>
      <c r="G50" s="1"/>
      <c r="H50" s="1"/>
    </row>
    <row r="51" spans="1:8" x14ac:dyDescent="0.2">
      <c r="A51" s="1"/>
      <c r="B51" s="1"/>
      <c r="C51" s="1"/>
      <c r="D51" s="1"/>
      <c r="E51" s="1"/>
      <c r="F51" s="1"/>
      <c r="G51" s="1"/>
      <c r="H51" s="1"/>
    </row>
    <row r="52" spans="1:8" x14ac:dyDescent="0.2">
      <c r="A52" s="1"/>
      <c r="B52" s="1"/>
      <c r="C52" s="1"/>
      <c r="D52" s="1"/>
      <c r="E52" s="1"/>
      <c r="F52" s="1"/>
      <c r="G52" s="1"/>
      <c r="H52" s="1"/>
    </row>
    <row r="53" spans="1:8" x14ac:dyDescent="0.2">
      <c r="A53" s="1"/>
      <c r="B53" s="1"/>
      <c r="C53" s="1"/>
      <c r="D53" s="1"/>
      <c r="E53" s="1"/>
      <c r="F53" s="1"/>
      <c r="G53" s="1"/>
      <c r="H53" s="1"/>
    </row>
    <row r="54" spans="1:8" x14ac:dyDescent="0.2">
      <c r="A54" s="1"/>
      <c r="B54" s="1"/>
      <c r="C54" s="1"/>
      <c r="D54" s="1"/>
      <c r="E54" s="1"/>
      <c r="F54" s="1"/>
      <c r="G54" s="1"/>
      <c r="H54" s="1"/>
    </row>
    <row r="55" spans="1:8" x14ac:dyDescent="0.2">
      <c r="A55" s="1"/>
      <c r="B55" s="1"/>
      <c r="C55" s="1"/>
      <c r="D55" s="1"/>
      <c r="E55" s="1"/>
      <c r="F55" s="1"/>
      <c r="G55" s="1"/>
      <c r="H55" s="1"/>
    </row>
    <row r="56" spans="1:8" x14ac:dyDescent="0.2">
      <c r="A56" s="1"/>
      <c r="B56" s="1"/>
      <c r="C56" s="1"/>
      <c r="D56" s="1"/>
      <c r="E56" s="1"/>
      <c r="F56" s="1"/>
      <c r="G56" s="1"/>
      <c r="H56" s="1"/>
    </row>
    <row r="57" spans="1:8" x14ac:dyDescent="0.2">
      <c r="A57" s="1"/>
      <c r="B57" s="1"/>
      <c r="C57" s="1"/>
      <c r="D57" s="1"/>
      <c r="E57" s="1"/>
      <c r="F57" s="1"/>
      <c r="G57" s="1"/>
      <c r="H57" s="1"/>
    </row>
    <row r="58" spans="1:8" x14ac:dyDescent="0.2">
      <c r="A58" s="1"/>
      <c r="B58" s="1"/>
      <c r="C58" s="1"/>
      <c r="D58" s="1"/>
      <c r="E58" s="1"/>
      <c r="F58" s="1"/>
      <c r="G58" s="1"/>
      <c r="H58" s="1"/>
    </row>
    <row r="59" spans="1:8" x14ac:dyDescent="0.2">
      <c r="A59" s="1"/>
      <c r="B59" s="1"/>
      <c r="C59" s="1"/>
      <c r="D59" s="1"/>
      <c r="E59" s="1"/>
      <c r="F59" s="1"/>
      <c r="G59" s="1"/>
      <c r="H59" s="1"/>
    </row>
    <row r="60" spans="1:8" x14ac:dyDescent="0.2">
      <c r="A60" s="1"/>
      <c r="B60" s="1"/>
      <c r="C60" s="1"/>
      <c r="D60" s="1"/>
      <c r="E60" s="1"/>
      <c r="F60" s="1"/>
      <c r="G60" s="1"/>
      <c r="H60" s="1"/>
    </row>
    <row r="61" spans="1:8" x14ac:dyDescent="0.2">
      <c r="A61" s="1"/>
      <c r="B61" s="1"/>
      <c r="C61" s="1"/>
      <c r="D61" s="1"/>
      <c r="E61" s="1"/>
      <c r="F61" s="1"/>
      <c r="G61" s="1"/>
      <c r="H61" s="1"/>
    </row>
    <row r="62" spans="1:8" x14ac:dyDescent="0.2">
      <c r="A62" s="1"/>
      <c r="B62" s="1"/>
      <c r="C62" s="1"/>
      <c r="D62" s="1"/>
      <c r="E62" s="1"/>
      <c r="F62" s="1"/>
      <c r="G62" s="1"/>
      <c r="H62" s="1"/>
    </row>
    <row r="63" spans="1:8" x14ac:dyDescent="0.2">
      <c r="A63" s="1"/>
      <c r="B63" s="1"/>
      <c r="C63" s="1"/>
      <c r="D63" s="1"/>
      <c r="E63" s="1"/>
      <c r="F63" s="1"/>
      <c r="G63" s="1"/>
      <c r="H63" s="1"/>
    </row>
    <row r="64" spans="1:8" x14ac:dyDescent="0.2">
      <c r="A64" s="1"/>
      <c r="B64" s="1"/>
      <c r="C64" s="1"/>
      <c r="D64" s="1"/>
      <c r="E64" s="1"/>
      <c r="F64" s="1"/>
      <c r="G64" s="1"/>
      <c r="H64" s="1"/>
    </row>
    <row r="65" spans="1:8" x14ac:dyDescent="0.2">
      <c r="A65" s="1"/>
      <c r="B65" s="1"/>
      <c r="C65" s="1"/>
      <c r="D65" s="1"/>
      <c r="E65" s="1"/>
      <c r="F65" s="1"/>
      <c r="G65" s="1"/>
      <c r="H65" s="1"/>
    </row>
    <row r="66" spans="1:8" x14ac:dyDescent="0.2">
      <c r="A66" s="1"/>
      <c r="B66" s="1"/>
      <c r="C66" s="1"/>
      <c r="D66" s="1"/>
      <c r="E66" s="1"/>
      <c r="F66" s="1"/>
      <c r="G66" s="1"/>
      <c r="H66" s="1"/>
    </row>
    <row r="67" spans="1:8" x14ac:dyDescent="0.2">
      <c r="A67" s="1"/>
      <c r="B67" s="1"/>
      <c r="C67" s="1"/>
      <c r="D67" s="1"/>
      <c r="E67" s="1"/>
      <c r="F67" s="1"/>
      <c r="G67" s="1"/>
      <c r="H67" s="1"/>
    </row>
    <row r="68" spans="1:8" x14ac:dyDescent="0.2">
      <c r="A68" s="1"/>
      <c r="B68" s="1"/>
      <c r="C68" s="1"/>
      <c r="D68" s="1"/>
      <c r="E68" s="1"/>
      <c r="F68" s="1"/>
      <c r="G68" s="1"/>
      <c r="H68" s="1"/>
    </row>
    <row r="69" spans="1:8" x14ac:dyDescent="0.2">
      <c r="A69" s="1"/>
      <c r="B69" s="1"/>
      <c r="C69" s="1"/>
      <c r="D69" s="1"/>
      <c r="E69" s="1"/>
      <c r="F69" s="1"/>
      <c r="G69" s="1"/>
      <c r="H69" s="1"/>
    </row>
    <row r="70" spans="1:8" x14ac:dyDescent="0.2">
      <c r="A70" s="1"/>
      <c r="B70" s="1"/>
      <c r="C70" s="1"/>
      <c r="D70" s="1"/>
      <c r="E70" s="1"/>
      <c r="F70" s="1"/>
      <c r="G70" s="1"/>
      <c r="H70" s="1"/>
    </row>
    <row r="71" spans="1:8" x14ac:dyDescent="0.2">
      <c r="A71" s="1"/>
      <c r="B71" s="1"/>
      <c r="C71" s="1"/>
      <c r="D71" s="1"/>
      <c r="E71" s="1"/>
      <c r="F71" s="1"/>
      <c r="G71" s="1"/>
      <c r="H71" s="1"/>
    </row>
    <row r="72" spans="1:8" x14ac:dyDescent="0.2">
      <c r="A72" s="1"/>
      <c r="B72" s="1"/>
      <c r="C72" s="1"/>
      <c r="D72" s="1"/>
      <c r="E72" s="1"/>
      <c r="F72" s="1"/>
      <c r="G72" s="1"/>
      <c r="H72" s="1"/>
    </row>
    <row r="73" spans="1:8" x14ac:dyDescent="0.2">
      <c r="A73" s="1"/>
      <c r="B73" s="1"/>
      <c r="C73" s="1"/>
      <c r="D73" s="1"/>
      <c r="E73" s="1"/>
      <c r="F73" s="1"/>
      <c r="G73" s="1"/>
      <c r="H73" s="1"/>
    </row>
    <row r="74" spans="1:8" x14ac:dyDescent="0.2">
      <c r="A74" s="11" t="s">
        <v>1</v>
      </c>
      <c r="B74" s="12"/>
      <c r="C74" s="12"/>
      <c r="D74" s="13"/>
      <c r="E74" s="8"/>
      <c r="F74" s="8"/>
      <c r="G74" s="8"/>
      <c r="H74" s="8"/>
    </row>
    <row r="75" spans="1:8" x14ac:dyDescent="0.2">
      <c r="A75" s="14" t="s">
        <v>15</v>
      </c>
      <c r="B75" s="15"/>
      <c r="C75" s="15"/>
      <c r="D75" s="16"/>
      <c r="E75" s="8"/>
      <c r="F75" s="8"/>
      <c r="G75" s="8"/>
      <c r="H75" s="8"/>
    </row>
    <row r="76" spans="1:8" x14ac:dyDescent="0.2">
      <c r="A76" s="17" t="s">
        <v>62</v>
      </c>
      <c r="B76" s="18"/>
      <c r="C76" s="18"/>
      <c r="D76" s="19"/>
      <c r="E76" s="8"/>
      <c r="F76" s="8"/>
      <c r="G76" s="8"/>
      <c r="H76" s="8"/>
    </row>
    <row r="77" spans="1:8" x14ac:dyDescent="0.2">
      <c r="A77" s="20"/>
      <c r="B77" s="21"/>
      <c r="C77" s="22"/>
      <c r="D77" s="23"/>
      <c r="E77" s="8"/>
      <c r="F77" s="8" t="s">
        <v>34</v>
      </c>
      <c r="G77" s="8"/>
      <c r="H77" s="8"/>
    </row>
    <row r="78" spans="1:8" ht="15.75" x14ac:dyDescent="0.25">
      <c r="A78" s="24" t="s">
        <v>2</v>
      </c>
      <c r="B78" s="25" t="str">
        <f>[1]Charters!B81</f>
        <v>Bear River Charter School</v>
      </c>
      <c r="C78" s="26"/>
      <c r="D78" s="27"/>
      <c r="E78" s="8"/>
      <c r="F78" s="8"/>
      <c r="G78" s="8"/>
      <c r="H78" s="8"/>
    </row>
    <row r="79" spans="1:8" x14ac:dyDescent="0.2">
      <c r="A79" s="24"/>
      <c r="B79" s="28"/>
      <c r="C79" s="26"/>
      <c r="D79" s="27"/>
      <c r="E79" s="8"/>
      <c r="F79" s="8"/>
      <c r="G79" s="8"/>
      <c r="H79" s="8"/>
    </row>
    <row r="80" spans="1:8" x14ac:dyDescent="0.2">
      <c r="A80" s="29" t="s">
        <v>0</v>
      </c>
      <c r="B80" s="30">
        <f>[1]Charters!$E$6</f>
        <v>3184</v>
      </c>
      <c r="C80" s="26"/>
      <c r="D80" s="31"/>
      <c r="E80" s="8"/>
      <c r="F80" s="8"/>
      <c r="G80" s="8"/>
      <c r="H80" s="8"/>
    </row>
    <row r="81" spans="1:8" x14ac:dyDescent="0.2">
      <c r="A81" s="32"/>
      <c r="B81" s="6"/>
      <c r="C81" s="33"/>
      <c r="D81" s="34" t="s">
        <v>3</v>
      </c>
      <c r="E81" s="8"/>
      <c r="F81" s="8"/>
      <c r="G81" s="8"/>
      <c r="H81" s="8"/>
    </row>
    <row r="82" spans="1:8" x14ac:dyDescent="0.2">
      <c r="A82" s="29" t="s">
        <v>19</v>
      </c>
      <c r="B82" s="35" t="str">
        <f>[1]Charters!A81</f>
        <v>3G</v>
      </c>
      <c r="C82" s="36" t="s">
        <v>4</v>
      </c>
      <c r="D82" s="37" t="s">
        <v>5</v>
      </c>
      <c r="E82" s="8"/>
      <c r="F82" s="8"/>
      <c r="G82" s="8"/>
      <c r="H82" s="8"/>
    </row>
    <row r="83" spans="1:8" x14ac:dyDescent="0.2">
      <c r="A83" s="38" t="s">
        <v>6</v>
      </c>
      <c r="B83" s="39"/>
      <c r="C83" s="40"/>
      <c r="D83" s="41"/>
      <c r="E83" s="8"/>
      <c r="F83" s="8"/>
      <c r="G83" s="8"/>
      <c r="H83" s="8"/>
    </row>
    <row r="84" spans="1:8" x14ac:dyDescent="0.2">
      <c r="A84" s="38" t="s">
        <v>7</v>
      </c>
      <c r="B84" s="39"/>
      <c r="C84" s="40"/>
      <c r="D84" s="41"/>
      <c r="E84" s="8"/>
      <c r="F84" s="42" t="s">
        <v>23</v>
      </c>
      <c r="G84" s="8"/>
      <c r="H84" s="42" t="s">
        <v>26</v>
      </c>
    </row>
    <row r="85" spans="1:8" x14ac:dyDescent="0.2">
      <c r="A85" s="20" t="s">
        <v>8</v>
      </c>
      <c r="B85" s="43"/>
      <c r="C85" s="44">
        <f>[1]Charters!C541</f>
        <v>145.91200000000001</v>
      </c>
      <c r="D85" s="45">
        <f>[1]Charters!E541</f>
        <v>464585.04</v>
      </c>
      <c r="E85" s="8"/>
      <c r="F85" s="42">
        <f>[1]Charters!E696</f>
        <v>488613.38</v>
      </c>
      <c r="G85" s="8"/>
      <c r="H85" s="42">
        <f>[2]Charters!E235</f>
        <v>660715.93999999994</v>
      </c>
    </row>
    <row r="86" spans="1:8" x14ac:dyDescent="0.2">
      <c r="A86" s="20" t="s">
        <v>14</v>
      </c>
      <c r="B86" s="43"/>
      <c r="C86" s="44">
        <f>[1]Charters!F541</f>
        <v>7.5469999999999997</v>
      </c>
      <c r="D86" s="45">
        <f>[1]Charters!H541</f>
        <v>24028.34</v>
      </c>
      <c r="E86" s="8"/>
      <c r="F86" s="42">
        <f>SUM(D85:D87)</f>
        <v>488613.38</v>
      </c>
      <c r="G86" s="8"/>
      <c r="H86" s="42">
        <f>D98</f>
        <v>660715.93999999994</v>
      </c>
    </row>
    <row r="87" spans="1:8" x14ac:dyDescent="0.2">
      <c r="A87" s="20" t="s">
        <v>32</v>
      </c>
      <c r="B87" s="43"/>
      <c r="C87" s="44">
        <f>[1]Charters!C234</f>
        <v>0</v>
      </c>
      <c r="D87" s="45">
        <f>[1]Charters!E234</f>
        <v>0</v>
      </c>
      <c r="E87" s="8"/>
      <c r="F87" s="42">
        <f>+F85-F86</f>
        <v>0</v>
      </c>
      <c r="G87" s="8"/>
      <c r="H87" s="42">
        <f>+H85-H86</f>
        <v>0</v>
      </c>
    </row>
    <row r="88" spans="1:8" x14ac:dyDescent="0.2">
      <c r="A88" s="38" t="s">
        <v>9</v>
      </c>
      <c r="B88" s="39"/>
      <c r="C88" s="46"/>
      <c r="D88" s="47"/>
      <c r="E88" s="8"/>
      <c r="F88" s="8"/>
      <c r="G88" s="8"/>
      <c r="H88" s="8"/>
    </row>
    <row r="89" spans="1:8" x14ac:dyDescent="0.2">
      <c r="A89" s="20" t="s">
        <v>10</v>
      </c>
      <c r="B89" s="43"/>
      <c r="C89" s="40">
        <f>[3]Charters!C80</f>
        <v>26.405000000000001</v>
      </c>
      <c r="D89" s="41">
        <f>[3]Charters!E80</f>
        <v>84073.54</v>
      </c>
      <c r="E89" s="8"/>
      <c r="F89" s="42" t="s">
        <v>24</v>
      </c>
      <c r="G89" s="8"/>
      <c r="H89" s="8"/>
    </row>
    <row r="90" spans="1:8" x14ac:dyDescent="0.2">
      <c r="A90" s="48" t="s">
        <v>11</v>
      </c>
      <c r="B90" s="43"/>
      <c r="C90" s="40">
        <f>[3]Charters!F80</f>
        <v>3.98</v>
      </c>
      <c r="D90" s="49">
        <f>[3]Charters!H80</f>
        <v>12672.32</v>
      </c>
      <c r="E90" s="8"/>
      <c r="F90" s="42">
        <f>[3]Charters!N392</f>
        <v>100804.94</v>
      </c>
      <c r="G90" s="8"/>
      <c r="H90" s="8"/>
    </row>
    <row r="91" spans="1:8" x14ac:dyDescent="0.2">
      <c r="A91" s="48" t="s">
        <v>12</v>
      </c>
      <c r="B91" s="43"/>
      <c r="C91" s="40">
        <f>[3]Charters!C235</f>
        <v>0</v>
      </c>
      <c r="D91" s="41">
        <f>[3]Charters!E235</f>
        <v>0</v>
      </c>
      <c r="E91" s="8"/>
      <c r="F91" s="42">
        <f>SUM(D89:D95)</f>
        <v>100804.94</v>
      </c>
      <c r="G91" s="8"/>
      <c r="H91" s="8"/>
    </row>
    <row r="92" spans="1:8" x14ac:dyDescent="0.2">
      <c r="A92" s="20" t="s">
        <v>13</v>
      </c>
      <c r="B92" s="43"/>
      <c r="C92" s="40">
        <f>[3]Charters!F235</f>
        <v>0.70899999999999996</v>
      </c>
      <c r="D92" s="41">
        <f>[3]Charters!H235</f>
        <v>2259</v>
      </c>
      <c r="E92" s="8"/>
      <c r="F92" s="42">
        <f>+F90-F91</f>
        <v>0</v>
      </c>
      <c r="G92" s="8"/>
      <c r="H92" s="8"/>
    </row>
    <row r="93" spans="1:8" x14ac:dyDescent="0.2">
      <c r="A93" s="48" t="s">
        <v>54</v>
      </c>
      <c r="B93" s="43"/>
      <c r="C93" s="40">
        <f>[3]Charters!C392</f>
        <v>0.56499999999999995</v>
      </c>
      <c r="D93" s="41">
        <f>[3]Charters!E392</f>
        <v>1800.08</v>
      </c>
      <c r="E93" s="8"/>
      <c r="F93" s="8"/>
      <c r="G93" s="8"/>
      <c r="H93" s="8"/>
    </row>
    <row r="94" spans="1:8" x14ac:dyDescent="0.2">
      <c r="A94" s="48" t="s">
        <v>55</v>
      </c>
      <c r="B94" s="43"/>
      <c r="C94" s="40">
        <f>[3]Charters!F392</f>
        <v>0</v>
      </c>
      <c r="D94" s="41">
        <f>[3]Charters!H392</f>
        <v>0</v>
      </c>
      <c r="E94" s="8"/>
      <c r="F94" s="42" t="s">
        <v>25</v>
      </c>
      <c r="G94" s="8"/>
      <c r="H94" s="8"/>
    </row>
    <row r="95" spans="1:8" x14ac:dyDescent="0.2">
      <c r="A95" s="48" t="s">
        <v>56</v>
      </c>
      <c r="B95" s="43"/>
      <c r="C95" s="40">
        <f>[3]Charters!I392</f>
        <v>0</v>
      </c>
      <c r="D95" s="41">
        <f>[3]Charters!K392</f>
        <v>0</v>
      </c>
      <c r="E95" s="8"/>
      <c r="F95" s="42">
        <f>[2]Charters!H81</f>
        <v>172102.56</v>
      </c>
      <c r="G95" s="8"/>
      <c r="H95" s="8"/>
    </row>
    <row r="96" spans="1:8" x14ac:dyDescent="0.2">
      <c r="A96" s="20" t="s">
        <v>49</v>
      </c>
      <c r="B96" s="43"/>
      <c r="C96" s="40">
        <f>[3]Charters!C548</f>
        <v>7.593</v>
      </c>
      <c r="D96" s="41">
        <f>[3]Charters!E548</f>
        <v>24176.76</v>
      </c>
      <c r="E96" s="8"/>
      <c r="F96" s="42">
        <f>SUM(D89:D97)</f>
        <v>172102.56</v>
      </c>
      <c r="G96" s="8"/>
      <c r="H96" s="8"/>
    </row>
    <row r="97" spans="1:8" x14ac:dyDescent="0.2">
      <c r="A97" s="20" t="s">
        <v>50</v>
      </c>
      <c r="B97" s="43"/>
      <c r="C97" s="40">
        <f>[2]Charters!C81</f>
        <v>14.798999999999999</v>
      </c>
      <c r="D97" s="41">
        <f>[2]Charters!E81</f>
        <v>47120.86</v>
      </c>
      <c r="E97" s="8"/>
      <c r="F97" s="42">
        <f>+F95-F96</f>
        <v>0</v>
      </c>
      <c r="G97" s="8"/>
      <c r="H97" s="8"/>
    </row>
    <row r="98" spans="1:8" x14ac:dyDescent="0.2">
      <c r="A98" s="50"/>
      <c r="B98" s="51" t="s">
        <v>16</v>
      </c>
      <c r="C98" s="52">
        <f>SUM(C85:C97)</f>
        <v>207.51</v>
      </c>
      <c r="D98" s="53">
        <f>SUM(D85:D97)</f>
        <v>660715.93999999994</v>
      </c>
      <c r="E98" s="8"/>
      <c r="F98" s="8"/>
      <c r="G98" s="8"/>
      <c r="H98" s="8"/>
    </row>
    <row r="99" spans="1:8" x14ac:dyDescent="0.2">
      <c r="A99" s="54" t="s">
        <v>17</v>
      </c>
      <c r="B99" s="39"/>
      <c r="C99" s="55"/>
      <c r="D99" s="47"/>
      <c r="E99" s="8"/>
      <c r="F99" s="8"/>
      <c r="G99" s="8"/>
      <c r="H99" s="42" t="s">
        <v>29</v>
      </c>
    </row>
    <row r="100" spans="1:8" x14ac:dyDescent="0.2">
      <c r="A100" s="20" t="s">
        <v>33</v>
      </c>
      <c r="B100" s="43"/>
      <c r="C100" s="56"/>
      <c r="D100" s="57">
        <f>[4]Charters!C81</f>
        <v>1915.06</v>
      </c>
      <c r="E100" s="8"/>
      <c r="F100" s="8"/>
      <c r="G100" s="8"/>
      <c r="H100" s="42">
        <f>[4]Charters!F1021</f>
        <v>1161569.98</v>
      </c>
    </row>
    <row r="101" spans="1:8" x14ac:dyDescent="0.2">
      <c r="A101" s="58" t="s">
        <v>35</v>
      </c>
      <c r="B101" s="43"/>
      <c r="C101" s="56"/>
      <c r="D101" s="41">
        <f>+[4]Charters!F402</f>
        <v>702.27</v>
      </c>
      <c r="E101" s="8"/>
      <c r="F101" s="8"/>
      <c r="G101" s="8"/>
      <c r="H101" s="42">
        <f>SUM(D98:D117)</f>
        <v>1161569.98</v>
      </c>
    </row>
    <row r="102" spans="1:8" x14ac:dyDescent="0.2">
      <c r="A102" s="59" t="s">
        <v>36</v>
      </c>
      <c r="B102" s="43"/>
      <c r="C102" s="56"/>
      <c r="D102" s="41">
        <f>[4]Charters!E241</f>
        <v>10714</v>
      </c>
      <c r="E102" s="8"/>
      <c r="F102" s="8"/>
      <c r="G102" s="8"/>
      <c r="H102" s="42">
        <f>+H100-H101</f>
        <v>0</v>
      </c>
    </row>
    <row r="103" spans="1:8" x14ac:dyDescent="0.2">
      <c r="A103" s="59" t="s">
        <v>52</v>
      </c>
      <c r="B103" s="43"/>
      <c r="C103" s="56"/>
      <c r="D103" s="41">
        <f>[4]Charters!G402</f>
        <v>0</v>
      </c>
      <c r="E103" s="8"/>
      <c r="F103" s="42" t="s">
        <v>27</v>
      </c>
      <c r="G103" s="8"/>
      <c r="H103" s="42"/>
    </row>
    <row r="104" spans="1:8" x14ac:dyDescent="0.2">
      <c r="A104" s="20" t="s">
        <v>37</v>
      </c>
      <c r="B104" s="43"/>
      <c r="C104" s="56"/>
      <c r="D104" s="41">
        <f>[4]Charters!E558</f>
        <v>20996</v>
      </c>
      <c r="E104" s="8"/>
      <c r="F104" s="42">
        <f>[4]Charters!E241</f>
        <v>10714</v>
      </c>
      <c r="G104" s="8"/>
      <c r="H104" s="8"/>
    </row>
    <row r="105" spans="1:8" x14ac:dyDescent="0.2">
      <c r="A105" s="20" t="s">
        <v>38</v>
      </c>
      <c r="B105" s="43"/>
      <c r="C105" s="56"/>
      <c r="D105" s="41">
        <f>[4]Charters!F558</f>
        <v>0</v>
      </c>
      <c r="E105" s="8"/>
      <c r="F105" s="42">
        <f>SUM(D102:D102)</f>
        <v>10714</v>
      </c>
      <c r="G105" s="8"/>
      <c r="H105" s="8"/>
    </row>
    <row r="106" spans="1:8" x14ac:dyDescent="0.2">
      <c r="A106" s="59" t="s">
        <v>40</v>
      </c>
      <c r="B106" s="43"/>
      <c r="C106" s="56"/>
      <c r="D106" s="41">
        <f>[4]Charters!G558</f>
        <v>21778</v>
      </c>
      <c r="E106" s="8"/>
      <c r="F106" s="42">
        <f>+F104-F105</f>
        <v>0</v>
      </c>
      <c r="G106" s="8"/>
      <c r="H106" s="8"/>
    </row>
    <row r="107" spans="1:8" x14ac:dyDescent="0.2">
      <c r="A107" s="20" t="s">
        <v>41</v>
      </c>
      <c r="B107" s="43"/>
      <c r="C107" s="56"/>
      <c r="D107" s="41">
        <f>[4]Charters!C712</f>
        <v>336168</v>
      </c>
      <c r="E107" s="8"/>
      <c r="F107" s="42" t="s">
        <v>28</v>
      </c>
      <c r="G107" s="8"/>
      <c r="H107" s="8"/>
    </row>
    <row r="108" spans="1:8" x14ac:dyDescent="0.2">
      <c r="A108" s="20" t="s">
        <v>42</v>
      </c>
      <c r="B108" s="43"/>
      <c r="C108" s="56"/>
      <c r="D108" s="41">
        <f>[4]Charters!D712</f>
        <v>64768.06</v>
      </c>
      <c r="E108" s="8"/>
      <c r="F108" s="42">
        <f>[4]Charters!D558</f>
        <v>11416.27</v>
      </c>
      <c r="G108" s="8"/>
      <c r="H108" s="8"/>
    </row>
    <row r="109" spans="1:8" x14ac:dyDescent="0.2">
      <c r="A109" s="20" t="s">
        <v>44</v>
      </c>
      <c r="B109" s="43"/>
      <c r="C109" s="56"/>
      <c r="D109" s="41">
        <f>[4]Charters!E712</f>
        <v>16800</v>
      </c>
      <c r="E109" s="8"/>
      <c r="F109" s="42">
        <f>SUM(D101:D103)</f>
        <v>11416.27</v>
      </c>
      <c r="G109" s="8"/>
      <c r="H109" s="8"/>
    </row>
    <row r="110" spans="1:8" x14ac:dyDescent="0.2">
      <c r="A110" s="59" t="s">
        <v>43</v>
      </c>
      <c r="B110" s="43"/>
      <c r="C110" s="56"/>
      <c r="D110" s="41">
        <f>[4]Charters!F712</f>
        <v>5575.58</v>
      </c>
      <c r="E110" s="8"/>
      <c r="F110" s="42">
        <f>+F108-F109</f>
        <v>0</v>
      </c>
      <c r="G110" s="8"/>
      <c r="H110" s="8"/>
    </row>
    <row r="111" spans="1:8" x14ac:dyDescent="0.2">
      <c r="A111" s="59" t="s">
        <v>45</v>
      </c>
      <c r="B111" s="43"/>
      <c r="C111" s="56"/>
      <c r="D111" s="41">
        <f>[4]Charters!C558</f>
        <v>0</v>
      </c>
      <c r="E111" s="8"/>
      <c r="F111" s="8"/>
      <c r="G111" s="8"/>
      <c r="H111" s="8"/>
    </row>
    <row r="112" spans="1:8" x14ac:dyDescent="0.2">
      <c r="A112" s="59" t="s">
        <v>46</v>
      </c>
      <c r="B112" s="43"/>
      <c r="C112" s="56"/>
      <c r="D112" s="41">
        <f>[4]Charters!C868</f>
        <v>0</v>
      </c>
      <c r="E112" s="42"/>
      <c r="F112" s="42"/>
      <c r="G112" s="42"/>
      <c r="H112" s="42" t="s">
        <v>31</v>
      </c>
    </row>
    <row r="113" spans="1:8" x14ac:dyDescent="0.2">
      <c r="A113" s="59" t="s">
        <v>51</v>
      </c>
      <c r="B113" s="43"/>
      <c r="C113" s="56"/>
      <c r="D113" s="60">
        <f>[4]Charters!D868</f>
        <v>389.07</v>
      </c>
      <c r="E113" s="42"/>
      <c r="F113" s="42"/>
      <c r="G113" s="42"/>
      <c r="H113" s="42">
        <f>[4]Charters!D1327</f>
        <v>1163859.05</v>
      </c>
    </row>
    <row r="114" spans="1:8" x14ac:dyDescent="0.2">
      <c r="A114" s="20" t="s">
        <v>47</v>
      </c>
      <c r="B114" s="43"/>
      <c r="C114" s="56"/>
      <c r="D114" s="60">
        <f>[4]Charters!E868</f>
        <v>21048</v>
      </c>
      <c r="E114" s="42"/>
      <c r="F114" s="42"/>
      <c r="G114" s="42"/>
      <c r="H114" s="42">
        <f>D123</f>
        <v>1163859.05</v>
      </c>
    </row>
    <row r="115" spans="1:8" x14ac:dyDescent="0.2">
      <c r="A115" s="20" t="s">
        <v>57</v>
      </c>
      <c r="B115" s="43"/>
      <c r="C115" s="56"/>
      <c r="D115" s="60">
        <f>[4]Charters!C1021</f>
        <v>0</v>
      </c>
      <c r="E115" s="42"/>
      <c r="F115" s="42"/>
      <c r="G115" s="42"/>
      <c r="H115" s="42">
        <f>+H113-H114</f>
        <v>0</v>
      </c>
    </row>
    <row r="116" spans="1:8" x14ac:dyDescent="0.2">
      <c r="A116" s="59" t="s">
        <v>53</v>
      </c>
      <c r="B116" s="43"/>
      <c r="C116" s="56"/>
      <c r="D116" s="60">
        <f>[4]Charters!D1021</f>
        <v>0</v>
      </c>
      <c r="E116" s="42"/>
      <c r="F116" s="42" t="s">
        <v>30</v>
      </c>
      <c r="G116" s="42"/>
      <c r="H116" s="42"/>
    </row>
    <row r="117" spans="1:8" x14ac:dyDescent="0.2">
      <c r="A117" s="59" t="s">
        <v>59</v>
      </c>
      <c r="B117" s="43"/>
      <c r="C117" s="56"/>
      <c r="D117" s="60">
        <f>[4]Charters!E1021</f>
        <v>0</v>
      </c>
      <c r="E117" s="42"/>
      <c r="F117" s="42"/>
      <c r="G117" s="42"/>
      <c r="H117" s="42"/>
    </row>
    <row r="118" spans="1:8" x14ac:dyDescent="0.2">
      <c r="A118" s="38" t="s">
        <v>18</v>
      </c>
      <c r="B118" s="61"/>
      <c r="C118" s="62"/>
      <c r="D118" s="87"/>
      <c r="E118" s="42"/>
      <c r="F118" s="42">
        <f>[4]Charters!C1327</f>
        <v>2289.0700000000002</v>
      </c>
      <c r="G118" s="42"/>
      <c r="H118" s="42"/>
    </row>
    <row r="119" spans="1:8" x14ac:dyDescent="0.2">
      <c r="A119" s="59" t="s">
        <v>39</v>
      </c>
      <c r="B119" s="43"/>
      <c r="C119" s="56"/>
      <c r="D119" s="41">
        <f>[4]Charters!C1174</f>
        <v>2289.0700000000002</v>
      </c>
      <c r="E119" s="42"/>
      <c r="F119" s="42">
        <f>SUM(D119:D122)</f>
        <v>2289.0700000000002</v>
      </c>
      <c r="G119" s="42"/>
      <c r="H119" s="42"/>
    </row>
    <row r="120" spans="1:8" x14ac:dyDescent="0.2">
      <c r="A120" s="59" t="s">
        <v>48</v>
      </c>
      <c r="B120" s="43"/>
      <c r="C120" s="56"/>
      <c r="D120" s="41">
        <f>[4]Charters!D1174</f>
        <v>0</v>
      </c>
      <c r="E120" s="42"/>
      <c r="F120" s="42">
        <f>+F118-F119</f>
        <v>0</v>
      </c>
      <c r="G120" s="42"/>
      <c r="H120" s="42"/>
    </row>
    <row r="121" spans="1:8" x14ac:dyDescent="0.2">
      <c r="A121" s="59" t="s">
        <v>60</v>
      </c>
      <c r="B121" s="43"/>
      <c r="C121" s="56"/>
      <c r="D121" s="41">
        <f>[4]Charters!E1174</f>
        <v>0</v>
      </c>
      <c r="E121" s="42"/>
      <c r="F121" s="42"/>
      <c r="G121" s="42"/>
      <c r="H121" s="42"/>
    </row>
    <row r="122" spans="1:8" x14ac:dyDescent="0.2">
      <c r="A122" s="59" t="s">
        <v>61</v>
      </c>
      <c r="B122" s="43"/>
      <c r="C122" s="56"/>
      <c r="D122" s="41">
        <f>[4]Charters!F1174</f>
        <v>0</v>
      </c>
      <c r="E122" s="42"/>
      <c r="F122" s="42"/>
      <c r="G122" s="42"/>
      <c r="H122" s="42"/>
    </row>
    <row r="123" spans="1:8" ht="13.5" thickBot="1" x14ac:dyDescent="0.25">
      <c r="A123" s="64"/>
      <c r="B123" s="65"/>
      <c r="C123" s="66"/>
      <c r="D123" s="67">
        <f>SUM(D98:D122)</f>
        <v>1163859.05</v>
      </c>
      <c r="E123" s="42"/>
      <c r="F123" s="42"/>
      <c r="G123" s="42"/>
      <c r="H123" s="42"/>
    </row>
    <row r="124" spans="1:8" ht="13.5" thickTop="1" x14ac:dyDescent="0.2">
      <c r="A124" s="68"/>
      <c r="B124" s="43"/>
      <c r="C124" s="56"/>
      <c r="D124" s="86"/>
      <c r="E124" s="42"/>
      <c r="F124" s="42"/>
      <c r="G124" s="42"/>
      <c r="H124" s="42"/>
    </row>
    <row r="125" spans="1:8" x14ac:dyDescent="0.2">
      <c r="A125" s="38" t="s">
        <v>20</v>
      </c>
      <c r="B125" s="39"/>
      <c r="C125" s="70"/>
      <c r="D125" s="71" t="s">
        <v>21</v>
      </c>
      <c r="E125" s="42"/>
      <c r="F125" s="42"/>
      <c r="G125" s="42"/>
      <c r="H125" s="42"/>
    </row>
    <row r="126" spans="1:8" x14ac:dyDescent="0.2">
      <c r="A126" s="72" t="s">
        <v>22</v>
      </c>
      <c r="B126" s="73"/>
      <c r="C126" s="74"/>
      <c r="D126" s="41">
        <f>[5]Charters!C80</f>
        <v>470.68</v>
      </c>
      <c r="E126" s="42"/>
      <c r="F126" s="42"/>
      <c r="G126" s="42"/>
      <c r="H126" s="42"/>
    </row>
    <row r="127" spans="1:8" x14ac:dyDescent="0.2">
      <c r="A127" s="75"/>
      <c r="B127" s="61"/>
      <c r="C127" s="76"/>
      <c r="D127" s="77">
        <f>SUM(D126:D126)</f>
        <v>470.68</v>
      </c>
      <c r="E127" s="42"/>
      <c r="F127" s="42"/>
      <c r="G127" s="42"/>
      <c r="H127" s="42"/>
    </row>
    <row r="128" spans="1:8" x14ac:dyDescent="0.2">
      <c r="A128" s="78" t="s">
        <v>58</v>
      </c>
      <c r="B128" s="79"/>
      <c r="C128" s="80"/>
      <c r="D128" s="77">
        <f>D127+D123</f>
        <v>1164329.73</v>
      </c>
      <c r="E128" s="42"/>
      <c r="F128" s="42"/>
      <c r="G128" s="42"/>
      <c r="H128" s="42"/>
    </row>
    <row r="129" spans="1:8" x14ac:dyDescent="0.2">
      <c r="A129" s="84"/>
      <c r="B129" s="84"/>
      <c r="C129" s="85"/>
      <c r="D129" s="81"/>
      <c r="E129" s="42"/>
      <c r="F129" s="42"/>
      <c r="G129" s="42"/>
      <c r="H129" s="42"/>
    </row>
    <row r="130" spans="1:8" x14ac:dyDescent="0.2">
      <c r="A130" s="84"/>
      <c r="B130" s="84"/>
      <c r="C130" s="85"/>
      <c r="D130" s="81">
        <f>[5]Charters!E236</f>
        <v>1164329.73</v>
      </c>
      <c r="E130" s="42"/>
      <c r="F130" s="42"/>
      <c r="G130" s="42"/>
      <c r="H130" s="42"/>
    </row>
    <row r="131" spans="1:8" x14ac:dyDescent="0.2">
      <c r="A131" s="84"/>
      <c r="B131" s="84"/>
      <c r="C131" s="85"/>
      <c r="D131" s="81">
        <f>D128</f>
        <v>1164329.73</v>
      </c>
      <c r="E131" s="42"/>
      <c r="F131" s="42"/>
      <c r="G131" s="42"/>
      <c r="H131" s="42"/>
    </row>
    <row r="132" spans="1:8" x14ac:dyDescent="0.2">
      <c r="C132" s="83"/>
      <c r="D132" s="42">
        <f>D130-D131</f>
        <v>0</v>
      </c>
      <c r="E132" s="42"/>
      <c r="F132" s="42"/>
      <c r="G132" s="42"/>
      <c r="H132" s="42"/>
    </row>
  </sheetData>
  <mergeCells count="4">
    <mergeCell ref="A128:C128"/>
    <mergeCell ref="A75:D75"/>
    <mergeCell ref="A76:D76"/>
    <mergeCell ref="A74:D74"/>
  </mergeCells>
  <printOptions horizontalCentered="1" verticalCentered="1"/>
  <pageMargins left="0.5" right="0.5" top="0.5" bottom="0.5" header="0.25" footer="0.25"/>
  <pageSetup orientation="portrait" r:id="rId1"/>
  <headerFooter alignWithMargins="0">
    <oddHeader>&amp;R&amp;8Current as of: &amp;D</oddHeader>
    <oddFooter>&amp;L&amp;8USOE, School Finance</oddFooter>
  </headerFooter>
  <picture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sheetPr>
    <pageSetUpPr fitToPage="1"/>
  </sheetPr>
  <dimension ref="A1:H133"/>
  <sheetViews>
    <sheetView topLeftCell="A68" workbookViewId="0">
      <selection activeCell="C12" sqref="C12"/>
    </sheetView>
  </sheetViews>
  <sheetFormatPr defaultColWidth="9.140625" defaultRowHeight="12.75" x14ac:dyDescent="0.2"/>
  <cols>
    <col min="1" max="1" width="31.85546875" style="82" customWidth="1"/>
    <col min="2" max="2" width="16.140625" style="82" customWidth="1"/>
    <col min="3" max="4" width="14.85546875" style="82" customWidth="1"/>
    <col min="5" max="5" width="7" style="82" customWidth="1"/>
    <col min="6" max="6" width="19.7109375" style="82" customWidth="1"/>
    <col min="7" max="7" width="5.7109375" style="82" customWidth="1"/>
    <col min="8" max="8" width="18" style="82" customWidth="1"/>
    <col min="9" max="16384" width="9.140625" style="82"/>
  </cols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"/>
      <c r="B3" s="1"/>
      <c r="C3" s="1"/>
      <c r="D3" s="1"/>
      <c r="E3" s="1"/>
      <c r="F3" s="1"/>
      <c r="G3" s="1"/>
      <c r="H3" s="1"/>
    </row>
    <row r="4" spans="1:8" x14ac:dyDescent="0.2">
      <c r="A4" s="1"/>
      <c r="B4" s="1"/>
      <c r="C4" s="1"/>
      <c r="D4" s="1"/>
      <c r="E4" s="1"/>
      <c r="F4" s="1"/>
      <c r="G4" s="1"/>
      <c r="H4" s="1"/>
    </row>
    <row r="5" spans="1:8" x14ac:dyDescent="0.2">
      <c r="A5" s="1"/>
      <c r="B5" s="1"/>
      <c r="C5" s="1"/>
      <c r="D5" s="1"/>
      <c r="E5" s="1"/>
      <c r="F5" s="1"/>
      <c r="G5" s="1"/>
      <c r="H5" s="1"/>
    </row>
    <row r="6" spans="1:8" x14ac:dyDescent="0.2">
      <c r="A6" s="1"/>
      <c r="B6" s="1"/>
      <c r="C6" s="1"/>
      <c r="D6" s="1"/>
      <c r="E6" s="1"/>
      <c r="F6" s="1"/>
      <c r="G6" s="1"/>
      <c r="H6" s="1"/>
    </row>
    <row r="7" spans="1:8" x14ac:dyDescent="0.2">
      <c r="A7" s="1"/>
      <c r="B7" s="1"/>
      <c r="C7" s="1"/>
      <c r="D7" s="1"/>
      <c r="E7" s="1"/>
      <c r="F7" s="1"/>
      <c r="G7" s="1"/>
      <c r="H7" s="1"/>
    </row>
    <row r="8" spans="1:8" x14ac:dyDescent="0.2">
      <c r="A8" s="1"/>
      <c r="B8" s="1"/>
      <c r="C8" s="1"/>
      <c r="D8" s="1"/>
      <c r="E8" s="1"/>
      <c r="F8" s="1"/>
      <c r="G8" s="1"/>
      <c r="H8" s="1"/>
    </row>
    <row r="9" spans="1:8" x14ac:dyDescent="0.2">
      <c r="A9" s="1"/>
      <c r="B9" s="1"/>
      <c r="C9" s="1"/>
      <c r="D9" s="1"/>
      <c r="E9" s="1"/>
      <c r="F9" s="1"/>
      <c r="G9" s="1"/>
      <c r="H9" s="1"/>
    </row>
    <row r="10" spans="1:8" x14ac:dyDescent="0.2">
      <c r="A10" s="1"/>
      <c r="B10" s="1"/>
      <c r="C10" s="1"/>
      <c r="D10" s="1"/>
      <c r="E10" s="1"/>
      <c r="F10" s="1"/>
      <c r="G10" s="1"/>
      <c r="H10" s="1"/>
    </row>
    <row r="11" spans="1:8" x14ac:dyDescent="0.2">
      <c r="A11" s="1"/>
      <c r="B11" s="1"/>
      <c r="C11" s="1"/>
      <c r="D11" s="1"/>
      <c r="E11" s="1"/>
      <c r="F11" s="1"/>
      <c r="G11" s="1"/>
      <c r="H11" s="1"/>
    </row>
    <row r="12" spans="1:8" x14ac:dyDescent="0.2">
      <c r="A12" s="1"/>
      <c r="B12" s="1"/>
      <c r="C12" s="1"/>
      <c r="D12" s="1"/>
      <c r="E12" s="1"/>
      <c r="F12" s="1"/>
      <c r="G12" s="1"/>
      <c r="H12" s="1"/>
    </row>
    <row r="13" spans="1:8" x14ac:dyDescent="0.2">
      <c r="A13" s="1"/>
      <c r="B13" s="1"/>
      <c r="C13" s="1"/>
      <c r="D13" s="1"/>
      <c r="E13" s="1"/>
      <c r="F13" s="1"/>
      <c r="G13" s="1"/>
      <c r="H13" s="1"/>
    </row>
    <row r="14" spans="1:8" x14ac:dyDescent="0.2">
      <c r="A14" s="1"/>
      <c r="B14" s="1"/>
      <c r="C14" s="1"/>
      <c r="D14" s="1"/>
      <c r="E14" s="1"/>
      <c r="F14" s="1"/>
      <c r="G14" s="1"/>
      <c r="H14" s="1"/>
    </row>
    <row r="15" spans="1:8" x14ac:dyDescent="0.2">
      <c r="A15" s="1"/>
      <c r="B15" s="1"/>
      <c r="C15" s="1"/>
      <c r="D15" s="1"/>
      <c r="E15" s="1"/>
      <c r="F15" s="1"/>
      <c r="G15" s="1"/>
      <c r="H15" s="1"/>
    </row>
    <row r="16" spans="1:8" x14ac:dyDescent="0.2">
      <c r="A16" s="1"/>
      <c r="B16" s="1"/>
      <c r="C16" s="1"/>
      <c r="D16" s="1"/>
      <c r="E16" s="1"/>
      <c r="F16" s="1"/>
      <c r="G16" s="1"/>
      <c r="H16" s="1"/>
    </row>
    <row r="17" spans="1:8" x14ac:dyDescent="0.2">
      <c r="A17" s="1"/>
      <c r="B17" s="1"/>
      <c r="C17" s="1"/>
      <c r="D17" s="1"/>
      <c r="E17" s="1"/>
      <c r="F17" s="1"/>
      <c r="G17" s="1"/>
      <c r="H17" s="1"/>
    </row>
    <row r="18" spans="1:8" x14ac:dyDescent="0.2">
      <c r="A18" s="1"/>
      <c r="B18" s="1"/>
      <c r="C18" s="1"/>
      <c r="D18" s="1"/>
      <c r="E18" s="1"/>
      <c r="F18" s="1"/>
      <c r="G18" s="1"/>
      <c r="H18" s="1"/>
    </row>
    <row r="19" spans="1:8" x14ac:dyDescent="0.2">
      <c r="A19" s="1"/>
      <c r="B19" s="1"/>
      <c r="C19" s="1"/>
      <c r="D19" s="1"/>
      <c r="E19" s="1"/>
      <c r="F19" s="1"/>
      <c r="G19" s="1"/>
      <c r="H19" s="1"/>
    </row>
    <row r="20" spans="1:8" x14ac:dyDescent="0.2">
      <c r="A20" s="1"/>
      <c r="B20" s="1"/>
      <c r="C20" s="1"/>
      <c r="D20" s="1"/>
      <c r="E20" s="1"/>
      <c r="F20" s="1"/>
      <c r="G20" s="1"/>
      <c r="H20" s="1"/>
    </row>
    <row r="21" spans="1:8" x14ac:dyDescent="0.2">
      <c r="A21" s="1"/>
      <c r="B21" s="1"/>
      <c r="C21" s="1"/>
      <c r="D21" s="1"/>
      <c r="E21" s="1"/>
      <c r="F21" s="1"/>
      <c r="G21" s="1"/>
      <c r="H21" s="1"/>
    </row>
    <row r="22" spans="1:8" x14ac:dyDescent="0.2">
      <c r="A22" s="1"/>
      <c r="B22" s="1"/>
      <c r="C22" s="1"/>
      <c r="D22" s="4"/>
      <c r="E22" s="1"/>
      <c r="F22" s="1"/>
      <c r="G22" s="1"/>
      <c r="H22" s="1"/>
    </row>
    <row r="23" spans="1:8" x14ac:dyDescent="0.2">
      <c r="A23" s="1"/>
      <c r="B23" s="1"/>
      <c r="C23" s="1"/>
      <c r="D23" s="1"/>
      <c r="E23" s="1"/>
      <c r="F23" s="1"/>
      <c r="G23" s="1"/>
      <c r="H23" s="1"/>
    </row>
    <row r="24" spans="1:8" x14ac:dyDescent="0.2">
      <c r="A24" s="1"/>
      <c r="B24" s="1"/>
      <c r="C24" s="1"/>
      <c r="D24" s="1"/>
      <c r="E24" s="1"/>
      <c r="F24" s="1"/>
      <c r="G24" s="1"/>
      <c r="H24" s="1"/>
    </row>
    <row r="25" spans="1:8" x14ac:dyDescent="0.2">
      <c r="A25" s="1"/>
      <c r="B25" s="1"/>
      <c r="C25" s="1"/>
      <c r="D25" s="1"/>
      <c r="E25" s="1"/>
      <c r="F25" s="1"/>
      <c r="G25" s="1"/>
      <c r="H25" s="1"/>
    </row>
    <row r="26" spans="1:8" x14ac:dyDescent="0.2">
      <c r="A26" s="1"/>
      <c r="B26" s="1"/>
      <c r="C26" s="1"/>
      <c r="D26" s="1"/>
      <c r="E26" s="1"/>
      <c r="F26" s="1"/>
      <c r="G26" s="1"/>
      <c r="H26" s="1"/>
    </row>
    <row r="27" spans="1:8" x14ac:dyDescent="0.2">
      <c r="A27" s="1"/>
      <c r="B27" s="1"/>
      <c r="C27" s="1"/>
      <c r="D27" s="1"/>
      <c r="E27" s="1"/>
      <c r="F27" s="1"/>
      <c r="G27" s="1"/>
      <c r="H27" s="1"/>
    </row>
    <row r="28" spans="1:8" x14ac:dyDescent="0.2">
      <c r="A28" s="1"/>
      <c r="B28" s="1"/>
      <c r="C28" s="1"/>
      <c r="D28" s="1"/>
      <c r="E28" s="1"/>
      <c r="F28" s="1"/>
      <c r="G28" s="1"/>
      <c r="H28" s="1"/>
    </row>
    <row r="29" spans="1:8" x14ac:dyDescent="0.2">
      <c r="A29" s="1"/>
      <c r="B29" s="1"/>
      <c r="C29" s="1"/>
      <c r="D29" s="1"/>
      <c r="E29" s="1"/>
      <c r="F29" s="1"/>
      <c r="G29" s="1"/>
      <c r="H29" s="1"/>
    </row>
    <row r="30" spans="1:8" x14ac:dyDescent="0.2">
      <c r="A30" s="1"/>
      <c r="B30" s="1"/>
      <c r="C30" s="1"/>
      <c r="D30" s="1"/>
      <c r="E30" s="1"/>
      <c r="F30" s="1"/>
      <c r="G30" s="1"/>
      <c r="H30" s="1"/>
    </row>
    <row r="31" spans="1:8" x14ac:dyDescent="0.2">
      <c r="A31" s="1"/>
      <c r="B31" s="1"/>
      <c r="C31" s="1"/>
      <c r="D31" s="1"/>
      <c r="E31" s="1"/>
      <c r="F31" s="1"/>
      <c r="G31" s="1"/>
      <c r="H31" s="1"/>
    </row>
    <row r="32" spans="1:8" x14ac:dyDescent="0.2">
      <c r="A32" s="1"/>
      <c r="B32" s="1"/>
      <c r="C32" s="1"/>
      <c r="D32" s="1"/>
      <c r="E32" s="1"/>
      <c r="F32" s="1"/>
      <c r="G32" s="1"/>
      <c r="H32" s="1"/>
    </row>
    <row r="33" spans="1:8" x14ac:dyDescent="0.2">
      <c r="A33" s="1"/>
      <c r="B33" s="1"/>
      <c r="C33" s="1"/>
      <c r="D33" s="1"/>
      <c r="E33" s="1"/>
      <c r="F33" s="1"/>
      <c r="G33" s="1"/>
      <c r="H33" s="1"/>
    </row>
    <row r="34" spans="1:8" x14ac:dyDescent="0.2">
      <c r="A34" s="1"/>
      <c r="B34" s="1"/>
      <c r="C34" s="1"/>
      <c r="D34" s="1"/>
      <c r="E34" s="1"/>
      <c r="F34" s="1"/>
      <c r="G34" s="1"/>
      <c r="H34" s="1"/>
    </row>
    <row r="35" spans="1:8" x14ac:dyDescent="0.2">
      <c r="A35" s="1"/>
      <c r="B35" s="1"/>
      <c r="C35" s="1"/>
      <c r="D35" s="1"/>
      <c r="E35" s="1"/>
      <c r="F35" s="1"/>
      <c r="G35" s="1"/>
      <c r="H35" s="1"/>
    </row>
    <row r="36" spans="1:8" x14ac:dyDescent="0.2">
      <c r="A36" s="1"/>
      <c r="B36" s="1"/>
      <c r="C36" s="1"/>
      <c r="D36" s="1"/>
      <c r="E36" s="1"/>
      <c r="F36" s="1"/>
      <c r="G36" s="1"/>
      <c r="H36" s="1"/>
    </row>
    <row r="37" spans="1:8" x14ac:dyDescent="0.2">
      <c r="A37" s="1"/>
      <c r="B37" s="1"/>
      <c r="C37" s="1"/>
      <c r="D37" s="1"/>
      <c r="E37" s="1"/>
      <c r="F37" s="1"/>
      <c r="G37" s="1"/>
      <c r="H37" s="1"/>
    </row>
    <row r="38" spans="1:8" x14ac:dyDescent="0.2">
      <c r="A38" s="1"/>
      <c r="B38" s="1"/>
      <c r="C38" s="1"/>
      <c r="D38" s="1"/>
      <c r="E38" s="1"/>
      <c r="F38" s="1"/>
      <c r="G38" s="1"/>
      <c r="H38" s="1"/>
    </row>
    <row r="39" spans="1:8" x14ac:dyDescent="0.2">
      <c r="A39" s="1"/>
      <c r="B39" s="1"/>
      <c r="C39" s="1"/>
      <c r="D39" s="1"/>
      <c r="E39" s="1"/>
      <c r="F39" s="1"/>
      <c r="G39" s="1"/>
      <c r="H39" s="1"/>
    </row>
    <row r="40" spans="1:8" x14ac:dyDescent="0.2">
      <c r="A40" s="1"/>
      <c r="B40" s="1"/>
      <c r="C40" s="1"/>
      <c r="D40" s="1"/>
      <c r="E40" s="1"/>
      <c r="F40" s="1"/>
      <c r="G40" s="1"/>
      <c r="H40" s="1"/>
    </row>
    <row r="41" spans="1:8" x14ac:dyDescent="0.2">
      <c r="A41" s="1"/>
      <c r="B41" s="1"/>
      <c r="C41" s="1"/>
      <c r="D41" s="1"/>
      <c r="E41" s="1"/>
      <c r="F41" s="1"/>
      <c r="G41" s="1"/>
      <c r="H41" s="1"/>
    </row>
    <row r="42" spans="1:8" x14ac:dyDescent="0.2">
      <c r="A42" s="1"/>
      <c r="B42" s="1"/>
      <c r="C42" s="1"/>
      <c r="D42" s="1"/>
      <c r="E42" s="1"/>
      <c r="F42" s="1"/>
      <c r="G42" s="1"/>
      <c r="H42" s="1"/>
    </row>
    <row r="43" spans="1:8" x14ac:dyDescent="0.2">
      <c r="A43" s="1"/>
      <c r="B43" s="1"/>
      <c r="C43" s="1"/>
      <c r="D43" s="1"/>
      <c r="E43" s="1"/>
      <c r="F43" s="1"/>
      <c r="G43" s="1"/>
      <c r="H43" s="1"/>
    </row>
    <row r="44" spans="1:8" x14ac:dyDescent="0.2">
      <c r="A44" s="1"/>
      <c r="B44" s="1"/>
      <c r="C44" s="1"/>
      <c r="D44" s="1"/>
      <c r="E44" s="1"/>
      <c r="F44" s="1"/>
      <c r="G44" s="1"/>
      <c r="H44" s="1"/>
    </row>
    <row r="45" spans="1:8" x14ac:dyDescent="0.2">
      <c r="A45" s="1"/>
      <c r="B45" s="1"/>
      <c r="C45" s="1"/>
      <c r="D45" s="1"/>
      <c r="E45" s="1"/>
      <c r="F45" s="1"/>
      <c r="G45" s="1"/>
      <c r="H45" s="1"/>
    </row>
    <row r="46" spans="1:8" x14ac:dyDescent="0.2">
      <c r="A46" s="1"/>
      <c r="B46" s="1"/>
      <c r="C46" s="1"/>
      <c r="D46" s="1"/>
      <c r="E46" s="1"/>
      <c r="F46" s="1"/>
      <c r="G46" s="1"/>
      <c r="H46" s="1"/>
    </row>
    <row r="47" spans="1:8" x14ac:dyDescent="0.2">
      <c r="A47" s="1"/>
      <c r="B47" s="1"/>
      <c r="C47" s="1"/>
      <c r="D47" s="1"/>
      <c r="E47" s="1"/>
      <c r="F47" s="1"/>
      <c r="G47" s="1"/>
      <c r="H47" s="1"/>
    </row>
    <row r="48" spans="1:8" x14ac:dyDescent="0.2">
      <c r="A48" s="1"/>
      <c r="B48" s="1"/>
      <c r="C48" s="1"/>
      <c r="D48" s="1"/>
      <c r="E48" s="1"/>
      <c r="F48" s="1"/>
      <c r="G48" s="1"/>
      <c r="H48" s="1"/>
    </row>
    <row r="49" spans="1:8" x14ac:dyDescent="0.2">
      <c r="A49" s="1"/>
      <c r="B49" s="1"/>
      <c r="C49" s="1"/>
      <c r="D49" s="1"/>
      <c r="E49" s="1"/>
      <c r="F49" s="1"/>
      <c r="G49" s="1"/>
      <c r="H49" s="1"/>
    </row>
    <row r="50" spans="1:8" x14ac:dyDescent="0.2">
      <c r="A50" s="1"/>
      <c r="B50" s="1"/>
      <c r="C50" s="1"/>
      <c r="D50" s="1"/>
      <c r="E50" s="1"/>
      <c r="F50" s="1"/>
      <c r="G50" s="1"/>
      <c r="H50" s="1"/>
    </row>
    <row r="51" spans="1:8" x14ac:dyDescent="0.2">
      <c r="A51" s="1"/>
      <c r="B51" s="1"/>
      <c r="C51" s="1"/>
      <c r="D51" s="1"/>
      <c r="E51" s="1"/>
      <c r="F51" s="1"/>
      <c r="G51" s="1"/>
      <c r="H51" s="1"/>
    </row>
    <row r="52" spans="1:8" x14ac:dyDescent="0.2">
      <c r="A52" s="1"/>
      <c r="B52" s="1"/>
      <c r="C52" s="1"/>
      <c r="D52" s="1"/>
      <c r="E52" s="1"/>
      <c r="F52" s="1"/>
      <c r="G52" s="1"/>
      <c r="H52" s="1"/>
    </row>
    <row r="53" spans="1:8" x14ac:dyDescent="0.2">
      <c r="A53" s="1"/>
      <c r="B53" s="1"/>
      <c r="C53" s="1"/>
      <c r="D53" s="1"/>
      <c r="E53" s="1"/>
      <c r="F53" s="1"/>
      <c r="G53" s="1"/>
      <c r="H53" s="1"/>
    </row>
    <row r="54" spans="1:8" x14ac:dyDescent="0.2">
      <c r="A54" s="1"/>
      <c r="B54" s="1"/>
      <c r="C54" s="1"/>
      <c r="D54" s="1"/>
      <c r="E54" s="1"/>
      <c r="F54" s="1"/>
      <c r="G54" s="1"/>
      <c r="H54" s="1"/>
    </row>
    <row r="55" spans="1:8" x14ac:dyDescent="0.2">
      <c r="A55" s="1"/>
      <c r="B55" s="1"/>
      <c r="C55" s="1"/>
      <c r="D55" s="1"/>
      <c r="E55" s="1"/>
      <c r="F55" s="1"/>
      <c r="G55" s="1"/>
      <c r="H55" s="1"/>
    </row>
    <row r="56" spans="1:8" x14ac:dyDescent="0.2">
      <c r="A56" s="1"/>
      <c r="B56" s="1"/>
      <c r="C56" s="1"/>
      <c r="D56" s="1"/>
      <c r="E56" s="1"/>
      <c r="F56" s="1"/>
      <c r="G56" s="1"/>
      <c r="H56" s="1"/>
    </row>
    <row r="57" spans="1:8" x14ac:dyDescent="0.2">
      <c r="A57" s="1"/>
      <c r="B57" s="1"/>
      <c r="C57" s="1"/>
      <c r="D57" s="1"/>
      <c r="E57" s="1"/>
      <c r="F57" s="1"/>
      <c r="G57" s="1"/>
      <c r="H57" s="1"/>
    </row>
    <row r="58" spans="1:8" x14ac:dyDescent="0.2">
      <c r="A58" s="1"/>
      <c r="B58" s="1"/>
      <c r="C58" s="1"/>
      <c r="D58" s="1"/>
      <c r="E58" s="1"/>
      <c r="F58" s="1"/>
      <c r="G58" s="1"/>
      <c r="H58" s="1"/>
    </row>
    <row r="59" spans="1:8" x14ac:dyDescent="0.2">
      <c r="A59" s="1"/>
      <c r="B59" s="1"/>
      <c r="C59" s="1"/>
      <c r="D59" s="1"/>
      <c r="E59" s="1"/>
      <c r="F59" s="1"/>
      <c r="G59" s="1"/>
      <c r="H59" s="1"/>
    </row>
    <row r="60" spans="1:8" x14ac:dyDescent="0.2">
      <c r="A60" s="1"/>
      <c r="B60" s="1"/>
      <c r="C60" s="1"/>
      <c r="D60" s="1"/>
      <c r="E60" s="1"/>
      <c r="F60" s="1"/>
      <c r="G60" s="1"/>
      <c r="H60" s="1"/>
    </row>
    <row r="61" spans="1:8" x14ac:dyDescent="0.2">
      <c r="A61" s="1"/>
      <c r="B61" s="1"/>
      <c r="C61" s="1"/>
      <c r="D61" s="1"/>
      <c r="E61" s="1"/>
      <c r="F61" s="1"/>
      <c r="G61" s="1"/>
      <c r="H61" s="1"/>
    </row>
    <row r="62" spans="1:8" x14ac:dyDescent="0.2">
      <c r="A62" s="1"/>
      <c r="B62" s="1"/>
      <c r="C62" s="1"/>
      <c r="D62" s="1"/>
      <c r="E62" s="1"/>
      <c r="F62" s="1"/>
      <c r="G62" s="1"/>
      <c r="H62" s="1"/>
    </row>
    <row r="63" spans="1:8" x14ac:dyDescent="0.2">
      <c r="A63" s="1"/>
      <c r="B63" s="1"/>
      <c r="C63" s="1"/>
      <c r="D63" s="1"/>
      <c r="E63" s="1"/>
      <c r="F63" s="1"/>
      <c r="G63" s="1"/>
      <c r="H63" s="1"/>
    </row>
    <row r="64" spans="1:8" x14ac:dyDescent="0.2">
      <c r="A64" s="1"/>
      <c r="B64" s="1"/>
      <c r="C64" s="1"/>
      <c r="D64" s="1"/>
      <c r="E64" s="1"/>
      <c r="F64" s="1"/>
      <c r="G64" s="1"/>
      <c r="H64" s="1"/>
    </row>
    <row r="65" spans="1:8" x14ac:dyDescent="0.2">
      <c r="A65" s="1"/>
      <c r="B65" s="1"/>
      <c r="C65" s="1"/>
      <c r="D65" s="1"/>
      <c r="E65" s="1"/>
      <c r="F65" s="1"/>
      <c r="G65" s="1"/>
      <c r="H65" s="1"/>
    </row>
    <row r="66" spans="1:8" x14ac:dyDescent="0.2">
      <c r="A66" s="1"/>
      <c r="B66" s="1"/>
      <c r="C66" s="1"/>
      <c r="D66" s="1"/>
      <c r="E66" s="1"/>
      <c r="F66" s="1"/>
      <c r="G66" s="1"/>
      <c r="H66" s="1"/>
    </row>
    <row r="67" spans="1:8" x14ac:dyDescent="0.2">
      <c r="A67" s="1"/>
      <c r="B67" s="1"/>
      <c r="C67" s="1"/>
      <c r="D67" s="1"/>
      <c r="E67" s="1"/>
      <c r="F67" s="1"/>
      <c r="G67" s="1"/>
      <c r="H67" s="1"/>
    </row>
    <row r="68" spans="1:8" x14ac:dyDescent="0.2">
      <c r="A68" s="1"/>
      <c r="B68" s="1"/>
      <c r="C68" s="1"/>
      <c r="D68" s="1"/>
      <c r="E68" s="1"/>
      <c r="F68" s="1"/>
      <c r="G68" s="1"/>
      <c r="H68" s="1"/>
    </row>
    <row r="69" spans="1:8" x14ac:dyDescent="0.2">
      <c r="A69" s="1"/>
      <c r="B69" s="1"/>
      <c r="C69" s="1"/>
      <c r="D69" s="1"/>
      <c r="E69" s="1"/>
      <c r="F69" s="1"/>
      <c r="G69" s="1"/>
      <c r="H69" s="1"/>
    </row>
    <row r="70" spans="1:8" x14ac:dyDescent="0.2">
      <c r="A70" s="1"/>
      <c r="B70" s="1"/>
      <c r="C70" s="1"/>
      <c r="D70" s="1"/>
      <c r="E70" s="1"/>
      <c r="F70" s="1"/>
      <c r="G70" s="1"/>
      <c r="H70" s="1"/>
    </row>
    <row r="71" spans="1:8" x14ac:dyDescent="0.2">
      <c r="A71" s="1"/>
      <c r="B71" s="1"/>
      <c r="C71" s="1"/>
      <c r="D71" s="1"/>
      <c r="E71" s="1"/>
      <c r="F71" s="1"/>
      <c r="G71" s="1"/>
      <c r="H71" s="1"/>
    </row>
    <row r="72" spans="1:8" x14ac:dyDescent="0.2">
      <c r="A72" s="1"/>
      <c r="B72" s="1"/>
      <c r="C72" s="1"/>
      <c r="D72" s="1"/>
      <c r="E72" s="1"/>
      <c r="F72" s="1"/>
      <c r="G72" s="1"/>
      <c r="H72" s="1"/>
    </row>
    <row r="73" spans="1:8" x14ac:dyDescent="0.2">
      <c r="A73" s="1"/>
      <c r="B73" s="1"/>
      <c r="C73" s="1"/>
      <c r="D73" s="1"/>
      <c r="E73" s="1"/>
      <c r="F73" s="1"/>
      <c r="G73" s="1"/>
      <c r="H73" s="1"/>
    </row>
    <row r="74" spans="1:8" x14ac:dyDescent="0.2">
      <c r="A74" s="1"/>
      <c r="B74" s="1"/>
      <c r="C74" s="1"/>
      <c r="D74" s="1"/>
      <c r="E74" s="1"/>
      <c r="F74" s="1"/>
      <c r="G74" s="1"/>
      <c r="H74" s="1"/>
    </row>
    <row r="75" spans="1:8" x14ac:dyDescent="0.2">
      <c r="A75" s="11" t="s">
        <v>1</v>
      </c>
      <c r="B75" s="12"/>
      <c r="C75" s="12"/>
      <c r="D75" s="13"/>
      <c r="E75" s="8"/>
      <c r="F75" s="8"/>
      <c r="G75" s="8"/>
      <c r="H75" s="8"/>
    </row>
    <row r="76" spans="1:8" x14ac:dyDescent="0.2">
      <c r="A76" s="14" t="s">
        <v>15</v>
      </c>
      <c r="B76" s="15"/>
      <c r="C76" s="15"/>
      <c r="D76" s="16"/>
      <c r="E76" s="8"/>
      <c r="F76" s="8"/>
      <c r="G76" s="8"/>
      <c r="H76" s="8"/>
    </row>
    <row r="77" spans="1:8" x14ac:dyDescent="0.2">
      <c r="A77" s="17" t="s">
        <v>62</v>
      </c>
      <c r="B77" s="18"/>
      <c r="C77" s="18"/>
      <c r="D77" s="19"/>
      <c r="E77" s="8"/>
      <c r="F77" s="8"/>
      <c r="G77" s="8"/>
      <c r="H77" s="8"/>
    </row>
    <row r="78" spans="1:8" x14ac:dyDescent="0.2">
      <c r="A78" s="20"/>
      <c r="B78" s="21"/>
      <c r="C78" s="22"/>
      <c r="D78" s="23"/>
      <c r="E78" s="8"/>
      <c r="F78" s="8" t="s">
        <v>34</v>
      </c>
      <c r="G78" s="8"/>
      <c r="H78" s="8"/>
    </row>
    <row r="79" spans="1:8" ht="15.75" x14ac:dyDescent="0.25">
      <c r="A79" s="24" t="s">
        <v>2</v>
      </c>
      <c r="B79" s="25" t="str">
        <f>[1]Charters!B82</f>
        <v>Maria Montessori Academy</v>
      </c>
      <c r="C79" s="26"/>
      <c r="D79" s="27"/>
      <c r="E79" s="8"/>
      <c r="F79" s="8"/>
      <c r="G79" s="8"/>
      <c r="H79" s="8"/>
    </row>
    <row r="80" spans="1:8" x14ac:dyDescent="0.2">
      <c r="A80" s="24"/>
      <c r="B80" s="28"/>
      <c r="C80" s="26"/>
      <c r="D80" s="27"/>
      <c r="E80" s="8"/>
      <c r="F80" s="8"/>
      <c r="G80" s="8"/>
      <c r="H80" s="8"/>
    </row>
    <row r="81" spans="1:8" x14ac:dyDescent="0.2">
      <c r="A81" s="29" t="s">
        <v>0</v>
      </c>
      <c r="B81" s="30">
        <f>[1]Charters!$E$6</f>
        <v>3184</v>
      </c>
      <c r="C81" s="26"/>
      <c r="D81" s="31"/>
      <c r="E81" s="8"/>
      <c r="F81" s="8"/>
      <c r="G81" s="8"/>
      <c r="H81" s="8"/>
    </row>
    <row r="82" spans="1:8" x14ac:dyDescent="0.2">
      <c r="A82" s="32"/>
      <c r="B82" s="6"/>
      <c r="C82" s="33"/>
      <c r="D82" s="34" t="s">
        <v>3</v>
      </c>
      <c r="E82" s="8"/>
      <c r="F82" s="8"/>
      <c r="G82" s="8"/>
      <c r="H82" s="8"/>
    </row>
    <row r="83" spans="1:8" x14ac:dyDescent="0.2">
      <c r="A83" s="29" t="s">
        <v>19</v>
      </c>
      <c r="B83" s="35" t="str">
        <f>[1]Charters!A82</f>
        <v>4G</v>
      </c>
      <c r="C83" s="36" t="s">
        <v>4</v>
      </c>
      <c r="D83" s="37" t="s">
        <v>5</v>
      </c>
      <c r="E83" s="8"/>
      <c r="F83" s="8"/>
      <c r="G83" s="8"/>
      <c r="H83" s="8"/>
    </row>
    <row r="84" spans="1:8" x14ac:dyDescent="0.2">
      <c r="A84" s="38" t="s">
        <v>6</v>
      </c>
      <c r="B84" s="39"/>
      <c r="C84" s="40"/>
      <c r="D84" s="41"/>
      <c r="E84" s="8"/>
      <c r="F84" s="8"/>
      <c r="G84" s="8"/>
      <c r="H84" s="8"/>
    </row>
    <row r="85" spans="1:8" x14ac:dyDescent="0.2">
      <c r="A85" s="38" t="s">
        <v>7</v>
      </c>
      <c r="B85" s="39"/>
      <c r="C85" s="40"/>
      <c r="D85" s="41"/>
      <c r="E85" s="8"/>
      <c r="F85" s="42" t="s">
        <v>23</v>
      </c>
      <c r="G85" s="8"/>
      <c r="H85" s="42" t="s">
        <v>26</v>
      </c>
    </row>
    <row r="86" spans="1:8" x14ac:dyDescent="0.2">
      <c r="A86" s="20" t="s">
        <v>8</v>
      </c>
      <c r="B86" s="43"/>
      <c r="C86" s="44">
        <f>[1]Charters!C542</f>
        <v>541.51700000000005</v>
      </c>
      <c r="D86" s="45">
        <f>[1]Charters!E542</f>
        <v>1724190.02</v>
      </c>
      <c r="E86" s="8"/>
      <c r="F86" s="42">
        <f>[1]Charters!E697</f>
        <v>1816092.8</v>
      </c>
      <c r="G86" s="8"/>
      <c r="H86" s="42">
        <f>[2]Charters!E236</f>
        <v>2337958.4900000002</v>
      </c>
    </row>
    <row r="87" spans="1:8" x14ac:dyDescent="0.2">
      <c r="A87" s="20" t="s">
        <v>14</v>
      </c>
      <c r="B87" s="43"/>
      <c r="C87" s="44">
        <f>[1]Charters!F542</f>
        <v>28.864000000000001</v>
      </c>
      <c r="D87" s="45">
        <f>[1]Charters!H542</f>
        <v>91902.78</v>
      </c>
      <c r="E87" s="8"/>
      <c r="F87" s="42">
        <f>SUM(D86:D88)</f>
        <v>1816092.8</v>
      </c>
      <c r="G87" s="8"/>
      <c r="H87" s="42">
        <f>D99</f>
        <v>2337958.4900000002</v>
      </c>
    </row>
    <row r="88" spans="1:8" x14ac:dyDescent="0.2">
      <c r="A88" s="20" t="s">
        <v>32</v>
      </c>
      <c r="B88" s="43"/>
      <c r="C88" s="44">
        <f>[1]Charters!C235</f>
        <v>0</v>
      </c>
      <c r="D88" s="45">
        <f>[1]Charters!E235</f>
        <v>0</v>
      </c>
      <c r="E88" s="8"/>
      <c r="F88" s="42">
        <f>+F86-F87</f>
        <v>0</v>
      </c>
      <c r="G88" s="8"/>
      <c r="H88" s="42">
        <f>+H86-H87</f>
        <v>0</v>
      </c>
    </row>
    <row r="89" spans="1:8" x14ac:dyDescent="0.2">
      <c r="A89" s="38" t="s">
        <v>9</v>
      </c>
      <c r="B89" s="39"/>
      <c r="C89" s="46"/>
      <c r="D89" s="47"/>
      <c r="E89" s="8"/>
      <c r="F89" s="8"/>
      <c r="G89" s="8"/>
      <c r="H89" s="8"/>
    </row>
    <row r="90" spans="1:8" x14ac:dyDescent="0.2">
      <c r="A90" s="20" t="s">
        <v>10</v>
      </c>
      <c r="B90" s="43"/>
      <c r="C90" s="40">
        <f>[3]Charters!C81</f>
        <v>85.87</v>
      </c>
      <c r="D90" s="41">
        <f>[3]Charters!E81</f>
        <v>273408.99</v>
      </c>
      <c r="E90" s="8"/>
      <c r="F90" s="42" t="s">
        <v>24</v>
      </c>
      <c r="G90" s="8"/>
      <c r="H90" s="8"/>
    </row>
    <row r="91" spans="1:8" x14ac:dyDescent="0.2">
      <c r="A91" s="48" t="s">
        <v>11</v>
      </c>
      <c r="B91" s="43"/>
      <c r="C91" s="40">
        <f>[3]Charters!F81</f>
        <v>19.82</v>
      </c>
      <c r="D91" s="49">
        <f>[3]Charters!H81</f>
        <v>63106.879999999997</v>
      </c>
      <c r="E91" s="8"/>
      <c r="F91" s="42">
        <f>[3]Charters!N393</f>
        <v>349496.25</v>
      </c>
      <c r="G91" s="8"/>
      <c r="H91" s="8"/>
    </row>
    <row r="92" spans="1:8" x14ac:dyDescent="0.2">
      <c r="A92" s="48" t="s">
        <v>12</v>
      </c>
      <c r="B92" s="43"/>
      <c r="C92" s="40">
        <f>[3]Charters!C236</f>
        <v>0</v>
      </c>
      <c r="D92" s="41">
        <f>[3]Charters!E236</f>
        <v>0</v>
      </c>
      <c r="E92" s="8"/>
      <c r="F92" s="42">
        <f>SUM(D90:D96)</f>
        <v>349496.25</v>
      </c>
      <c r="G92" s="8"/>
      <c r="H92" s="8"/>
    </row>
    <row r="93" spans="1:8" x14ac:dyDescent="0.2">
      <c r="A93" s="20" t="s">
        <v>13</v>
      </c>
      <c r="B93" s="43"/>
      <c r="C93" s="40">
        <f>[3]Charters!F236</f>
        <v>1.226</v>
      </c>
      <c r="D93" s="41">
        <f>[3]Charters!H236</f>
        <v>3905</v>
      </c>
      <c r="E93" s="8"/>
      <c r="F93" s="42">
        <f>+F91-F92</f>
        <v>0</v>
      </c>
      <c r="G93" s="8"/>
      <c r="H93" s="8"/>
    </row>
    <row r="94" spans="1:8" x14ac:dyDescent="0.2">
      <c r="A94" s="48" t="s">
        <v>54</v>
      </c>
      <c r="B94" s="43"/>
      <c r="C94" s="40">
        <f>[3]Charters!C393</f>
        <v>2.85</v>
      </c>
      <c r="D94" s="41">
        <f>[3]Charters!E393</f>
        <v>9075.3799999999992</v>
      </c>
      <c r="E94" s="8"/>
      <c r="F94" s="8"/>
      <c r="G94" s="8"/>
      <c r="H94" s="8"/>
    </row>
    <row r="95" spans="1:8" x14ac:dyDescent="0.2">
      <c r="A95" s="48" t="s">
        <v>55</v>
      </c>
      <c r="B95" s="43"/>
      <c r="C95" s="40">
        <f>[3]Charters!F393</f>
        <v>0</v>
      </c>
      <c r="D95" s="41">
        <f>[3]Charters!H393</f>
        <v>0</v>
      </c>
      <c r="E95" s="8"/>
      <c r="F95" s="42" t="s">
        <v>25</v>
      </c>
      <c r="G95" s="8"/>
      <c r="H95" s="8"/>
    </row>
    <row r="96" spans="1:8" x14ac:dyDescent="0.2">
      <c r="A96" s="48" t="s">
        <v>56</v>
      </c>
      <c r="B96" s="43"/>
      <c r="C96" s="40">
        <f>[3]Charters!I393</f>
        <v>0</v>
      </c>
      <c r="D96" s="41">
        <f>[3]Charters!K393</f>
        <v>0</v>
      </c>
      <c r="E96" s="8"/>
      <c r="F96" s="42">
        <f>[2]Charters!H82</f>
        <v>521865.69</v>
      </c>
      <c r="G96" s="8"/>
      <c r="H96" s="8"/>
    </row>
    <row r="97" spans="1:8" x14ac:dyDescent="0.2">
      <c r="A97" s="20" t="s">
        <v>49</v>
      </c>
      <c r="B97" s="43"/>
      <c r="C97" s="40">
        <f>[3]Charters!C549</f>
        <v>1.401</v>
      </c>
      <c r="D97" s="41">
        <f>[3]Charters!E549</f>
        <v>4461.92</v>
      </c>
      <c r="E97" s="8"/>
      <c r="F97" s="42">
        <f>SUM(D90:D98)</f>
        <v>521865.69</v>
      </c>
      <c r="G97" s="8"/>
      <c r="H97" s="8"/>
    </row>
    <row r="98" spans="1:8" x14ac:dyDescent="0.2">
      <c r="A98" s="20" t="s">
        <v>50</v>
      </c>
      <c r="B98" s="43"/>
      <c r="C98" s="40">
        <f>[2]Charters!C82</f>
        <v>52.734999999999999</v>
      </c>
      <c r="D98" s="41">
        <f>[2]Charters!E82</f>
        <v>167907.52</v>
      </c>
      <c r="E98" s="8"/>
      <c r="F98" s="42">
        <f>+F96-F97</f>
        <v>0</v>
      </c>
      <c r="G98" s="8"/>
      <c r="H98" s="8"/>
    </row>
    <row r="99" spans="1:8" x14ac:dyDescent="0.2">
      <c r="A99" s="50"/>
      <c r="B99" s="51" t="s">
        <v>16</v>
      </c>
      <c r="C99" s="52">
        <f>SUM(C86:C98)</f>
        <v>734.28300000000002</v>
      </c>
      <c r="D99" s="53">
        <f>SUM(D86:D98)</f>
        <v>2337958.4900000002</v>
      </c>
      <c r="E99" s="8"/>
      <c r="F99" s="8"/>
      <c r="G99" s="8"/>
      <c r="H99" s="8"/>
    </row>
    <row r="100" spans="1:8" x14ac:dyDescent="0.2">
      <c r="A100" s="54" t="s">
        <v>17</v>
      </c>
      <c r="B100" s="39"/>
      <c r="C100" s="55"/>
      <c r="D100" s="47"/>
      <c r="E100" s="8"/>
      <c r="F100" s="8"/>
      <c r="G100" s="8"/>
      <c r="H100" s="42" t="s">
        <v>29</v>
      </c>
    </row>
    <row r="101" spans="1:8" x14ac:dyDescent="0.2">
      <c r="A101" s="20" t="s">
        <v>33</v>
      </c>
      <c r="B101" s="43"/>
      <c r="C101" s="56"/>
      <c r="D101" s="57">
        <f>[4]Charters!C82</f>
        <v>6776.49</v>
      </c>
      <c r="E101" s="8"/>
      <c r="F101" s="8"/>
      <c r="G101" s="8"/>
      <c r="H101" s="42">
        <f>[4]Charters!F1022</f>
        <v>3961470.58</v>
      </c>
    </row>
    <row r="102" spans="1:8" x14ac:dyDescent="0.2">
      <c r="A102" s="58" t="s">
        <v>35</v>
      </c>
      <c r="B102" s="43"/>
      <c r="C102" s="56"/>
      <c r="D102" s="41">
        <f>+[4]Charters!F403</f>
        <v>2606.31</v>
      </c>
      <c r="E102" s="8"/>
      <c r="F102" s="8"/>
      <c r="G102" s="8"/>
      <c r="H102" s="42">
        <f>SUM(D99:D118)</f>
        <v>3961470.58</v>
      </c>
    </row>
    <row r="103" spans="1:8" x14ac:dyDescent="0.2">
      <c r="A103" s="59" t="s">
        <v>36</v>
      </c>
      <c r="B103" s="43"/>
      <c r="C103" s="56"/>
      <c r="D103" s="41">
        <f>[4]Charters!E242</f>
        <v>23497</v>
      </c>
      <c r="E103" s="8"/>
      <c r="F103" s="8"/>
      <c r="G103" s="8"/>
      <c r="H103" s="42">
        <f>+H101-H102</f>
        <v>0</v>
      </c>
    </row>
    <row r="104" spans="1:8" x14ac:dyDescent="0.2">
      <c r="A104" s="59" t="s">
        <v>52</v>
      </c>
      <c r="B104" s="43"/>
      <c r="C104" s="56"/>
      <c r="D104" s="41">
        <f>[4]Charters!G403</f>
        <v>0</v>
      </c>
      <c r="E104" s="8"/>
      <c r="F104" s="42" t="s">
        <v>27</v>
      </c>
      <c r="G104" s="8"/>
      <c r="H104" s="42"/>
    </row>
    <row r="105" spans="1:8" x14ac:dyDescent="0.2">
      <c r="A105" s="20" t="s">
        <v>37</v>
      </c>
      <c r="B105" s="43"/>
      <c r="C105" s="56"/>
      <c r="D105" s="41">
        <f>[4]Charters!E559</f>
        <v>45614</v>
      </c>
      <c r="E105" s="8"/>
      <c r="F105" s="42">
        <f>[4]Charters!E242</f>
        <v>23497</v>
      </c>
      <c r="G105" s="8"/>
      <c r="H105" s="8"/>
    </row>
    <row r="106" spans="1:8" x14ac:dyDescent="0.2">
      <c r="A106" s="20" t="s">
        <v>38</v>
      </c>
      <c r="B106" s="43"/>
      <c r="C106" s="56"/>
      <c r="D106" s="41">
        <f>[4]Charters!F559</f>
        <v>0</v>
      </c>
      <c r="E106" s="8"/>
      <c r="F106" s="42">
        <f>SUM(D103:D103)</f>
        <v>23497</v>
      </c>
      <c r="G106" s="8"/>
      <c r="H106" s="8"/>
    </row>
    <row r="107" spans="1:8" x14ac:dyDescent="0.2">
      <c r="A107" s="59" t="s">
        <v>40</v>
      </c>
      <c r="B107" s="43"/>
      <c r="C107" s="56"/>
      <c r="D107" s="41">
        <f>[4]Charters!G559</f>
        <v>0</v>
      </c>
      <c r="E107" s="8"/>
      <c r="F107" s="42">
        <f>+F105-F106</f>
        <v>0</v>
      </c>
      <c r="G107" s="8"/>
      <c r="H107" s="8"/>
    </row>
    <row r="108" spans="1:8" x14ac:dyDescent="0.2">
      <c r="A108" s="20" t="s">
        <v>41</v>
      </c>
      <c r="B108" s="43"/>
      <c r="C108" s="56"/>
      <c r="D108" s="41">
        <f>[4]Charters!C713</f>
        <v>1310655</v>
      </c>
      <c r="E108" s="8"/>
      <c r="F108" s="42" t="s">
        <v>28</v>
      </c>
      <c r="G108" s="8"/>
      <c r="H108" s="8"/>
    </row>
    <row r="109" spans="1:8" x14ac:dyDescent="0.2">
      <c r="A109" s="20" t="s">
        <v>42</v>
      </c>
      <c r="B109" s="43"/>
      <c r="C109" s="56"/>
      <c r="D109" s="41">
        <f>[4]Charters!D713</f>
        <v>148619.51999999999</v>
      </c>
      <c r="E109" s="8"/>
      <c r="F109" s="42">
        <f>[4]Charters!D559</f>
        <v>26103.31</v>
      </c>
      <c r="G109" s="8"/>
      <c r="H109" s="8"/>
    </row>
    <row r="110" spans="1:8" x14ac:dyDescent="0.2">
      <c r="A110" s="20" t="s">
        <v>44</v>
      </c>
      <c r="B110" s="43"/>
      <c r="C110" s="56"/>
      <c r="D110" s="41">
        <f>[4]Charters!E713</f>
        <v>65500</v>
      </c>
      <c r="E110" s="8"/>
      <c r="F110" s="42">
        <f>SUM(D102:D104)</f>
        <v>26103.31</v>
      </c>
      <c r="G110" s="8"/>
      <c r="H110" s="8"/>
    </row>
    <row r="111" spans="1:8" x14ac:dyDescent="0.2">
      <c r="A111" s="59" t="s">
        <v>43</v>
      </c>
      <c r="B111" s="43"/>
      <c r="C111" s="56"/>
      <c r="D111" s="41">
        <f>[4]Charters!F713</f>
        <v>19393.09</v>
      </c>
      <c r="E111" s="8"/>
      <c r="F111" s="42">
        <f>+F109-F110</f>
        <v>0</v>
      </c>
      <c r="G111" s="8"/>
      <c r="H111" s="8"/>
    </row>
    <row r="112" spans="1:8" x14ac:dyDescent="0.2">
      <c r="A112" s="59" t="s">
        <v>45</v>
      </c>
      <c r="B112" s="43"/>
      <c r="C112" s="56"/>
      <c r="D112" s="41">
        <f>[4]Charters!C559</f>
        <v>0</v>
      </c>
      <c r="E112" s="8"/>
      <c r="F112" s="8"/>
      <c r="G112" s="8"/>
      <c r="H112" s="8"/>
    </row>
    <row r="113" spans="1:8" x14ac:dyDescent="0.2">
      <c r="A113" s="59" t="s">
        <v>46</v>
      </c>
      <c r="B113" s="43"/>
      <c r="C113" s="56"/>
      <c r="D113" s="41">
        <f>[4]Charters!C869</f>
        <v>0</v>
      </c>
      <c r="E113" s="42"/>
      <c r="F113" s="42"/>
      <c r="G113" s="42"/>
      <c r="H113" s="42" t="s">
        <v>31</v>
      </c>
    </row>
    <row r="114" spans="1:8" x14ac:dyDescent="0.2">
      <c r="A114" s="59" t="s">
        <v>51</v>
      </c>
      <c r="B114" s="43"/>
      <c r="C114" s="56"/>
      <c r="D114" s="60">
        <f>[4]Charters!D869</f>
        <v>850.68</v>
      </c>
      <c r="E114" s="42"/>
      <c r="F114" s="42"/>
      <c r="G114" s="42"/>
      <c r="H114" s="42">
        <f>[4]Charters!D1328</f>
        <v>3972180.73</v>
      </c>
    </row>
    <row r="115" spans="1:8" x14ac:dyDescent="0.2">
      <c r="A115" s="20" t="s">
        <v>47</v>
      </c>
      <c r="B115" s="43"/>
      <c r="C115" s="56"/>
      <c r="D115" s="60">
        <f>[4]Charters!E869</f>
        <v>0</v>
      </c>
      <c r="E115" s="42"/>
      <c r="F115" s="42"/>
      <c r="G115" s="42"/>
      <c r="H115" s="42">
        <f>D124</f>
        <v>3972180.73</v>
      </c>
    </row>
    <row r="116" spans="1:8" x14ac:dyDescent="0.2">
      <c r="A116" s="20" t="s">
        <v>57</v>
      </c>
      <c r="B116" s="43"/>
      <c r="C116" s="56"/>
      <c r="D116" s="60">
        <f>[4]Charters!C1022</f>
        <v>0</v>
      </c>
      <c r="E116" s="42"/>
      <c r="F116" s="42"/>
      <c r="G116" s="42"/>
      <c r="H116" s="42">
        <f>+H114-H115</f>
        <v>0</v>
      </c>
    </row>
    <row r="117" spans="1:8" x14ac:dyDescent="0.2">
      <c r="A117" s="59" t="s">
        <v>53</v>
      </c>
      <c r="B117" s="43"/>
      <c r="C117" s="56"/>
      <c r="D117" s="60">
        <f>[4]Charters!D1022</f>
        <v>0</v>
      </c>
      <c r="E117" s="42"/>
      <c r="F117" s="42" t="s">
        <v>30</v>
      </c>
      <c r="G117" s="42"/>
      <c r="H117" s="42"/>
    </row>
    <row r="118" spans="1:8" x14ac:dyDescent="0.2">
      <c r="A118" s="59" t="s">
        <v>59</v>
      </c>
      <c r="B118" s="43"/>
      <c r="C118" s="56"/>
      <c r="D118" s="60">
        <f>[4]Charters!E1022</f>
        <v>0</v>
      </c>
      <c r="E118" s="42"/>
      <c r="F118" s="42"/>
      <c r="G118" s="42"/>
      <c r="H118" s="42"/>
    </row>
    <row r="119" spans="1:8" x14ac:dyDescent="0.2">
      <c r="A119" s="38" t="s">
        <v>18</v>
      </c>
      <c r="B119" s="61"/>
      <c r="C119" s="62"/>
      <c r="D119" s="87"/>
      <c r="E119" s="42"/>
      <c r="F119" s="42">
        <f>[4]Charters!C1328</f>
        <v>10710.15</v>
      </c>
      <c r="G119" s="42"/>
      <c r="H119" s="42"/>
    </row>
    <row r="120" spans="1:8" x14ac:dyDescent="0.2">
      <c r="A120" s="59" t="s">
        <v>39</v>
      </c>
      <c r="B120" s="43"/>
      <c r="C120" s="56"/>
      <c r="D120" s="41">
        <f>[4]Charters!C1175</f>
        <v>5710.15</v>
      </c>
      <c r="E120" s="42"/>
      <c r="F120" s="42">
        <f>SUM(D120:D123)</f>
        <v>10710.15</v>
      </c>
      <c r="G120" s="42"/>
      <c r="H120" s="42"/>
    </row>
    <row r="121" spans="1:8" x14ac:dyDescent="0.2">
      <c r="A121" s="59" t="s">
        <v>48</v>
      </c>
      <c r="B121" s="43"/>
      <c r="C121" s="56"/>
      <c r="D121" s="41">
        <f>[4]Charters!D1175</f>
        <v>0</v>
      </c>
      <c r="E121" s="42"/>
      <c r="F121" s="42">
        <f>+F119-F120</f>
        <v>0</v>
      </c>
      <c r="G121" s="42"/>
      <c r="H121" s="42"/>
    </row>
    <row r="122" spans="1:8" x14ac:dyDescent="0.2">
      <c r="A122" s="59" t="s">
        <v>60</v>
      </c>
      <c r="B122" s="43"/>
      <c r="C122" s="56"/>
      <c r="D122" s="41">
        <f>[4]Charters!E1175</f>
        <v>0</v>
      </c>
      <c r="E122" s="42"/>
      <c r="F122" s="42"/>
      <c r="G122" s="42"/>
      <c r="H122" s="42"/>
    </row>
    <row r="123" spans="1:8" x14ac:dyDescent="0.2">
      <c r="A123" s="59" t="s">
        <v>61</v>
      </c>
      <c r="B123" s="43"/>
      <c r="C123" s="56"/>
      <c r="D123" s="41">
        <f>[4]Charters!F1175</f>
        <v>5000</v>
      </c>
      <c r="E123" s="42"/>
      <c r="F123" s="42"/>
      <c r="G123" s="42"/>
      <c r="H123" s="42"/>
    </row>
    <row r="124" spans="1:8" ht="13.5" thickBot="1" x14ac:dyDescent="0.25">
      <c r="A124" s="64"/>
      <c r="B124" s="65"/>
      <c r="C124" s="66"/>
      <c r="D124" s="67">
        <f>SUM(D99:D123)</f>
        <v>3972180.73</v>
      </c>
      <c r="E124" s="42"/>
      <c r="F124" s="42"/>
      <c r="G124" s="42"/>
      <c r="H124" s="42"/>
    </row>
    <row r="125" spans="1:8" ht="13.5" thickTop="1" x14ac:dyDescent="0.2">
      <c r="A125" s="68"/>
      <c r="B125" s="43"/>
      <c r="C125" s="56"/>
      <c r="D125" s="86"/>
      <c r="E125" s="42"/>
      <c r="F125" s="42"/>
      <c r="G125" s="42"/>
      <c r="H125" s="42"/>
    </row>
    <row r="126" spans="1:8" x14ac:dyDescent="0.2">
      <c r="A126" s="38" t="s">
        <v>20</v>
      </c>
      <c r="B126" s="39"/>
      <c r="C126" s="70"/>
      <c r="D126" s="71" t="s">
        <v>21</v>
      </c>
      <c r="E126" s="42"/>
      <c r="F126" s="42"/>
      <c r="G126" s="42"/>
      <c r="H126" s="42"/>
    </row>
    <row r="127" spans="1:8" x14ac:dyDescent="0.2">
      <c r="A127" s="72" t="s">
        <v>22</v>
      </c>
      <c r="B127" s="73"/>
      <c r="C127" s="74"/>
      <c r="D127" s="41">
        <f>[5]Charters!C81</f>
        <v>1453.47</v>
      </c>
      <c r="E127" s="42"/>
      <c r="F127" s="42"/>
      <c r="G127" s="42"/>
      <c r="H127" s="42"/>
    </row>
    <row r="128" spans="1:8" x14ac:dyDescent="0.2">
      <c r="A128" s="75"/>
      <c r="B128" s="61"/>
      <c r="C128" s="76"/>
      <c r="D128" s="77">
        <f>SUM(D127:D127)</f>
        <v>1453.47</v>
      </c>
      <c r="E128" s="42"/>
      <c r="F128" s="42"/>
      <c r="G128" s="42"/>
      <c r="H128" s="42"/>
    </row>
    <row r="129" spans="1:8" x14ac:dyDescent="0.2">
      <c r="A129" s="78" t="s">
        <v>58</v>
      </c>
      <c r="B129" s="79"/>
      <c r="C129" s="80"/>
      <c r="D129" s="77">
        <f>D128+D124</f>
        <v>3973634.2</v>
      </c>
      <c r="E129" s="42"/>
      <c r="F129" s="42"/>
      <c r="G129" s="42"/>
      <c r="H129" s="42"/>
    </row>
    <row r="130" spans="1:8" x14ac:dyDescent="0.2">
      <c r="A130" s="84"/>
      <c r="B130" s="84"/>
      <c r="C130" s="85"/>
      <c r="D130" s="81"/>
      <c r="E130" s="42"/>
      <c r="F130" s="42"/>
      <c r="G130" s="42"/>
      <c r="H130" s="42"/>
    </row>
    <row r="131" spans="1:8" x14ac:dyDescent="0.2">
      <c r="A131" s="84"/>
      <c r="B131" s="84"/>
      <c r="C131" s="85"/>
      <c r="D131" s="81">
        <f>[5]Charters!E237</f>
        <v>3973634.2</v>
      </c>
      <c r="E131" s="42"/>
      <c r="F131" s="42"/>
      <c r="G131" s="42"/>
      <c r="H131" s="42"/>
    </row>
    <row r="132" spans="1:8" x14ac:dyDescent="0.2">
      <c r="A132" s="84"/>
      <c r="B132" s="84"/>
      <c r="C132" s="85"/>
      <c r="D132" s="81">
        <f>D129</f>
        <v>3973634.2</v>
      </c>
      <c r="E132" s="42"/>
      <c r="F132" s="42"/>
      <c r="G132" s="42"/>
      <c r="H132" s="42"/>
    </row>
    <row r="133" spans="1:8" x14ac:dyDescent="0.2">
      <c r="C133" s="83"/>
      <c r="D133" s="42">
        <f>D131-D132</f>
        <v>0</v>
      </c>
      <c r="E133" s="42"/>
      <c r="F133" s="42"/>
      <c r="G133" s="42"/>
      <c r="H133" s="42"/>
    </row>
  </sheetData>
  <mergeCells count="4">
    <mergeCell ref="A129:C129"/>
    <mergeCell ref="A76:D76"/>
    <mergeCell ref="A77:D77"/>
    <mergeCell ref="A75:D75"/>
  </mergeCells>
  <printOptions horizontalCentered="1" verticalCentered="1"/>
  <pageMargins left="0.5" right="0.5" top="0.5" bottom="0.5" header="0.25" footer="0.25"/>
  <pageSetup orientation="portrait" r:id="rId1"/>
  <headerFooter alignWithMargins="0">
    <oddHeader>&amp;R&amp;8Current as of: &amp;D</oddHeader>
    <oddFooter>&amp;L&amp;8USOE, School Finance</oddFooter>
  </headerFooter>
  <picture r:id="rId2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sheetPr>
    <pageSetUpPr fitToPage="1"/>
  </sheetPr>
  <dimension ref="A1:H134"/>
  <sheetViews>
    <sheetView topLeftCell="A72" workbookViewId="0">
      <selection activeCell="C12" sqref="C12"/>
    </sheetView>
  </sheetViews>
  <sheetFormatPr defaultColWidth="9.140625" defaultRowHeight="12.75" x14ac:dyDescent="0.2"/>
  <cols>
    <col min="1" max="1" width="31.85546875" style="82" customWidth="1"/>
    <col min="2" max="2" width="16.140625" style="82" customWidth="1"/>
    <col min="3" max="4" width="14.85546875" style="82" customWidth="1"/>
    <col min="5" max="5" width="7" style="82" customWidth="1"/>
    <col min="6" max="6" width="19.7109375" style="82" customWidth="1"/>
    <col min="7" max="7" width="5.7109375" style="82" customWidth="1"/>
    <col min="8" max="8" width="18" style="82" customWidth="1"/>
    <col min="9" max="16384" width="9.140625" style="82"/>
  </cols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"/>
      <c r="B3" s="1"/>
      <c r="C3" s="1"/>
      <c r="D3" s="1"/>
      <c r="E3" s="1"/>
      <c r="F3" s="1"/>
      <c r="G3" s="1"/>
      <c r="H3" s="1"/>
    </row>
    <row r="4" spans="1:8" x14ac:dyDescent="0.2">
      <c r="A4" s="1"/>
      <c r="B4" s="1"/>
      <c r="C4" s="1"/>
      <c r="D4" s="1"/>
      <c r="E4" s="1"/>
      <c r="F4" s="1"/>
      <c r="G4" s="1"/>
      <c r="H4" s="1"/>
    </row>
    <row r="5" spans="1:8" x14ac:dyDescent="0.2">
      <c r="A5" s="1"/>
      <c r="B5" s="1"/>
      <c r="C5" s="1"/>
      <c r="D5" s="1"/>
      <c r="E5" s="1"/>
      <c r="F5" s="1"/>
      <c r="G5" s="1"/>
      <c r="H5" s="1"/>
    </row>
    <row r="6" spans="1:8" x14ac:dyDescent="0.2">
      <c r="A6" s="1"/>
      <c r="B6" s="1"/>
      <c r="C6" s="1"/>
      <c r="D6" s="1"/>
      <c r="E6" s="1"/>
      <c r="F6" s="1"/>
      <c r="G6" s="1"/>
      <c r="H6" s="1"/>
    </row>
    <row r="7" spans="1:8" x14ac:dyDescent="0.2">
      <c r="A7" s="1"/>
      <c r="B7" s="1"/>
      <c r="C7" s="1"/>
      <c r="D7" s="1"/>
      <c r="E7" s="1"/>
      <c r="F7" s="1"/>
      <c r="G7" s="1"/>
      <c r="H7" s="1"/>
    </row>
    <row r="8" spans="1:8" x14ac:dyDescent="0.2">
      <c r="A8" s="1"/>
      <c r="B8" s="1"/>
      <c r="C8" s="1"/>
      <c r="D8" s="1"/>
      <c r="E8" s="1"/>
      <c r="F8" s="1"/>
      <c r="G8" s="1"/>
      <c r="H8" s="1"/>
    </row>
    <row r="9" spans="1:8" x14ac:dyDescent="0.2">
      <c r="A9" s="1"/>
      <c r="B9" s="1"/>
      <c r="C9" s="1"/>
      <c r="D9" s="1"/>
      <c r="E9" s="1"/>
      <c r="F9" s="1"/>
      <c r="G9" s="1"/>
      <c r="H9" s="1"/>
    </row>
    <row r="10" spans="1:8" x14ac:dyDescent="0.2">
      <c r="A10" s="1"/>
      <c r="B10" s="1"/>
      <c r="C10" s="1"/>
      <c r="D10" s="1"/>
      <c r="E10" s="1"/>
      <c r="F10" s="1"/>
      <c r="G10" s="1"/>
      <c r="H10" s="1"/>
    </row>
    <row r="11" spans="1:8" x14ac:dyDescent="0.2">
      <c r="A11" s="1"/>
      <c r="B11" s="1"/>
      <c r="C11" s="1"/>
      <c r="D11" s="1"/>
      <c r="E11" s="1"/>
      <c r="F11" s="1"/>
      <c r="G11" s="1"/>
      <c r="H11" s="1"/>
    </row>
    <row r="12" spans="1:8" x14ac:dyDescent="0.2">
      <c r="A12" s="1"/>
      <c r="B12" s="1"/>
      <c r="C12" s="1"/>
      <c r="D12" s="1"/>
      <c r="E12" s="1"/>
      <c r="F12" s="1"/>
      <c r="G12" s="1"/>
      <c r="H12" s="1"/>
    </row>
    <row r="13" spans="1:8" x14ac:dyDescent="0.2">
      <c r="A13" s="1"/>
      <c r="B13" s="1"/>
      <c r="C13" s="1"/>
      <c r="D13" s="1"/>
      <c r="E13" s="1"/>
      <c r="F13" s="1"/>
      <c r="G13" s="1"/>
      <c r="H13" s="1"/>
    </row>
    <row r="14" spans="1:8" x14ac:dyDescent="0.2">
      <c r="A14" s="1"/>
      <c r="B14" s="1"/>
      <c r="C14" s="1"/>
      <c r="D14" s="1"/>
      <c r="E14" s="1"/>
      <c r="F14" s="1"/>
      <c r="G14" s="1"/>
      <c r="H14" s="1"/>
    </row>
    <row r="15" spans="1:8" x14ac:dyDescent="0.2">
      <c r="A15" s="1"/>
      <c r="B15" s="1"/>
      <c r="C15" s="1"/>
      <c r="D15" s="1"/>
      <c r="E15" s="1"/>
      <c r="F15" s="1"/>
      <c r="G15" s="1"/>
      <c r="H15" s="1"/>
    </row>
    <row r="16" spans="1:8" x14ac:dyDescent="0.2">
      <c r="A16" s="1"/>
      <c r="B16" s="1"/>
      <c r="C16" s="1"/>
      <c r="D16" s="1"/>
      <c r="E16" s="1"/>
      <c r="F16" s="1"/>
      <c r="G16" s="1"/>
      <c r="H16" s="1"/>
    </row>
    <row r="17" spans="1:8" x14ac:dyDescent="0.2">
      <c r="A17" s="1"/>
      <c r="B17" s="1"/>
      <c r="C17" s="1"/>
      <c r="D17" s="1"/>
      <c r="E17" s="1"/>
      <c r="F17" s="1"/>
      <c r="G17" s="1"/>
      <c r="H17" s="1"/>
    </row>
    <row r="18" spans="1:8" x14ac:dyDescent="0.2">
      <c r="A18" s="1"/>
      <c r="B18" s="1"/>
      <c r="C18" s="1"/>
      <c r="D18" s="1"/>
      <c r="E18" s="1"/>
      <c r="F18" s="1"/>
      <c r="G18" s="1"/>
      <c r="H18" s="1"/>
    </row>
    <row r="19" spans="1:8" x14ac:dyDescent="0.2">
      <c r="A19" s="1"/>
      <c r="B19" s="1"/>
      <c r="C19" s="1"/>
      <c r="D19" s="1"/>
      <c r="E19" s="1"/>
      <c r="F19" s="1"/>
      <c r="G19" s="1"/>
      <c r="H19" s="1"/>
    </row>
    <row r="20" spans="1:8" x14ac:dyDescent="0.2">
      <c r="A20" s="1"/>
      <c r="B20" s="1"/>
      <c r="C20" s="1"/>
      <c r="D20" s="1"/>
      <c r="E20" s="1"/>
      <c r="F20" s="1"/>
      <c r="G20" s="1"/>
      <c r="H20" s="1"/>
    </row>
    <row r="21" spans="1:8" x14ac:dyDescent="0.2">
      <c r="A21" s="1"/>
      <c r="B21" s="1"/>
      <c r="C21" s="1"/>
      <c r="D21" s="1"/>
      <c r="E21" s="1"/>
      <c r="F21" s="1"/>
      <c r="G21" s="1"/>
      <c r="H21" s="1"/>
    </row>
    <row r="22" spans="1:8" x14ac:dyDescent="0.2">
      <c r="A22" s="1"/>
      <c r="B22" s="1"/>
      <c r="C22" s="1"/>
      <c r="D22" s="4"/>
      <c r="E22" s="1"/>
      <c r="F22" s="1"/>
      <c r="G22" s="1"/>
      <c r="H22" s="1"/>
    </row>
    <row r="23" spans="1:8" x14ac:dyDescent="0.2">
      <c r="A23" s="1"/>
      <c r="B23" s="1"/>
      <c r="C23" s="1"/>
      <c r="D23" s="1"/>
      <c r="E23" s="1"/>
      <c r="F23" s="1"/>
      <c r="G23" s="1"/>
      <c r="H23" s="1"/>
    </row>
    <row r="24" spans="1:8" x14ac:dyDescent="0.2">
      <c r="A24" s="1"/>
      <c r="B24" s="1"/>
      <c r="C24" s="1"/>
      <c r="D24" s="1"/>
      <c r="E24" s="1"/>
      <c r="F24" s="1"/>
      <c r="G24" s="1"/>
      <c r="H24" s="1"/>
    </row>
    <row r="25" spans="1:8" x14ac:dyDescent="0.2">
      <c r="A25" s="1"/>
      <c r="B25" s="1"/>
      <c r="C25" s="1"/>
      <c r="D25" s="1"/>
      <c r="E25" s="1"/>
      <c r="F25" s="1"/>
      <c r="G25" s="1"/>
      <c r="H25" s="1"/>
    </row>
    <row r="26" spans="1:8" x14ac:dyDescent="0.2">
      <c r="A26" s="1"/>
      <c r="B26" s="1"/>
      <c r="C26" s="1"/>
      <c r="D26" s="1"/>
      <c r="E26" s="1"/>
      <c r="F26" s="1"/>
      <c r="G26" s="1"/>
      <c r="H26" s="1"/>
    </row>
    <row r="27" spans="1:8" x14ac:dyDescent="0.2">
      <c r="A27" s="1"/>
      <c r="B27" s="1"/>
      <c r="C27" s="1"/>
      <c r="D27" s="1"/>
      <c r="E27" s="1"/>
      <c r="F27" s="1"/>
      <c r="G27" s="1"/>
      <c r="H27" s="1"/>
    </row>
    <row r="28" spans="1:8" x14ac:dyDescent="0.2">
      <c r="A28" s="1"/>
      <c r="B28" s="1"/>
      <c r="C28" s="1"/>
      <c r="D28" s="1"/>
      <c r="E28" s="1"/>
      <c r="F28" s="1"/>
      <c r="G28" s="1"/>
      <c r="H28" s="1"/>
    </row>
    <row r="29" spans="1:8" x14ac:dyDescent="0.2">
      <c r="A29" s="1"/>
      <c r="B29" s="1"/>
      <c r="C29" s="1"/>
      <c r="D29" s="1"/>
      <c r="E29" s="1"/>
      <c r="F29" s="1"/>
      <c r="G29" s="1"/>
      <c r="H29" s="1"/>
    </row>
    <row r="30" spans="1:8" x14ac:dyDescent="0.2">
      <c r="A30" s="1"/>
      <c r="B30" s="1"/>
      <c r="C30" s="1"/>
      <c r="D30" s="1"/>
      <c r="E30" s="1"/>
      <c r="F30" s="1"/>
      <c r="G30" s="1"/>
      <c r="H30" s="1"/>
    </row>
    <row r="31" spans="1:8" x14ac:dyDescent="0.2">
      <c r="A31" s="1"/>
      <c r="B31" s="1"/>
      <c r="C31" s="1"/>
      <c r="D31" s="1"/>
      <c r="E31" s="1"/>
      <c r="F31" s="1"/>
      <c r="G31" s="1"/>
      <c r="H31" s="1"/>
    </row>
    <row r="32" spans="1:8" x14ac:dyDescent="0.2">
      <c r="A32" s="1"/>
      <c r="B32" s="1"/>
      <c r="C32" s="1"/>
      <c r="D32" s="1"/>
      <c r="E32" s="1"/>
      <c r="F32" s="1"/>
      <c r="G32" s="1"/>
      <c r="H32" s="1"/>
    </row>
    <row r="33" spans="1:8" x14ac:dyDescent="0.2">
      <c r="A33" s="1"/>
      <c r="B33" s="1"/>
      <c r="C33" s="1"/>
      <c r="D33" s="1"/>
      <c r="E33" s="1"/>
      <c r="F33" s="1"/>
      <c r="G33" s="1"/>
      <c r="H33" s="1"/>
    </row>
    <row r="34" spans="1:8" x14ac:dyDescent="0.2">
      <c r="A34" s="1"/>
      <c r="B34" s="1"/>
      <c r="C34" s="1"/>
      <c r="D34" s="1"/>
      <c r="E34" s="1"/>
      <c r="F34" s="1"/>
      <c r="G34" s="1"/>
      <c r="H34" s="1"/>
    </row>
    <row r="35" spans="1:8" x14ac:dyDescent="0.2">
      <c r="A35" s="1"/>
      <c r="B35" s="1"/>
      <c r="C35" s="1"/>
      <c r="D35" s="1"/>
      <c r="E35" s="1"/>
      <c r="F35" s="1"/>
      <c r="G35" s="1"/>
      <c r="H35" s="1"/>
    </row>
    <row r="36" spans="1:8" x14ac:dyDescent="0.2">
      <c r="A36" s="1"/>
      <c r="B36" s="1"/>
      <c r="C36" s="1"/>
      <c r="D36" s="1"/>
      <c r="E36" s="1"/>
      <c r="F36" s="1"/>
      <c r="G36" s="1"/>
      <c r="H36" s="1"/>
    </row>
    <row r="37" spans="1:8" x14ac:dyDescent="0.2">
      <c r="A37" s="1"/>
      <c r="B37" s="1"/>
      <c r="C37" s="1"/>
      <c r="D37" s="1"/>
      <c r="E37" s="1"/>
      <c r="F37" s="1"/>
      <c r="G37" s="1"/>
      <c r="H37" s="1"/>
    </row>
    <row r="38" spans="1:8" x14ac:dyDescent="0.2">
      <c r="A38" s="1"/>
      <c r="B38" s="1"/>
      <c r="C38" s="1"/>
      <c r="D38" s="1"/>
      <c r="E38" s="1"/>
      <c r="F38" s="1"/>
      <c r="G38" s="1"/>
      <c r="H38" s="1"/>
    </row>
    <row r="39" spans="1:8" x14ac:dyDescent="0.2">
      <c r="A39" s="1"/>
      <c r="B39" s="1"/>
      <c r="C39" s="1"/>
      <c r="D39" s="1"/>
      <c r="E39" s="1"/>
      <c r="F39" s="1"/>
      <c r="G39" s="1"/>
      <c r="H39" s="1"/>
    </row>
    <row r="40" spans="1:8" x14ac:dyDescent="0.2">
      <c r="A40" s="1"/>
      <c r="B40" s="1"/>
      <c r="C40" s="1"/>
      <c r="D40" s="1"/>
      <c r="E40" s="1"/>
      <c r="F40" s="1"/>
      <c r="G40" s="1"/>
      <c r="H40" s="1"/>
    </row>
    <row r="41" spans="1:8" x14ac:dyDescent="0.2">
      <c r="A41" s="1"/>
      <c r="B41" s="1"/>
      <c r="C41" s="1"/>
      <c r="D41" s="1"/>
      <c r="E41" s="1"/>
      <c r="F41" s="1"/>
      <c r="G41" s="1"/>
      <c r="H41" s="1"/>
    </row>
    <row r="42" spans="1:8" x14ac:dyDescent="0.2">
      <c r="A42" s="1"/>
      <c r="B42" s="1"/>
      <c r="C42" s="1"/>
      <c r="D42" s="1"/>
      <c r="E42" s="1"/>
      <c r="F42" s="1"/>
      <c r="G42" s="1"/>
      <c r="H42" s="1"/>
    </row>
    <row r="43" spans="1:8" x14ac:dyDescent="0.2">
      <c r="A43" s="1"/>
      <c r="B43" s="1"/>
      <c r="C43" s="1"/>
      <c r="D43" s="1"/>
      <c r="E43" s="1"/>
      <c r="F43" s="1"/>
      <c r="G43" s="1"/>
      <c r="H43" s="1"/>
    </row>
    <row r="44" spans="1:8" x14ac:dyDescent="0.2">
      <c r="A44" s="1"/>
      <c r="B44" s="1"/>
      <c r="C44" s="1"/>
      <c r="D44" s="1"/>
      <c r="E44" s="1"/>
      <c r="F44" s="1"/>
      <c r="G44" s="1"/>
      <c r="H44" s="1"/>
    </row>
    <row r="45" spans="1:8" x14ac:dyDescent="0.2">
      <c r="A45" s="1"/>
      <c r="B45" s="1"/>
      <c r="C45" s="1"/>
      <c r="D45" s="1"/>
      <c r="E45" s="1"/>
      <c r="F45" s="1"/>
      <c r="G45" s="1"/>
      <c r="H45" s="1"/>
    </row>
    <row r="46" spans="1:8" x14ac:dyDescent="0.2">
      <c r="A46" s="1"/>
      <c r="B46" s="1"/>
      <c r="C46" s="1"/>
      <c r="D46" s="1"/>
      <c r="E46" s="1"/>
      <c r="F46" s="1"/>
      <c r="G46" s="1"/>
      <c r="H46" s="1"/>
    </row>
    <row r="47" spans="1:8" x14ac:dyDescent="0.2">
      <c r="A47" s="1"/>
      <c r="B47" s="1"/>
      <c r="C47" s="1"/>
      <c r="D47" s="1"/>
      <c r="E47" s="1"/>
      <c r="F47" s="1"/>
      <c r="G47" s="1"/>
      <c r="H47" s="1"/>
    </row>
    <row r="48" spans="1:8" x14ac:dyDescent="0.2">
      <c r="A48" s="1"/>
      <c r="B48" s="1"/>
      <c r="C48" s="1"/>
      <c r="D48" s="1"/>
      <c r="E48" s="1"/>
      <c r="F48" s="1"/>
      <c r="G48" s="1"/>
      <c r="H48" s="1"/>
    </row>
    <row r="49" spans="1:8" x14ac:dyDescent="0.2">
      <c r="A49" s="1"/>
      <c r="B49" s="1"/>
      <c r="C49" s="1"/>
      <c r="D49" s="1"/>
      <c r="E49" s="1"/>
      <c r="F49" s="1"/>
      <c r="G49" s="1"/>
      <c r="H49" s="1"/>
    </row>
    <row r="50" spans="1:8" x14ac:dyDescent="0.2">
      <c r="A50" s="1"/>
      <c r="B50" s="1"/>
      <c r="C50" s="1"/>
      <c r="D50" s="1"/>
      <c r="E50" s="1"/>
      <c r="F50" s="1"/>
      <c r="G50" s="1"/>
      <c r="H50" s="1"/>
    </row>
    <row r="51" spans="1:8" x14ac:dyDescent="0.2">
      <c r="A51" s="1"/>
      <c r="B51" s="1"/>
      <c r="C51" s="1"/>
      <c r="D51" s="1"/>
      <c r="E51" s="1"/>
      <c r="F51" s="1"/>
      <c r="G51" s="1"/>
      <c r="H51" s="1"/>
    </row>
    <row r="52" spans="1:8" x14ac:dyDescent="0.2">
      <c r="A52" s="1"/>
      <c r="B52" s="1"/>
      <c r="C52" s="1"/>
      <c r="D52" s="1"/>
      <c r="E52" s="1"/>
      <c r="F52" s="1"/>
      <c r="G52" s="1"/>
      <c r="H52" s="1"/>
    </row>
    <row r="53" spans="1:8" x14ac:dyDescent="0.2">
      <c r="A53" s="1"/>
      <c r="B53" s="1"/>
      <c r="C53" s="1"/>
      <c r="D53" s="1"/>
      <c r="E53" s="1"/>
      <c r="F53" s="1"/>
      <c r="G53" s="1"/>
      <c r="H53" s="1"/>
    </row>
    <row r="54" spans="1:8" x14ac:dyDescent="0.2">
      <c r="A54" s="1"/>
      <c r="B54" s="1"/>
      <c r="C54" s="1"/>
      <c r="D54" s="1"/>
      <c r="E54" s="1"/>
      <c r="F54" s="1"/>
      <c r="G54" s="1"/>
      <c r="H54" s="1"/>
    </row>
    <row r="55" spans="1:8" x14ac:dyDescent="0.2">
      <c r="A55" s="1"/>
      <c r="B55" s="1"/>
      <c r="C55" s="1"/>
      <c r="D55" s="1"/>
      <c r="E55" s="1"/>
      <c r="F55" s="1"/>
      <c r="G55" s="1"/>
      <c r="H55" s="1"/>
    </row>
    <row r="56" spans="1:8" x14ac:dyDescent="0.2">
      <c r="A56" s="1"/>
      <c r="B56" s="1"/>
      <c r="C56" s="1"/>
      <c r="D56" s="1"/>
      <c r="E56" s="1"/>
      <c r="F56" s="1"/>
      <c r="G56" s="1"/>
      <c r="H56" s="1"/>
    </row>
    <row r="57" spans="1:8" x14ac:dyDescent="0.2">
      <c r="A57" s="1"/>
      <c r="B57" s="1"/>
      <c r="C57" s="1"/>
      <c r="D57" s="1"/>
      <c r="E57" s="1"/>
      <c r="F57" s="1"/>
      <c r="G57" s="1"/>
      <c r="H57" s="1"/>
    </row>
    <row r="58" spans="1:8" x14ac:dyDescent="0.2">
      <c r="A58" s="1"/>
      <c r="B58" s="1"/>
      <c r="C58" s="1"/>
      <c r="D58" s="1"/>
      <c r="E58" s="1"/>
      <c r="F58" s="1"/>
      <c r="G58" s="1"/>
      <c r="H58" s="1"/>
    </row>
    <row r="59" spans="1:8" x14ac:dyDescent="0.2">
      <c r="A59" s="1"/>
      <c r="B59" s="1"/>
      <c r="C59" s="1"/>
      <c r="D59" s="1"/>
      <c r="E59" s="1"/>
      <c r="F59" s="1"/>
      <c r="G59" s="1"/>
      <c r="H59" s="1"/>
    </row>
    <row r="60" spans="1:8" x14ac:dyDescent="0.2">
      <c r="A60" s="1"/>
      <c r="B60" s="1"/>
      <c r="C60" s="1"/>
      <c r="D60" s="1"/>
      <c r="E60" s="1"/>
      <c r="F60" s="1"/>
      <c r="G60" s="1"/>
      <c r="H60" s="1"/>
    </row>
    <row r="61" spans="1:8" x14ac:dyDescent="0.2">
      <c r="A61" s="1"/>
      <c r="B61" s="1"/>
      <c r="C61" s="1"/>
      <c r="D61" s="1"/>
      <c r="E61" s="1"/>
      <c r="F61" s="1"/>
      <c r="G61" s="1"/>
      <c r="H61" s="1"/>
    </row>
    <row r="62" spans="1:8" x14ac:dyDescent="0.2">
      <c r="A62" s="1"/>
      <c r="B62" s="1"/>
      <c r="C62" s="1"/>
      <c r="D62" s="1"/>
      <c r="E62" s="1"/>
      <c r="F62" s="1"/>
      <c r="G62" s="1"/>
      <c r="H62" s="1"/>
    </row>
    <row r="63" spans="1:8" x14ac:dyDescent="0.2">
      <c r="A63" s="1"/>
      <c r="B63" s="1"/>
      <c r="C63" s="1"/>
      <c r="D63" s="1"/>
      <c r="E63" s="1"/>
      <c r="F63" s="1"/>
      <c r="G63" s="1"/>
      <c r="H63" s="1"/>
    </row>
    <row r="64" spans="1:8" x14ac:dyDescent="0.2">
      <c r="A64" s="1"/>
      <c r="B64" s="1"/>
      <c r="C64" s="1"/>
      <c r="D64" s="1"/>
      <c r="E64" s="1"/>
      <c r="F64" s="1"/>
      <c r="G64" s="1"/>
      <c r="H64" s="1"/>
    </row>
    <row r="65" spans="1:8" x14ac:dyDescent="0.2">
      <c r="A65" s="1"/>
      <c r="B65" s="1"/>
      <c r="C65" s="1"/>
      <c r="D65" s="1"/>
      <c r="E65" s="1"/>
      <c r="F65" s="1"/>
      <c r="G65" s="1"/>
      <c r="H65" s="1"/>
    </row>
    <row r="66" spans="1:8" x14ac:dyDescent="0.2">
      <c r="A66" s="1"/>
      <c r="B66" s="1"/>
      <c r="C66" s="1"/>
      <c r="D66" s="1"/>
      <c r="E66" s="1"/>
      <c r="F66" s="1"/>
      <c r="G66" s="1"/>
      <c r="H66" s="1"/>
    </row>
    <row r="67" spans="1:8" x14ac:dyDescent="0.2">
      <c r="A67" s="1"/>
      <c r="B67" s="1"/>
      <c r="C67" s="1"/>
      <c r="D67" s="1"/>
      <c r="E67" s="1"/>
      <c r="F67" s="1"/>
      <c r="G67" s="1"/>
      <c r="H67" s="1"/>
    </row>
    <row r="68" spans="1:8" x14ac:dyDescent="0.2">
      <c r="A68" s="1"/>
      <c r="B68" s="1"/>
      <c r="C68" s="1"/>
      <c r="D68" s="1"/>
      <c r="E68" s="1"/>
      <c r="F68" s="1"/>
      <c r="G68" s="1"/>
      <c r="H68" s="1"/>
    </row>
    <row r="69" spans="1:8" x14ac:dyDescent="0.2">
      <c r="A69" s="1"/>
      <c r="B69" s="1"/>
      <c r="C69" s="1"/>
      <c r="D69" s="1"/>
      <c r="E69" s="1"/>
      <c r="F69" s="1"/>
      <c r="G69" s="1"/>
      <c r="H69" s="1"/>
    </row>
    <row r="70" spans="1:8" x14ac:dyDescent="0.2">
      <c r="A70" s="1"/>
      <c r="B70" s="1"/>
      <c r="C70" s="1"/>
      <c r="D70" s="1"/>
      <c r="E70" s="1"/>
      <c r="F70" s="1"/>
      <c r="G70" s="1"/>
      <c r="H70" s="1"/>
    </row>
    <row r="71" spans="1:8" x14ac:dyDescent="0.2">
      <c r="A71" s="1"/>
      <c r="B71" s="1"/>
      <c r="C71" s="1"/>
      <c r="D71" s="1"/>
      <c r="E71" s="1"/>
      <c r="F71" s="1"/>
      <c r="G71" s="1"/>
      <c r="H71" s="1"/>
    </row>
    <row r="72" spans="1:8" x14ac:dyDescent="0.2">
      <c r="A72" s="1"/>
      <c r="B72" s="1"/>
      <c r="C72" s="1"/>
      <c r="D72" s="1"/>
      <c r="E72" s="1"/>
      <c r="F72" s="1"/>
      <c r="G72" s="1"/>
      <c r="H72" s="1"/>
    </row>
    <row r="73" spans="1:8" x14ac:dyDescent="0.2">
      <c r="A73" s="1"/>
      <c r="B73" s="1"/>
      <c r="C73" s="1"/>
      <c r="D73" s="1"/>
      <c r="E73" s="1"/>
      <c r="F73" s="1"/>
      <c r="G73" s="1"/>
      <c r="H73" s="1"/>
    </row>
    <row r="74" spans="1:8" x14ac:dyDescent="0.2">
      <c r="A74" s="1"/>
      <c r="B74" s="1"/>
      <c r="C74" s="1"/>
      <c r="D74" s="1"/>
      <c r="E74" s="1"/>
      <c r="F74" s="1"/>
      <c r="G74" s="1"/>
      <c r="H74" s="1"/>
    </row>
    <row r="75" spans="1:8" x14ac:dyDescent="0.2">
      <c r="A75" s="1"/>
      <c r="B75" s="1"/>
      <c r="C75" s="1"/>
      <c r="D75" s="1"/>
      <c r="E75" s="1"/>
      <c r="F75" s="1"/>
      <c r="G75" s="1"/>
      <c r="H75" s="1"/>
    </row>
    <row r="76" spans="1:8" x14ac:dyDescent="0.2">
      <c r="A76" s="11" t="s">
        <v>1</v>
      </c>
      <c r="B76" s="12"/>
      <c r="C76" s="12"/>
      <c r="D76" s="13"/>
      <c r="E76" s="8"/>
      <c r="F76" s="8"/>
      <c r="G76" s="8"/>
      <c r="H76" s="8"/>
    </row>
    <row r="77" spans="1:8" x14ac:dyDescent="0.2">
      <c r="A77" s="14" t="s">
        <v>15</v>
      </c>
      <c r="B77" s="15"/>
      <c r="C77" s="15"/>
      <c r="D77" s="16"/>
      <c r="E77" s="8"/>
      <c r="F77" s="8"/>
      <c r="G77" s="8"/>
      <c r="H77" s="8"/>
    </row>
    <row r="78" spans="1:8" x14ac:dyDescent="0.2">
      <c r="A78" s="17" t="s">
        <v>62</v>
      </c>
      <c r="B78" s="18"/>
      <c r="C78" s="18"/>
      <c r="D78" s="19"/>
      <c r="E78" s="8"/>
      <c r="F78" s="8"/>
      <c r="G78" s="8"/>
      <c r="H78" s="8"/>
    </row>
    <row r="79" spans="1:8" x14ac:dyDescent="0.2">
      <c r="A79" s="20"/>
      <c r="B79" s="21"/>
      <c r="C79" s="22"/>
      <c r="D79" s="23"/>
      <c r="E79" s="8"/>
      <c r="F79" s="8" t="s">
        <v>34</v>
      </c>
      <c r="G79" s="8"/>
      <c r="H79" s="8"/>
    </row>
    <row r="80" spans="1:8" ht="15.75" x14ac:dyDescent="0.25">
      <c r="A80" s="24" t="s">
        <v>2</v>
      </c>
      <c r="B80" s="25" t="str">
        <f>[1]Charters!B83</f>
        <v>Canyon Grove Academy</v>
      </c>
      <c r="C80" s="26"/>
      <c r="D80" s="27"/>
      <c r="E80" s="8"/>
      <c r="F80" s="8"/>
      <c r="G80" s="8"/>
      <c r="H80" s="8"/>
    </row>
    <row r="81" spans="1:8" x14ac:dyDescent="0.2">
      <c r="A81" s="24"/>
      <c r="B81" s="28"/>
      <c r="C81" s="26"/>
      <c r="D81" s="27"/>
      <c r="E81" s="8"/>
      <c r="F81" s="8"/>
      <c r="G81" s="8"/>
      <c r="H81" s="8"/>
    </row>
    <row r="82" spans="1:8" x14ac:dyDescent="0.2">
      <c r="A82" s="29" t="s">
        <v>0</v>
      </c>
      <c r="B82" s="30">
        <f>[1]Charters!$E$6</f>
        <v>3184</v>
      </c>
      <c r="C82" s="26"/>
      <c r="D82" s="31"/>
      <c r="E82" s="8"/>
      <c r="F82" s="8"/>
      <c r="G82" s="8"/>
      <c r="H82" s="8"/>
    </row>
    <row r="83" spans="1:8" x14ac:dyDescent="0.2">
      <c r="A83" s="32"/>
      <c r="B83" s="6"/>
      <c r="C83" s="33"/>
      <c r="D83" s="34" t="s">
        <v>3</v>
      </c>
      <c r="E83" s="8"/>
      <c r="F83" s="8"/>
      <c r="G83" s="8"/>
      <c r="H83" s="8"/>
    </row>
    <row r="84" spans="1:8" x14ac:dyDescent="0.2">
      <c r="A84" s="29" t="s">
        <v>19</v>
      </c>
      <c r="B84" s="35" t="str">
        <f>[1]Charters!A83</f>
        <v>5G</v>
      </c>
      <c r="C84" s="36" t="s">
        <v>4</v>
      </c>
      <c r="D84" s="37" t="s">
        <v>5</v>
      </c>
      <c r="E84" s="8"/>
      <c r="F84" s="8"/>
      <c r="G84" s="8"/>
      <c r="H84" s="8"/>
    </row>
    <row r="85" spans="1:8" x14ac:dyDescent="0.2">
      <c r="A85" s="38" t="s">
        <v>6</v>
      </c>
      <c r="B85" s="39"/>
      <c r="C85" s="40"/>
      <c r="D85" s="41"/>
      <c r="E85" s="8"/>
      <c r="F85" s="8"/>
      <c r="G85" s="8"/>
      <c r="H85" s="8"/>
    </row>
    <row r="86" spans="1:8" x14ac:dyDescent="0.2">
      <c r="A86" s="38" t="s">
        <v>7</v>
      </c>
      <c r="B86" s="39"/>
      <c r="C86" s="40"/>
      <c r="D86" s="41"/>
      <c r="E86" s="8"/>
      <c r="F86" s="42" t="s">
        <v>23</v>
      </c>
      <c r="G86" s="8"/>
      <c r="H86" s="42" t="s">
        <v>26</v>
      </c>
    </row>
    <row r="87" spans="1:8" x14ac:dyDescent="0.2">
      <c r="A87" s="20" t="s">
        <v>8</v>
      </c>
      <c r="B87" s="43"/>
      <c r="C87" s="44">
        <f>[1]Charters!C543</f>
        <v>484.81700000000001</v>
      </c>
      <c r="D87" s="45">
        <f>[1]Charters!E543</f>
        <v>1543657.87</v>
      </c>
      <c r="E87" s="8"/>
      <c r="F87" s="42">
        <f>[1]Charters!E698</f>
        <v>1606832.07</v>
      </c>
      <c r="G87" s="8"/>
      <c r="H87" s="42">
        <f>[2]Charters!E237</f>
        <v>1970635.65</v>
      </c>
    </row>
    <row r="88" spans="1:8" x14ac:dyDescent="0.2">
      <c r="A88" s="20" t="s">
        <v>14</v>
      </c>
      <c r="B88" s="43"/>
      <c r="C88" s="44">
        <f>[1]Charters!F543</f>
        <v>19.841000000000001</v>
      </c>
      <c r="D88" s="45">
        <f>[1]Charters!H543</f>
        <v>63174.2</v>
      </c>
      <c r="E88" s="8"/>
      <c r="F88" s="42">
        <f>SUM(D87:D89)</f>
        <v>1606832.07</v>
      </c>
      <c r="G88" s="8"/>
      <c r="H88" s="42">
        <f>D100</f>
        <v>1970635.65</v>
      </c>
    </row>
    <row r="89" spans="1:8" x14ac:dyDescent="0.2">
      <c r="A89" s="20" t="s">
        <v>32</v>
      </c>
      <c r="B89" s="43"/>
      <c r="C89" s="44">
        <f>[1]Charters!C236</f>
        <v>0</v>
      </c>
      <c r="D89" s="45">
        <f>[1]Charters!E236</f>
        <v>0</v>
      </c>
      <c r="E89" s="8"/>
      <c r="F89" s="42">
        <f>+F87-F88</f>
        <v>0</v>
      </c>
      <c r="G89" s="8"/>
      <c r="H89" s="42">
        <f>+H87-H88</f>
        <v>0</v>
      </c>
    </row>
    <row r="90" spans="1:8" x14ac:dyDescent="0.2">
      <c r="A90" s="38" t="s">
        <v>9</v>
      </c>
      <c r="B90" s="39"/>
      <c r="C90" s="46"/>
      <c r="D90" s="47"/>
      <c r="E90" s="8"/>
      <c r="F90" s="8"/>
      <c r="G90" s="8"/>
      <c r="H90" s="8"/>
    </row>
    <row r="91" spans="1:8" x14ac:dyDescent="0.2">
      <c r="A91" s="20" t="s">
        <v>10</v>
      </c>
      <c r="B91" s="43"/>
      <c r="C91" s="40">
        <f>[3]Charters!C82</f>
        <v>58.33</v>
      </c>
      <c r="D91" s="41">
        <f>[3]Charters!E82</f>
        <v>185723.49</v>
      </c>
      <c r="E91" s="8"/>
      <c r="F91" s="42" t="s">
        <v>24</v>
      </c>
      <c r="G91" s="8"/>
      <c r="H91" s="8"/>
    </row>
    <row r="92" spans="1:8" x14ac:dyDescent="0.2">
      <c r="A92" s="48" t="s">
        <v>11</v>
      </c>
      <c r="B92" s="43"/>
      <c r="C92" s="40">
        <f>[3]Charters!F82</f>
        <v>1</v>
      </c>
      <c r="D92" s="49">
        <f>[3]Charters!H82</f>
        <v>3184</v>
      </c>
      <c r="E92" s="8"/>
      <c r="F92" s="42">
        <f>[3]Charters!N394</f>
        <v>195516.67</v>
      </c>
      <c r="G92" s="8"/>
      <c r="H92" s="8"/>
    </row>
    <row r="93" spans="1:8" x14ac:dyDescent="0.2">
      <c r="A93" s="48" t="s">
        <v>12</v>
      </c>
      <c r="B93" s="43"/>
      <c r="C93" s="40">
        <f>[3]Charters!C237</f>
        <v>0</v>
      </c>
      <c r="D93" s="41">
        <f>[3]Charters!E237</f>
        <v>0</v>
      </c>
      <c r="E93" s="8"/>
      <c r="F93" s="42">
        <f>SUM(D91:D97)</f>
        <v>195516.67</v>
      </c>
      <c r="G93" s="8"/>
      <c r="H93" s="8"/>
    </row>
    <row r="94" spans="1:8" x14ac:dyDescent="0.2">
      <c r="A94" s="20" t="s">
        <v>13</v>
      </c>
      <c r="B94" s="43"/>
      <c r="C94" s="40">
        <f>[3]Charters!F237</f>
        <v>0.70899999999999996</v>
      </c>
      <c r="D94" s="41">
        <f>[3]Charters!H237</f>
        <v>2259</v>
      </c>
      <c r="E94" s="8"/>
      <c r="F94" s="42">
        <f>+F92-F93</f>
        <v>0</v>
      </c>
      <c r="G94" s="8"/>
      <c r="H94" s="8"/>
    </row>
    <row r="95" spans="1:8" x14ac:dyDescent="0.2">
      <c r="A95" s="48" t="s">
        <v>54</v>
      </c>
      <c r="B95" s="43"/>
      <c r="C95" s="40">
        <f>[3]Charters!C394</f>
        <v>1.3660000000000001</v>
      </c>
      <c r="D95" s="41">
        <f>[3]Charters!E394</f>
        <v>4350.18</v>
      </c>
      <c r="E95" s="8"/>
      <c r="F95" s="8"/>
      <c r="G95" s="8"/>
      <c r="H95" s="8"/>
    </row>
    <row r="96" spans="1:8" x14ac:dyDescent="0.2">
      <c r="A96" s="48" t="s">
        <v>55</v>
      </c>
      <c r="B96" s="43"/>
      <c r="C96" s="40">
        <f>[3]Charters!F394</f>
        <v>0</v>
      </c>
      <c r="D96" s="41">
        <f>[3]Charters!H394</f>
        <v>0</v>
      </c>
      <c r="E96" s="8"/>
      <c r="F96" s="42" t="s">
        <v>25</v>
      </c>
      <c r="G96" s="8"/>
      <c r="H96" s="8"/>
    </row>
    <row r="97" spans="1:8" x14ac:dyDescent="0.2">
      <c r="A97" s="48" t="s">
        <v>56</v>
      </c>
      <c r="B97" s="43"/>
      <c r="C97" s="40">
        <f>[3]Charters!I394</f>
        <v>0</v>
      </c>
      <c r="D97" s="41">
        <f>[3]Charters!K394</f>
        <v>0</v>
      </c>
      <c r="E97" s="8"/>
      <c r="F97" s="42">
        <f>[2]Charters!H83</f>
        <v>363803.58</v>
      </c>
      <c r="G97" s="8"/>
      <c r="H97" s="8"/>
    </row>
    <row r="98" spans="1:8" x14ac:dyDescent="0.2">
      <c r="A98" s="20" t="s">
        <v>49</v>
      </c>
      <c r="B98" s="43"/>
      <c r="C98" s="40">
        <f>[3]Charters!C550</f>
        <v>1.3240000000000001</v>
      </c>
      <c r="D98" s="41">
        <f>[3]Charters!E550</f>
        <v>4216.3500000000004</v>
      </c>
      <c r="E98" s="8"/>
      <c r="F98" s="42">
        <f>SUM(D91:D99)</f>
        <v>363803.58</v>
      </c>
      <c r="G98" s="8"/>
      <c r="H98" s="8"/>
    </row>
    <row r="99" spans="1:8" x14ac:dyDescent="0.2">
      <c r="A99" s="20" t="s">
        <v>50</v>
      </c>
      <c r="B99" s="43"/>
      <c r="C99" s="40">
        <f>[2]Charters!C83</f>
        <v>51.53</v>
      </c>
      <c r="D99" s="41">
        <f>[2]Charters!E83</f>
        <v>164070.56</v>
      </c>
      <c r="E99" s="8"/>
      <c r="F99" s="42">
        <f>+F97-F98</f>
        <v>0</v>
      </c>
      <c r="G99" s="8"/>
      <c r="H99" s="8"/>
    </row>
    <row r="100" spans="1:8" x14ac:dyDescent="0.2">
      <c r="A100" s="50"/>
      <c r="B100" s="51" t="s">
        <v>16</v>
      </c>
      <c r="C100" s="52">
        <f>SUM(C87:C99)</f>
        <v>618.91700000000003</v>
      </c>
      <c r="D100" s="53">
        <f>SUM(D87:D99)</f>
        <v>1970635.65</v>
      </c>
      <c r="E100" s="8"/>
      <c r="F100" s="8"/>
      <c r="G100" s="8"/>
      <c r="H100" s="8"/>
    </row>
    <row r="101" spans="1:8" x14ac:dyDescent="0.2">
      <c r="A101" s="54" t="s">
        <v>17</v>
      </c>
      <c r="B101" s="39"/>
      <c r="C101" s="55"/>
      <c r="D101" s="47"/>
      <c r="E101" s="8"/>
      <c r="F101" s="8"/>
      <c r="G101" s="8"/>
      <c r="H101" s="42" t="s">
        <v>29</v>
      </c>
    </row>
    <row r="102" spans="1:8" x14ac:dyDescent="0.2">
      <c r="A102" s="20" t="s">
        <v>33</v>
      </c>
      <c r="B102" s="43"/>
      <c r="C102" s="56"/>
      <c r="D102" s="57">
        <f>[4]Charters!C83</f>
        <v>5711.82</v>
      </c>
      <c r="E102" s="8"/>
      <c r="F102" s="8"/>
      <c r="G102" s="8"/>
      <c r="H102" s="42">
        <f>[4]Charters!F1023</f>
        <v>3457906.97</v>
      </c>
    </row>
    <row r="103" spans="1:8" x14ac:dyDescent="0.2">
      <c r="A103" s="58" t="s">
        <v>35</v>
      </c>
      <c r="B103" s="43"/>
      <c r="C103" s="56"/>
      <c r="D103" s="41">
        <f>+[4]Charters!F404</f>
        <v>2333.42</v>
      </c>
      <c r="E103" s="8"/>
      <c r="F103" s="8"/>
      <c r="G103" s="8"/>
      <c r="H103" s="42">
        <f>SUM(D100:D119)</f>
        <v>3457906.97</v>
      </c>
    </row>
    <row r="104" spans="1:8" x14ac:dyDescent="0.2">
      <c r="A104" s="59" t="s">
        <v>36</v>
      </c>
      <c r="B104" s="43"/>
      <c r="C104" s="56"/>
      <c r="D104" s="41">
        <f>[4]Charters!E243</f>
        <v>21874</v>
      </c>
      <c r="E104" s="8"/>
      <c r="F104" s="8"/>
      <c r="G104" s="8"/>
      <c r="H104" s="42">
        <f>+H102-H103</f>
        <v>0</v>
      </c>
    </row>
    <row r="105" spans="1:8" x14ac:dyDescent="0.2">
      <c r="A105" s="59" t="s">
        <v>52</v>
      </c>
      <c r="B105" s="43"/>
      <c r="C105" s="56"/>
      <c r="D105" s="41">
        <f>[4]Charters!G404</f>
        <v>0</v>
      </c>
      <c r="E105" s="8"/>
      <c r="F105" s="42" t="s">
        <v>27</v>
      </c>
      <c r="G105" s="8"/>
      <c r="H105" s="42"/>
    </row>
    <row r="106" spans="1:8" x14ac:dyDescent="0.2">
      <c r="A106" s="20" t="s">
        <v>37</v>
      </c>
      <c r="B106" s="43"/>
      <c r="C106" s="56"/>
      <c r="D106" s="41">
        <f>[4]Charters!E560</f>
        <v>27311</v>
      </c>
      <c r="E106" s="8"/>
      <c r="F106" s="42">
        <f>[4]Charters!E243</f>
        <v>21874</v>
      </c>
      <c r="G106" s="8"/>
      <c r="H106" s="8"/>
    </row>
    <row r="107" spans="1:8" x14ac:dyDescent="0.2">
      <c r="A107" s="20" t="s">
        <v>38</v>
      </c>
      <c r="B107" s="43"/>
      <c r="C107" s="56"/>
      <c r="D107" s="41">
        <f>[4]Charters!F560</f>
        <v>1008</v>
      </c>
      <c r="E107" s="8"/>
      <c r="F107" s="42">
        <f>SUM(D104:D104)</f>
        <v>21874</v>
      </c>
      <c r="G107" s="8"/>
      <c r="H107" s="8"/>
    </row>
    <row r="108" spans="1:8" x14ac:dyDescent="0.2">
      <c r="A108" s="59" t="s">
        <v>40</v>
      </c>
      <c r="B108" s="43"/>
      <c r="C108" s="56"/>
      <c r="D108" s="41">
        <f>[4]Charters!G560</f>
        <v>0</v>
      </c>
      <c r="E108" s="8"/>
      <c r="F108" s="42">
        <f>+F106-F107</f>
        <v>0</v>
      </c>
      <c r="G108" s="8"/>
      <c r="H108" s="8"/>
    </row>
    <row r="109" spans="1:8" x14ac:dyDescent="0.2">
      <c r="A109" s="20" t="s">
        <v>41</v>
      </c>
      <c r="B109" s="43"/>
      <c r="C109" s="56"/>
      <c r="D109" s="41">
        <f>[4]Charters!C714</f>
        <v>1226613</v>
      </c>
      <c r="E109" s="8"/>
      <c r="F109" s="42" t="s">
        <v>28</v>
      </c>
      <c r="G109" s="8"/>
      <c r="H109" s="8"/>
    </row>
    <row r="110" spans="1:8" x14ac:dyDescent="0.2">
      <c r="A110" s="20" t="s">
        <v>42</v>
      </c>
      <c r="B110" s="43"/>
      <c r="C110" s="56"/>
      <c r="D110" s="41">
        <f>[4]Charters!D714</f>
        <v>97516.51</v>
      </c>
      <c r="E110" s="8"/>
      <c r="F110" s="42">
        <f>[4]Charters!D560</f>
        <v>24207.42</v>
      </c>
      <c r="G110" s="8"/>
      <c r="H110" s="8"/>
    </row>
    <row r="111" spans="1:8" x14ac:dyDescent="0.2">
      <c r="A111" s="20" t="s">
        <v>44</v>
      </c>
      <c r="B111" s="43"/>
      <c r="C111" s="56"/>
      <c r="D111" s="41">
        <f>[4]Charters!E714</f>
        <v>61300</v>
      </c>
      <c r="E111" s="8"/>
      <c r="F111" s="42">
        <f>SUM(D103:D105)</f>
        <v>24207.42</v>
      </c>
      <c r="G111" s="8"/>
      <c r="H111" s="8"/>
    </row>
    <row r="112" spans="1:8" x14ac:dyDescent="0.2">
      <c r="A112" s="59" t="s">
        <v>43</v>
      </c>
      <c r="B112" s="43"/>
      <c r="C112" s="56"/>
      <c r="D112" s="41">
        <f>[4]Charters!F714</f>
        <v>17060.71</v>
      </c>
      <c r="E112" s="8"/>
      <c r="F112" s="42">
        <f>+F110-F111</f>
        <v>0</v>
      </c>
      <c r="G112" s="8"/>
      <c r="H112" s="8"/>
    </row>
    <row r="113" spans="1:8" x14ac:dyDescent="0.2">
      <c r="A113" s="59" t="s">
        <v>45</v>
      </c>
      <c r="B113" s="43"/>
      <c r="C113" s="56"/>
      <c r="D113" s="41">
        <f>[4]Charters!C560</f>
        <v>0</v>
      </c>
      <c r="E113" s="8"/>
      <c r="F113" s="8"/>
      <c r="G113" s="8"/>
      <c r="H113" s="8"/>
    </row>
    <row r="114" spans="1:8" x14ac:dyDescent="0.2">
      <c r="A114" s="59" t="s">
        <v>46</v>
      </c>
      <c r="B114" s="43"/>
      <c r="C114" s="56"/>
      <c r="D114" s="41">
        <f>[4]Charters!C870</f>
        <v>0</v>
      </c>
      <c r="E114" s="42"/>
      <c r="F114" s="42"/>
      <c r="G114" s="42"/>
      <c r="H114" s="42" t="s">
        <v>31</v>
      </c>
    </row>
    <row r="115" spans="1:8" x14ac:dyDescent="0.2">
      <c r="A115" s="59" t="s">
        <v>51</v>
      </c>
      <c r="B115" s="43"/>
      <c r="C115" s="56"/>
      <c r="D115" s="60">
        <f>[4]Charters!D870</f>
        <v>580.86</v>
      </c>
      <c r="E115" s="42"/>
      <c r="F115" s="42"/>
      <c r="G115" s="42"/>
      <c r="H115" s="42">
        <f>[4]Charters!D1329</f>
        <v>3461534.41</v>
      </c>
    </row>
    <row r="116" spans="1:8" x14ac:dyDescent="0.2">
      <c r="A116" s="20" t="s">
        <v>47</v>
      </c>
      <c r="B116" s="43"/>
      <c r="C116" s="56"/>
      <c r="D116" s="60">
        <f>[4]Charters!E870</f>
        <v>25962</v>
      </c>
      <c r="E116" s="42"/>
      <c r="F116" s="42"/>
      <c r="G116" s="42"/>
      <c r="H116" s="42">
        <f>D125</f>
        <v>3461534.41</v>
      </c>
    </row>
    <row r="117" spans="1:8" x14ac:dyDescent="0.2">
      <c r="A117" s="20" t="s">
        <v>57</v>
      </c>
      <c r="B117" s="43"/>
      <c r="C117" s="56"/>
      <c r="D117" s="60">
        <f>[4]Charters!C1023</f>
        <v>0</v>
      </c>
      <c r="E117" s="42"/>
      <c r="F117" s="42"/>
      <c r="G117" s="42"/>
      <c r="H117" s="42">
        <f>+H115-H116</f>
        <v>0</v>
      </c>
    </row>
    <row r="118" spans="1:8" x14ac:dyDescent="0.2">
      <c r="A118" s="59" t="s">
        <v>53</v>
      </c>
      <c r="B118" s="43"/>
      <c r="C118" s="56"/>
      <c r="D118" s="60">
        <f>[4]Charters!D1023</f>
        <v>0</v>
      </c>
      <c r="E118" s="42"/>
      <c r="F118" s="42" t="s">
        <v>30</v>
      </c>
      <c r="G118" s="42"/>
      <c r="H118" s="42"/>
    </row>
    <row r="119" spans="1:8" x14ac:dyDescent="0.2">
      <c r="A119" s="59" t="s">
        <v>59</v>
      </c>
      <c r="B119" s="43"/>
      <c r="C119" s="56"/>
      <c r="D119" s="60">
        <f>[4]Charters!E1023</f>
        <v>0</v>
      </c>
      <c r="E119" s="42"/>
      <c r="F119" s="42"/>
      <c r="G119" s="42"/>
      <c r="H119" s="42"/>
    </row>
    <row r="120" spans="1:8" x14ac:dyDescent="0.2">
      <c r="A120" s="38" t="s">
        <v>18</v>
      </c>
      <c r="B120" s="61"/>
      <c r="C120" s="62"/>
      <c r="D120" s="87"/>
      <c r="E120" s="42"/>
      <c r="F120" s="42">
        <f>[4]Charters!C1329</f>
        <v>3627.44</v>
      </c>
      <c r="G120" s="42"/>
      <c r="H120" s="42"/>
    </row>
    <row r="121" spans="1:8" x14ac:dyDescent="0.2">
      <c r="A121" s="59" t="s">
        <v>39</v>
      </c>
      <c r="B121" s="43"/>
      <c r="C121" s="56"/>
      <c r="D121" s="41">
        <f>[4]Charters!C1176</f>
        <v>3627.44</v>
      </c>
      <c r="E121" s="42"/>
      <c r="F121" s="42">
        <f>SUM(D121:D124)</f>
        <v>3627.44</v>
      </c>
      <c r="G121" s="42"/>
      <c r="H121" s="42"/>
    </row>
    <row r="122" spans="1:8" x14ac:dyDescent="0.2">
      <c r="A122" s="59" t="s">
        <v>48</v>
      </c>
      <c r="B122" s="43"/>
      <c r="C122" s="56"/>
      <c r="D122" s="41">
        <f>[4]Charters!D1176</f>
        <v>0</v>
      </c>
      <c r="E122" s="42"/>
      <c r="F122" s="42">
        <f>+F120-F121</f>
        <v>0</v>
      </c>
      <c r="G122" s="42"/>
      <c r="H122" s="42"/>
    </row>
    <row r="123" spans="1:8" x14ac:dyDescent="0.2">
      <c r="A123" s="59" t="s">
        <v>60</v>
      </c>
      <c r="B123" s="43"/>
      <c r="C123" s="56"/>
      <c r="D123" s="41">
        <f>[4]Charters!E1176</f>
        <v>0</v>
      </c>
      <c r="E123" s="42"/>
      <c r="F123" s="42"/>
      <c r="G123" s="42"/>
      <c r="H123" s="42"/>
    </row>
    <row r="124" spans="1:8" x14ac:dyDescent="0.2">
      <c r="A124" s="59" t="s">
        <v>61</v>
      </c>
      <c r="B124" s="43"/>
      <c r="C124" s="56"/>
      <c r="D124" s="41">
        <f>[4]Charters!F1176</f>
        <v>0</v>
      </c>
      <c r="E124" s="42"/>
      <c r="F124" s="42"/>
      <c r="G124" s="42"/>
      <c r="H124" s="42"/>
    </row>
    <row r="125" spans="1:8" ht="13.5" thickBot="1" x14ac:dyDescent="0.25">
      <c r="A125" s="64"/>
      <c r="B125" s="65"/>
      <c r="C125" s="66"/>
      <c r="D125" s="67">
        <f>SUM(D100:D124)</f>
        <v>3461534.41</v>
      </c>
      <c r="E125" s="42"/>
      <c r="F125" s="42"/>
      <c r="G125" s="42"/>
      <c r="H125" s="42"/>
    </row>
    <row r="126" spans="1:8" ht="13.5" thickTop="1" x14ac:dyDescent="0.2">
      <c r="A126" s="68"/>
      <c r="B126" s="43"/>
      <c r="C126" s="56"/>
      <c r="D126" s="86"/>
      <c r="E126" s="42"/>
      <c r="F126" s="42"/>
      <c r="G126" s="42"/>
      <c r="H126" s="42"/>
    </row>
    <row r="127" spans="1:8" x14ac:dyDescent="0.2">
      <c r="A127" s="38" t="s">
        <v>20</v>
      </c>
      <c r="B127" s="39"/>
      <c r="C127" s="70"/>
      <c r="D127" s="71" t="s">
        <v>21</v>
      </c>
      <c r="E127" s="42"/>
      <c r="F127" s="42"/>
      <c r="G127" s="42"/>
      <c r="H127" s="42"/>
    </row>
    <row r="128" spans="1:8" x14ac:dyDescent="0.2">
      <c r="A128" s="72" t="s">
        <v>22</v>
      </c>
      <c r="B128" s="73"/>
      <c r="C128" s="74"/>
      <c r="D128" s="41">
        <f>[5]Charters!C82</f>
        <v>910.07</v>
      </c>
      <c r="E128" s="42"/>
      <c r="F128" s="42"/>
      <c r="G128" s="42"/>
      <c r="H128" s="42"/>
    </row>
    <row r="129" spans="1:8" x14ac:dyDescent="0.2">
      <c r="A129" s="75"/>
      <c r="B129" s="61"/>
      <c r="C129" s="76"/>
      <c r="D129" s="77">
        <f>SUM(D128:D128)</f>
        <v>910.07</v>
      </c>
      <c r="E129" s="42"/>
      <c r="F129" s="42"/>
      <c r="G129" s="42"/>
      <c r="H129" s="42"/>
    </row>
    <row r="130" spans="1:8" x14ac:dyDescent="0.2">
      <c r="A130" s="78" t="s">
        <v>58</v>
      </c>
      <c r="B130" s="79"/>
      <c r="C130" s="80"/>
      <c r="D130" s="77">
        <f>D129+D125</f>
        <v>3462444.48</v>
      </c>
      <c r="E130" s="42"/>
      <c r="F130" s="42"/>
      <c r="G130" s="42"/>
      <c r="H130" s="42"/>
    </row>
    <row r="131" spans="1:8" x14ac:dyDescent="0.2">
      <c r="A131" s="84"/>
      <c r="B131" s="84"/>
      <c r="C131" s="85"/>
      <c r="D131" s="81"/>
      <c r="E131" s="42"/>
      <c r="F131" s="42"/>
      <c r="G131" s="42"/>
      <c r="H131" s="42"/>
    </row>
    <row r="132" spans="1:8" x14ac:dyDescent="0.2">
      <c r="A132" s="84"/>
      <c r="B132" s="84"/>
      <c r="C132" s="85"/>
      <c r="D132" s="81">
        <f>[5]Charters!E238</f>
        <v>3462444.48</v>
      </c>
      <c r="E132" s="42"/>
      <c r="F132" s="42"/>
      <c r="G132" s="42"/>
      <c r="H132" s="42"/>
    </row>
    <row r="133" spans="1:8" x14ac:dyDescent="0.2">
      <c r="A133" s="84"/>
      <c r="B133" s="84"/>
      <c r="C133" s="85"/>
      <c r="D133" s="81">
        <f>D130</f>
        <v>3462444.48</v>
      </c>
      <c r="E133" s="42"/>
      <c r="F133" s="42"/>
      <c r="G133" s="42"/>
      <c r="H133" s="42"/>
    </row>
    <row r="134" spans="1:8" x14ac:dyDescent="0.2">
      <c r="C134" s="83"/>
      <c r="D134" s="42">
        <f>D132-D133</f>
        <v>0</v>
      </c>
      <c r="E134" s="42"/>
      <c r="F134" s="42"/>
      <c r="G134" s="42"/>
      <c r="H134" s="42"/>
    </row>
  </sheetData>
  <mergeCells count="4">
    <mergeCell ref="A130:C130"/>
    <mergeCell ref="A77:D77"/>
    <mergeCell ref="A78:D78"/>
    <mergeCell ref="A76:D76"/>
  </mergeCells>
  <printOptions horizontalCentered="1" verticalCentered="1"/>
  <pageMargins left="0.5" right="0.5" top="0.5" bottom="0.5" header="0.25" footer="0.25"/>
  <pageSetup orientation="portrait" r:id="rId1"/>
  <headerFooter alignWithMargins="0">
    <oddHeader>&amp;R&amp;8Current as of: &amp;D</oddHeader>
    <oddFooter>&amp;L&amp;8USOE, School Finance</oddFooter>
  </headerFooter>
  <picture r:id="rId2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sheetPr>
    <pageSetUpPr fitToPage="1"/>
  </sheetPr>
  <dimension ref="A1:H135"/>
  <sheetViews>
    <sheetView topLeftCell="A73" workbookViewId="0">
      <selection activeCell="C12" sqref="C12"/>
    </sheetView>
  </sheetViews>
  <sheetFormatPr defaultColWidth="9.140625" defaultRowHeight="12.75" x14ac:dyDescent="0.2"/>
  <cols>
    <col min="1" max="1" width="31.85546875" style="82" customWidth="1"/>
    <col min="2" max="2" width="16.28515625" style="82" customWidth="1"/>
    <col min="3" max="4" width="14.85546875" style="82" customWidth="1"/>
    <col min="5" max="5" width="7" style="82" customWidth="1"/>
    <col min="6" max="6" width="19.7109375" style="82" customWidth="1"/>
    <col min="7" max="7" width="5.7109375" style="82" customWidth="1"/>
    <col min="8" max="8" width="18" style="82" customWidth="1"/>
    <col min="9" max="16384" width="9.140625" style="82"/>
  </cols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"/>
      <c r="B3" s="1"/>
      <c r="C3" s="1"/>
      <c r="D3" s="1"/>
      <c r="E3" s="1"/>
      <c r="F3" s="1"/>
      <c r="G3" s="1"/>
      <c r="H3" s="1"/>
    </row>
    <row r="4" spans="1:8" x14ac:dyDescent="0.2">
      <c r="A4" s="1"/>
      <c r="B4" s="1"/>
      <c r="C4" s="1"/>
      <c r="D4" s="1"/>
      <c r="E4" s="1"/>
      <c r="F4" s="1"/>
      <c r="G4" s="1"/>
      <c r="H4" s="1"/>
    </row>
    <row r="5" spans="1:8" x14ac:dyDescent="0.2">
      <c r="A5" s="1"/>
      <c r="B5" s="1"/>
      <c r="C5" s="1"/>
      <c r="D5" s="1"/>
      <c r="E5" s="1"/>
      <c r="F5" s="1"/>
      <c r="G5" s="1"/>
      <c r="H5" s="1"/>
    </row>
    <row r="6" spans="1:8" x14ac:dyDescent="0.2">
      <c r="A6" s="1"/>
      <c r="B6" s="1"/>
      <c r="C6" s="1"/>
      <c r="D6" s="1"/>
      <c r="E6" s="1"/>
      <c r="F6" s="1"/>
      <c r="G6" s="1"/>
      <c r="H6" s="1"/>
    </row>
    <row r="7" spans="1:8" x14ac:dyDescent="0.2">
      <c r="A7" s="1"/>
      <c r="B7" s="1"/>
      <c r="C7" s="1"/>
      <c r="D7" s="1"/>
      <c r="E7" s="1"/>
      <c r="F7" s="1"/>
      <c r="G7" s="1"/>
      <c r="H7" s="1"/>
    </row>
    <row r="8" spans="1:8" x14ac:dyDescent="0.2">
      <c r="A8" s="1"/>
      <c r="B8" s="1"/>
      <c r="C8" s="1"/>
      <c r="D8" s="1"/>
      <c r="E8" s="1"/>
      <c r="F8" s="1"/>
      <c r="G8" s="1"/>
      <c r="H8" s="1"/>
    </row>
    <row r="9" spans="1:8" x14ac:dyDescent="0.2">
      <c r="A9" s="1"/>
      <c r="B9" s="1"/>
      <c r="C9" s="1"/>
      <c r="D9" s="1"/>
      <c r="E9" s="1"/>
      <c r="F9" s="1"/>
      <c r="G9" s="1"/>
      <c r="H9" s="1"/>
    </row>
    <row r="10" spans="1:8" x14ac:dyDescent="0.2">
      <c r="A10" s="1"/>
      <c r="B10" s="1"/>
      <c r="C10" s="1"/>
      <c r="D10" s="1"/>
      <c r="E10" s="1"/>
      <c r="F10" s="1"/>
      <c r="G10" s="1"/>
      <c r="H10" s="1"/>
    </row>
    <row r="11" spans="1:8" x14ac:dyDescent="0.2">
      <c r="A11" s="1"/>
      <c r="B11" s="1"/>
      <c r="C11" s="1"/>
      <c r="D11" s="1"/>
      <c r="E11" s="1"/>
      <c r="F11" s="1"/>
      <c r="G11" s="1"/>
      <c r="H11" s="1"/>
    </row>
    <row r="12" spans="1:8" x14ac:dyDescent="0.2">
      <c r="A12" s="1"/>
      <c r="B12" s="1"/>
      <c r="C12" s="1"/>
      <c r="D12" s="1"/>
      <c r="E12" s="1"/>
      <c r="F12" s="1"/>
      <c r="G12" s="1"/>
      <c r="H12" s="1"/>
    </row>
    <row r="13" spans="1:8" x14ac:dyDescent="0.2">
      <c r="A13" s="1"/>
      <c r="B13" s="1"/>
      <c r="C13" s="1"/>
      <c r="D13" s="1"/>
      <c r="E13" s="1"/>
      <c r="F13" s="1"/>
      <c r="G13" s="1"/>
      <c r="H13" s="1"/>
    </row>
    <row r="14" spans="1:8" x14ac:dyDescent="0.2">
      <c r="A14" s="1"/>
      <c r="B14" s="1"/>
      <c r="C14" s="1"/>
      <c r="D14" s="1"/>
      <c r="E14" s="1"/>
      <c r="F14" s="1"/>
      <c r="G14" s="1"/>
      <c r="H14" s="1"/>
    </row>
    <row r="15" spans="1:8" x14ac:dyDescent="0.2">
      <c r="A15" s="1"/>
      <c r="B15" s="1"/>
      <c r="C15" s="1"/>
      <c r="D15" s="1"/>
      <c r="E15" s="1"/>
      <c r="F15" s="1"/>
      <c r="G15" s="1"/>
      <c r="H15" s="1"/>
    </row>
    <row r="16" spans="1:8" x14ac:dyDescent="0.2">
      <c r="A16" s="1"/>
      <c r="B16" s="1"/>
      <c r="C16" s="1"/>
      <c r="D16" s="1"/>
      <c r="E16" s="1"/>
      <c r="F16" s="1"/>
      <c r="G16" s="1"/>
      <c r="H16" s="1"/>
    </row>
    <row r="17" spans="1:8" x14ac:dyDescent="0.2">
      <c r="A17" s="1"/>
      <c r="B17" s="1"/>
      <c r="C17" s="1"/>
      <c r="D17" s="1"/>
      <c r="E17" s="1"/>
      <c r="F17" s="1"/>
      <c r="G17" s="1"/>
      <c r="H17" s="1"/>
    </row>
    <row r="18" spans="1:8" x14ac:dyDescent="0.2">
      <c r="A18" s="1"/>
      <c r="B18" s="1"/>
      <c r="C18" s="1"/>
      <c r="D18" s="1"/>
      <c r="E18" s="1"/>
      <c r="F18" s="1"/>
      <c r="G18" s="1"/>
      <c r="H18" s="1"/>
    </row>
    <row r="19" spans="1:8" x14ac:dyDescent="0.2">
      <c r="A19" s="1"/>
      <c r="B19" s="1"/>
      <c r="C19" s="1"/>
      <c r="D19" s="1"/>
      <c r="E19" s="1"/>
      <c r="F19" s="1"/>
      <c r="G19" s="1"/>
      <c r="H19" s="1"/>
    </row>
    <row r="20" spans="1:8" x14ac:dyDescent="0.2">
      <c r="A20" s="1"/>
      <c r="B20" s="1"/>
      <c r="C20" s="1"/>
      <c r="D20" s="1"/>
      <c r="E20" s="1"/>
      <c r="F20" s="1"/>
      <c r="G20" s="1"/>
      <c r="H20" s="1"/>
    </row>
    <row r="21" spans="1:8" x14ac:dyDescent="0.2">
      <c r="A21" s="1"/>
      <c r="B21" s="1"/>
      <c r="C21" s="1"/>
      <c r="D21" s="1"/>
      <c r="E21" s="1"/>
      <c r="F21" s="1"/>
      <c r="G21" s="1"/>
      <c r="H21" s="1"/>
    </row>
    <row r="22" spans="1:8" x14ac:dyDescent="0.2">
      <c r="A22" s="1"/>
      <c r="B22" s="1"/>
      <c r="C22" s="1"/>
      <c r="D22" s="4"/>
      <c r="E22" s="1"/>
      <c r="F22" s="1"/>
      <c r="G22" s="1"/>
      <c r="H22" s="1"/>
    </row>
    <row r="23" spans="1:8" x14ac:dyDescent="0.2">
      <c r="A23" s="1"/>
      <c r="B23" s="1"/>
      <c r="C23" s="1"/>
      <c r="D23" s="1"/>
      <c r="E23" s="1"/>
      <c r="F23" s="1"/>
      <c r="G23" s="1"/>
      <c r="H23" s="1"/>
    </row>
    <row r="24" spans="1:8" x14ac:dyDescent="0.2">
      <c r="A24" s="1"/>
      <c r="B24" s="1"/>
      <c r="C24" s="1"/>
      <c r="D24" s="1"/>
      <c r="E24" s="1"/>
      <c r="F24" s="1"/>
      <c r="G24" s="1"/>
      <c r="H24" s="1"/>
    </row>
    <row r="25" spans="1:8" x14ac:dyDescent="0.2">
      <c r="A25" s="1"/>
      <c r="B25" s="1"/>
      <c r="C25" s="1"/>
      <c r="D25" s="1"/>
      <c r="E25" s="1"/>
      <c r="F25" s="1"/>
      <c r="G25" s="1"/>
      <c r="H25" s="1"/>
    </row>
    <row r="26" spans="1:8" x14ac:dyDescent="0.2">
      <c r="A26" s="1"/>
      <c r="B26" s="1"/>
      <c r="C26" s="1"/>
      <c r="D26" s="1"/>
      <c r="E26" s="1"/>
      <c r="F26" s="1"/>
      <c r="G26" s="1"/>
      <c r="H26" s="1"/>
    </row>
    <row r="27" spans="1:8" x14ac:dyDescent="0.2">
      <c r="A27" s="1"/>
      <c r="B27" s="1"/>
      <c r="C27" s="1"/>
      <c r="D27" s="1"/>
      <c r="E27" s="1"/>
      <c r="F27" s="1"/>
      <c r="G27" s="1"/>
      <c r="H27" s="1"/>
    </row>
    <row r="28" spans="1:8" x14ac:dyDescent="0.2">
      <c r="A28" s="1"/>
      <c r="B28" s="1"/>
      <c r="C28" s="1"/>
      <c r="D28" s="1"/>
      <c r="E28" s="1"/>
      <c r="F28" s="1"/>
      <c r="G28" s="1"/>
      <c r="H28" s="1"/>
    </row>
    <row r="29" spans="1:8" x14ac:dyDescent="0.2">
      <c r="A29" s="1"/>
      <c r="B29" s="1"/>
      <c r="C29" s="1"/>
      <c r="D29" s="1"/>
      <c r="E29" s="1"/>
      <c r="F29" s="1"/>
      <c r="G29" s="1"/>
      <c r="H29" s="1"/>
    </row>
    <row r="30" spans="1:8" x14ac:dyDescent="0.2">
      <c r="A30" s="1"/>
      <c r="B30" s="1"/>
      <c r="C30" s="1"/>
      <c r="D30" s="1"/>
      <c r="E30" s="1"/>
      <c r="F30" s="1"/>
      <c r="G30" s="1"/>
      <c r="H30" s="1"/>
    </row>
    <row r="31" spans="1:8" x14ac:dyDescent="0.2">
      <c r="A31" s="1"/>
      <c r="B31" s="1"/>
      <c r="C31" s="1"/>
      <c r="D31" s="1"/>
      <c r="E31" s="1"/>
      <c r="F31" s="1"/>
      <c r="G31" s="1"/>
      <c r="H31" s="1"/>
    </row>
    <row r="32" spans="1:8" x14ac:dyDescent="0.2">
      <c r="A32" s="1"/>
      <c r="B32" s="1"/>
      <c r="C32" s="1"/>
      <c r="D32" s="1"/>
      <c r="E32" s="1"/>
      <c r="F32" s="1"/>
      <c r="G32" s="1"/>
      <c r="H32" s="1"/>
    </row>
    <row r="33" spans="1:8" x14ac:dyDescent="0.2">
      <c r="A33" s="1"/>
      <c r="B33" s="1"/>
      <c r="C33" s="1"/>
      <c r="D33" s="1"/>
      <c r="E33" s="1"/>
      <c r="F33" s="1"/>
      <c r="G33" s="1"/>
      <c r="H33" s="1"/>
    </row>
    <row r="34" spans="1:8" x14ac:dyDescent="0.2">
      <c r="A34" s="1"/>
      <c r="B34" s="1"/>
      <c r="C34" s="1"/>
      <c r="D34" s="1"/>
      <c r="E34" s="1"/>
      <c r="F34" s="1"/>
      <c r="G34" s="1"/>
      <c r="H34" s="1"/>
    </row>
    <row r="35" spans="1:8" x14ac:dyDescent="0.2">
      <c r="A35" s="1"/>
      <c r="B35" s="1"/>
      <c r="C35" s="1"/>
      <c r="D35" s="1"/>
      <c r="E35" s="1"/>
      <c r="F35" s="1"/>
      <c r="G35" s="1"/>
      <c r="H35" s="1"/>
    </row>
    <row r="36" spans="1:8" x14ac:dyDescent="0.2">
      <c r="A36" s="1"/>
      <c r="B36" s="1"/>
      <c r="C36" s="1"/>
      <c r="D36" s="1"/>
      <c r="E36" s="1"/>
      <c r="F36" s="1"/>
      <c r="G36" s="1"/>
      <c r="H36" s="1"/>
    </row>
    <row r="37" spans="1:8" x14ac:dyDescent="0.2">
      <c r="A37" s="1"/>
      <c r="B37" s="1"/>
      <c r="C37" s="1"/>
      <c r="D37" s="1"/>
      <c r="E37" s="1"/>
      <c r="F37" s="1"/>
      <c r="G37" s="1"/>
      <c r="H37" s="1"/>
    </row>
    <row r="38" spans="1:8" x14ac:dyDescent="0.2">
      <c r="A38" s="1"/>
      <c r="B38" s="1"/>
      <c r="C38" s="1"/>
      <c r="D38" s="1"/>
      <c r="E38" s="1"/>
      <c r="F38" s="1"/>
      <c r="G38" s="1"/>
      <c r="H38" s="1"/>
    </row>
    <row r="39" spans="1:8" x14ac:dyDescent="0.2">
      <c r="A39" s="1"/>
      <c r="B39" s="1"/>
      <c r="C39" s="1"/>
      <c r="D39" s="1"/>
      <c r="E39" s="1"/>
      <c r="F39" s="1"/>
      <c r="G39" s="1"/>
      <c r="H39" s="1"/>
    </row>
    <row r="40" spans="1:8" x14ac:dyDescent="0.2">
      <c r="A40" s="1"/>
      <c r="B40" s="1"/>
      <c r="C40" s="1"/>
      <c r="D40" s="1"/>
      <c r="E40" s="1"/>
      <c r="F40" s="1"/>
      <c r="G40" s="1"/>
      <c r="H40" s="1"/>
    </row>
    <row r="41" spans="1:8" x14ac:dyDescent="0.2">
      <c r="A41" s="1"/>
      <c r="B41" s="1"/>
      <c r="C41" s="1"/>
      <c r="D41" s="1"/>
      <c r="E41" s="1"/>
      <c r="F41" s="1"/>
      <c r="G41" s="1"/>
      <c r="H41" s="1"/>
    </row>
    <row r="42" spans="1:8" x14ac:dyDescent="0.2">
      <c r="A42" s="1"/>
      <c r="B42" s="1"/>
      <c r="C42" s="1"/>
      <c r="D42" s="1"/>
      <c r="E42" s="1"/>
      <c r="F42" s="1"/>
      <c r="G42" s="1"/>
      <c r="H42" s="1"/>
    </row>
    <row r="43" spans="1:8" x14ac:dyDescent="0.2">
      <c r="A43" s="1"/>
      <c r="B43" s="1"/>
      <c r="C43" s="1"/>
      <c r="D43" s="1"/>
      <c r="E43" s="1"/>
      <c r="F43" s="1"/>
      <c r="G43" s="1"/>
      <c r="H43" s="1"/>
    </row>
    <row r="44" spans="1:8" x14ac:dyDescent="0.2">
      <c r="A44" s="1"/>
      <c r="B44" s="1"/>
      <c r="C44" s="1"/>
      <c r="D44" s="1"/>
      <c r="E44" s="1"/>
      <c r="F44" s="1"/>
      <c r="G44" s="1"/>
      <c r="H44" s="1"/>
    </row>
    <row r="45" spans="1:8" x14ac:dyDescent="0.2">
      <c r="A45" s="1"/>
      <c r="B45" s="1"/>
      <c r="C45" s="1"/>
      <c r="D45" s="1"/>
      <c r="E45" s="1"/>
      <c r="F45" s="1"/>
      <c r="G45" s="1"/>
      <c r="H45" s="1"/>
    </row>
    <row r="46" spans="1:8" x14ac:dyDescent="0.2">
      <c r="A46" s="1"/>
      <c r="B46" s="1"/>
      <c r="C46" s="1"/>
      <c r="D46" s="1"/>
      <c r="E46" s="1"/>
      <c r="F46" s="1"/>
      <c r="G46" s="1"/>
      <c r="H46" s="1"/>
    </row>
    <row r="47" spans="1:8" x14ac:dyDescent="0.2">
      <c r="A47" s="1"/>
      <c r="B47" s="1"/>
      <c r="C47" s="1"/>
      <c r="D47" s="1"/>
      <c r="E47" s="1"/>
      <c r="F47" s="1"/>
      <c r="G47" s="1"/>
      <c r="H47" s="1"/>
    </row>
    <row r="48" spans="1:8" x14ac:dyDescent="0.2">
      <c r="A48" s="1"/>
      <c r="B48" s="1"/>
      <c r="C48" s="1"/>
      <c r="D48" s="1"/>
      <c r="E48" s="1"/>
      <c r="F48" s="1"/>
      <c r="G48" s="1"/>
      <c r="H48" s="1"/>
    </row>
    <row r="49" spans="1:8" x14ac:dyDescent="0.2">
      <c r="A49" s="1"/>
      <c r="B49" s="1"/>
      <c r="C49" s="1"/>
      <c r="D49" s="1"/>
      <c r="E49" s="1"/>
      <c r="F49" s="1"/>
      <c r="G49" s="1"/>
      <c r="H49" s="1"/>
    </row>
    <row r="50" spans="1:8" x14ac:dyDescent="0.2">
      <c r="A50" s="1"/>
      <c r="B50" s="1"/>
      <c r="C50" s="1"/>
      <c r="D50" s="1"/>
      <c r="E50" s="1"/>
      <c r="F50" s="1"/>
      <c r="G50" s="1"/>
      <c r="H50" s="1"/>
    </row>
    <row r="51" spans="1:8" x14ac:dyDescent="0.2">
      <c r="A51" s="1"/>
      <c r="B51" s="1"/>
      <c r="C51" s="1"/>
      <c r="D51" s="1"/>
      <c r="E51" s="1"/>
      <c r="F51" s="1"/>
      <c r="G51" s="1"/>
      <c r="H51" s="1"/>
    </row>
    <row r="52" spans="1:8" x14ac:dyDescent="0.2">
      <c r="A52" s="1"/>
      <c r="B52" s="1"/>
      <c r="C52" s="1"/>
      <c r="D52" s="1"/>
      <c r="E52" s="1"/>
      <c r="F52" s="1"/>
      <c r="G52" s="1"/>
      <c r="H52" s="1"/>
    </row>
    <row r="53" spans="1:8" x14ac:dyDescent="0.2">
      <c r="A53" s="1"/>
      <c r="B53" s="1"/>
      <c r="C53" s="1"/>
      <c r="D53" s="1"/>
      <c r="E53" s="1"/>
      <c r="F53" s="1"/>
      <c r="G53" s="1"/>
      <c r="H53" s="1"/>
    </row>
    <row r="54" spans="1:8" x14ac:dyDescent="0.2">
      <c r="A54" s="1"/>
      <c r="B54" s="1"/>
      <c r="C54" s="1"/>
      <c r="D54" s="1"/>
      <c r="E54" s="1"/>
      <c r="F54" s="1"/>
      <c r="G54" s="1"/>
      <c r="H54" s="1"/>
    </row>
    <row r="55" spans="1:8" x14ac:dyDescent="0.2">
      <c r="A55" s="1"/>
      <c r="B55" s="1"/>
      <c r="C55" s="1"/>
      <c r="D55" s="1"/>
      <c r="E55" s="1"/>
      <c r="F55" s="1"/>
      <c r="G55" s="1"/>
      <c r="H55" s="1"/>
    </row>
    <row r="56" spans="1:8" x14ac:dyDescent="0.2">
      <c r="A56" s="1"/>
      <c r="B56" s="1"/>
      <c r="C56" s="1"/>
      <c r="D56" s="1"/>
      <c r="E56" s="1"/>
      <c r="F56" s="1"/>
      <c r="G56" s="1"/>
      <c r="H56" s="1"/>
    </row>
    <row r="57" spans="1:8" x14ac:dyDescent="0.2">
      <c r="A57" s="1"/>
      <c r="B57" s="1"/>
      <c r="C57" s="1"/>
      <c r="D57" s="1"/>
      <c r="E57" s="1"/>
      <c r="F57" s="1"/>
      <c r="G57" s="1"/>
      <c r="H57" s="1"/>
    </row>
    <row r="58" spans="1:8" x14ac:dyDescent="0.2">
      <c r="A58" s="1"/>
      <c r="B58" s="1"/>
      <c r="C58" s="1"/>
      <c r="D58" s="1"/>
      <c r="E58" s="1"/>
      <c r="F58" s="1"/>
      <c r="G58" s="1"/>
      <c r="H58" s="1"/>
    </row>
    <row r="59" spans="1:8" x14ac:dyDescent="0.2">
      <c r="A59" s="1"/>
      <c r="B59" s="1"/>
      <c r="C59" s="1"/>
      <c r="D59" s="1"/>
      <c r="E59" s="1"/>
      <c r="F59" s="1"/>
      <c r="G59" s="1"/>
      <c r="H59" s="1"/>
    </row>
    <row r="60" spans="1:8" x14ac:dyDescent="0.2">
      <c r="A60" s="1"/>
      <c r="B60" s="1"/>
      <c r="C60" s="1"/>
      <c r="D60" s="1"/>
      <c r="E60" s="1"/>
      <c r="F60" s="1"/>
      <c r="G60" s="1"/>
      <c r="H60" s="1"/>
    </row>
    <row r="61" spans="1:8" x14ac:dyDescent="0.2">
      <c r="A61" s="1"/>
      <c r="B61" s="1"/>
      <c r="C61" s="1"/>
      <c r="D61" s="1"/>
      <c r="E61" s="1"/>
      <c r="F61" s="1"/>
      <c r="G61" s="1"/>
      <c r="H61" s="1"/>
    </row>
    <row r="62" spans="1:8" x14ac:dyDescent="0.2">
      <c r="A62" s="1"/>
      <c r="B62" s="1"/>
      <c r="C62" s="1"/>
      <c r="D62" s="1"/>
      <c r="E62" s="1"/>
      <c r="F62" s="1"/>
      <c r="G62" s="1"/>
      <c r="H62" s="1"/>
    </row>
    <row r="63" spans="1:8" x14ac:dyDescent="0.2">
      <c r="A63" s="1"/>
      <c r="B63" s="1"/>
      <c r="C63" s="1"/>
      <c r="D63" s="1"/>
      <c r="E63" s="1"/>
      <c r="F63" s="1"/>
      <c r="G63" s="1"/>
      <c r="H63" s="1"/>
    </row>
    <row r="64" spans="1:8" x14ac:dyDescent="0.2">
      <c r="A64" s="1"/>
      <c r="B64" s="1"/>
      <c r="C64" s="1"/>
      <c r="D64" s="1"/>
      <c r="E64" s="1"/>
      <c r="F64" s="1"/>
      <c r="G64" s="1"/>
      <c r="H64" s="1"/>
    </row>
    <row r="65" spans="1:8" x14ac:dyDescent="0.2">
      <c r="A65" s="1"/>
      <c r="B65" s="1"/>
      <c r="C65" s="1"/>
      <c r="D65" s="1"/>
      <c r="E65" s="1"/>
      <c r="F65" s="1"/>
      <c r="G65" s="1"/>
      <c r="H65" s="1"/>
    </row>
    <row r="66" spans="1:8" x14ac:dyDescent="0.2">
      <c r="A66" s="1"/>
      <c r="B66" s="1"/>
      <c r="C66" s="1"/>
      <c r="D66" s="1"/>
      <c r="E66" s="1"/>
      <c r="F66" s="1"/>
      <c r="G66" s="1"/>
      <c r="H66" s="1"/>
    </row>
    <row r="67" spans="1:8" x14ac:dyDescent="0.2">
      <c r="A67" s="1"/>
      <c r="B67" s="1"/>
      <c r="C67" s="1"/>
      <c r="D67" s="1"/>
      <c r="E67" s="1"/>
      <c r="F67" s="1"/>
      <c r="G67" s="1"/>
      <c r="H67" s="1"/>
    </row>
    <row r="68" spans="1:8" x14ac:dyDescent="0.2">
      <c r="A68" s="1"/>
      <c r="B68" s="1"/>
      <c r="C68" s="1"/>
      <c r="D68" s="1"/>
      <c r="E68" s="1"/>
      <c r="F68" s="1"/>
      <c r="G68" s="1"/>
      <c r="H68" s="1"/>
    </row>
    <row r="69" spans="1:8" x14ac:dyDescent="0.2">
      <c r="A69" s="1"/>
      <c r="B69" s="1"/>
      <c r="C69" s="1"/>
      <c r="D69" s="1"/>
      <c r="E69" s="1"/>
      <c r="F69" s="1"/>
      <c r="G69" s="1"/>
      <c r="H69" s="1"/>
    </row>
    <row r="70" spans="1:8" x14ac:dyDescent="0.2">
      <c r="A70" s="1"/>
      <c r="B70" s="1"/>
      <c r="C70" s="1"/>
      <c r="D70" s="1"/>
      <c r="E70" s="1"/>
      <c r="F70" s="1"/>
      <c r="G70" s="1"/>
      <c r="H70" s="1"/>
    </row>
    <row r="71" spans="1:8" x14ac:dyDescent="0.2">
      <c r="A71" s="1"/>
      <c r="B71" s="1"/>
      <c r="C71" s="1"/>
      <c r="D71" s="1"/>
      <c r="E71" s="1"/>
      <c r="F71" s="1"/>
      <c r="G71" s="1"/>
      <c r="H71" s="1"/>
    </row>
    <row r="72" spans="1:8" x14ac:dyDescent="0.2">
      <c r="A72" s="1"/>
      <c r="B72" s="1"/>
      <c r="C72" s="1"/>
      <c r="D72" s="1"/>
      <c r="E72" s="1"/>
      <c r="F72" s="1"/>
      <c r="G72" s="1"/>
      <c r="H72" s="1"/>
    </row>
    <row r="73" spans="1:8" x14ac:dyDescent="0.2">
      <c r="A73" s="1"/>
      <c r="B73" s="1"/>
      <c r="C73" s="1"/>
      <c r="D73" s="1"/>
      <c r="E73" s="1"/>
      <c r="F73" s="1"/>
      <c r="G73" s="1"/>
      <c r="H73" s="1"/>
    </row>
    <row r="74" spans="1:8" x14ac:dyDescent="0.2">
      <c r="A74" s="1"/>
      <c r="B74" s="1"/>
      <c r="C74" s="1"/>
      <c r="D74" s="1"/>
      <c r="E74" s="1"/>
      <c r="F74" s="1"/>
      <c r="G74" s="1"/>
      <c r="H74" s="1"/>
    </row>
    <row r="75" spans="1:8" x14ac:dyDescent="0.2">
      <c r="A75" s="1"/>
      <c r="B75" s="1"/>
      <c r="C75" s="1"/>
      <c r="D75" s="1"/>
      <c r="E75" s="1"/>
      <c r="F75" s="1"/>
      <c r="G75" s="1"/>
      <c r="H75" s="1"/>
    </row>
    <row r="76" spans="1:8" x14ac:dyDescent="0.2">
      <c r="A76" s="1"/>
      <c r="B76" s="1"/>
      <c r="C76" s="1"/>
      <c r="D76" s="1"/>
      <c r="E76" s="1"/>
      <c r="F76" s="1"/>
      <c r="G76" s="1"/>
      <c r="H76" s="1"/>
    </row>
    <row r="77" spans="1:8" x14ac:dyDescent="0.2">
      <c r="A77" s="11" t="s">
        <v>1</v>
      </c>
      <c r="B77" s="12"/>
      <c r="C77" s="12"/>
      <c r="D77" s="13"/>
      <c r="E77" s="8"/>
      <c r="F77" s="8"/>
      <c r="G77" s="8"/>
      <c r="H77" s="8"/>
    </row>
    <row r="78" spans="1:8" x14ac:dyDescent="0.2">
      <c r="A78" s="14" t="s">
        <v>15</v>
      </c>
      <c r="B78" s="15"/>
      <c r="C78" s="15"/>
      <c r="D78" s="16"/>
      <c r="E78" s="8"/>
      <c r="F78" s="8"/>
      <c r="G78" s="8"/>
      <c r="H78" s="8"/>
    </row>
    <row r="79" spans="1:8" x14ac:dyDescent="0.2">
      <c r="A79" s="17" t="s">
        <v>62</v>
      </c>
      <c r="B79" s="18"/>
      <c r="C79" s="18"/>
      <c r="D79" s="19"/>
      <c r="E79" s="8"/>
      <c r="F79" s="8"/>
      <c r="G79" s="8"/>
      <c r="H79" s="8"/>
    </row>
    <row r="80" spans="1:8" x14ac:dyDescent="0.2">
      <c r="A80" s="20"/>
      <c r="B80" s="21"/>
      <c r="C80" s="22"/>
      <c r="D80" s="23"/>
      <c r="E80" s="8"/>
      <c r="F80" s="8" t="s">
        <v>34</v>
      </c>
      <c r="G80" s="8"/>
      <c r="H80" s="8"/>
    </row>
    <row r="81" spans="1:8" ht="15.75" x14ac:dyDescent="0.25">
      <c r="A81" s="24" t="s">
        <v>2</v>
      </c>
      <c r="B81" s="25" t="str">
        <f>[1]Charters!B84</f>
        <v>Weilenmann School of Discovery</v>
      </c>
      <c r="C81" s="26"/>
      <c r="D81" s="27"/>
      <c r="E81" s="8"/>
      <c r="F81" s="8"/>
      <c r="G81" s="8"/>
      <c r="H81" s="8"/>
    </row>
    <row r="82" spans="1:8" x14ac:dyDescent="0.2">
      <c r="A82" s="24"/>
      <c r="B82" s="28"/>
      <c r="C82" s="26"/>
      <c r="D82" s="27"/>
      <c r="E82" s="8"/>
      <c r="F82" s="8"/>
      <c r="G82" s="8"/>
      <c r="H82" s="8"/>
    </row>
    <row r="83" spans="1:8" x14ac:dyDescent="0.2">
      <c r="A83" s="29" t="s">
        <v>0</v>
      </c>
      <c r="B83" s="30">
        <f>[1]Charters!$E$6</f>
        <v>3184</v>
      </c>
      <c r="C83" s="26"/>
      <c r="D83" s="31"/>
      <c r="E83" s="8"/>
      <c r="F83" s="8"/>
      <c r="G83" s="8"/>
      <c r="H83" s="8"/>
    </row>
    <row r="84" spans="1:8" x14ac:dyDescent="0.2">
      <c r="A84" s="32"/>
      <c r="B84" s="6"/>
      <c r="C84" s="33"/>
      <c r="D84" s="34" t="s">
        <v>3</v>
      </c>
      <c r="E84" s="8"/>
      <c r="F84" s="8"/>
      <c r="G84" s="8"/>
      <c r="H84" s="8"/>
    </row>
    <row r="85" spans="1:8" x14ac:dyDescent="0.2">
      <c r="A85" s="29" t="s">
        <v>19</v>
      </c>
      <c r="B85" s="35" t="str">
        <f>[1]Charters!A84</f>
        <v>6G</v>
      </c>
      <c r="C85" s="36" t="s">
        <v>4</v>
      </c>
      <c r="D85" s="37" t="s">
        <v>5</v>
      </c>
      <c r="E85" s="8"/>
      <c r="F85" s="8"/>
      <c r="G85" s="8"/>
      <c r="H85" s="8"/>
    </row>
    <row r="86" spans="1:8" x14ac:dyDescent="0.2">
      <c r="A86" s="38" t="s">
        <v>6</v>
      </c>
      <c r="B86" s="39"/>
      <c r="C86" s="40"/>
      <c r="D86" s="41"/>
      <c r="E86" s="8"/>
      <c r="F86" s="8"/>
      <c r="G86" s="8"/>
      <c r="H86" s="8"/>
    </row>
    <row r="87" spans="1:8" x14ac:dyDescent="0.2">
      <c r="A87" s="38" t="s">
        <v>7</v>
      </c>
      <c r="B87" s="39"/>
      <c r="C87" s="40"/>
      <c r="D87" s="41"/>
      <c r="E87" s="8"/>
      <c r="F87" s="42" t="s">
        <v>23</v>
      </c>
      <c r="G87" s="8"/>
      <c r="H87" s="42" t="s">
        <v>26</v>
      </c>
    </row>
    <row r="88" spans="1:8" x14ac:dyDescent="0.2">
      <c r="A88" s="20" t="s">
        <v>8</v>
      </c>
      <c r="B88" s="43"/>
      <c r="C88" s="44">
        <f>[1]Charters!C544</f>
        <v>513.83500000000004</v>
      </c>
      <c r="D88" s="45">
        <f>[1]Charters!E544</f>
        <v>1636050.65</v>
      </c>
      <c r="E88" s="8"/>
      <c r="F88" s="42">
        <f>[1]Charters!E699</f>
        <v>1749945.95</v>
      </c>
      <c r="G88" s="8"/>
      <c r="H88" s="42">
        <f>[2]Charters!E238</f>
        <v>2120197.16</v>
      </c>
    </row>
    <row r="89" spans="1:8" x14ac:dyDescent="0.2">
      <c r="A89" s="20" t="s">
        <v>14</v>
      </c>
      <c r="B89" s="43"/>
      <c r="C89" s="44">
        <f>[1]Charters!F544</f>
        <v>35.771000000000001</v>
      </c>
      <c r="D89" s="45">
        <f>[1]Charters!H544</f>
        <v>113895.3</v>
      </c>
      <c r="E89" s="8"/>
      <c r="F89" s="42">
        <f>SUM(D88:D90)</f>
        <v>1749945.95</v>
      </c>
      <c r="G89" s="8"/>
      <c r="H89" s="42">
        <f>D101</f>
        <v>2120197.16</v>
      </c>
    </row>
    <row r="90" spans="1:8" x14ac:dyDescent="0.2">
      <c r="A90" s="20" t="s">
        <v>32</v>
      </c>
      <c r="B90" s="43"/>
      <c r="C90" s="44">
        <f>[1]Charters!C237</f>
        <v>0</v>
      </c>
      <c r="D90" s="45">
        <f>[1]Charters!E237</f>
        <v>0</v>
      </c>
      <c r="E90" s="8"/>
      <c r="F90" s="42">
        <f>+F88-F89</f>
        <v>0</v>
      </c>
      <c r="G90" s="8"/>
      <c r="H90" s="42">
        <f>+H88-H89</f>
        <v>0</v>
      </c>
    </row>
    <row r="91" spans="1:8" x14ac:dyDescent="0.2">
      <c r="A91" s="38" t="s">
        <v>9</v>
      </c>
      <c r="B91" s="39"/>
      <c r="C91" s="46"/>
      <c r="D91" s="47"/>
      <c r="E91" s="8"/>
      <c r="F91" s="8"/>
      <c r="G91" s="8"/>
      <c r="H91" s="8"/>
    </row>
    <row r="92" spans="1:8" x14ac:dyDescent="0.2">
      <c r="A92" s="20" t="s">
        <v>10</v>
      </c>
      <c r="B92" s="43"/>
      <c r="C92" s="40">
        <f>[3]Charters!C83</f>
        <v>58.372</v>
      </c>
      <c r="D92" s="41">
        <f>[3]Charters!E83</f>
        <v>185856.58</v>
      </c>
      <c r="E92" s="8"/>
      <c r="F92" s="42" t="s">
        <v>24</v>
      </c>
      <c r="G92" s="8"/>
      <c r="H92" s="8"/>
    </row>
    <row r="93" spans="1:8" x14ac:dyDescent="0.2">
      <c r="A93" s="48" t="s">
        <v>11</v>
      </c>
      <c r="B93" s="43"/>
      <c r="C93" s="40">
        <f>[3]Charters!F83</f>
        <v>3.85</v>
      </c>
      <c r="D93" s="49">
        <f>[3]Charters!H83</f>
        <v>12258.4</v>
      </c>
      <c r="E93" s="8"/>
      <c r="F93" s="42">
        <f>[3]Charters!N395</f>
        <v>204804.31</v>
      </c>
      <c r="G93" s="8"/>
      <c r="H93" s="8"/>
    </row>
    <row r="94" spans="1:8" x14ac:dyDescent="0.2">
      <c r="A94" s="48" t="s">
        <v>12</v>
      </c>
      <c r="B94" s="43"/>
      <c r="C94" s="40">
        <f>[3]Charters!C238</f>
        <v>0</v>
      </c>
      <c r="D94" s="41">
        <f>[3]Charters!E238</f>
        <v>0</v>
      </c>
      <c r="E94" s="8"/>
      <c r="F94" s="42">
        <f>SUM(D92:D98)</f>
        <v>204804.31</v>
      </c>
      <c r="G94" s="8"/>
      <c r="H94" s="8"/>
    </row>
    <row r="95" spans="1:8" x14ac:dyDescent="0.2">
      <c r="A95" s="20" t="s">
        <v>13</v>
      </c>
      <c r="B95" s="43"/>
      <c r="C95" s="40">
        <f>[3]Charters!F238</f>
        <v>0.92300000000000004</v>
      </c>
      <c r="D95" s="41">
        <f>[3]Charters!H238</f>
        <v>2939.17</v>
      </c>
      <c r="E95" s="8"/>
      <c r="F95" s="42">
        <f>+F93-F94</f>
        <v>0</v>
      </c>
      <c r="G95" s="8"/>
      <c r="H95" s="8"/>
    </row>
    <row r="96" spans="1:8" x14ac:dyDescent="0.2">
      <c r="A96" s="48" t="s">
        <v>54</v>
      </c>
      <c r="B96" s="43"/>
      <c r="C96" s="40">
        <f>[3]Charters!C395</f>
        <v>1.1779999999999999</v>
      </c>
      <c r="D96" s="41">
        <f>[3]Charters!E395</f>
        <v>3750.16</v>
      </c>
      <c r="E96" s="8"/>
      <c r="F96" s="8"/>
      <c r="G96" s="8"/>
      <c r="H96" s="8"/>
    </row>
    <row r="97" spans="1:8" x14ac:dyDescent="0.2">
      <c r="A97" s="48" t="s">
        <v>55</v>
      </c>
      <c r="B97" s="43"/>
      <c r="C97" s="40">
        <f>[3]Charters!F395</f>
        <v>0</v>
      </c>
      <c r="D97" s="41">
        <f>[3]Charters!H395</f>
        <v>0</v>
      </c>
      <c r="E97" s="8"/>
      <c r="F97" s="42" t="s">
        <v>25</v>
      </c>
      <c r="G97" s="8"/>
      <c r="H97" s="8"/>
    </row>
    <row r="98" spans="1:8" x14ac:dyDescent="0.2">
      <c r="A98" s="48" t="s">
        <v>56</v>
      </c>
      <c r="B98" s="43"/>
      <c r="C98" s="40">
        <f>[3]Charters!I395</f>
        <v>0</v>
      </c>
      <c r="D98" s="41">
        <f>[3]Charters!K395</f>
        <v>0</v>
      </c>
      <c r="E98" s="8"/>
      <c r="F98" s="42">
        <f>[2]Charters!H84</f>
        <v>370251.21</v>
      </c>
      <c r="G98" s="8"/>
      <c r="H98" s="8"/>
    </row>
    <row r="99" spans="1:8" x14ac:dyDescent="0.2">
      <c r="A99" s="20" t="s">
        <v>49</v>
      </c>
      <c r="B99" s="43"/>
      <c r="C99" s="40">
        <f>[3]Charters!C551</f>
        <v>0</v>
      </c>
      <c r="D99" s="41">
        <f>[3]Charters!E551</f>
        <v>0</v>
      </c>
      <c r="E99" s="8"/>
      <c r="F99" s="42">
        <f>SUM(D92:D100)</f>
        <v>370251.21</v>
      </c>
      <c r="G99" s="8"/>
      <c r="H99" s="8"/>
    </row>
    <row r="100" spans="1:8" x14ac:dyDescent="0.2">
      <c r="A100" s="20" t="s">
        <v>50</v>
      </c>
      <c r="B100" s="43"/>
      <c r="C100" s="40">
        <f>[2]Charters!C84</f>
        <v>51.962000000000003</v>
      </c>
      <c r="D100" s="41">
        <f>[2]Charters!E84</f>
        <v>165446.9</v>
      </c>
      <c r="E100" s="8"/>
      <c r="F100" s="42">
        <f>+F98-F99</f>
        <v>0</v>
      </c>
      <c r="G100" s="8"/>
      <c r="H100" s="8"/>
    </row>
    <row r="101" spans="1:8" x14ac:dyDescent="0.2">
      <c r="A101" s="50"/>
      <c r="B101" s="51" t="s">
        <v>16</v>
      </c>
      <c r="C101" s="52">
        <f>SUM(C88:C100)</f>
        <v>665.89099999999996</v>
      </c>
      <c r="D101" s="53">
        <f>SUM(D88:D100)</f>
        <v>2120197.16</v>
      </c>
      <c r="E101" s="8"/>
      <c r="F101" s="8"/>
      <c r="G101" s="8"/>
      <c r="H101" s="8"/>
    </row>
    <row r="102" spans="1:8" x14ac:dyDescent="0.2">
      <c r="A102" s="54" t="s">
        <v>17</v>
      </c>
      <c r="B102" s="39"/>
      <c r="C102" s="55"/>
      <c r="D102" s="47"/>
      <c r="E102" s="8"/>
      <c r="F102" s="8"/>
      <c r="G102" s="8"/>
      <c r="H102" s="42" t="s">
        <v>29</v>
      </c>
    </row>
    <row r="103" spans="1:8" x14ac:dyDescent="0.2">
      <c r="A103" s="20" t="s">
        <v>33</v>
      </c>
      <c r="B103" s="43"/>
      <c r="C103" s="56"/>
      <c r="D103" s="57">
        <f>[4]Charters!C84</f>
        <v>6145.32</v>
      </c>
      <c r="E103" s="8"/>
      <c r="F103" s="8"/>
      <c r="G103" s="8"/>
      <c r="H103" s="42">
        <f>[4]Charters!F1024</f>
        <v>3687762.02</v>
      </c>
    </row>
    <row r="104" spans="1:8" x14ac:dyDescent="0.2">
      <c r="A104" s="58" t="s">
        <v>35</v>
      </c>
      <c r="B104" s="43"/>
      <c r="C104" s="56"/>
      <c r="D104" s="41">
        <f>+[4]Charters!F405</f>
        <v>2473.08</v>
      </c>
      <c r="E104" s="8"/>
      <c r="F104" s="8"/>
      <c r="G104" s="8"/>
      <c r="H104" s="42">
        <f>SUM(D101:D120)</f>
        <v>3687762.02</v>
      </c>
    </row>
    <row r="105" spans="1:8" x14ac:dyDescent="0.2">
      <c r="A105" s="59" t="s">
        <v>36</v>
      </c>
      <c r="B105" s="43"/>
      <c r="C105" s="56"/>
      <c r="D105" s="41">
        <f>[4]Charters!E244</f>
        <v>16750</v>
      </c>
      <c r="E105" s="8"/>
      <c r="F105" s="8"/>
      <c r="G105" s="8"/>
      <c r="H105" s="42">
        <f>+H103-H104</f>
        <v>0</v>
      </c>
    </row>
    <row r="106" spans="1:8" x14ac:dyDescent="0.2">
      <c r="A106" s="59" t="s">
        <v>52</v>
      </c>
      <c r="B106" s="43"/>
      <c r="C106" s="56"/>
      <c r="D106" s="41">
        <f>[4]Charters!G405</f>
        <v>0</v>
      </c>
      <c r="E106" s="8"/>
      <c r="F106" s="42" t="s">
        <v>27</v>
      </c>
      <c r="G106" s="8"/>
      <c r="H106" s="42"/>
    </row>
    <row r="107" spans="1:8" x14ac:dyDescent="0.2">
      <c r="A107" s="20" t="s">
        <v>37</v>
      </c>
      <c r="B107" s="43"/>
      <c r="C107" s="56"/>
      <c r="D107" s="41">
        <f>[4]Charters!E561</f>
        <v>41395</v>
      </c>
      <c r="E107" s="8"/>
      <c r="F107" s="42">
        <f>[4]Charters!E244</f>
        <v>16750</v>
      </c>
      <c r="G107" s="8"/>
      <c r="H107" s="8"/>
    </row>
    <row r="108" spans="1:8" x14ac:dyDescent="0.2">
      <c r="A108" s="20" t="s">
        <v>38</v>
      </c>
      <c r="B108" s="43"/>
      <c r="C108" s="56"/>
      <c r="D108" s="41">
        <f>[4]Charters!F561</f>
        <v>3287</v>
      </c>
      <c r="E108" s="8"/>
      <c r="F108" s="42">
        <f>SUM(D105:D105)</f>
        <v>16750</v>
      </c>
      <c r="G108" s="8"/>
      <c r="H108" s="8"/>
    </row>
    <row r="109" spans="1:8" x14ac:dyDescent="0.2">
      <c r="A109" s="59" t="s">
        <v>40</v>
      </c>
      <c r="B109" s="43"/>
      <c r="C109" s="56"/>
      <c r="D109" s="41">
        <f>[4]Charters!G561</f>
        <v>0</v>
      </c>
      <c r="E109" s="8"/>
      <c r="F109" s="42">
        <f>+F107-F108</f>
        <v>0</v>
      </c>
      <c r="G109" s="8"/>
      <c r="H109" s="8"/>
    </row>
    <row r="110" spans="1:8" x14ac:dyDescent="0.2">
      <c r="A110" s="20" t="s">
        <v>41</v>
      </c>
      <c r="B110" s="43"/>
      <c r="C110" s="56"/>
      <c r="D110" s="41">
        <f>[4]Charters!C715</f>
        <v>1210605</v>
      </c>
      <c r="E110" s="8"/>
      <c r="F110" s="42" t="s">
        <v>28</v>
      </c>
      <c r="G110" s="8"/>
      <c r="H110" s="8"/>
    </row>
    <row r="111" spans="1:8" x14ac:dyDescent="0.2">
      <c r="A111" s="20" t="s">
        <v>42</v>
      </c>
      <c r="B111" s="43"/>
      <c r="C111" s="56"/>
      <c r="D111" s="41">
        <f>[4]Charters!D715</f>
        <v>163310.63</v>
      </c>
      <c r="E111" s="8"/>
      <c r="F111" s="42">
        <f>[4]Charters!D561</f>
        <v>19223.080000000002</v>
      </c>
      <c r="G111" s="8"/>
      <c r="H111" s="8"/>
    </row>
    <row r="112" spans="1:8" x14ac:dyDescent="0.2">
      <c r="A112" s="20" t="s">
        <v>44</v>
      </c>
      <c r="B112" s="43"/>
      <c r="C112" s="56"/>
      <c r="D112" s="41">
        <f>[4]Charters!E715</f>
        <v>60500</v>
      </c>
      <c r="E112" s="8"/>
      <c r="F112" s="42">
        <f>SUM(D104:D106)</f>
        <v>19223.080000000002</v>
      </c>
      <c r="G112" s="8"/>
      <c r="H112" s="8"/>
    </row>
    <row r="113" spans="1:8" x14ac:dyDescent="0.2">
      <c r="A113" s="59" t="s">
        <v>43</v>
      </c>
      <c r="B113" s="43"/>
      <c r="C113" s="56"/>
      <c r="D113" s="41">
        <f>[4]Charters!F715</f>
        <v>14275.92</v>
      </c>
      <c r="E113" s="8"/>
      <c r="F113" s="42">
        <f>+F111-F112</f>
        <v>0</v>
      </c>
      <c r="G113" s="8"/>
      <c r="H113" s="8"/>
    </row>
    <row r="114" spans="1:8" x14ac:dyDescent="0.2">
      <c r="A114" s="59" t="s">
        <v>45</v>
      </c>
      <c r="B114" s="43"/>
      <c r="C114" s="56"/>
      <c r="D114" s="41">
        <f>[4]Charters!C561</f>
        <v>0</v>
      </c>
      <c r="E114" s="8"/>
      <c r="F114" s="8"/>
      <c r="G114" s="8"/>
      <c r="H114" s="8"/>
    </row>
    <row r="115" spans="1:8" x14ac:dyDescent="0.2">
      <c r="A115" s="59" t="s">
        <v>46</v>
      </c>
      <c r="B115" s="43"/>
      <c r="C115" s="56"/>
      <c r="D115" s="41">
        <f>[4]Charters!C871</f>
        <v>0</v>
      </c>
      <c r="E115" s="42"/>
      <c r="F115" s="42"/>
      <c r="G115" s="42"/>
      <c r="H115" s="42" t="s">
        <v>31</v>
      </c>
    </row>
    <row r="116" spans="1:8" x14ac:dyDescent="0.2">
      <c r="A116" s="59" t="s">
        <v>51</v>
      </c>
      <c r="B116" s="43"/>
      <c r="C116" s="56"/>
      <c r="D116" s="60">
        <f>[4]Charters!D871</f>
        <v>788.24</v>
      </c>
      <c r="E116" s="42"/>
      <c r="F116" s="42"/>
      <c r="G116" s="42"/>
      <c r="H116" s="42">
        <f>[4]Charters!D1330</f>
        <v>3700097.51</v>
      </c>
    </row>
    <row r="117" spans="1:8" x14ac:dyDescent="0.2">
      <c r="A117" s="20" t="s">
        <v>47</v>
      </c>
      <c r="B117" s="43"/>
      <c r="C117" s="56"/>
      <c r="D117" s="60">
        <f>[4]Charters!E871</f>
        <v>20720</v>
      </c>
      <c r="E117" s="42"/>
      <c r="F117" s="42"/>
      <c r="G117" s="42"/>
      <c r="H117" s="42">
        <f>D126</f>
        <v>3700097.51</v>
      </c>
    </row>
    <row r="118" spans="1:8" x14ac:dyDescent="0.2">
      <c r="A118" s="20" t="s">
        <v>57</v>
      </c>
      <c r="B118" s="43"/>
      <c r="C118" s="56"/>
      <c r="D118" s="60">
        <f>[4]Charters!C1024</f>
        <v>0</v>
      </c>
      <c r="E118" s="42"/>
      <c r="F118" s="42"/>
      <c r="G118" s="42"/>
      <c r="H118" s="42">
        <f>+H116-H117</f>
        <v>0</v>
      </c>
    </row>
    <row r="119" spans="1:8" x14ac:dyDescent="0.2">
      <c r="A119" s="59" t="s">
        <v>53</v>
      </c>
      <c r="B119" s="43"/>
      <c r="C119" s="56"/>
      <c r="D119" s="60">
        <f>[4]Charters!D1024</f>
        <v>0</v>
      </c>
      <c r="E119" s="42"/>
      <c r="F119" s="42" t="s">
        <v>30</v>
      </c>
      <c r="G119" s="42"/>
      <c r="H119" s="42"/>
    </row>
    <row r="120" spans="1:8" x14ac:dyDescent="0.2">
      <c r="A120" s="59" t="s">
        <v>59</v>
      </c>
      <c r="B120" s="43"/>
      <c r="C120" s="56"/>
      <c r="D120" s="60">
        <f>[4]Charters!E1024</f>
        <v>27314.67</v>
      </c>
      <c r="E120" s="42"/>
      <c r="F120" s="42"/>
      <c r="G120" s="42"/>
      <c r="H120" s="42"/>
    </row>
    <row r="121" spans="1:8" x14ac:dyDescent="0.2">
      <c r="A121" s="38" t="s">
        <v>18</v>
      </c>
      <c r="B121" s="61"/>
      <c r="C121" s="62"/>
      <c r="D121" s="87"/>
      <c r="E121" s="42"/>
      <c r="F121" s="42">
        <f>[4]Charters!C1330</f>
        <v>12335.49</v>
      </c>
      <c r="G121" s="42"/>
      <c r="H121" s="42"/>
    </row>
    <row r="122" spans="1:8" x14ac:dyDescent="0.2">
      <c r="A122" s="59" t="s">
        <v>39</v>
      </c>
      <c r="B122" s="43"/>
      <c r="C122" s="56"/>
      <c r="D122" s="41">
        <f>[4]Charters!C1177</f>
        <v>6005.07</v>
      </c>
      <c r="E122" s="42"/>
      <c r="F122" s="42">
        <f>SUM(D122:D125)</f>
        <v>12335.49</v>
      </c>
      <c r="G122" s="42"/>
      <c r="H122" s="42"/>
    </row>
    <row r="123" spans="1:8" x14ac:dyDescent="0.2">
      <c r="A123" s="59" t="s">
        <v>48</v>
      </c>
      <c r="B123" s="43"/>
      <c r="C123" s="56"/>
      <c r="D123" s="41">
        <f>[4]Charters!D1177</f>
        <v>0</v>
      </c>
      <c r="E123" s="42"/>
      <c r="F123" s="42">
        <f>+F121-F122</f>
        <v>0</v>
      </c>
      <c r="G123" s="42"/>
      <c r="H123" s="42"/>
    </row>
    <row r="124" spans="1:8" x14ac:dyDescent="0.2">
      <c r="A124" s="59" t="s">
        <v>60</v>
      </c>
      <c r="B124" s="43"/>
      <c r="C124" s="56"/>
      <c r="D124" s="41">
        <f>[4]Charters!E1177</f>
        <v>0</v>
      </c>
      <c r="E124" s="42"/>
      <c r="F124" s="42"/>
      <c r="G124" s="42"/>
      <c r="H124" s="42"/>
    </row>
    <row r="125" spans="1:8" x14ac:dyDescent="0.2">
      <c r="A125" s="59" t="s">
        <v>61</v>
      </c>
      <c r="B125" s="43"/>
      <c r="C125" s="56"/>
      <c r="D125" s="41">
        <f>[4]Charters!F1177</f>
        <v>6330.42</v>
      </c>
      <c r="E125" s="42"/>
      <c r="F125" s="42"/>
      <c r="G125" s="42"/>
      <c r="H125" s="42"/>
    </row>
    <row r="126" spans="1:8" ht="13.5" thickBot="1" x14ac:dyDescent="0.25">
      <c r="A126" s="64"/>
      <c r="B126" s="65"/>
      <c r="C126" s="66"/>
      <c r="D126" s="67">
        <f>SUM(D101:D125)</f>
        <v>3700097.51</v>
      </c>
      <c r="E126" s="42"/>
      <c r="F126" s="42"/>
      <c r="G126" s="42"/>
      <c r="H126" s="42"/>
    </row>
    <row r="127" spans="1:8" ht="13.5" thickTop="1" x14ac:dyDescent="0.2">
      <c r="A127" s="68"/>
      <c r="B127" s="43"/>
      <c r="C127" s="56"/>
      <c r="D127" s="86"/>
      <c r="E127" s="42"/>
      <c r="F127" s="42"/>
      <c r="G127" s="42"/>
      <c r="H127" s="42"/>
    </row>
    <row r="128" spans="1:8" x14ac:dyDescent="0.2">
      <c r="A128" s="38" t="s">
        <v>20</v>
      </c>
      <c r="B128" s="39"/>
      <c r="C128" s="70"/>
      <c r="D128" s="71" t="s">
        <v>21</v>
      </c>
      <c r="E128" s="42"/>
      <c r="F128" s="42"/>
      <c r="G128" s="42"/>
      <c r="H128" s="42"/>
    </row>
    <row r="129" spans="1:8" x14ac:dyDescent="0.2">
      <c r="A129" s="72" t="s">
        <v>22</v>
      </c>
      <c r="B129" s="73"/>
      <c r="C129" s="74"/>
      <c r="D129" s="41">
        <f>[5]Charters!C83</f>
        <v>1328.23</v>
      </c>
      <c r="E129" s="42"/>
      <c r="F129" s="42"/>
      <c r="G129" s="42"/>
      <c r="H129" s="42"/>
    </row>
    <row r="130" spans="1:8" x14ac:dyDescent="0.2">
      <c r="A130" s="75"/>
      <c r="B130" s="61"/>
      <c r="C130" s="76"/>
      <c r="D130" s="77">
        <f>SUM(D129:D129)</f>
        <v>1328.23</v>
      </c>
      <c r="E130" s="42"/>
      <c r="F130" s="42"/>
      <c r="G130" s="42"/>
      <c r="H130" s="42"/>
    </row>
    <row r="131" spans="1:8" x14ac:dyDescent="0.2">
      <c r="A131" s="78" t="s">
        <v>58</v>
      </c>
      <c r="B131" s="79"/>
      <c r="C131" s="80"/>
      <c r="D131" s="77">
        <f>D130+D126</f>
        <v>3701425.74</v>
      </c>
      <c r="E131" s="42"/>
      <c r="F131" s="42"/>
      <c r="G131" s="42"/>
      <c r="H131" s="42"/>
    </row>
    <row r="132" spans="1:8" x14ac:dyDescent="0.2">
      <c r="A132" s="84"/>
      <c r="B132" s="84"/>
      <c r="C132" s="85"/>
      <c r="D132" s="81"/>
      <c r="E132" s="42"/>
      <c r="F132" s="42"/>
      <c r="G132" s="42"/>
      <c r="H132" s="42"/>
    </row>
    <row r="133" spans="1:8" x14ac:dyDescent="0.2">
      <c r="A133" s="84"/>
      <c r="B133" s="84"/>
      <c r="C133" s="85"/>
      <c r="D133" s="81">
        <f>[5]Charters!E239</f>
        <v>3701425.74</v>
      </c>
      <c r="E133" s="42"/>
      <c r="F133" s="42"/>
      <c r="G133" s="42"/>
      <c r="H133" s="42"/>
    </row>
    <row r="134" spans="1:8" x14ac:dyDescent="0.2">
      <c r="A134" s="84"/>
      <c r="B134" s="84"/>
      <c r="C134" s="85"/>
      <c r="D134" s="81">
        <f>D131</f>
        <v>3701425.74</v>
      </c>
      <c r="E134" s="42"/>
      <c r="F134" s="42"/>
      <c r="G134" s="42"/>
      <c r="H134" s="42"/>
    </row>
    <row r="135" spans="1:8" x14ac:dyDescent="0.2">
      <c r="C135" s="83"/>
      <c r="D135" s="42">
        <f>D133-D134</f>
        <v>0</v>
      </c>
      <c r="E135" s="42"/>
      <c r="F135" s="42"/>
      <c r="G135" s="42"/>
      <c r="H135" s="42"/>
    </row>
  </sheetData>
  <mergeCells count="4">
    <mergeCell ref="A131:C131"/>
    <mergeCell ref="A78:D78"/>
    <mergeCell ref="A79:D79"/>
    <mergeCell ref="A77:D77"/>
  </mergeCells>
  <printOptions horizontalCentered="1" verticalCentered="1"/>
  <pageMargins left="0.5" right="0.5" top="0.5" bottom="0.5" header="0.25" footer="0.25"/>
  <pageSetup orientation="portrait" r:id="rId1"/>
  <headerFooter alignWithMargins="0">
    <oddHeader>&amp;R&amp;8Current as of: &amp;D</oddHeader>
    <oddFooter>&amp;L&amp;8USOE, School Finance</oddFooter>
  </headerFooter>
  <picture r:id="rId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sheetPr>
    <pageSetUpPr fitToPage="1"/>
  </sheetPr>
  <dimension ref="A1:H136"/>
  <sheetViews>
    <sheetView topLeftCell="A74" workbookViewId="0">
      <selection activeCell="C12" sqref="C12"/>
    </sheetView>
  </sheetViews>
  <sheetFormatPr defaultColWidth="9.140625" defaultRowHeight="12.75" x14ac:dyDescent="0.2"/>
  <cols>
    <col min="1" max="1" width="31.85546875" style="82" customWidth="1"/>
    <col min="2" max="2" width="16.28515625" style="82" customWidth="1"/>
    <col min="3" max="4" width="14.85546875" style="82" customWidth="1"/>
    <col min="5" max="5" width="7" style="82" customWidth="1"/>
    <col min="6" max="6" width="19.7109375" style="82" customWidth="1"/>
    <col min="7" max="7" width="5.7109375" style="82" customWidth="1"/>
    <col min="8" max="8" width="18" style="82" customWidth="1"/>
    <col min="9" max="16384" width="9.140625" style="82"/>
  </cols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"/>
      <c r="B3" s="1"/>
      <c r="C3" s="1"/>
      <c r="D3" s="1"/>
      <c r="E3" s="1"/>
      <c r="F3" s="1"/>
      <c r="G3" s="1"/>
      <c r="H3" s="1"/>
    </row>
    <row r="4" spans="1:8" x14ac:dyDescent="0.2">
      <c r="A4" s="1"/>
      <c r="B4" s="1"/>
      <c r="C4" s="1"/>
      <c r="D4" s="1"/>
      <c r="E4" s="1"/>
      <c r="F4" s="1"/>
      <c r="G4" s="1"/>
      <c r="H4" s="1"/>
    </row>
    <row r="5" spans="1:8" x14ac:dyDescent="0.2">
      <c r="A5" s="1"/>
      <c r="B5" s="1"/>
      <c r="C5" s="1"/>
      <c r="D5" s="1"/>
      <c r="E5" s="1"/>
      <c r="F5" s="1"/>
      <c r="G5" s="1"/>
      <c r="H5" s="1"/>
    </row>
    <row r="6" spans="1:8" x14ac:dyDescent="0.2">
      <c r="A6" s="1"/>
      <c r="B6" s="1"/>
      <c r="C6" s="1"/>
      <c r="D6" s="1"/>
      <c r="E6" s="1"/>
      <c r="F6" s="1"/>
      <c r="G6" s="1"/>
      <c r="H6" s="1"/>
    </row>
    <row r="7" spans="1:8" x14ac:dyDescent="0.2">
      <c r="A7" s="1"/>
      <c r="B7" s="1"/>
      <c r="C7" s="1"/>
      <c r="D7" s="1"/>
      <c r="E7" s="1"/>
      <c r="F7" s="1"/>
      <c r="G7" s="1"/>
      <c r="H7" s="1"/>
    </row>
    <row r="8" spans="1:8" x14ac:dyDescent="0.2">
      <c r="A8" s="1"/>
      <c r="B8" s="1"/>
      <c r="C8" s="1"/>
      <c r="D8" s="1"/>
      <c r="E8" s="1"/>
      <c r="F8" s="1"/>
      <c r="G8" s="1"/>
      <c r="H8" s="1"/>
    </row>
    <row r="9" spans="1:8" x14ac:dyDescent="0.2">
      <c r="A9" s="1"/>
      <c r="B9" s="1"/>
      <c r="C9" s="1"/>
      <c r="D9" s="1"/>
      <c r="E9" s="1"/>
      <c r="F9" s="1"/>
      <c r="G9" s="1"/>
      <c r="H9" s="1"/>
    </row>
    <row r="10" spans="1:8" x14ac:dyDescent="0.2">
      <c r="A10" s="1"/>
      <c r="B10" s="1"/>
      <c r="C10" s="1"/>
      <c r="D10" s="1"/>
      <c r="E10" s="1"/>
      <c r="F10" s="1"/>
      <c r="G10" s="1"/>
      <c r="H10" s="1"/>
    </row>
    <row r="11" spans="1:8" x14ac:dyDescent="0.2">
      <c r="A11" s="1"/>
      <c r="B11" s="1"/>
      <c r="C11" s="1"/>
      <c r="D11" s="1"/>
      <c r="E11" s="1"/>
      <c r="F11" s="1"/>
      <c r="G11" s="1"/>
      <c r="H11" s="1"/>
    </row>
    <row r="12" spans="1:8" x14ac:dyDescent="0.2">
      <c r="A12" s="1"/>
      <c r="B12" s="1"/>
      <c r="C12" s="1"/>
      <c r="D12" s="1"/>
      <c r="E12" s="1"/>
      <c r="F12" s="1"/>
      <c r="G12" s="1"/>
      <c r="H12" s="1"/>
    </row>
    <row r="13" spans="1:8" x14ac:dyDescent="0.2">
      <c r="A13" s="1"/>
      <c r="B13" s="1"/>
      <c r="C13" s="1"/>
      <c r="D13" s="1"/>
      <c r="E13" s="1"/>
      <c r="F13" s="1"/>
      <c r="G13" s="1"/>
      <c r="H13" s="1"/>
    </row>
    <row r="14" spans="1:8" x14ac:dyDescent="0.2">
      <c r="A14" s="1"/>
      <c r="B14" s="1"/>
      <c r="C14" s="1"/>
      <c r="D14" s="1"/>
      <c r="E14" s="1"/>
      <c r="F14" s="1"/>
      <c r="G14" s="1"/>
      <c r="H14" s="1"/>
    </row>
    <row r="15" spans="1:8" x14ac:dyDescent="0.2">
      <c r="A15" s="1"/>
      <c r="B15" s="1"/>
      <c r="C15" s="1"/>
      <c r="D15" s="1"/>
      <c r="E15" s="1"/>
      <c r="F15" s="1"/>
      <c r="G15" s="1"/>
      <c r="H15" s="1"/>
    </row>
    <row r="16" spans="1:8" x14ac:dyDescent="0.2">
      <c r="A16" s="1"/>
      <c r="B16" s="1"/>
      <c r="C16" s="1"/>
      <c r="D16" s="1"/>
      <c r="E16" s="1"/>
      <c r="F16" s="1"/>
      <c r="G16" s="1"/>
      <c r="H16" s="1"/>
    </row>
    <row r="17" spans="1:8" x14ac:dyDescent="0.2">
      <c r="A17" s="1"/>
      <c r="B17" s="1"/>
      <c r="C17" s="1"/>
      <c r="D17" s="1"/>
      <c r="E17" s="1"/>
      <c r="F17" s="1"/>
      <c r="G17" s="1"/>
      <c r="H17" s="1"/>
    </row>
    <row r="18" spans="1:8" x14ac:dyDescent="0.2">
      <c r="A18" s="1"/>
      <c r="B18" s="1"/>
      <c r="C18" s="1"/>
      <c r="D18" s="1"/>
      <c r="E18" s="1"/>
      <c r="F18" s="1"/>
      <c r="G18" s="1"/>
      <c r="H18" s="1"/>
    </row>
    <row r="19" spans="1:8" x14ac:dyDescent="0.2">
      <c r="A19" s="1"/>
      <c r="B19" s="1"/>
      <c r="C19" s="1"/>
      <c r="D19" s="1"/>
      <c r="E19" s="1"/>
      <c r="F19" s="1"/>
      <c r="G19" s="1"/>
      <c r="H19" s="1"/>
    </row>
    <row r="20" spans="1:8" x14ac:dyDescent="0.2">
      <c r="A20" s="1"/>
      <c r="B20" s="1"/>
      <c r="C20" s="1"/>
      <c r="D20" s="1"/>
      <c r="E20" s="1"/>
      <c r="F20" s="1"/>
      <c r="G20" s="1"/>
      <c r="H20" s="1"/>
    </row>
    <row r="21" spans="1:8" x14ac:dyDescent="0.2">
      <c r="A21" s="1"/>
      <c r="B21" s="1"/>
      <c r="C21" s="1"/>
      <c r="D21" s="1"/>
      <c r="E21" s="1"/>
      <c r="F21" s="1"/>
      <c r="G21" s="1"/>
      <c r="H21" s="1"/>
    </row>
    <row r="22" spans="1:8" x14ac:dyDescent="0.2">
      <c r="A22" s="1"/>
      <c r="B22" s="1"/>
      <c r="C22" s="1"/>
      <c r="D22" s="4"/>
      <c r="E22" s="1"/>
      <c r="F22" s="1"/>
      <c r="G22" s="1"/>
      <c r="H22" s="1"/>
    </row>
    <row r="23" spans="1:8" x14ac:dyDescent="0.2">
      <c r="A23" s="1"/>
      <c r="B23" s="1"/>
      <c r="C23" s="1"/>
      <c r="D23" s="1"/>
      <c r="E23" s="1"/>
      <c r="F23" s="1"/>
      <c r="G23" s="1"/>
      <c r="H23" s="1"/>
    </row>
    <row r="24" spans="1:8" x14ac:dyDescent="0.2">
      <c r="A24" s="1"/>
      <c r="B24" s="1"/>
      <c r="C24" s="1"/>
      <c r="D24" s="1"/>
      <c r="E24" s="1"/>
      <c r="F24" s="1"/>
      <c r="G24" s="1"/>
      <c r="H24" s="1"/>
    </row>
    <row r="25" spans="1:8" x14ac:dyDescent="0.2">
      <c r="A25" s="1"/>
      <c r="B25" s="1"/>
      <c r="C25" s="1"/>
      <c r="D25" s="1"/>
      <c r="E25" s="1"/>
      <c r="F25" s="1"/>
      <c r="G25" s="1"/>
      <c r="H25" s="1"/>
    </row>
    <row r="26" spans="1:8" x14ac:dyDescent="0.2">
      <c r="A26" s="1"/>
      <c r="B26" s="1"/>
      <c r="C26" s="1"/>
      <c r="D26" s="1"/>
      <c r="E26" s="1"/>
      <c r="F26" s="1"/>
      <c r="G26" s="1"/>
      <c r="H26" s="1"/>
    </row>
    <row r="27" spans="1:8" x14ac:dyDescent="0.2">
      <c r="A27" s="1"/>
      <c r="B27" s="1"/>
      <c r="C27" s="1"/>
      <c r="D27" s="1"/>
      <c r="E27" s="1"/>
      <c r="F27" s="1"/>
      <c r="G27" s="1"/>
      <c r="H27" s="1"/>
    </row>
    <row r="28" spans="1:8" x14ac:dyDescent="0.2">
      <c r="A28" s="1"/>
      <c r="B28" s="1"/>
      <c r="C28" s="1"/>
      <c r="D28" s="1"/>
      <c r="E28" s="1"/>
      <c r="F28" s="1"/>
      <c r="G28" s="1"/>
      <c r="H28" s="1"/>
    </row>
    <row r="29" spans="1:8" x14ac:dyDescent="0.2">
      <c r="A29" s="1"/>
      <c r="B29" s="1"/>
      <c r="C29" s="1"/>
      <c r="D29" s="1"/>
      <c r="E29" s="1"/>
      <c r="F29" s="1"/>
      <c r="G29" s="1"/>
      <c r="H29" s="1"/>
    </row>
    <row r="30" spans="1:8" x14ac:dyDescent="0.2">
      <c r="A30" s="1"/>
      <c r="B30" s="1"/>
      <c r="C30" s="1"/>
      <c r="D30" s="1"/>
      <c r="E30" s="1"/>
      <c r="F30" s="1"/>
      <c r="G30" s="1"/>
      <c r="H30" s="1"/>
    </row>
    <row r="31" spans="1:8" x14ac:dyDescent="0.2">
      <c r="A31" s="1"/>
      <c r="B31" s="1"/>
      <c r="C31" s="1"/>
      <c r="D31" s="1"/>
      <c r="E31" s="1"/>
      <c r="F31" s="1"/>
      <c r="G31" s="1"/>
      <c r="H31" s="1"/>
    </row>
    <row r="32" spans="1:8" x14ac:dyDescent="0.2">
      <c r="A32" s="1"/>
      <c r="B32" s="1"/>
      <c r="C32" s="1"/>
      <c r="D32" s="1"/>
      <c r="E32" s="1"/>
      <c r="F32" s="1"/>
      <c r="G32" s="1"/>
      <c r="H32" s="1"/>
    </row>
    <row r="33" spans="1:8" x14ac:dyDescent="0.2">
      <c r="A33" s="1"/>
      <c r="B33" s="1"/>
      <c r="C33" s="1"/>
      <c r="D33" s="1"/>
      <c r="E33" s="1"/>
      <c r="F33" s="1"/>
      <c r="G33" s="1"/>
      <c r="H33" s="1"/>
    </row>
    <row r="34" spans="1:8" x14ac:dyDescent="0.2">
      <c r="A34" s="1"/>
      <c r="B34" s="1"/>
      <c r="C34" s="1"/>
      <c r="D34" s="1"/>
      <c r="E34" s="1"/>
      <c r="F34" s="1"/>
      <c r="G34" s="1"/>
      <c r="H34" s="1"/>
    </row>
    <row r="35" spans="1:8" x14ac:dyDescent="0.2">
      <c r="A35" s="1"/>
      <c r="B35" s="1"/>
      <c r="C35" s="1"/>
      <c r="D35" s="1"/>
      <c r="E35" s="1"/>
      <c r="F35" s="1"/>
      <c r="G35" s="1"/>
      <c r="H35" s="1"/>
    </row>
    <row r="36" spans="1:8" x14ac:dyDescent="0.2">
      <c r="A36" s="1"/>
      <c r="B36" s="1"/>
      <c r="C36" s="1"/>
      <c r="D36" s="1"/>
      <c r="E36" s="1"/>
      <c r="F36" s="1"/>
      <c r="G36" s="1"/>
      <c r="H36" s="1"/>
    </row>
    <row r="37" spans="1:8" x14ac:dyDescent="0.2">
      <c r="A37" s="1"/>
      <c r="B37" s="1"/>
      <c r="C37" s="1"/>
      <c r="D37" s="1"/>
      <c r="E37" s="1"/>
      <c r="F37" s="1"/>
      <c r="G37" s="1"/>
      <c r="H37" s="1"/>
    </row>
    <row r="38" spans="1:8" x14ac:dyDescent="0.2">
      <c r="A38" s="1"/>
      <c r="B38" s="1"/>
      <c r="C38" s="1"/>
      <c r="D38" s="1"/>
      <c r="E38" s="1"/>
      <c r="F38" s="1"/>
      <c r="G38" s="1"/>
      <c r="H38" s="1"/>
    </row>
    <row r="39" spans="1:8" x14ac:dyDescent="0.2">
      <c r="A39" s="1"/>
      <c r="B39" s="1"/>
      <c r="C39" s="1"/>
      <c r="D39" s="1"/>
      <c r="E39" s="1"/>
      <c r="F39" s="1"/>
      <c r="G39" s="1"/>
      <c r="H39" s="1"/>
    </row>
    <row r="40" spans="1:8" x14ac:dyDescent="0.2">
      <c r="A40" s="1"/>
      <c r="B40" s="1"/>
      <c r="C40" s="1"/>
      <c r="D40" s="1"/>
      <c r="E40" s="1"/>
      <c r="F40" s="1"/>
      <c r="G40" s="1"/>
      <c r="H40" s="1"/>
    </row>
    <row r="41" spans="1:8" x14ac:dyDescent="0.2">
      <c r="A41" s="1"/>
      <c r="B41" s="1"/>
      <c r="C41" s="1"/>
      <c r="D41" s="1"/>
      <c r="E41" s="1"/>
      <c r="F41" s="1"/>
      <c r="G41" s="1"/>
      <c r="H41" s="1"/>
    </row>
    <row r="42" spans="1:8" x14ac:dyDescent="0.2">
      <c r="A42" s="1"/>
      <c r="B42" s="1"/>
      <c r="C42" s="1"/>
      <c r="D42" s="1"/>
      <c r="E42" s="1"/>
      <c r="F42" s="1"/>
      <c r="G42" s="1"/>
      <c r="H42" s="1"/>
    </row>
    <row r="43" spans="1:8" x14ac:dyDescent="0.2">
      <c r="A43" s="1"/>
      <c r="B43" s="1"/>
      <c r="C43" s="1"/>
      <c r="D43" s="1"/>
      <c r="E43" s="1"/>
      <c r="F43" s="1"/>
      <c r="G43" s="1"/>
      <c r="H43" s="1"/>
    </row>
    <row r="44" spans="1:8" x14ac:dyDescent="0.2">
      <c r="A44" s="1"/>
      <c r="B44" s="1"/>
      <c r="C44" s="1"/>
      <c r="D44" s="1"/>
      <c r="E44" s="1"/>
      <c r="F44" s="1"/>
      <c r="G44" s="1"/>
      <c r="H44" s="1"/>
    </row>
    <row r="45" spans="1:8" x14ac:dyDescent="0.2">
      <c r="A45" s="1"/>
      <c r="B45" s="1"/>
      <c r="C45" s="1"/>
      <c r="D45" s="1"/>
      <c r="E45" s="1"/>
      <c r="F45" s="1"/>
      <c r="G45" s="1"/>
      <c r="H45" s="1"/>
    </row>
    <row r="46" spans="1:8" x14ac:dyDescent="0.2">
      <c r="A46" s="1"/>
      <c r="B46" s="1"/>
      <c r="C46" s="1"/>
      <c r="D46" s="1"/>
      <c r="E46" s="1"/>
      <c r="F46" s="1"/>
      <c r="G46" s="1"/>
      <c r="H46" s="1"/>
    </row>
    <row r="47" spans="1:8" x14ac:dyDescent="0.2">
      <c r="A47" s="1"/>
      <c r="B47" s="1"/>
      <c r="C47" s="1"/>
      <c r="D47" s="1"/>
      <c r="E47" s="1"/>
      <c r="F47" s="1"/>
      <c r="G47" s="1"/>
      <c r="H47" s="1"/>
    </row>
    <row r="48" spans="1:8" x14ac:dyDescent="0.2">
      <c r="A48" s="1"/>
      <c r="B48" s="1"/>
      <c r="C48" s="1"/>
      <c r="D48" s="1"/>
      <c r="E48" s="1"/>
      <c r="F48" s="1"/>
      <c r="G48" s="1"/>
      <c r="H48" s="1"/>
    </row>
    <row r="49" spans="1:8" x14ac:dyDescent="0.2">
      <c r="A49" s="1"/>
      <c r="B49" s="1"/>
      <c r="C49" s="1"/>
      <c r="D49" s="1"/>
      <c r="E49" s="1"/>
      <c r="F49" s="1"/>
      <c r="G49" s="1"/>
      <c r="H49" s="1"/>
    </row>
    <row r="50" spans="1:8" x14ac:dyDescent="0.2">
      <c r="A50" s="1"/>
      <c r="B50" s="1"/>
      <c r="C50" s="1"/>
      <c r="D50" s="1"/>
      <c r="E50" s="1"/>
      <c r="F50" s="1"/>
      <c r="G50" s="1"/>
      <c r="H50" s="1"/>
    </row>
    <row r="51" spans="1:8" x14ac:dyDescent="0.2">
      <c r="A51" s="1"/>
      <c r="B51" s="1"/>
      <c r="C51" s="1"/>
      <c r="D51" s="1"/>
      <c r="E51" s="1"/>
      <c r="F51" s="1"/>
      <c r="G51" s="1"/>
      <c r="H51" s="1"/>
    </row>
    <row r="52" spans="1:8" x14ac:dyDescent="0.2">
      <c r="A52" s="1"/>
      <c r="B52" s="1"/>
      <c r="C52" s="1"/>
      <c r="D52" s="1"/>
      <c r="E52" s="1"/>
      <c r="F52" s="1"/>
      <c r="G52" s="1"/>
      <c r="H52" s="1"/>
    </row>
    <row r="53" spans="1:8" x14ac:dyDescent="0.2">
      <c r="A53" s="1"/>
      <c r="B53" s="1"/>
      <c r="C53" s="1"/>
      <c r="D53" s="1"/>
      <c r="E53" s="1"/>
      <c r="F53" s="1"/>
      <c r="G53" s="1"/>
      <c r="H53" s="1"/>
    </row>
    <row r="54" spans="1:8" x14ac:dyDescent="0.2">
      <c r="A54" s="1"/>
      <c r="B54" s="1"/>
      <c r="C54" s="1"/>
      <c r="D54" s="1"/>
      <c r="E54" s="1"/>
      <c r="F54" s="1"/>
      <c r="G54" s="1"/>
      <c r="H54" s="1"/>
    </row>
    <row r="55" spans="1:8" x14ac:dyDescent="0.2">
      <c r="A55" s="1"/>
      <c r="B55" s="1"/>
      <c r="C55" s="1"/>
      <c r="D55" s="1"/>
      <c r="E55" s="1"/>
      <c r="F55" s="1"/>
      <c r="G55" s="1"/>
      <c r="H55" s="1"/>
    </row>
    <row r="56" spans="1:8" x14ac:dyDescent="0.2">
      <c r="A56" s="1"/>
      <c r="B56" s="1"/>
      <c r="C56" s="1"/>
      <c r="D56" s="1"/>
      <c r="E56" s="1"/>
      <c r="F56" s="1"/>
      <c r="G56" s="1"/>
      <c r="H56" s="1"/>
    </row>
    <row r="57" spans="1:8" x14ac:dyDescent="0.2">
      <c r="A57" s="1"/>
      <c r="B57" s="1"/>
      <c r="C57" s="1"/>
      <c r="D57" s="1"/>
      <c r="E57" s="1"/>
      <c r="F57" s="1"/>
      <c r="G57" s="1"/>
      <c r="H57" s="1"/>
    </row>
    <row r="58" spans="1:8" x14ac:dyDescent="0.2">
      <c r="A58" s="1"/>
      <c r="B58" s="1"/>
      <c r="C58" s="1"/>
      <c r="D58" s="1"/>
      <c r="E58" s="1"/>
      <c r="F58" s="1"/>
      <c r="G58" s="1"/>
      <c r="H58" s="1"/>
    </row>
    <row r="59" spans="1:8" x14ac:dyDescent="0.2">
      <c r="A59" s="1"/>
      <c r="B59" s="1"/>
      <c r="C59" s="1"/>
      <c r="D59" s="1"/>
      <c r="E59" s="1"/>
      <c r="F59" s="1"/>
      <c r="G59" s="1"/>
      <c r="H59" s="1"/>
    </row>
    <row r="60" spans="1:8" x14ac:dyDescent="0.2">
      <c r="A60" s="1"/>
      <c r="B60" s="1"/>
      <c r="C60" s="1"/>
      <c r="D60" s="1"/>
      <c r="E60" s="1"/>
      <c r="F60" s="1"/>
      <c r="G60" s="1"/>
      <c r="H60" s="1"/>
    </row>
    <row r="61" spans="1:8" x14ac:dyDescent="0.2">
      <c r="A61" s="1"/>
      <c r="B61" s="1"/>
      <c r="C61" s="1"/>
      <c r="D61" s="1"/>
      <c r="E61" s="1"/>
      <c r="F61" s="1"/>
      <c r="G61" s="1"/>
      <c r="H61" s="1"/>
    </row>
    <row r="62" spans="1:8" x14ac:dyDescent="0.2">
      <c r="A62" s="1"/>
      <c r="B62" s="1"/>
      <c r="C62" s="1"/>
      <c r="D62" s="1"/>
      <c r="E62" s="1"/>
      <c r="F62" s="1"/>
      <c r="G62" s="1"/>
      <c r="H62" s="1"/>
    </row>
    <row r="63" spans="1:8" x14ac:dyDescent="0.2">
      <c r="A63" s="1"/>
      <c r="B63" s="1"/>
      <c r="C63" s="1"/>
      <c r="D63" s="1"/>
      <c r="E63" s="1"/>
      <c r="F63" s="1"/>
      <c r="G63" s="1"/>
      <c r="H63" s="1"/>
    </row>
    <row r="64" spans="1:8" x14ac:dyDescent="0.2">
      <c r="A64" s="1"/>
      <c r="B64" s="1"/>
      <c r="C64" s="1"/>
      <c r="D64" s="1"/>
      <c r="E64" s="1"/>
      <c r="F64" s="1"/>
      <c r="G64" s="1"/>
      <c r="H64" s="1"/>
    </row>
    <row r="65" spans="1:8" x14ac:dyDescent="0.2">
      <c r="A65" s="1"/>
      <c r="B65" s="1"/>
      <c r="C65" s="1"/>
      <c r="D65" s="1"/>
      <c r="E65" s="1"/>
      <c r="F65" s="1"/>
      <c r="G65" s="1"/>
      <c r="H65" s="1"/>
    </row>
    <row r="66" spans="1:8" x14ac:dyDescent="0.2">
      <c r="A66" s="1"/>
      <c r="B66" s="1"/>
      <c r="C66" s="1"/>
      <c r="D66" s="1"/>
      <c r="E66" s="1"/>
      <c r="F66" s="1"/>
      <c r="G66" s="1"/>
      <c r="H66" s="1"/>
    </row>
    <row r="67" spans="1:8" x14ac:dyDescent="0.2">
      <c r="A67" s="1"/>
      <c r="B67" s="1"/>
      <c r="C67" s="1"/>
      <c r="D67" s="1"/>
      <c r="E67" s="1"/>
      <c r="F67" s="1"/>
      <c r="G67" s="1"/>
      <c r="H67" s="1"/>
    </row>
    <row r="68" spans="1:8" x14ac:dyDescent="0.2">
      <c r="A68" s="1"/>
      <c r="B68" s="1"/>
      <c r="C68" s="1"/>
      <c r="D68" s="1"/>
      <c r="E68" s="1"/>
      <c r="F68" s="1"/>
      <c r="G68" s="1"/>
      <c r="H68" s="1"/>
    </row>
    <row r="69" spans="1:8" x14ac:dyDescent="0.2">
      <c r="A69" s="1"/>
      <c r="B69" s="1"/>
      <c r="C69" s="1"/>
      <c r="D69" s="1"/>
      <c r="E69" s="1"/>
      <c r="F69" s="1"/>
      <c r="G69" s="1"/>
      <c r="H69" s="1"/>
    </row>
    <row r="70" spans="1:8" x14ac:dyDescent="0.2">
      <c r="A70" s="1"/>
      <c r="B70" s="1"/>
      <c r="C70" s="1"/>
      <c r="D70" s="1"/>
      <c r="E70" s="1"/>
      <c r="F70" s="1"/>
      <c r="G70" s="1"/>
      <c r="H70" s="1"/>
    </row>
    <row r="71" spans="1:8" x14ac:dyDescent="0.2">
      <c r="A71" s="1"/>
      <c r="B71" s="1"/>
      <c r="C71" s="1"/>
      <c r="D71" s="1"/>
      <c r="E71" s="1"/>
      <c r="F71" s="1"/>
      <c r="G71" s="1"/>
      <c r="H71" s="1"/>
    </row>
    <row r="72" spans="1:8" x14ac:dyDescent="0.2">
      <c r="A72" s="1"/>
      <c r="B72" s="1"/>
      <c r="C72" s="1"/>
      <c r="D72" s="1"/>
      <c r="E72" s="1"/>
      <c r="F72" s="1"/>
      <c r="G72" s="1"/>
      <c r="H72" s="1"/>
    </row>
    <row r="73" spans="1:8" x14ac:dyDescent="0.2">
      <c r="A73" s="1"/>
      <c r="B73" s="1"/>
      <c r="C73" s="1"/>
      <c r="D73" s="1"/>
      <c r="E73" s="1"/>
      <c r="F73" s="1"/>
      <c r="G73" s="1"/>
      <c r="H73" s="1"/>
    </row>
    <row r="74" spans="1:8" x14ac:dyDescent="0.2">
      <c r="A74" s="1"/>
      <c r="B74" s="1"/>
      <c r="C74" s="1"/>
      <c r="D74" s="1"/>
      <c r="E74" s="1"/>
      <c r="F74" s="1"/>
      <c r="G74" s="1"/>
      <c r="H74" s="1"/>
    </row>
    <row r="75" spans="1:8" x14ac:dyDescent="0.2">
      <c r="A75" s="1"/>
      <c r="B75" s="1"/>
      <c r="C75" s="1"/>
      <c r="D75" s="1"/>
      <c r="E75" s="1"/>
      <c r="F75" s="1"/>
      <c r="G75" s="1"/>
      <c r="H75" s="1"/>
    </row>
    <row r="76" spans="1:8" x14ac:dyDescent="0.2">
      <c r="A76" s="1"/>
      <c r="B76" s="1"/>
      <c r="C76" s="1"/>
      <c r="D76" s="1"/>
      <c r="E76" s="1"/>
      <c r="F76" s="1"/>
      <c r="G76" s="1"/>
      <c r="H76" s="1"/>
    </row>
    <row r="77" spans="1:8" x14ac:dyDescent="0.2">
      <c r="A77" s="1"/>
      <c r="B77" s="1"/>
      <c r="C77" s="1"/>
      <c r="D77" s="1"/>
      <c r="E77" s="1"/>
      <c r="F77" s="1"/>
      <c r="G77" s="1"/>
      <c r="H77" s="1"/>
    </row>
    <row r="78" spans="1:8" x14ac:dyDescent="0.2">
      <c r="A78" s="11" t="s">
        <v>1</v>
      </c>
      <c r="B78" s="12"/>
      <c r="C78" s="12"/>
      <c r="D78" s="13"/>
      <c r="E78" s="8"/>
      <c r="F78" s="8"/>
      <c r="G78" s="8"/>
      <c r="H78" s="8"/>
    </row>
    <row r="79" spans="1:8" x14ac:dyDescent="0.2">
      <c r="A79" s="14" t="s">
        <v>15</v>
      </c>
      <c r="B79" s="15"/>
      <c r="C79" s="15"/>
      <c r="D79" s="16"/>
      <c r="E79" s="8"/>
      <c r="F79" s="8"/>
      <c r="G79" s="8"/>
      <c r="H79" s="8"/>
    </row>
    <row r="80" spans="1:8" x14ac:dyDescent="0.2">
      <c r="A80" s="17" t="s">
        <v>62</v>
      </c>
      <c r="B80" s="18"/>
      <c r="C80" s="18"/>
      <c r="D80" s="19"/>
      <c r="E80" s="8"/>
      <c r="F80" s="8"/>
      <c r="G80" s="8"/>
      <c r="H80" s="8"/>
    </row>
    <row r="81" spans="1:8" x14ac:dyDescent="0.2">
      <c r="A81" s="20"/>
      <c r="B81" s="21"/>
      <c r="C81" s="22"/>
      <c r="D81" s="23"/>
      <c r="E81" s="8"/>
      <c r="F81" s="8" t="s">
        <v>34</v>
      </c>
      <c r="G81" s="8"/>
      <c r="H81" s="8"/>
    </row>
    <row r="82" spans="1:8" ht="15.75" x14ac:dyDescent="0.25">
      <c r="A82" s="24" t="s">
        <v>2</v>
      </c>
      <c r="B82" s="25" t="str">
        <f>[1]Charters!B85</f>
        <v>Summit Academy High School</v>
      </c>
      <c r="C82" s="26"/>
      <c r="D82" s="27"/>
      <c r="E82" s="8"/>
      <c r="F82" s="8"/>
      <c r="G82" s="8"/>
      <c r="H82" s="8"/>
    </row>
    <row r="83" spans="1:8" x14ac:dyDescent="0.2">
      <c r="A83" s="24"/>
      <c r="B83" s="28"/>
      <c r="C83" s="26"/>
      <c r="D83" s="27"/>
      <c r="E83" s="8"/>
      <c r="F83" s="8"/>
      <c r="G83" s="8"/>
      <c r="H83" s="8"/>
    </row>
    <row r="84" spans="1:8" x14ac:dyDescent="0.2">
      <c r="A84" s="29" t="s">
        <v>0</v>
      </c>
      <c r="B84" s="30">
        <f>[1]Charters!$E$6</f>
        <v>3184</v>
      </c>
      <c r="C84" s="26"/>
      <c r="D84" s="31"/>
      <c r="E84" s="8"/>
      <c r="F84" s="8"/>
      <c r="G84" s="8"/>
      <c r="H84" s="8"/>
    </row>
    <row r="85" spans="1:8" x14ac:dyDescent="0.2">
      <c r="A85" s="32"/>
      <c r="B85" s="6"/>
      <c r="C85" s="33"/>
      <c r="D85" s="34" t="s">
        <v>3</v>
      </c>
      <c r="E85" s="8"/>
      <c r="F85" s="8"/>
      <c r="G85" s="8"/>
      <c r="H85" s="8"/>
    </row>
    <row r="86" spans="1:8" x14ac:dyDescent="0.2">
      <c r="A86" s="29" t="s">
        <v>19</v>
      </c>
      <c r="B86" s="35" t="str">
        <f>[1]Charters!A85</f>
        <v>7G</v>
      </c>
      <c r="C86" s="36" t="s">
        <v>4</v>
      </c>
      <c r="D86" s="37" t="s">
        <v>5</v>
      </c>
      <c r="E86" s="8"/>
      <c r="F86" s="8"/>
      <c r="G86" s="8"/>
      <c r="H86" s="8"/>
    </row>
    <row r="87" spans="1:8" x14ac:dyDescent="0.2">
      <c r="A87" s="38" t="s">
        <v>6</v>
      </c>
      <c r="B87" s="39"/>
      <c r="C87" s="40"/>
      <c r="D87" s="41"/>
      <c r="E87" s="8"/>
      <c r="F87" s="8"/>
      <c r="G87" s="8"/>
      <c r="H87" s="8"/>
    </row>
    <row r="88" spans="1:8" x14ac:dyDescent="0.2">
      <c r="A88" s="38" t="s">
        <v>7</v>
      </c>
      <c r="B88" s="39"/>
      <c r="C88" s="40"/>
      <c r="D88" s="41"/>
      <c r="E88" s="8"/>
      <c r="F88" s="42" t="s">
        <v>23</v>
      </c>
      <c r="G88" s="8"/>
      <c r="H88" s="42" t="s">
        <v>26</v>
      </c>
    </row>
    <row r="89" spans="1:8" x14ac:dyDescent="0.2">
      <c r="A89" s="20" t="s">
        <v>8</v>
      </c>
      <c r="B89" s="43"/>
      <c r="C89" s="44">
        <f>[1]Charters!C545</f>
        <v>650.904</v>
      </c>
      <c r="D89" s="45">
        <f>[1]Charters!E545</f>
        <v>2072477.39</v>
      </c>
      <c r="E89" s="8"/>
      <c r="F89" s="42">
        <f>[1]Charters!E700</f>
        <v>2197966.0699999998</v>
      </c>
      <c r="G89" s="8"/>
      <c r="H89" s="42">
        <f>[2]Charters!E239</f>
        <v>2518103.94</v>
      </c>
    </row>
    <row r="90" spans="1:8" x14ac:dyDescent="0.2">
      <c r="A90" s="20" t="s">
        <v>14</v>
      </c>
      <c r="B90" s="43"/>
      <c r="C90" s="44">
        <f>[1]Charters!F545</f>
        <v>38.411999999999999</v>
      </c>
      <c r="D90" s="45">
        <f>[1]Charters!H545</f>
        <v>122304.68</v>
      </c>
      <c r="E90" s="8"/>
      <c r="F90" s="42">
        <f>SUM(D89:D91)</f>
        <v>2197966.0699999998</v>
      </c>
      <c r="G90" s="8"/>
      <c r="H90" s="42">
        <f>D102</f>
        <v>2518103.94</v>
      </c>
    </row>
    <row r="91" spans="1:8" x14ac:dyDescent="0.2">
      <c r="A91" s="20" t="s">
        <v>32</v>
      </c>
      <c r="B91" s="43"/>
      <c r="C91" s="44">
        <f>[1]Charters!C238</f>
        <v>1</v>
      </c>
      <c r="D91" s="45">
        <f>[1]Charters!E238</f>
        <v>3184</v>
      </c>
      <c r="E91" s="8"/>
      <c r="F91" s="42">
        <f>+F89-F90</f>
        <v>0</v>
      </c>
      <c r="G91" s="8"/>
      <c r="H91" s="42">
        <f>+H89-H90</f>
        <v>0</v>
      </c>
    </row>
    <row r="92" spans="1:8" x14ac:dyDescent="0.2">
      <c r="A92" s="38" t="s">
        <v>9</v>
      </c>
      <c r="B92" s="39"/>
      <c r="C92" s="46"/>
      <c r="D92" s="47"/>
      <c r="E92" s="8"/>
      <c r="F92" s="8"/>
      <c r="G92" s="8"/>
      <c r="H92" s="8"/>
    </row>
    <row r="93" spans="1:8" x14ac:dyDescent="0.2">
      <c r="A93" s="20" t="s">
        <v>10</v>
      </c>
      <c r="B93" s="43"/>
      <c r="C93" s="40">
        <f>[3]Charters!C84</f>
        <v>95.929000000000002</v>
      </c>
      <c r="D93" s="41">
        <f>[3]Charters!E84</f>
        <v>305439.2</v>
      </c>
      <c r="E93" s="8"/>
      <c r="F93" s="42" t="s">
        <v>24</v>
      </c>
      <c r="G93" s="8"/>
      <c r="H93" s="8"/>
    </row>
    <row r="94" spans="1:8" x14ac:dyDescent="0.2">
      <c r="A94" s="48" t="s">
        <v>11</v>
      </c>
      <c r="B94" s="43"/>
      <c r="C94" s="40">
        <f>[3]Charters!F84</f>
        <v>2.4700000000000002</v>
      </c>
      <c r="D94" s="49">
        <f>[3]Charters!H84</f>
        <v>7864.48</v>
      </c>
      <c r="E94" s="8"/>
      <c r="F94" s="42">
        <f>[3]Charters!N396</f>
        <v>320137.87</v>
      </c>
      <c r="G94" s="8"/>
      <c r="H94" s="8"/>
    </row>
    <row r="95" spans="1:8" x14ac:dyDescent="0.2">
      <c r="A95" s="48" t="s">
        <v>12</v>
      </c>
      <c r="B95" s="43"/>
      <c r="C95" s="40">
        <f>[3]Charters!C239</f>
        <v>0</v>
      </c>
      <c r="D95" s="41">
        <f>[3]Charters!E239</f>
        <v>0</v>
      </c>
      <c r="E95" s="8"/>
      <c r="F95" s="42">
        <f>SUM(D93:D99)</f>
        <v>320137.87</v>
      </c>
      <c r="G95" s="8"/>
      <c r="H95" s="8"/>
    </row>
    <row r="96" spans="1:8" x14ac:dyDescent="0.2">
      <c r="A96" s="20" t="s">
        <v>13</v>
      </c>
      <c r="B96" s="43"/>
      <c r="C96" s="40">
        <f>[3]Charters!F239</f>
        <v>0.70899999999999996</v>
      </c>
      <c r="D96" s="41">
        <f>[3]Charters!H239</f>
        <v>2259</v>
      </c>
      <c r="E96" s="8"/>
      <c r="F96" s="42">
        <f>+F94-F95</f>
        <v>0</v>
      </c>
      <c r="G96" s="8"/>
      <c r="H96" s="8"/>
    </row>
    <row r="97" spans="1:8" x14ac:dyDescent="0.2">
      <c r="A97" s="48" t="s">
        <v>54</v>
      </c>
      <c r="B97" s="43"/>
      <c r="C97" s="40">
        <f>[3]Charters!C396</f>
        <v>1.4370000000000001</v>
      </c>
      <c r="D97" s="41">
        <f>[3]Charters!E396</f>
        <v>4575.1899999999996</v>
      </c>
      <c r="E97" s="8"/>
      <c r="F97" s="8"/>
      <c r="G97" s="8"/>
      <c r="H97" s="8"/>
    </row>
    <row r="98" spans="1:8" x14ac:dyDescent="0.2">
      <c r="A98" s="48" t="s">
        <v>55</v>
      </c>
      <c r="B98" s="43"/>
      <c r="C98" s="40">
        <f>[3]Charters!F396</f>
        <v>0</v>
      </c>
      <c r="D98" s="41">
        <f>[3]Charters!H396</f>
        <v>0</v>
      </c>
      <c r="E98" s="8"/>
      <c r="F98" s="42" t="s">
        <v>25</v>
      </c>
      <c r="G98" s="8"/>
      <c r="H98" s="8"/>
    </row>
    <row r="99" spans="1:8" x14ac:dyDescent="0.2">
      <c r="A99" s="48" t="s">
        <v>56</v>
      </c>
      <c r="B99" s="43"/>
      <c r="C99" s="40">
        <f>[3]Charters!I396</f>
        <v>0</v>
      </c>
      <c r="D99" s="41">
        <f>[3]Charters!K396</f>
        <v>0</v>
      </c>
      <c r="E99" s="8"/>
      <c r="F99" s="42">
        <f>[2]Charters!H85</f>
        <v>320137.87</v>
      </c>
      <c r="G99" s="8"/>
      <c r="H99" s="8"/>
    </row>
    <row r="100" spans="1:8" x14ac:dyDescent="0.2">
      <c r="A100" s="20" t="s">
        <v>49</v>
      </c>
      <c r="B100" s="43"/>
      <c r="C100" s="40">
        <f>[3]Charters!C552</f>
        <v>0</v>
      </c>
      <c r="D100" s="41">
        <f>[3]Charters!E552</f>
        <v>0</v>
      </c>
      <c r="E100" s="8"/>
      <c r="F100" s="42">
        <f>SUM(D93:D101)</f>
        <v>320137.87</v>
      </c>
      <c r="G100" s="8"/>
      <c r="H100" s="8"/>
    </row>
    <row r="101" spans="1:8" x14ac:dyDescent="0.2">
      <c r="A101" s="20" t="s">
        <v>50</v>
      </c>
      <c r="B101" s="43"/>
      <c r="C101" s="40">
        <f>[2]Charters!C85</f>
        <v>0</v>
      </c>
      <c r="D101" s="41">
        <f>[2]Charters!E85</f>
        <v>0</v>
      </c>
      <c r="E101" s="8"/>
      <c r="F101" s="42">
        <f>+F99-F100</f>
        <v>0</v>
      </c>
      <c r="G101" s="8"/>
      <c r="H101" s="8"/>
    </row>
    <row r="102" spans="1:8" x14ac:dyDescent="0.2">
      <c r="A102" s="50"/>
      <c r="B102" s="51" t="s">
        <v>16</v>
      </c>
      <c r="C102" s="52">
        <f>SUM(C89:C101)</f>
        <v>790.86099999999999</v>
      </c>
      <c r="D102" s="53">
        <f>SUM(D89:D101)</f>
        <v>2518103.94</v>
      </c>
      <c r="E102" s="8"/>
      <c r="F102" s="8"/>
      <c r="G102" s="8"/>
      <c r="H102" s="8"/>
    </row>
    <row r="103" spans="1:8" x14ac:dyDescent="0.2">
      <c r="A103" s="54" t="s">
        <v>17</v>
      </c>
      <c r="B103" s="39"/>
      <c r="C103" s="55"/>
      <c r="D103" s="47"/>
      <c r="E103" s="8"/>
      <c r="F103" s="8"/>
      <c r="G103" s="8"/>
      <c r="H103" s="42" t="s">
        <v>29</v>
      </c>
    </row>
    <row r="104" spans="1:8" x14ac:dyDescent="0.2">
      <c r="A104" s="20" t="s">
        <v>33</v>
      </c>
      <c r="B104" s="43"/>
      <c r="C104" s="56"/>
      <c r="D104" s="57">
        <f>[4]Charters!C85</f>
        <v>7289.41</v>
      </c>
      <c r="E104" s="8"/>
      <c r="F104" s="8"/>
      <c r="G104" s="8"/>
      <c r="H104" s="42">
        <f>[4]Charters!F1025</f>
        <v>3852769.34</v>
      </c>
    </row>
    <row r="105" spans="1:8" x14ac:dyDescent="0.2">
      <c r="A105" s="58" t="s">
        <v>35</v>
      </c>
      <c r="B105" s="43"/>
      <c r="C105" s="56"/>
      <c r="D105" s="41">
        <f>+[4]Charters!F406</f>
        <v>10939.15</v>
      </c>
      <c r="E105" s="8"/>
      <c r="F105" s="8"/>
      <c r="G105" s="8"/>
      <c r="H105" s="42">
        <f>SUM(D102:D121)</f>
        <v>3852769.34</v>
      </c>
    </row>
    <row r="106" spans="1:8" x14ac:dyDescent="0.2">
      <c r="A106" s="59" t="s">
        <v>36</v>
      </c>
      <c r="B106" s="43"/>
      <c r="C106" s="56"/>
      <c r="D106" s="41">
        <f>[4]Charters!E245</f>
        <v>20403</v>
      </c>
      <c r="E106" s="8"/>
      <c r="F106" s="8"/>
      <c r="G106" s="8"/>
      <c r="H106" s="42">
        <f>+H104-H105</f>
        <v>0</v>
      </c>
    </row>
    <row r="107" spans="1:8" x14ac:dyDescent="0.2">
      <c r="A107" s="59" t="s">
        <v>52</v>
      </c>
      <c r="B107" s="43"/>
      <c r="C107" s="56"/>
      <c r="D107" s="41">
        <f>[4]Charters!G406</f>
        <v>6399.78</v>
      </c>
      <c r="E107" s="8"/>
      <c r="F107" s="42" t="s">
        <v>27</v>
      </c>
      <c r="G107" s="8"/>
      <c r="H107" s="42"/>
    </row>
    <row r="108" spans="1:8" x14ac:dyDescent="0.2">
      <c r="A108" s="20" t="s">
        <v>37</v>
      </c>
      <c r="B108" s="43"/>
      <c r="C108" s="56"/>
      <c r="D108" s="41">
        <f>[4]Charters!E562</f>
        <v>40250</v>
      </c>
      <c r="E108" s="8"/>
      <c r="F108" s="42">
        <f>[4]Charters!E245</f>
        <v>20403</v>
      </c>
      <c r="G108" s="8"/>
      <c r="H108" s="8"/>
    </row>
    <row r="109" spans="1:8" x14ac:dyDescent="0.2">
      <c r="A109" s="20" t="s">
        <v>38</v>
      </c>
      <c r="B109" s="43"/>
      <c r="C109" s="56"/>
      <c r="D109" s="41">
        <f>[4]Charters!F562</f>
        <v>0</v>
      </c>
      <c r="E109" s="8"/>
      <c r="F109" s="42">
        <f>SUM(D106:D106)</f>
        <v>20403</v>
      </c>
      <c r="G109" s="8"/>
      <c r="H109" s="8"/>
    </row>
    <row r="110" spans="1:8" x14ac:dyDescent="0.2">
      <c r="A110" s="59" t="s">
        <v>40</v>
      </c>
      <c r="B110" s="43"/>
      <c r="C110" s="56"/>
      <c r="D110" s="41">
        <f>[4]Charters!G562</f>
        <v>0</v>
      </c>
      <c r="E110" s="8"/>
      <c r="F110" s="42">
        <f>+F108-F109</f>
        <v>0</v>
      </c>
      <c r="G110" s="8"/>
      <c r="H110" s="8"/>
    </row>
    <row r="111" spans="1:8" x14ac:dyDescent="0.2">
      <c r="A111" s="20" t="s">
        <v>41</v>
      </c>
      <c r="B111" s="43"/>
      <c r="C111" s="56"/>
      <c r="D111" s="41">
        <f>[4]Charters!C716</f>
        <v>1084542</v>
      </c>
      <c r="E111" s="8"/>
      <c r="F111" s="42" t="s">
        <v>28</v>
      </c>
      <c r="G111" s="8"/>
      <c r="H111" s="8"/>
    </row>
    <row r="112" spans="1:8" x14ac:dyDescent="0.2">
      <c r="A112" s="20" t="s">
        <v>42</v>
      </c>
      <c r="B112" s="43"/>
      <c r="C112" s="56"/>
      <c r="D112" s="41">
        <f>[4]Charters!D716</f>
        <v>109875.39</v>
      </c>
      <c r="E112" s="8"/>
      <c r="F112" s="42">
        <f>[4]Charters!D562</f>
        <v>37741.93</v>
      </c>
      <c r="G112" s="8"/>
      <c r="H112" s="8"/>
    </row>
    <row r="113" spans="1:8" x14ac:dyDescent="0.2">
      <c r="A113" s="20" t="s">
        <v>44</v>
      </c>
      <c r="B113" s="43"/>
      <c r="C113" s="56"/>
      <c r="D113" s="41">
        <f>[4]Charters!E716</f>
        <v>54200</v>
      </c>
      <c r="E113" s="8"/>
      <c r="F113" s="42">
        <f>SUM(D105:D107)</f>
        <v>37741.93</v>
      </c>
      <c r="G113" s="8"/>
      <c r="H113" s="8"/>
    </row>
    <row r="114" spans="1:8" x14ac:dyDescent="0.2">
      <c r="A114" s="59" t="s">
        <v>43</v>
      </c>
      <c r="B114" s="43"/>
      <c r="C114" s="56"/>
      <c r="D114" s="41">
        <f>[4]Charters!F716</f>
        <v>0</v>
      </c>
      <c r="E114" s="8"/>
      <c r="F114" s="42">
        <f>+F112-F113</f>
        <v>0</v>
      </c>
      <c r="G114" s="8"/>
      <c r="H114" s="8"/>
    </row>
    <row r="115" spans="1:8" x14ac:dyDescent="0.2">
      <c r="A115" s="59" t="s">
        <v>45</v>
      </c>
      <c r="B115" s="43"/>
      <c r="C115" s="56"/>
      <c r="D115" s="41">
        <f>[4]Charters!C562</f>
        <v>0</v>
      </c>
      <c r="E115" s="8"/>
      <c r="F115" s="8"/>
      <c r="G115" s="8"/>
      <c r="H115" s="8"/>
    </row>
    <row r="116" spans="1:8" x14ac:dyDescent="0.2">
      <c r="A116" s="59" t="s">
        <v>46</v>
      </c>
      <c r="B116" s="43"/>
      <c r="C116" s="56"/>
      <c r="D116" s="41">
        <f>[4]Charters!C872</f>
        <v>0</v>
      </c>
      <c r="E116" s="42"/>
      <c r="F116" s="42"/>
      <c r="G116" s="42"/>
      <c r="H116" s="42" t="s">
        <v>31</v>
      </c>
    </row>
    <row r="117" spans="1:8" x14ac:dyDescent="0.2">
      <c r="A117" s="59" t="s">
        <v>51</v>
      </c>
      <c r="B117" s="43"/>
      <c r="C117" s="56"/>
      <c r="D117" s="60">
        <f>[4]Charters!D872</f>
        <v>766.67</v>
      </c>
      <c r="E117" s="42"/>
      <c r="F117" s="42"/>
      <c r="G117" s="42"/>
      <c r="H117" s="42">
        <f>[4]Charters!D1331</f>
        <v>3856645.23</v>
      </c>
    </row>
    <row r="118" spans="1:8" x14ac:dyDescent="0.2">
      <c r="A118" s="20" t="s">
        <v>47</v>
      </c>
      <c r="B118" s="43"/>
      <c r="C118" s="56"/>
      <c r="D118" s="60">
        <f>[4]Charters!E872</f>
        <v>0</v>
      </c>
      <c r="E118" s="42"/>
      <c r="F118" s="42"/>
      <c r="G118" s="42"/>
      <c r="H118" s="42">
        <f>D127</f>
        <v>3856645.23</v>
      </c>
    </row>
    <row r="119" spans="1:8" x14ac:dyDescent="0.2">
      <c r="A119" s="20" t="s">
        <v>57</v>
      </c>
      <c r="B119" s="43"/>
      <c r="C119" s="56"/>
      <c r="D119" s="60">
        <f>[4]Charters!C1025</f>
        <v>0</v>
      </c>
      <c r="E119" s="42"/>
      <c r="F119" s="42"/>
      <c r="G119" s="42"/>
      <c r="H119" s="42">
        <f>+H117-H118</f>
        <v>0</v>
      </c>
    </row>
    <row r="120" spans="1:8" x14ac:dyDescent="0.2">
      <c r="A120" s="59" t="s">
        <v>53</v>
      </c>
      <c r="B120" s="43"/>
      <c r="C120" s="56"/>
      <c r="D120" s="60">
        <f>[4]Charters!D1025</f>
        <v>0</v>
      </c>
      <c r="E120" s="42"/>
      <c r="F120" s="42" t="s">
        <v>30</v>
      </c>
      <c r="G120" s="42"/>
      <c r="H120" s="42"/>
    </row>
    <row r="121" spans="1:8" x14ac:dyDescent="0.2">
      <c r="A121" s="59" t="s">
        <v>59</v>
      </c>
      <c r="B121" s="43"/>
      <c r="C121" s="56"/>
      <c r="D121" s="60">
        <f>[4]Charters!E1025</f>
        <v>0</v>
      </c>
      <c r="E121" s="42"/>
      <c r="F121" s="42"/>
      <c r="G121" s="42"/>
      <c r="H121" s="42"/>
    </row>
    <row r="122" spans="1:8" x14ac:dyDescent="0.2">
      <c r="A122" s="38" t="s">
        <v>18</v>
      </c>
      <c r="B122" s="61"/>
      <c r="C122" s="62"/>
      <c r="D122" s="87"/>
      <c r="E122" s="42"/>
      <c r="F122" s="42">
        <f>[4]Charters!C1331</f>
        <v>3875.89</v>
      </c>
      <c r="G122" s="42"/>
      <c r="H122" s="42"/>
    </row>
    <row r="123" spans="1:8" x14ac:dyDescent="0.2">
      <c r="A123" s="59" t="s">
        <v>39</v>
      </c>
      <c r="B123" s="43"/>
      <c r="C123" s="56"/>
      <c r="D123" s="41">
        <f>[4]Charters!C1178</f>
        <v>3875.89</v>
      </c>
      <c r="E123" s="42"/>
      <c r="F123" s="42">
        <f>SUM(D123:D126)</f>
        <v>3875.89</v>
      </c>
      <c r="G123" s="42"/>
      <c r="H123" s="42"/>
    </row>
    <row r="124" spans="1:8" x14ac:dyDescent="0.2">
      <c r="A124" s="59" t="s">
        <v>48</v>
      </c>
      <c r="B124" s="43"/>
      <c r="C124" s="56"/>
      <c r="D124" s="41">
        <f>[4]Charters!D1178</f>
        <v>0</v>
      </c>
      <c r="E124" s="42"/>
      <c r="F124" s="42">
        <f>+F122-F123</f>
        <v>0</v>
      </c>
      <c r="G124" s="42"/>
      <c r="H124" s="42"/>
    </row>
    <row r="125" spans="1:8" x14ac:dyDescent="0.2">
      <c r="A125" s="59" t="s">
        <v>60</v>
      </c>
      <c r="B125" s="43"/>
      <c r="C125" s="56"/>
      <c r="D125" s="41">
        <f>[4]Charters!E1178</f>
        <v>0</v>
      </c>
      <c r="E125" s="42"/>
      <c r="F125" s="42"/>
      <c r="G125" s="42"/>
      <c r="H125" s="42"/>
    </row>
    <row r="126" spans="1:8" x14ac:dyDescent="0.2">
      <c r="A126" s="59" t="s">
        <v>61</v>
      </c>
      <c r="B126" s="43"/>
      <c r="C126" s="56"/>
      <c r="D126" s="41">
        <f>[4]Charters!F1178</f>
        <v>0</v>
      </c>
      <c r="E126" s="42"/>
      <c r="F126" s="42"/>
      <c r="G126" s="42"/>
      <c r="H126" s="42"/>
    </row>
    <row r="127" spans="1:8" ht="13.5" thickBot="1" x14ac:dyDescent="0.25">
      <c r="A127" s="64"/>
      <c r="B127" s="65"/>
      <c r="C127" s="66"/>
      <c r="D127" s="67">
        <f>SUM(D102:D126)</f>
        <v>3856645.23</v>
      </c>
      <c r="E127" s="42"/>
      <c r="F127" s="42"/>
      <c r="G127" s="42"/>
      <c r="H127" s="42"/>
    </row>
    <row r="128" spans="1:8" ht="13.5" thickTop="1" x14ac:dyDescent="0.2">
      <c r="A128" s="68"/>
      <c r="B128" s="43"/>
      <c r="C128" s="56"/>
      <c r="D128" s="86"/>
      <c r="E128" s="42"/>
      <c r="F128" s="42"/>
      <c r="G128" s="42"/>
      <c r="H128" s="42"/>
    </row>
    <row r="129" spans="1:8" x14ac:dyDescent="0.2">
      <c r="A129" s="38" t="s">
        <v>20</v>
      </c>
      <c r="B129" s="39"/>
      <c r="C129" s="70"/>
      <c r="D129" s="71" t="s">
        <v>21</v>
      </c>
      <c r="E129" s="42"/>
      <c r="F129" s="42"/>
      <c r="G129" s="42"/>
      <c r="H129" s="42"/>
    </row>
    <row r="130" spans="1:8" x14ac:dyDescent="0.2">
      <c r="A130" s="72" t="s">
        <v>22</v>
      </c>
      <c r="B130" s="73"/>
      <c r="C130" s="74"/>
      <c r="D130" s="41">
        <f>[5]Charters!C84</f>
        <v>1294.27</v>
      </c>
      <c r="E130" s="42"/>
      <c r="F130" s="42"/>
      <c r="G130" s="42"/>
      <c r="H130" s="42"/>
    </row>
    <row r="131" spans="1:8" x14ac:dyDescent="0.2">
      <c r="A131" s="75"/>
      <c r="B131" s="61"/>
      <c r="C131" s="76"/>
      <c r="D131" s="77">
        <f>SUM(D130:D130)</f>
        <v>1294.27</v>
      </c>
      <c r="E131" s="42"/>
      <c r="F131" s="42"/>
      <c r="G131" s="42"/>
      <c r="H131" s="42"/>
    </row>
    <row r="132" spans="1:8" x14ac:dyDescent="0.2">
      <c r="A132" s="78" t="s">
        <v>58</v>
      </c>
      <c r="B132" s="79"/>
      <c r="C132" s="80"/>
      <c r="D132" s="77">
        <f>D131+D127</f>
        <v>3857939.5</v>
      </c>
      <c r="E132" s="42"/>
      <c r="F132" s="42"/>
      <c r="G132" s="42"/>
      <c r="H132" s="42"/>
    </row>
    <row r="133" spans="1:8" x14ac:dyDescent="0.2">
      <c r="A133" s="84"/>
      <c r="B133" s="84"/>
      <c r="C133" s="85"/>
      <c r="D133" s="81"/>
      <c r="E133" s="42"/>
      <c r="F133" s="42"/>
      <c r="G133" s="42"/>
      <c r="H133" s="42"/>
    </row>
    <row r="134" spans="1:8" x14ac:dyDescent="0.2">
      <c r="A134" s="84"/>
      <c r="B134" s="84"/>
      <c r="C134" s="85"/>
      <c r="D134" s="81">
        <f>[5]Charters!E240</f>
        <v>3857939.5</v>
      </c>
      <c r="E134" s="42"/>
      <c r="F134" s="42"/>
      <c r="G134" s="42"/>
      <c r="H134" s="42"/>
    </row>
    <row r="135" spans="1:8" x14ac:dyDescent="0.2">
      <c r="A135" s="84"/>
      <c r="B135" s="84"/>
      <c r="C135" s="85"/>
      <c r="D135" s="81">
        <f>D132</f>
        <v>3857939.5</v>
      </c>
      <c r="E135" s="42"/>
      <c r="F135" s="42"/>
      <c r="G135" s="42"/>
      <c r="H135" s="42"/>
    </row>
    <row r="136" spans="1:8" x14ac:dyDescent="0.2">
      <c r="C136" s="83"/>
      <c r="D136" s="42">
        <f>D134-D135</f>
        <v>0</v>
      </c>
      <c r="E136" s="42"/>
      <c r="F136" s="42"/>
      <c r="G136" s="42"/>
      <c r="H136" s="42"/>
    </row>
  </sheetData>
  <mergeCells count="4">
    <mergeCell ref="A132:C132"/>
    <mergeCell ref="A79:D79"/>
    <mergeCell ref="A80:D80"/>
    <mergeCell ref="A78:D78"/>
  </mergeCells>
  <printOptions horizontalCentered="1" verticalCentered="1"/>
  <pageMargins left="0.5" right="0.5" top="0.5" bottom="0.5" header="0.25" footer="0.25"/>
  <pageSetup orientation="portrait" r:id="rId1"/>
  <headerFooter alignWithMargins="0">
    <oddHeader>&amp;R&amp;8Current as of: &amp;D</oddHeader>
    <oddFooter>&amp;L&amp;8USOE, School Finance</oddFooter>
  </headerFooter>
  <picture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sheetPr>
    <pageSetUpPr fitToPage="1"/>
  </sheetPr>
  <dimension ref="A1:H137"/>
  <sheetViews>
    <sheetView topLeftCell="A72" workbookViewId="0">
      <selection activeCell="C12" sqref="C12"/>
    </sheetView>
  </sheetViews>
  <sheetFormatPr defaultColWidth="9.140625" defaultRowHeight="12.75" x14ac:dyDescent="0.2"/>
  <cols>
    <col min="1" max="1" width="31.85546875" style="82" customWidth="1"/>
    <col min="2" max="2" width="16.140625" style="82" customWidth="1"/>
    <col min="3" max="4" width="14.85546875" style="82" customWidth="1"/>
    <col min="5" max="5" width="7" style="82" customWidth="1"/>
    <col min="6" max="6" width="19.7109375" style="82" customWidth="1"/>
    <col min="7" max="7" width="5.7109375" style="82" customWidth="1"/>
    <col min="8" max="8" width="18" style="82" customWidth="1"/>
    <col min="9" max="16384" width="9.140625" style="82"/>
  </cols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"/>
      <c r="B3" s="1"/>
      <c r="C3" s="1"/>
      <c r="D3" s="1"/>
      <c r="E3" s="1"/>
      <c r="F3" s="1"/>
      <c r="G3" s="1"/>
      <c r="H3" s="1"/>
    </row>
    <row r="4" spans="1:8" x14ac:dyDescent="0.2">
      <c r="A4" s="1"/>
      <c r="B4" s="1"/>
      <c r="C4" s="1"/>
      <c r="D4" s="1"/>
      <c r="E4" s="1"/>
      <c r="F4" s="1"/>
      <c r="G4" s="1"/>
      <c r="H4" s="1"/>
    </row>
    <row r="5" spans="1:8" x14ac:dyDescent="0.2">
      <c r="A5" s="1"/>
      <c r="B5" s="1"/>
      <c r="C5" s="1"/>
      <c r="D5" s="1"/>
      <c r="E5" s="1"/>
      <c r="F5" s="1"/>
      <c r="G5" s="1"/>
      <c r="H5" s="1"/>
    </row>
    <row r="6" spans="1:8" x14ac:dyDescent="0.2">
      <c r="A6" s="1"/>
      <c r="B6" s="1"/>
      <c r="C6" s="1"/>
      <c r="D6" s="1"/>
      <c r="E6" s="1"/>
      <c r="F6" s="1"/>
      <c r="G6" s="1"/>
      <c r="H6" s="1"/>
    </row>
    <row r="7" spans="1:8" x14ac:dyDescent="0.2">
      <c r="A7" s="1"/>
      <c r="B7" s="1"/>
      <c r="C7" s="1"/>
      <c r="D7" s="1"/>
      <c r="E7" s="1"/>
      <c r="F7" s="1"/>
      <c r="G7" s="1"/>
      <c r="H7" s="1"/>
    </row>
    <row r="8" spans="1:8" x14ac:dyDescent="0.2">
      <c r="A8" s="1"/>
      <c r="B8" s="1"/>
      <c r="C8" s="1"/>
      <c r="D8" s="1"/>
      <c r="E8" s="1"/>
      <c r="F8" s="1"/>
      <c r="G8" s="1"/>
      <c r="H8" s="1"/>
    </row>
    <row r="9" spans="1:8" x14ac:dyDescent="0.2">
      <c r="A9" s="1"/>
      <c r="B9" s="1"/>
      <c r="C9" s="1"/>
      <c r="D9" s="1"/>
      <c r="E9" s="1"/>
      <c r="F9" s="1"/>
      <c r="G9" s="1"/>
      <c r="H9" s="1"/>
    </row>
    <row r="10" spans="1:8" x14ac:dyDescent="0.2">
      <c r="A10" s="1"/>
      <c r="B10" s="1"/>
      <c r="C10" s="1"/>
      <c r="D10" s="1"/>
      <c r="E10" s="1"/>
      <c r="F10" s="1"/>
      <c r="G10" s="1"/>
      <c r="H10" s="1"/>
    </row>
    <row r="11" spans="1:8" x14ac:dyDescent="0.2">
      <c r="A11" s="1"/>
      <c r="B11" s="1"/>
      <c r="C11" s="1"/>
      <c r="D11" s="1"/>
      <c r="E11" s="1"/>
      <c r="F11" s="1"/>
      <c r="G11" s="1"/>
      <c r="H11" s="1"/>
    </row>
    <row r="12" spans="1:8" x14ac:dyDescent="0.2">
      <c r="A12" s="1"/>
      <c r="B12" s="1"/>
      <c r="C12" s="1"/>
      <c r="D12" s="1"/>
      <c r="E12" s="1"/>
      <c r="F12" s="1"/>
      <c r="G12" s="1"/>
      <c r="H12" s="1"/>
    </row>
    <row r="13" spans="1:8" x14ac:dyDescent="0.2">
      <c r="A13" s="1"/>
      <c r="B13" s="1"/>
      <c r="C13" s="1"/>
      <c r="D13" s="1"/>
      <c r="E13" s="1"/>
      <c r="F13" s="1"/>
      <c r="G13" s="1"/>
      <c r="H13" s="1"/>
    </row>
    <row r="14" spans="1:8" x14ac:dyDescent="0.2">
      <c r="A14" s="1"/>
      <c r="B14" s="1"/>
      <c r="C14" s="1"/>
      <c r="D14" s="1"/>
      <c r="E14" s="1"/>
      <c r="F14" s="1"/>
      <c r="G14" s="1"/>
      <c r="H14" s="1"/>
    </row>
    <row r="15" spans="1:8" x14ac:dyDescent="0.2">
      <c r="A15" s="1"/>
      <c r="B15" s="1"/>
      <c r="C15" s="1"/>
      <c r="D15" s="1"/>
      <c r="E15" s="1"/>
      <c r="F15" s="1"/>
      <c r="G15" s="1"/>
      <c r="H15" s="1"/>
    </row>
    <row r="16" spans="1:8" x14ac:dyDescent="0.2">
      <c r="A16" s="1"/>
      <c r="B16" s="1"/>
      <c r="C16" s="1"/>
      <c r="D16" s="1"/>
      <c r="E16" s="1"/>
      <c r="F16" s="1"/>
      <c r="G16" s="1"/>
      <c r="H16" s="1"/>
    </row>
    <row r="17" spans="1:8" x14ac:dyDescent="0.2">
      <c r="A17" s="1"/>
      <c r="B17" s="1"/>
      <c r="C17" s="1"/>
      <c r="D17" s="1"/>
      <c r="E17" s="1"/>
      <c r="F17" s="1"/>
      <c r="G17" s="1"/>
      <c r="H17" s="1"/>
    </row>
    <row r="18" spans="1:8" x14ac:dyDescent="0.2">
      <c r="A18" s="1"/>
      <c r="B18" s="1"/>
      <c r="C18" s="1"/>
      <c r="D18" s="1"/>
      <c r="E18" s="1"/>
      <c r="F18" s="1"/>
      <c r="G18" s="1"/>
      <c r="H18" s="1"/>
    </row>
    <row r="19" spans="1:8" x14ac:dyDescent="0.2">
      <c r="A19" s="1"/>
      <c r="B19" s="1"/>
      <c r="C19" s="1"/>
      <c r="D19" s="1"/>
      <c r="E19" s="1"/>
      <c r="F19" s="1"/>
      <c r="G19" s="1"/>
      <c r="H19" s="1"/>
    </row>
    <row r="20" spans="1:8" x14ac:dyDescent="0.2">
      <c r="A20" s="1"/>
      <c r="B20" s="1"/>
      <c r="C20" s="1"/>
      <c r="D20" s="1"/>
      <c r="E20" s="1"/>
      <c r="F20" s="1"/>
      <c r="G20" s="1"/>
      <c r="H20" s="1"/>
    </row>
    <row r="21" spans="1:8" x14ac:dyDescent="0.2">
      <c r="A21" s="1"/>
      <c r="B21" s="1"/>
      <c r="C21" s="1"/>
      <c r="D21" s="1"/>
      <c r="E21" s="1"/>
      <c r="F21" s="1"/>
      <c r="G21" s="1"/>
      <c r="H21" s="1"/>
    </row>
    <row r="22" spans="1:8" x14ac:dyDescent="0.2">
      <c r="A22" s="1"/>
      <c r="B22" s="1"/>
      <c r="C22" s="1"/>
      <c r="D22" s="4"/>
      <c r="E22" s="1"/>
      <c r="F22" s="1"/>
      <c r="G22" s="1"/>
      <c r="H22" s="1"/>
    </row>
    <row r="23" spans="1:8" x14ac:dyDescent="0.2">
      <c r="A23" s="1"/>
      <c r="B23" s="1"/>
      <c r="C23" s="1"/>
      <c r="D23" s="1"/>
      <c r="E23" s="1"/>
      <c r="F23" s="1"/>
      <c r="G23" s="1"/>
      <c r="H23" s="1"/>
    </row>
    <row r="24" spans="1:8" x14ac:dyDescent="0.2">
      <c r="A24" s="1"/>
      <c r="B24" s="1"/>
      <c r="C24" s="1"/>
      <c r="D24" s="1"/>
      <c r="E24" s="1"/>
      <c r="F24" s="1"/>
      <c r="G24" s="1"/>
      <c r="H24" s="1"/>
    </row>
    <row r="25" spans="1:8" x14ac:dyDescent="0.2">
      <c r="A25" s="1"/>
      <c r="B25" s="1"/>
      <c r="C25" s="1"/>
      <c r="D25" s="1"/>
      <c r="E25" s="1"/>
      <c r="F25" s="1"/>
      <c r="G25" s="1"/>
      <c r="H25" s="1"/>
    </row>
    <row r="26" spans="1:8" x14ac:dyDescent="0.2">
      <c r="A26" s="1"/>
      <c r="B26" s="1"/>
      <c r="C26" s="1"/>
      <c r="D26" s="1"/>
      <c r="E26" s="1"/>
      <c r="F26" s="1"/>
      <c r="G26" s="1"/>
      <c r="H26" s="1"/>
    </row>
    <row r="27" spans="1:8" x14ac:dyDescent="0.2">
      <c r="A27" s="1"/>
      <c r="B27" s="1"/>
      <c r="C27" s="1"/>
      <c r="D27" s="1"/>
      <c r="E27" s="1"/>
      <c r="F27" s="1"/>
      <c r="G27" s="1"/>
      <c r="H27" s="1"/>
    </row>
    <row r="28" spans="1:8" x14ac:dyDescent="0.2">
      <c r="A28" s="1"/>
      <c r="B28" s="1"/>
      <c r="C28" s="1"/>
      <c r="D28" s="1"/>
      <c r="E28" s="1"/>
      <c r="F28" s="1"/>
      <c r="G28" s="1"/>
      <c r="H28" s="1"/>
    </row>
    <row r="29" spans="1:8" x14ac:dyDescent="0.2">
      <c r="A29" s="1"/>
      <c r="B29" s="1"/>
      <c r="C29" s="1"/>
      <c r="D29" s="1"/>
      <c r="E29" s="1"/>
      <c r="F29" s="1"/>
      <c r="G29" s="1"/>
      <c r="H29" s="1"/>
    </row>
    <row r="30" spans="1:8" x14ac:dyDescent="0.2">
      <c r="A30" s="1"/>
      <c r="B30" s="1"/>
      <c r="C30" s="1"/>
      <c r="D30" s="1"/>
      <c r="E30" s="1"/>
      <c r="F30" s="1"/>
      <c r="G30" s="1"/>
      <c r="H30" s="1"/>
    </row>
    <row r="31" spans="1:8" x14ac:dyDescent="0.2">
      <c r="A31" s="1"/>
      <c r="B31" s="1"/>
      <c r="C31" s="1"/>
      <c r="D31" s="1"/>
      <c r="E31" s="1"/>
      <c r="F31" s="1"/>
      <c r="G31" s="1"/>
      <c r="H31" s="1"/>
    </row>
    <row r="32" spans="1:8" x14ac:dyDescent="0.2">
      <c r="A32" s="1"/>
      <c r="B32" s="1"/>
      <c r="C32" s="1"/>
      <c r="D32" s="1"/>
      <c r="E32" s="1"/>
      <c r="F32" s="1"/>
      <c r="G32" s="1"/>
      <c r="H32" s="1"/>
    </row>
    <row r="33" spans="1:8" x14ac:dyDescent="0.2">
      <c r="A33" s="1"/>
      <c r="B33" s="1"/>
      <c r="C33" s="1"/>
      <c r="D33" s="1"/>
      <c r="E33" s="1"/>
      <c r="F33" s="1"/>
      <c r="G33" s="1"/>
      <c r="H33" s="1"/>
    </row>
    <row r="34" spans="1:8" x14ac:dyDescent="0.2">
      <c r="A34" s="1"/>
      <c r="B34" s="1"/>
      <c r="C34" s="1"/>
      <c r="D34" s="1"/>
      <c r="E34" s="1"/>
      <c r="F34" s="1"/>
      <c r="G34" s="1"/>
      <c r="H34" s="1"/>
    </row>
    <row r="35" spans="1:8" x14ac:dyDescent="0.2">
      <c r="A35" s="1"/>
      <c r="B35" s="1"/>
      <c r="C35" s="1"/>
      <c r="D35" s="1"/>
      <c r="E35" s="1"/>
      <c r="F35" s="1"/>
      <c r="G35" s="1"/>
      <c r="H35" s="1"/>
    </row>
    <row r="36" spans="1:8" x14ac:dyDescent="0.2">
      <c r="A36" s="1"/>
      <c r="B36" s="1"/>
      <c r="C36" s="1"/>
      <c r="D36" s="1"/>
      <c r="E36" s="1"/>
      <c r="F36" s="1"/>
      <c r="G36" s="1"/>
      <c r="H36" s="1"/>
    </row>
    <row r="37" spans="1:8" x14ac:dyDescent="0.2">
      <c r="A37" s="1"/>
      <c r="B37" s="1"/>
      <c r="C37" s="1"/>
      <c r="D37" s="1"/>
      <c r="E37" s="1"/>
      <c r="F37" s="1"/>
      <c r="G37" s="1"/>
      <c r="H37" s="1"/>
    </row>
    <row r="38" spans="1:8" x14ac:dyDescent="0.2">
      <c r="A38" s="1"/>
      <c r="B38" s="1"/>
      <c r="C38" s="1"/>
      <c r="D38" s="1"/>
      <c r="E38" s="1"/>
      <c r="F38" s="1"/>
      <c r="G38" s="1"/>
      <c r="H38" s="1"/>
    </row>
    <row r="39" spans="1:8" x14ac:dyDescent="0.2">
      <c r="A39" s="1"/>
      <c r="B39" s="1"/>
      <c r="C39" s="1"/>
      <c r="D39" s="1"/>
      <c r="E39" s="1"/>
      <c r="F39" s="1"/>
      <c r="G39" s="1"/>
      <c r="H39" s="1"/>
    </row>
    <row r="40" spans="1:8" x14ac:dyDescent="0.2">
      <c r="A40" s="1"/>
      <c r="B40" s="1"/>
      <c r="C40" s="1"/>
      <c r="D40" s="1"/>
      <c r="E40" s="1"/>
      <c r="F40" s="1"/>
      <c r="G40" s="1"/>
      <c r="H40" s="1"/>
    </row>
    <row r="41" spans="1:8" x14ac:dyDescent="0.2">
      <c r="A41" s="1"/>
      <c r="B41" s="1"/>
      <c r="C41" s="1"/>
      <c r="D41" s="1"/>
      <c r="E41" s="1"/>
      <c r="F41" s="1"/>
      <c r="G41" s="1"/>
      <c r="H41" s="1"/>
    </row>
    <row r="42" spans="1:8" x14ac:dyDescent="0.2">
      <c r="A42" s="1"/>
      <c r="B42" s="1"/>
      <c r="C42" s="1"/>
      <c r="D42" s="1"/>
      <c r="E42" s="1"/>
      <c r="F42" s="1"/>
      <c r="G42" s="1"/>
      <c r="H42" s="1"/>
    </row>
    <row r="43" spans="1:8" x14ac:dyDescent="0.2">
      <c r="A43" s="1"/>
      <c r="B43" s="1"/>
      <c r="C43" s="1"/>
      <c r="D43" s="1"/>
      <c r="E43" s="1"/>
      <c r="F43" s="1"/>
      <c r="G43" s="1"/>
      <c r="H43" s="1"/>
    </row>
    <row r="44" spans="1:8" x14ac:dyDescent="0.2">
      <c r="A44" s="1"/>
      <c r="B44" s="1"/>
      <c r="C44" s="1"/>
      <c r="D44" s="1"/>
      <c r="E44" s="1"/>
      <c r="F44" s="1"/>
      <c r="G44" s="1"/>
      <c r="H44" s="1"/>
    </row>
    <row r="45" spans="1:8" x14ac:dyDescent="0.2">
      <c r="A45" s="1"/>
      <c r="B45" s="1"/>
      <c r="C45" s="1"/>
      <c r="D45" s="1"/>
      <c r="E45" s="1"/>
      <c r="F45" s="1"/>
      <c r="G45" s="1"/>
      <c r="H45" s="1"/>
    </row>
    <row r="46" spans="1:8" x14ac:dyDescent="0.2">
      <c r="A46" s="1"/>
      <c r="B46" s="1"/>
      <c r="C46" s="1"/>
      <c r="D46" s="1"/>
      <c r="E46" s="1"/>
      <c r="F46" s="1"/>
      <c r="G46" s="1"/>
      <c r="H46" s="1"/>
    </row>
    <row r="47" spans="1:8" x14ac:dyDescent="0.2">
      <c r="A47" s="1"/>
      <c r="B47" s="1"/>
      <c r="C47" s="1"/>
      <c r="D47" s="1"/>
      <c r="E47" s="1"/>
      <c r="F47" s="1"/>
      <c r="G47" s="1"/>
      <c r="H47" s="1"/>
    </row>
    <row r="48" spans="1:8" x14ac:dyDescent="0.2">
      <c r="A48" s="1"/>
      <c r="B48" s="1"/>
      <c r="C48" s="1"/>
      <c r="D48" s="1"/>
      <c r="E48" s="1"/>
      <c r="F48" s="1"/>
      <c r="G48" s="1"/>
      <c r="H48" s="1"/>
    </row>
    <row r="49" spans="1:8" x14ac:dyDescent="0.2">
      <c r="A49" s="1"/>
      <c r="B49" s="1"/>
      <c r="C49" s="1"/>
      <c r="D49" s="1"/>
      <c r="E49" s="1"/>
      <c r="F49" s="1"/>
      <c r="G49" s="1"/>
      <c r="H49" s="1"/>
    </row>
    <row r="50" spans="1:8" x14ac:dyDescent="0.2">
      <c r="A50" s="1"/>
      <c r="B50" s="1"/>
      <c r="C50" s="1"/>
      <c r="D50" s="1"/>
      <c r="E50" s="1"/>
      <c r="F50" s="1"/>
      <c r="G50" s="1"/>
      <c r="H50" s="1"/>
    </row>
    <row r="51" spans="1:8" x14ac:dyDescent="0.2">
      <c r="A51" s="1"/>
      <c r="B51" s="1"/>
      <c r="C51" s="1"/>
      <c r="D51" s="1"/>
      <c r="E51" s="1"/>
      <c r="F51" s="1"/>
      <c r="G51" s="1"/>
      <c r="H51" s="1"/>
    </row>
    <row r="52" spans="1:8" x14ac:dyDescent="0.2">
      <c r="A52" s="1"/>
      <c r="B52" s="1"/>
      <c r="C52" s="1"/>
      <c r="D52" s="1"/>
      <c r="E52" s="1"/>
      <c r="F52" s="1"/>
      <c r="G52" s="1"/>
      <c r="H52" s="1"/>
    </row>
    <row r="53" spans="1:8" x14ac:dyDescent="0.2">
      <c r="A53" s="1"/>
      <c r="B53" s="1"/>
      <c r="C53" s="1"/>
      <c r="D53" s="1"/>
      <c r="E53" s="1"/>
      <c r="F53" s="1"/>
      <c r="G53" s="1"/>
      <c r="H53" s="1"/>
    </row>
    <row r="54" spans="1:8" x14ac:dyDescent="0.2">
      <c r="A54" s="1"/>
      <c r="B54" s="1"/>
      <c r="C54" s="1"/>
      <c r="D54" s="1"/>
      <c r="E54" s="1"/>
      <c r="F54" s="1"/>
      <c r="G54" s="1"/>
      <c r="H54" s="1"/>
    </row>
    <row r="55" spans="1:8" x14ac:dyDescent="0.2">
      <c r="A55" s="1"/>
      <c r="B55" s="1"/>
      <c r="C55" s="1"/>
      <c r="D55" s="1"/>
      <c r="E55" s="1"/>
      <c r="F55" s="1"/>
      <c r="G55" s="1"/>
      <c r="H55" s="1"/>
    </row>
    <row r="56" spans="1:8" x14ac:dyDescent="0.2">
      <c r="A56" s="1"/>
      <c r="B56" s="1"/>
      <c r="C56" s="1"/>
      <c r="D56" s="1"/>
      <c r="E56" s="1"/>
      <c r="F56" s="1"/>
      <c r="G56" s="1"/>
      <c r="H56" s="1"/>
    </row>
    <row r="57" spans="1:8" x14ac:dyDescent="0.2">
      <c r="A57" s="1"/>
      <c r="B57" s="1"/>
      <c r="C57" s="1"/>
      <c r="D57" s="1"/>
      <c r="E57" s="1"/>
      <c r="F57" s="1"/>
      <c r="G57" s="1"/>
      <c r="H57" s="1"/>
    </row>
    <row r="58" spans="1:8" x14ac:dyDescent="0.2">
      <c r="A58" s="1"/>
      <c r="B58" s="1"/>
      <c r="C58" s="1"/>
      <c r="D58" s="1"/>
      <c r="E58" s="1"/>
      <c r="F58" s="1"/>
      <c r="G58" s="1"/>
      <c r="H58" s="1"/>
    </row>
    <row r="59" spans="1:8" x14ac:dyDescent="0.2">
      <c r="A59" s="1"/>
      <c r="B59" s="1"/>
      <c r="C59" s="1"/>
      <c r="D59" s="1"/>
      <c r="E59" s="1"/>
      <c r="F59" s="1"/>
      <c r="G59" s="1"/>
      <c r="H59" s="1"/>
    </row>
    <row r="60" spans="1:8" x14ac:dyDescent="0.2">
      <c r="A60" s="1"/>
      <c r="B60" s="1"/>
      <c r="C60" s="1"/>
      <c r="D60" s="1"/>
      <c r="E60" s="1"/>
      <c r="F60" s="1"/>
      <c r="G60" s="1"/>
      <c r="H60" s="1"/>
    </row>
    <row r="61" spans="1:8" x14ac:dyDescent="0.2">
      <c r="A61" s="1"/>
      <c r="B61" s="1"/>
      <c r="C61" s="1"/>
      <c r="D61" s="1"/>
      <c r="E61" s="1"/>
      <c r="F61" s="1"/>
      <c r="G61" s="1"/>
      <c r="H61" s="1"/>
    </row>
    <row r="62" spans="1:8" x14ac:dyDescent="0.2">
      <c r="A62" s="1"/>
      <c r="B62" s="1"/>
      <c r="C62" s="1"/>
      <c r="D62" s="1"/>
      <c r="E62" s="1"/>
      <c r="F62" s="1"/>
      <c r="G62" s="1"/>
      <c r="H62" s="1"/>
    </row>
    <row r="63" spans="1:8" x14ac:dyDescent="0.2">
      <c r="A63" s="1"/>
      <c r="B63" s="1"/>
      <c r="C63" s="1"/>
      <c r="D63" s="1"/>
      <c r="E63" s="1"/>
      <c r="F63" s="1"/>
      <c r="G63" s="1"/>
      <c r="H63" s="1"/>
    </row>
    <row r="64" spans="1:8" x14ac:dyDescent="0.2">
      <c r="A64" s="1"/>
      <c r="B64" s="1"/>
      <c r="C64" s="1"/>
      <c r="D64" s="1"/>
      <c r="E64" s="1"/>
      <c r="F64" s="1"/>
      <c r="G64" s="1"/>
      <c r="H64" s="1"/>
    </row>
    <row r="65" spans="1:8" x14ac:dyDescent="0.2">
      <c r="A65" s="1"/>
      <c r="B65" s="1"/>
      <c r="C65" s="1"/>
      <c r="D65" s="1"/>
      <c r="E65" s="1"/>
      <c r="F65" s="1"/>
      <c r="G65" s="1"/>
      <c r="H65" s="1"/>
    </row>
    <row r="66" spans="1:8" x14ac:dyDescent="0.2">
      <c r="A66" s="1"/>
      <c r="B66" s="1"/>
      <c r="C66" s="1"/>
      <c r="D66" s="1"/>
      <c r="E66" s="1"/>
      <c r="F66" s="1"/>
      <c r="G66" s="1"/>
      <c r="H66" s="1"/>
    </row>
    <row r="67" spans="1:8" x14ac:dyDescent="0.2">
      <c r="A67" s="1"/>
      <c r="B67" s="1"/>
      <c r="C67" s="1"/>
      <c r="D67" s="1"/>
      <c r="E67" s="1"/>
      <c r="F67" s="1"/>
      <c r="G67" s="1"/>
      <c r="H67" s="1"/>
    </row>
    <row r="68" spans="1:8" x14ac:dyDescent="0.2">
      <c r="A68" s="1"/>
      <c r="B68" s="1"/>
      <c r="C68" s="1"/>
      <c r="D68" s="1"/>
      <c r="E68" s="1"/>
      <c r="F68" s="1"/>
      <c r="G68" s="1"/>
      <c r="H68" s="1"/>
    </row>
    <row r="69" spans="1:8" x14ac:dyDescent="0.2">
      <c r="A69" s="1"/>
      <c r="B69" s="1"/>
      <c r="C69" s="1"/>
      <c r="D69" s="1"/>
      <c r="E69" s="1"/>
      <c r="F69" s="1"/>
      <c r="G69" s="1"/>
      <c r="H69" s="1"/>
    </row>
    <row r="70" spans="1:8" x14ac:dyDescent="0.2">
      <c r="A70" s="1"/>
      <c r="B70" s="1"/>
      <c r="C70" s="1"/>
      <c r="D70" s="1"/>
      <c r="E70" s="1"/>
      <c r="F70" s="1"/>
      <c r="G70" s="1"/>
      <c r="H70" s="1"/>
    </row>
    <row r="71" spans="1:8" x14ac:dyDescent="0.2">
      <c r="A71" s="1"/>
      <c r="B71" s="1"/>
      <c r="C71" s="1"/>
      <c r="D71" s="1"/>
      <c r="E71" s="1"/>
      <c r="F71" s="1"/>
      <c r="G71" s="1"/>
      <c r="H71" s="1"/>
    </row>
    <row r="72" spans="1:8" x14ac:dyDescent="0.2">
      <c r="A72" s="1"/>
      <c r="B72" s="1"/>
      <c r="C72" s="1"/>
      <c r="D72" s="1"/>
      <c r="E72" s="1"/>
      <c r="F72" s="1"/>
      <c r="G72" s="1"/>
      <c r="H72" s="1"/>
    </row>
    <row r="73" spans="1:8" x14ac:dyDescent="0.2">
      <c r="A73" s="1"/>
      <c r="B73" s="1"/>
      <c r="C73" s="1"/>
      <c r="D73" s="1"/>
      <c r="E73" s="1"/>
      <c r="F73" s="1"/>
      <c r="G73" s="1"/>
      <c r="H73" s="1"/>
    </row>
    <row r="74" spans="1:8" x14ac:dyDescent="0.2">
      <c r="A74" s="1"/>
      <c r="B74" s="1"/>
      <c r="C74" s="1"/>
      <c r="D74" s="1"/>
      <c r="E74" s="1"/>
      <c r="F74" s="1"/>
      <c r="G74" s="1"/>
      <c r="H74" s="1"/>
    </row>
    <row r="75" spans="1:8" x14ac:dyDescent="0.2">
      <c r="A75" s="1"/>
      <c r="B75" s="1"/>
      <c r="C75" s="1"/>
      <c r="D75" s="1"/>
      <c r="E75" s="1"/>
      <c r="F75" s="1"/>
      <c r="G75" s="1"/>
      <c r="H75" s="1"/>
    </row>
    <row r="76" spans="1:8" x14ac:dyDescent="0.2">
      <c r="A76" s="1"/>
      <c r="B76" s="1"/>
      <c r="C76" s="1"/>
      <c r="D76" s="1"/>
      <c r="E76" s="1"/>
      <c r="F76" s="1"/>
      <c r="G76" s="1"/>
      <c r="H76" s="1"/>
    </row>
    <row r="77" spans="1:8" x14ac:dyDescent="0.2">
      <c r="A77" s="1"/>
      <c r="B77" s="1"/>
      <c r="C77" s="1"/>
      <c r="D77" s="1"/>
      <c r="E77" s="1"/>
      <c r="F77" s="1"/>
      <c r="G77" s="1"/>
      <c r="H77" s="1"/>
    </row>
    <row r="78" spans="1:8" x14ac:dyDescent="0.2">
      <c r="A78" s="1"/>
      <c r="B78" s="1"/>
      <c r="C78" s="1"/>
      <c r="D78" s="1"/>
      <c r="E78" s="1"/>
      <c r="F78" s="1"/>
      <c r="G78" s="1"/>
      <c r="H78" s="1"/>
    </row>
    <row r="79" spans="1:8" x14ac:dyDescent="0.2">
      <c r="A79" s="11" t="s">
        <v>1</v>
      </c>
      <c r="B79" s="12"/>
      <c r="C79" s="12"/>
      <c r="D79" s="13"/>
      <c r="E79" s="8"/>
      <c r="F79" s="8"/>
      <c r="G79" s="8"/>
      <c r="H79" s="8"/>
    </row>
    <row r="80" spans="1:8" x14ac:dyDescent="0.2">
      <c r="A80" s="14" t="s">
        <v>15</v>
      </c>
      <c r="B80" s="15"/>
      <c r="C80" s="15"/>
      <c r="D80" s="16"/>
      <c r="E80" s="8"/>
      <c r="F80" s="8"/>
      <c r="G80" s="8"/>
      <c r="H80" s="8"/>
    </row>
    <row r="81" spans="1:8" x14ac:dyDescent="0.2">
      <c r="A81" s="17" t="s">
        <v>62</v>
      </c>
      <c r="B81" s="18"/>
      <c r="C81" s="18"/>
      <c r="D81" s="19"/>
      <c r="E81" s="8"/>
      <c r="F81" s="8"/>
      <c r="G81" s="8"/>
      <c r="H81" s="8"/>
    </row>
    <row r="82" spans="1:8" x14ac:dyDescent="0.2">
      <c r="A82" s="20"/>
      <c r="B82" s="21"/>
      <c r="C82" s="22"/>
      <c r="D82" s="23"/>
      <c r="E82" s="8"/>
      <c r="F82" s="8" t="s">
        <v>34</v>
      </c>
      <c r="G82" s="8"/>
      <c r="H82" s="8"/>
    </row>
    <row r="83" spans="1:8" ht="15.75" x14ac:dyDescent="0.25">
      <c r="A83" s="24" t="s">
        <v>2</v>
      </c>
      <c r="B83" s="25" t="str">
        <f>[1]Charters!B86</f>
        <v>Good Foundations Academy</v>
      </c>
      <c r="C83" s="26"/>
      <c r="D83" s="27"/>
      <c r="E83" s="8"/>
      <c r="F83" s="8"/>
      <c r="G83" s="8"/>
      <c r="H83" s="8"/>
    </row>
    <row r="84" spans="1:8" x14ac:dyDescent="0.2">
      <c r="A84" s="24"/>
      <c r="B84" s="28"/>
      <c r="C84" s="26"/>
      <c r="D84" s="27"/>
      <c r="E84" s="8"/>
      <c r="F84" s="8"/>
      <c r="G84" s="8"/>
      <c r="H84" s="8"/>
    </row>
    <row r="85" spans="1:8" x14ac:dyDescent="0.2">
      <c r="A85" s="29" t="s">
        <v>0</v>
      </c>
      <c r="B85" s="30">
        <f>[1]Charters!$E$6</f>
        <v>3184</v>
      </c>
      <c r="C85" s="26"/>
      <c r="D85" s="31"/>
      <c r="E85" s="8"/>
      <c r="F85" s="8"/>
      <c r="G85" s="8"/>
      <c r="H85" s="8"/>
    </row>
    <row r="86" spans="1:8" x14ac:dyDescent="0.2">
      <c r="A86" s="32"/>
      <c r="B86" s="6"/>
      <c r="C86" s="33"/>
      <c r="D86" s="34" t="s">
        <v>3</v>
      </c>
      <c r="E86" s="8"/>
      <c r="F86" s="8"/>
      <c r="G86" s="8"/>
      <c r="H86" s="8"/>
    </row>
    <row r="87" spans="1:8" x14ac:dyDescent="0.2">
      <c r="A87" s="29" t="s">
        <v>19</v>
      </c>
      <c r="B87" s="35" t="str">
        <f>[1]Charters!A86</f>
        <v>8G</v>
      </c>
      <c r="C87" s="36" t="s">
        <v>4</v>
      </c>
      <c r="D87" s="37" t="s">
        <v>5</v>
      </c>
      <c r="E87" s="8"/>
      <c r="F87" s="8"/>
      <c r="G87" s="8"/>
      <c r="H87" s="8"/>
    </row>
    <row r="88" spans="1:8" x14ac:dyDescent="0.2">
      <c r="A88" s="38" t="s">
        <v>6</v>
      </c>
      <c r="B88" s="39"/>
      <c r="C88" s="40"/>
      <c r="D88" s="41"/>
      <c r="E88" s="8"/>
      <c r="F88" s="8"/>
      <c r="G88" s="8"/>
      <c r="H88" s="8"/>
    </row>
    <row r="89" spans="1:8" x14ac:dyDescent="0.2">
      <c r="A89" s="38" t="s">
        <v>7</v>
      </c>
      <c r="B89" s="39"/>
      <c r="C89" s="40"/>
      <c r="D89" s="41"/>
      <c r="E89" s="8"/>
      <c r="F89" s="42" t="s">
        <v>23</v>
      </c>
      <c r="G89" s="8"/>
      <c r="H89" s="42" t="s">
        <v>26</v>
      </c>
    </row>
    <row r="90" spans="1:8" x14ac:dyDescent="0.2">
      <c r="A90" s="20" t="s">
        <v>8</v>
      </c>
      <c r="B90" s="43"/>
      <c r="C90" s="44">
        <f>[1]Charters!C546</f>
        <v>401.03399999999999</v>
      </c>
      <c r="D90" s="45">
        <f>[1]Charters!E546</f>
        <v>1276891.02</v>
      </c>
      <c r="E90" s="8"/>
      <c r="F90" s="42">
        <f>[1]Charters!E701</f>
        <v>1350046.66</v>
      </c>
      <c r="G90" s="8"/>
      <c r="H90" s="42">
        <f>[2]Charters!E240</f>
        <v>1688403.76</v>
      </c>
    </row>
    <row r="91" spans="1:8" x14ac:dyDescent="0.2">
      <c r="A91" s="20" t="s">
        <v>14</v>
      </c>
      <c r="B91" s="43"/>
      <c r="C91" s="44">
        <f>[1]Charters!F546</f>
        <v>22.975999999999999</v>
      </c>
      <c r="D91" s="45">
        <f>[1]Charters!H546</f>
        <v>73155.64</v>
      </c>
      <c r="E91" s="8"/>
      <c r="F91" s="42">
        <f>SUM(D90:D92)</f>
        <v>1350046.66</v>
      </c>
      <c r="G91" s="8"/>
      <c r="H91" s="42">
        <f>D103</f>
        <v>1688403.76</v>
      </c>
    </row>
    <row r="92" spans="1:8" x14ac:dyDescent="0.2">
      <c r="A92" s="20" t="s">
        <v>32</v>
      </c>
      <c r="B92" s="43"/>
      <c r="C92" s="44">
        <f>[1]Charters!C239</f>
        <v>0</v>
      </c>
      <c r="D92" s="45">
        <f>[1]Charters!E239</f>
        <v>0</v>
      </c>
      <c r="E92" s="8"/>
      <c r="F92" s="42">
        <f>+F90-F91</f>
        <v>0</v>
      </c>
      <c r="G92" s="8"/>
      <c r="H92" s="42">
        <f>+H90-H91</f>
        <v>0</v>
      </c>
    </row>
    <row r="93" spans="1:8" x14ac:dyDescent="0.2">
      <c r="A93" s="38" t="s">
        <v>9</v>
      </c>
      <c r="B93" s="39"/>
      <c r="C93" s="46"/>
      <c r="D93" s="47"/>
      <c r="E93" s="8"/>
      <c r="F93" s="8"/>
      <c r="G93" s="8"/>
      <c r="H93" s="8"/>
    </row>
    <row r="94" spans="1:8" x14ac:dyDescent="0.2">
      <c r="A94" s="20" t="s">
        <v>10</v>
      </c>
      <c r="B94" s="43"/>
      <c r="C94" s="40">
        <f>[3]Charters!C85</f>
        <v>61.64</v>
      </c>
      <c r="D94" s="41">
        <f>[3]Charters!E85</f>
        <v>196261.19</v>
      </c>
      <c r="E94" s="8"/>
      <c r="F94" s="42" t="s">
        <v>24</v>
      </c>
      <c r="G94" s="8"/>
      <c r="H94" s="8"/>
    </row>
    <row r="95" spans="1:8" x14ac:dyDescent="0.2">
      <c r="A95" s="48" t="s">
        <v>11</v>
      </c>
      <c r="B95" s="43"/>
      <c r="C95" s="40">
        <f>[3]Charters!F85</f>
        <v>0</v>
      </c>
      <c r="D95" s="49">
        <f>[3]Charters!H85</f>
        <v>0</v>
      </c>
      <c r="E95" s="8"/>
      <c r="F95" s="42">
        <f>[3]Charters!N397</f>
        <v>203659.36</v>
      </c>
      <c r="G95" s="8"/>
      <c r="H95" s="8"/>
    </row>
    <row r="96" spans="1:8" x14ac:dyDescent="0.2">
      <c r="A96" s="48" t="s">
        <v>12</v>
      </c>
      <c r="B96" s="43"/>
      <c r="C96" s="40">
        <f>[3]Charters!C240</f>
        <v>0</v>
      </c>
      <c r="D96" s="41">
        <f>[3]Charters!E240</f>
        <v>0</v>
      </c>
      <c r="E96" s="8"/>
      <c r="F96" s="42">
        <f>SUM(D94:D100)</f>
        <v>203659.36</v>
      </c>
      <c r="G96" s="8"/>
      <c r="H96" s="8"/>
    </row>
    <row r="97" spans="1:8" x14ac:dyDescent="0.2">
      <c r="A97" s="20" t="s">
        <v>13</v>
      </c>
      <c r="B97" s="43"/>
      <c r="C97" s="40">
        <f>[3]Charters!F240</f>
        <v>0.95699999999999996</v>
      </c>
      <c r="D97" s="41">
        <f>[3]Charters!H240</f>
        <v>3047.99</v>
      </c>
      <c r="E97" s="8"/>
      <c r="F97" s="42">
        <f>+F95-F96</f>
        <v>0</v>
      </c>
      <c r="G97" s="8"/>
      <c r="H97" s="8"/>
    </row>
    <row r="98" spans="1:8" x14ac:dyDescent="0.2">
      <c r="A98" s="48" t="s">
        <v>54</v>
      </c>
      <c r="B98" s="43"/>
      <c r="C98" s="40">
        <f>[3]Charters!C397</f>
        <v>1.3660000000000001</v>
      </c>
      <c r="D98" s="41">
        <f>[3]Charters!E397</f>
        <v>4350.18</v>
      </c>
      <c r="E98" s="8"/>
      <c r="F98" s="8"/>
      <c r="G98" s="8"/>
      <c r="H98" s="8"/>
    </row>
    <row r="99" spans="1:8" x14ac:dyDescent="0.2">
      <c r="A99" s="48" t="s">
        <v>55</v>
      </c>
      <c r="B99" s="43"/>
      <c r="C99" s="40">
        <f>[3]Charters!F397</f>
        <v>0</v>
      </c>
      <c r="D99" s="41">
        <f>[3]Charters!H397</f>
        <v>0</v>
      </c>
      <c r="E99" s="8"/>
      <c r="F99" s="42" t="s">
        <v>25</v>
      </c>
      <c r="G99" s="8"/>
      <c r="H99" s="8"/>
    </row>
    <row r="100" spans="1:8" x14ac:dyDescent="0.2">
      <c r="A100" s="48" t="s">
        <v>56</v>
      </c>
      <c r="B100" s="43"/>
      <c r="C100" s="40">
        <f>[3]Charters!I397</f>
        <v>0</v>
      </c>
      <c r="D100" s="41">
        <f>[3]Charters!K397</f>
        <v>0</v>
      </c>
      <c r="E100" s="8"/>
      <c r="F100" s="42">
        <f>[2]Charters!H86</f>
        <v>338357.1</v>
      </c>
      <c r="G100" s="8"/>
      <c r="H100" s="8"/>
    </row>
    <row r="101" spans="1:8" x14ac:dyDescent="0.2">
      <c r="A101" s="20" t="s">
        <v>49</v>
      </c>
      <c r="B101" s="43"/>
      <c r="C101" s="40">
        <f>[3]Charters!C553</f>
        <v>0</v>
      </c>
      <c r="D101" s="41">
        <f>[3]Charters!E553</f>
        <v>0</v>
      </c>
      <c r="E101" s="8"/>
      <c r="F101" s="42">
        <f>SUM(D94:D102)</f>
        <v>338357.1</v>
      </c>
      <c r="G101" s="8"/>
      <c r="H101" s="8"/>
    </row>
    <row r="102" spans="1:8" x14ac:dyDescent="0.2">
      <c r="A102" s="20" t="s">
        <v>50</v>
      </c>
      <c r="B102" s="43"/>
      <c r="C102" s="40">
        <f>[2]Charters!C86</f>
        <v>42.305</v>
      </c>
      <c r="D102" s="41">
        <f>[2]Charters!E86</f>
        <v>134697.74</v>
      </c>
      <c r="E102" s="8"/>
      <c r="F102" s="42">
        <f>+F100-F101</f>
        <v>0</v>
      </c>
      <c r="G102" s="8"/>
      <c r="H102" s="8"/>
    </row>
    <row r="103" spans="1:8" x14ac:dyDescent="0.2">
      <c r="A103" s="50"/>
      <c r="B103" s="51" t="s">
        <v>16</v>
      </c>
      <c r="C103" s="52">
        <f>SUM(C90:C102)</f>
        <v>530.27800000000002</v>
      </c>
      <c r="D103" s="53">
        <f>SUM(D90:D102)</f>
        <v>1688403.76</v>
      </c>
      <c r="E103" s="8"/>
      <c r="F103" s="8"/>
      <c r="G103" s="8"/>
      <c r="H103" s="8"/>
    </row>
    <row r="104" spans="1:8" x14ac:dyDescent="0.2">
      <c r="A104" s="54" t="s">
        <v>17</v>
      </c>
      <c r="B104" s="39"/>
      <c r="C104" s="55"/>
      <c r="D104" s="47"/>
      <c r="E104" s="8"/>
      <c r="F104" s="8"/>
      <c r="G104" s="8"/>
      <c r="H104" s="42" t="s">
        <v>29</v>
      </c>
    </row>
    <row r="105" spans="1:8" x14ac:dyDescent="0.2">
      <c r="A105" s="20" t="s">
        <v>33</v>
      </c>
      <c r="B105" s="43"/>
      <c r="C105" s="56"/>
      <c r="D105" s="57">
        <f>[4]Charters!C86</f>
        <v>4893.78</v>
      </c>
      <c r="E105" s="8"/>
      <c r="F105" s="8"/>
      <c r="G105" s="8"/>
      <c r="H105" s="42">
        <f>[4]Charters!F1026</f>
        <v>2938254.53</v>
      </c>
    </row>
    <row r="106" spans="1:8" x14ac:dyDescent="0.2">
      <c r="A106" s="58" t="s">
        <v>35</v>
      </c>
      <c r="B106" s="43"/>
      <c r="C106" s="56"/>
      <c r="D106" s="41">
        <f>+[4]Charters!F407</f>
        <v>1930.17</v>
      </c>
      <c r="E106" s="8"/>
      <c r="F106" s="8"/>
      <c r="G106" s="8"/>
      <c r="H106" s="42">
        <f>SUM(D103:D122)</f>
        <v>2938254.53</v>
      </c>
    </row>
    <row r="107" spans="1:8" x14ac:dyDescent="0.2">
      <c r="A107" s="59" t="s">
        <v>36</v>
      </c>
      <c r="B107" s="43"/>
      <c r="C107" s="56"/>
      <c r="D107" s="41">
        <f>[4]Charters!E246</f>
        <v>19946</v>
      </c>
      <c r="E107" s="8"/>
      <c r="F107" s="8"/>
      <c r="G107" s="8"/>
      <c r="H107" s="42">
        <f>+H105-H106</f>
        <v>0</v>
      </c>
    </row>
    <row r="108" spans="1:8" x14ac:dyDescent="0.2">
      <c r="A108" s="59" t="s">
        <v>52</v>
      </c>
      <c r="B108" s="43"/>
      <c r="C108" s="56"/>
      <c r="D108" s="41">
        <f>[4]Charters!G407</f>
        <v>0</v>
      </c>
      <c r="E108" s="8"/>
      <c r="F108" s="42" t="s">
        <v>27</v>
      </c>
      <c r="G108" s="8"/>
      <c r="H108" s="42"/>
    </row>
    <row r="109" spans="1:8" x14ac:dyDescent="0.2">
      <c r="A109" s="20" t="s">
        <v>37</v>
      </c>
      <c r="B109" s="43"/>
      <c r="C109" s="56"/>
      <c r="D109" s="41">
        <f>[4]Charters!E563</f>
        <v>35175</v>
      </c>
      <c r="E109" s="8"/>
      <c r="F109" s="42">
        <f>[4]Charters!E246</f>
        <v>19946</v>
      </c>
      <c r="G109" s="8"/>
      <c r="H109" s="8"/>
    </row>
    <row r="110" spans="1:8" x14ac:dyDescent="0.2">
      <c r="A110" s="20" t="s">
        <v>38</v>
      </c>
      <c r="B110" s="43"/>
      <c r="C110" s="56"/>
      <c r="D110" s="41">
        <f>[4]Charters!F563</f>
        <v>0</v>
      </c>
      <c r="E110" s="8"/>
      <c r="F110" s="42">
        <f>SUM(D107:D107)</f>
        <v>19946</v>
      </c>
      <c r="G110" s="8"/>
      <c r="H110" s="8"/>
    </row>
    <row r="111" spans="1:8" x14ac:dyDescent="0.2">
      <c r="A111" s="59" t="s">
        <v>40</v>
      </c>
      <c r="B111" s="43"/>
      <c r="C111" s="56"/>
      <c r="D111" s="41">
        <f>[4]Charters!G563</f>
        <v>18000</v>
      </c>
      <c r="E111" s="8"/>
      <c r="F111" s="42">
        <f>+F109-F110</f>
        <v>0</v>
      </c>
      <c r="G111" s="8"/>
      <c r="H111" s="8"/>
    </row>
    <row r="112" spans="1:8" x14ac:dyDescent="0.2">
      <c r="A112" s="20" t="s">
        <v>41</v>
      </c>
      <c r="B112" s="43"/>
      <c r="C112" s="56"/>
      <c r="D112" s="41">
        <f>[4]Charters!C717</f>
        <v>974487</v>
      </c>
      <c r="E112" s="8"/>
      <c r="F112" s="42" t="s">
        <v>28</v>
      </c>
      <c r="G112" s="8"/>
      <c r="H112" s="8"/>
    </row>
    <row r="113" spans="1:8" x14ac:dyDescent="0.2">
      <c r="A113" s="20" t="s">
        <v>42</v>
      </c>
      <c r="B113" s="43"/>
      <c r="C113" s="56"/>
      <c r="D113" s="41">
        <f>[4]Charters!D717</f>
        <v>107398.39999999999</v>
      </c>
      <c r="E113" s="8"/>
      <c r="F113" s="42">
        <f>[4]Charters!D563</f>
        <v>21876.17</v>
      </c>
      <c r="G113" s="8"/>
      <c r="H113" s="8"/>
    </row>
    <row r="114" spans="1:8" x14ac:dyDescent="0.2">
      <c r="A114" s="20" t="s">
        <v>44</v>
      </c>
      <c r="B114" s="43"/>
      <c r="C114" s="56"/>
      <c r="D114" s="41">
        <f>[4]Charters!E717</f>
        <v>48700</v>
      </c>
      <c r="E114" s="8"/>
      <c r="F114" s="42">
        <f>SUM(D106:D108)</f>
        <v>21876.17</v>
      </c>
      <c r="G114" s="8"/>
      <c r="H114" s="8"/>
    </row>
    <row r="115" spans="1:8" x14ac:dyDescent="0.2">
      <c r="A115" s="59" t="s">
        <v>43</v>
      </c>
      <c r="B115" s="43"/>
      <c r="C115" s="56"/>
      <c r="D115" s="41">
        <f>[4]Charters!F717</f>
        <v>15413.27</v>
      </c>
      <c r="E115" s="8"/>
      <c r="F115" s="42">
        <f>+F113-F114</f>
        <v>0</v>
      </c>
      <c r="G115" s="8"/>
      <c r="H115" s="8"/>
    </row>
    <row r="116" spans="1:8" x14ac:dyDescent="0.2">
      <c r="A116" s="59" t="s">
        <v>45</v>
      </c>
      <c r="B116" s="43"/>
      <c r="C116" s="56"/>
      <c r="D116" s="41">
        <f>[4]Charters!C563</f>
        <v>0</v>
      </c>
      <c r="E116" s="8"/>
      <c r="F116" s="8"/>
      <c r="G116" s="8"/>
      <c r="H116" s="8"/>
    </row>
    <row r="117" spans="1:8" x14ac:dyDescent="0.2">
      <c r="A117" s="59" t="s">
        <v>46</v>
      </c>
      <c r="B117" s="43"/>
      <c r="C117" s="56"/>
      <c r="D117" s="41">
        <f>[4]Charters!C873</f>
        <v>0</v>
      </c>
      <c r="E117" s="42"/>
      <c r="F117" s="42"/>
      <c r="G117" s="42"/>
      <c r="H117" s="42" t="s">
        <v>31</v>
      </c>
    </row>
    <row r="118" spans="1:8" x14ac:dyDescent="0.2">
      <c r="A118" s="59" t="s">
        <v>51</v>
      </c>
      <c r="B118" s="43"/>
      <c r="C118" s="56"/>
      <c r="D118" s="60">
        <f>[4]Charters!D873</f>
        <v>696.76</v>
      </c>
      <c r="E118" s="42"/>
      <c r="F118" s="42"/>
      <c r="G118" s="42"/>
      <c r="H118" s="42">
        <f>[4]Charters!D1332</f>
        <v>2947640.87</v>
      </c>
    </row>
    <row r="119" spans="1:8" x14ac:dyDescent="0.2">
      <c r="A119" s="20" t="s">
        <v>47</v>
      </c>
      <c r="B119" s="43"/>
      <c r="C119" s="56"/>
      <c r="D119" s="60">
        <f>[4]Charters!E873</f>
        <v>0</v>
      </c>
      <c r="E119" s="42"/>
      <c r="F119" s="42"/>
      <c r="G119" s="42"/>
      <c r="H119" s="42">
        <f>D128</f>
        <v>2947640.87</v>
      </c>
    </row>
    <row r="120" spans="1:8" x14ac:dyDescent="0.2">
      <c r="A120" s="20" t="s">
        <v>57</v>
      </c>
      <c r="B120" s="43"/>
      <c r="C120" s="56"/>
      <c r="D120" s="60">
        <f>[4]Charters!C1026</f>
        <v>0</v>
      </c>
      <c r="E120" s="42"/>
      <c r="F120" s="42"/>
      <c r="G120" s="42"/>
      <c r="H120" s="42">
        <f>+H118-H119</f>
        <v>0</v>
      </c>
    </row>
    <row r="121" spans="1:8" x14ac:dyDescent="0.2">
      <c r="A121" s="59" t="s">
        <v>53</v>
      </c>
      <c r="B121" s="43"/>
      <c r="C121" s="56"/>
      <c r="D121" s="60">
        <f>[4]Charters!D1026</f>
        <v>0</v>
      </c>
      <c r="E121" s="42"/>
      <c r="F121" s="42" t="s">
        <v>30</v>
      </c>
      <c r="G121" s="42"/>
      <c r="H121" s="42"/>
    </row>
    <row r="122" spans="1:8" x14ac:dyDescent="0.2">
      <c r="A122" s="59" t="s">
        <v>59</v>
      </c>
      <c r="B122" s="43"/>
      <c r="C122" s="56"/>
      <c r="D122" s="60">
        <f>[4]Charters!E1026</f>
        <v>23210.39</v>
      </c>
      <c r="E122" s="42"/>
      <c r="F122" s="42"/>
      <c r="G122" s="42"/>
      <c r="H122" s="42"/>
    </row>
    <row r="123" spans="1:8" x14ac:dyDescent="0.2">
      <c r="A123" s="38" t="s">
        <v>18</v>
      </c>
      <c r="B123" s="61"/>
      <c r="C123" s="62"/>
      <c r="D123" s="87"/>
      <c r="E123" s="42"/>
      <c r="F123" s="42">
        <f>[4]Charters!C1332</f>
        <v>9386.34</v>
      </c>
      <c r="G123" s="42"/>
      <c r="H123" s="42"/>
    </row>
    <row r="124" spans="1:8" x14ac:dyDescent="0.2">
      <c r="A124" s="59" t="s">
        <v>39</v>
      </c>
      <c r="B124" s="43"/>
      <c r="C124" s="56"/>
      <c r="D124" s="41">
        <f>[4]Charters!C1179</f>
        <v>4007.12</v>
      </c>
      <c r="E124" s="42"/>
      <c r="F124" s="42">
        <f>SUM(D124:D127)</f>
        <v>9386.34</v>
      </c>
      <c r="G124" s="42"/>
      <c r="H124" s="42"/>
    </row>
    <row r="125" spans="1:8" x14ac:dyDescent="0.2">
      <c r="A125" s="59" t="s">
        <v>48</v>
      </c>
      <c r="B125" s="43"/>
      <c r="C125" s="56"/>
      <c r="D125" s="41">
        <f>[4]Charters!D1179</f>
        <v>0</v>
      </c>
      <c r="E125" s="42"/>
      <c r="F125" s="42">
        <f>+F123-F124</f>
        <v>0</v>
      </c>
      <c r="G125" s="42"/>
      <c r="H125" s="42"/>
    </row>
    <row r="126" spans="1:8" x14ac:dyDescent="0.2">
      <c r="A126" s="59" t="s">
        <v>60</v>
      </c>
      <c r="B126" s="43"/>
      <c r="C126" s="56"/>
      <c r="D126" s="41">
        <f>[4]Charters!E1179</f>
        <v>0</v>
      </c>
      <c r="E126" s="42"/>
      <c r="F126" s="42"/>
      <c r="G126" s="42"/>
      <c r="H126" s="42"/>
    </row>
    <row r="127" spans="1:8" x14ac:dyDescent="0.2">
      <c r="A127" s="59" t="s">
        <v>61</v>
      </c>
      <c r="B127" s="43"/>
      <c r="C127" s="56"/>
      <c r="D127" s="41">
        <f>[4]Charters!F1179</f>
        <v>5379.22</v>
      </c>
      <c r="E127" s="42"/>
      <c r="F127" s="42"/>
      <c r="G127" s="42"/>
      <c r="H127" s="42"/>
    </row>
    <row r="128" spans="1:8" ht="13.5" thickBot="1" x14ac:dyDescent="0.25">
      <c r="A128" s="64"/>
      <c r="B128" s="65"/>
      <c r="C128" s="66"/>
      <c r="D128" s="67">
        <f>SUM(D103:D127)</f>
        <v>2947640.87</v>
      </c>
      <c r="E128" s="42"/>
      <c r="F128" s="42"/>
      <c r="G128" s="42"/>
      <c r="H128" s="42"/>
    </row>
    <row r="129" spans="1:8" ht="13.5" thickTop="1" x14ac:dyDescent="0.2">
      <c r="A129" s="68"/>
      <c r="B129" s="43"/>
      <c r="C129" s="56"/>
      <c r="D129" s="86"/>
      <c r="E129" s="42"/>
      <c r="F129" s="42"/>
      <c r="G129" s="42"/>
      <c r="H129" s="42"/>
    </row>
    <row r="130" spans="1:8" x14ac:dyDescent="0.2">
      <c r="A130" s="38" t="s">
        <v>20</v>
      </c>
      <c r="B130" s="39"/>
      <c r="C130" s="70"/>
      <c r="D130" s="71" t="s">
        <v>21</v>
      </c>
      <c r="E130" s="42"/>
      <c r="F130" s="42"/>
      <c r="G130" s="42"/>
      <c r="H130" s="42"/>
    </row>
    <row r="131" spans="1:8" x14ac:dyDescent="0.2">
      <c r="A131" s="72" t="s">
        <v>22</v>
      </c>
      <c r="B131" s="73"/>
      <c r="C131" s="74"/>
      <c r="D131" s="41">
        <f>[5]Charters!C85</f>
        <v>1143.56</v>
      </c>
      <c r="E131" s="42"/>
      <c r="F131" s="42"/>
      <c r="G131" s="42"/>
      <c r="H131" s="42"/>
    </row>
    <row r="132" spans="1:8" x14ac:dyDescent="0.2">
      <c r="A132" s="75"/>
      <c r="B132" s="61"/>
      <c r="C132" s="76"/>
      <c r="D132" s="77">
        <f>SUM(D131:D131)</f>
        <v>1143.56</v>
      </c>
      <c r="E132" s="42"/>
      <c r="F132" s="42"/>
      <c r="G132" s="42"/>
      <c r="H132" s="42"/>
    </row>
    <row r="133" spans="1:8" x14ac:dyDescent="0.2">
      <c r="A133" s="78" t="s">
        <v>58</v>
      </c>
      <c r="B133" s="79"/>
      <c r="C133" s="80"/>
      <c r="D133" s="77">
        <f>D132+D128</f>
        <v>2948784.43</v>
      </c>
      <c r="E133" s="42"/>
      <c r="F133" s="42"/>
      <c r="G133" s="42"/>
      <c r="H133" s="42"/>
    </row>
    <row r="134" spans="1:8" x14ac:dyDescent="0.2">
      <c r="A134" s="84"/>
      <c r="B134" s="84"/>
      <c r="C134" s="85"/>
      <c r="D134" s="81"/>
      <c r="E134" s="42"/>
      <c r="F134" s="42"/>
      <c r="G134" s="42"/>
      <c r="H134" s="42"/>
    </row>
    <row r="135" spans="1:8" x14ac:dyDescent="0.2">
      <c r="A135" s="84"/>
      <c r="B135" s="84"/>
      <c r="C135" s="85"/>
      <c r="D135" s="81">
        <f>[5]Charters!E241</f>
        <v>2948784.43</v>
      </c>
      <c r="E135" s="42"/>
      <c r="F135" s="42"/>
      <c r="G135" s="42"/>
      <c r="H135" s="42"/>
    </row>
    <row r="136" spans="1:8" x14ac:dyDescent="0.2">
      <c r="A136" s="84"/>
      <c r="B136" s="84"/>
      <c r="C136" s="85"/>
      <c r="D136" s="81">
        <f>D133</f>
        <v>2948784.43</v>
      </c>
      <c r="E136" s="42"/>
      <c r="F136" s="42"/>
      <c r="G136" s="42"/>
      <c r="H136" s="42"/>
    </row>
    <row r="137" spans="1:8" x14ac:dyDescent="0.2">
      <c r="C137" s="83"/>
      <c r="D137" s="42">
        <f>D135-D136</f>
        <v>0</v>
      </c>
      <c r="E137" s="42"/>
      <c r="F137" s="42"/>
      <c r="G137" s="42"/>
      <c r="H137" s="42"/>
    </row>
  </sheetData>
  <mergeCells count="4">
    <mergeCell ref="A133:C133"/>
    <mergeCell ref="A80:D80"/>
    <mergeCell ref="A81:D81"/>
    <mergeCell ref="A79:D79"/>
  </mergeCells>
  <phoneticPr fontId="2" type="noConversion"/>
  <printOptions horizontalCentered="1" verticalCentered="1"/>
  <pageMargins left="0.5" right="0.5" top="0.5" bottom="0.5" header="0.25" footer="0.25"/>
  <pageSetup orientation="portrait" verticalDpi="1200" r:id="rId1"/>
  <headerFooter alignWithMargins="0">
    <oddHeader>&amp;R&amp;8Current as of: &amp;D</oddHeader>
    <oddFooter>&amp;L&amp;8USOE, School Finance</oddFooter>
  </headerFooter>
  <picture r:id="rId2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sheetPr>
    <pageSetUpPr fitToPage="1"/>
  </sheetPr>
  <dimension ref="A1:H138"/>
  <sheetViews>
    <sheetView topLeftCell="A76" workbookViewId="0">
      <selection activeCell="C12" sqref="C12"/>
    </sheetView>
  </sheetViews>
  <sheetFormatPr defaultColWidth="9.140625" defaultRowHeight="12.75" x14ac:dyDescent="0.2"/>
  <cols>
    <col min="1" max="1" width="31.85546875" style="82" customWidth="1"/>
    <col min="2" max="2" width="16.140625" style="82" customWidth="1"/>
    <col min="3" max="4" width="14.85546875" style="82" customWidth="1"/>
    <col min="5" max="5" width="7" style="82" customWidth="1"/>
    <col min="6" max="6" width="19.7109375" style="82" customWidth="1"/>
    <col min="7" max="7" width="5.7109375" style="82" customWidth="1"/>
    <col min="8" max="8" width="18" style="82" customWidth="1"/>
    <col min="9" max="16384" width="9.140625" style="82"/>
  </cols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"/>
      <c r="B3" s="1"/>
      <c r="C3" s="1"/>
      <c r="D3" s="1"/>
      <c r="E3" s="1"/>
      <c r="F3" s="1"/>
      <c r="G3" s="1"/>
      <c r="H3" s="1"/>
    </row>
    <row r="4" spans="1:8" x14ac:dyDescent="0.2">
      <c r="A4" s="1"/>
      <c r="B4" s="1"/>
      <c r="C4" s="1"/>
      <c r="D4" s="1"/>
      <c r="E4" s="1"/>
      <c r="F4" s="1"/>
      <c r="G4" s="1"/>
      <c r="H4" s="1"/>
    </row>
    <row r="5" spans="1:8" x14ac:dyDescent="0.2">
      <c r="A5" s="1"/>
      <c r="B5" s="1"/>
      <c r="C5" s="1"/>
      <c r="D5" s="1"/>
      <c r="E5" s="1"/>
      <c r="F5" s="1"/>
      <c r="G5" s="1"/>
      <c r="H5" s="1"/>
    </row>
    <row r="6" spans="1:8" x14ac:dyDescent="0.2">
      <c r="A6" s="1"/>
      <c r="B6" s="1"/>
      <c r="C6" s="1"/>
      <c r="D6" s="1"/>
      <c r="E6" s="1"/>
      <c r="F6" s="1"/>
      <c r="G6" s="1"/>
      <c r="H6" s="1"/>
    </row>
    <row r="7" spans="1:8" x14ac:dyDescent="0.2">
      <c r="A7" s="1"/>
      <c r="B7" s="1"/>
      <c r="C7" s="1"/>
      <c r="D7" s="1"/>
      <c r="E7" s="1"/>
      <c r="F7" s="1"/>
      <c r="G7" s="1"/>
      <c r="H7" s="1"/>
    </row>
    <row r="8" spans="1:8" x14ac:dyDescent="0.2">
      <c r="A8" s="1"/>
      <c r="B8" s="1"/>
      <c r="C8" s="1"/>
      <c r="D8" s="1"/>
      <c r="E8" s="1"/>
      <c r="F8" s="1"/>
      <c r="G8" s="1"/>
      <c r="H8" s="1"/>
    </row>
    <row r="9" spans="1:8" x14ac:dyDescent="0.2">
      <c r="A9" s="1"/>
      <c r="B9" s="1"/>
      <c r="C9" s="1"/>
      <c r="D9" s="1"/>
      <c r="E9" s="1"/>
      <c r="F9" s="1"/>
      <c r="G9" s="1"/>
      <c r="H9" s="1"/>
    </row>
    <row r="10" spans="1:8" x14ac:dyDescent="0.2">
      <c r="A10" s="1"/>
      <c r="B10" s="1"/>
      <c r="C10" s="1"/>
      <c r="D10" s="1"/>
      <c r="E10" s="1"/>
      <c r="F10" s="1"/>
      <c r="G10" s="1"/>
      <c r="H10" s="1"/>
    </row>
    <row r="11" spans="1:8" x14ac:dyDescent="0.2">
      <c r="A11" s="1"/>
      <c r="B11" s="1"/>
      <c r="C11" s="1"/>
      <c r="D11" s="1"/>
      <c r="E11" s="1"/>
      <c r="F11" s="1"/>
      <c r="G11" s="1"/>
      <c r="H11" s="1"/>
    </row>
    <row r="12" spans="1:8" x14ac:dyDescent="0.2">
      <c r="A12" s="1"/>
      <c r="B12" s="1"/>
      <c r="C12" s="1"/>
      <c r="D12" s="1"/>
      <c r="E12" s="1"/>
      <c r="F12" s="1"/>
      <c r="G12" s="1"/>
      <c r="H12" s="1"/>
    </row>
    <row r="13" spans="1:8" x14ac:dyDescent="0.2">
      <c r="A13" s="1"/>
      <c r="B13" s="1"/>
      <c r="C13" s="1"/>
      <c r="D13" s="1"/>
      <c r="E13" s="1"/>
      <c r="F13" s="1"/>
      <c r="G13" s="1"/>
      <c r="H13" s="1"/>
    </row>
    <row r="14" spans="1:8" x14ac:dyDescent="0.2">
      <c r="A14" s="1"/>
      <c r="B14" s="1"/>
      <c r="C14" s="1"/>
      <c r="D14" s="1"/>
      <c r="E14" s="1"/>
      <c r="F14" s="1"/>
      <c r="G14" s="1"/>
      <c r="H14" s="1"/>
    </row>
    <row r="15" spans="1:8" x14ac:dyDescent="0.2">
      <c r="A15" s="1"/>
      <c r="B15" s="1"/>
      <c r="C15" s="1"/>
      <c r="D15" s="1"/>
      <c r="E15" s="1"/>
      <c r="F15" s="1"/>
      <c r="G15" s="1"/>
      <c r="H15" s="1"/>
    </row>
    <row r="16" spans="1:8" x14ac:dyDescent="0.2">
      <c r="A16" s="1"/>
      <c r="B16" s="1"/>
      <c r="C16" s="1"/>
      <c r="D16" s="1"/>
      <c r="E16" s="1"/>
      <c r="F16" s="1"/>
      <c r="G16" s="1"/>
      <c r="H16" s="1"/>
    </row>
    <row r="17" spans="1:8" x14ac:dyDescent="0.2">
      <c r="A17" s="1"/>
      <c r="B17" s="1"/>
      <c r="C17" s="1"/>
      <c r="D17" s="1"/>
      <c r="E17" s="1"/>
      <c r="F17" s="1"/>
      <c r="G17" s="1"/>
      <c r="H17" s="1"/>
    </row>
    <row r="18" spans="1:8" x14ac:dyDescent="0.2">
      <c r="A18" s="1"/>
      <c r="B18" s="1"/>
      <c r="C18" s="1"/>
      <c r="D18" s="1"/>
      <c r="E18" s="1"/>
      <c r="F18" s="1"/>
      <c r="G18" s="1"/>
      <c r="H18" s="1"/>
    </row>
    <row r="19" spans="1:8" x14ac:dyDescent="0.2">
      <c r="A19" s="1"/>
      <c r="B19" s="1"/>
      <c r="C19" s="1"/>
      <c r="D19" s="1"/>
      <c r="E19" s="1"/>
      <c r="F19" s="1"/>
      <c r="G19" s="1"/>
      <c r="H19" s="1"/>
    </row>
    <row r="20" spans="1:8" x14ac:dyDescent="0.2">
      <c r="A20" s="1"/>
      <c r="B20" s="1"/>
      <c r="C20" s="1"/>
      <c r="D20" s="1"/>
      <c r="E20" s="1"/>
      <c r="F20" s="1"/>
      <c r="G20" s="1"/>
      <c r="H20" s="1"/>
    </row>
    <row r="21" spans="1:8" x14ac:dyDescent="0.2">
      <c r="A21" s="1"/>
      <c r="B21" s="1"/>
      <c r="C21" s="1"/>
      <c r="D21" s="1"/>
      <c r="E21" s="1"/>
      <c r="F21" s="1"/>
      <c r="G21" s="1"/>
      <c r="H21" s="1"/>
    </row>
    <row r="22" spans="1:8" x14ac:dyDescent="0.2">
      <c r="A22" s="1"/>
      <c r="B22" s="1"/>
      <c r="C22" s="1"/>
      <c r="D22" s="4"/>
      <c r="E22" s="1"/>
      <c r="F22" s="1"/>
      <c r="G22" s="1"/>
      <c r="H22" s="1"/>
    </row>
    <row r="23" spans="1:8" x14ac:dyDescent="0.2">
      <c r="A23" s="1"/>
      <c r="B23" s="1"/>
      <c r="C23" s="1"/>
      <c r="D23" s="1"/>
      <c r="E23" s="1"/>
      <c r="F23" s="1"/>
      <c r="G23" s="1"/>
      <c r="H23" s="1"/>
    </row>
    <row r="24" spans="1:8" x14ac:dyDescent="0.2">
      <c r="A24" s="1"/>
      <c r="B24" s="1"/>
      <c r="C24" s="1"/>
      <c r="D24" s="1"/>
      <c r="E24" s="1"/>
      <c r="F24" s="1"/>
      <c r="G24" s="1"/>
      <c r="H24" s="1"/>
    </row>
    <row r="25" spans="1:8" x14ac:dyDescent="0.2">
      <c r="A25" s="1"/>
      <c r="B25" s="1"/>
      <c r="C25" s="1"/>
      <c r="D25" s="1"/>
      <c r="E25" s="1"/>
      <c r="F25" s="1"/>
      <c r="G25" s="1"/>
      <c r="H25" s="1"/>
    </row>
    <row r="26" spans="1:8" x14ac:dyDescent="0.2">
      <c r="A26" s="1"/>
      <c r="B26" s="1"/>
      <c r="C26" s="1"/>
      <c r="D26" s="1"/>
      <c r="E26" s="1"/>
      <c r="F26" s="1"/>
      <c r="G26" s="1"/>
      <c r="H26" s="1"/>
    </row>
    <row r="27" spans="1:8" x14ac:dyDescent="0.2">
      <c r="A27" s="1"/>
      <c r="B27" s="1"/>
      <c r="C27" s="1"/>
      <c r="D27" s="1"/>
      <c r="E27" s="1"/>
      <c r="F27" s="1"/>
      <c r="G27" s="1"/>
      <c r="H27" s="1"/>
    </row>
    <row r="28" spans="1:8" x14ac:dyDescent="0.2">
      <c r="A28" s="1"/>
      <c r="B28" s="1"/>
      <c r="C28" s="1"/>
      <c r="D28" s="1"/>
      <c r="E28" s="1"/>
      <c r="F28" s="1"/>
      <c r="G28" s="1"/>
      <c r="H28" s="1"/>
    </row>
    <row r="29" spans="1:8" x14ac:dyDescent="0.2">
      <c r="A29" s="1"/>
      <c r="B29" s="1"/>
      <c r="C29" s="1"/>
      <c r="D29" s="1"/>
      <c r="E29" s="1"/>
      <c r="F29" s="1"/>
      <c r="G29" s="1"/>
      <c r="H29" s="1"/>
    </row>
    <row r="30" spans="1:8" x14ac:dyDescent="0.2">
      <c r="A30" s="1"/>
      <c r="B30" s="1"/>
      <c r="C30" s="1"/>
      <c r="D30" s="1"/>
      <c r="E30" s="1"/>
      <c r="F30" s="1"/>
      <c r="G30" s="1"/>
      <c r="H30" s="1"/>
    </row>
    <row r="31" spans="1:8" x14ac:dyDescent="0.2">
      <c r="A31" s="1"/>
      <c r="B31" s="1"/>
      <c r="C31" s="1"/>
      <c r="D31" s="1"/>
      <c r="E31" s="1"/>
      <c r="F31" s="1"/>
      <c r="G31" s="1"/>
      <c r="H31" s="1"/>
    </row>
    <row r="32" spans="1:8" x14ac:dyDescent="0.2">
      <c r="A32" s="1"/>
      <c r="B32" s="1"/>
      <c r="C32" s="1"/>
      <c r="D32" s="1"/>
      <c r="E32" s="1"/>
      <c r="F32" s="1"/>
      <c r="G32" s="1"/>
      <c r="H32" s="1"/>
    </row>
    <row r="33" spans="1:8" x14ac:dyDescent="0.2">
      <c r="A33" s="1"/>
      <c r="B33" s="1"/>
      <c r="C33" s="1"/>
      <c r="D33" s="1"/>
      <c r="E33" s="1"/>
      <c r="F33" s="1"/>
      <c r="G33" s="1"/>
      <c r="H33" s="1"/>
    </row>
    <row r="34" spans="1:8" x14ac:dyDescent="0.2">
      <c r="A34" s="1"/>
      <c r="B34" s="1"/>
      <c r="C34" s="1"/>
      <c r="D34" s="1"/>
      <c r="E34" s="1"/>
      <c r="F34" s="1"/>
      <c r="G34" s="1"/>
      <c r="H34" s="1"/>
    </row>
    <row r="35" spans="1:8" x14ac:dyDescent="0.2">
      <c r="A35" s="1"/>
      <c r="B35" s="1"/>
      <c r="C35" s="1"/>
      <c r="D35" s="1"/>
      <c r="E35" s="1"/>
      <c r="F35" s="1"/>
      <c r="G35" s="1"/>
      <c r="H35" s="1"/>
    </row>
    <row r="36" spans="1:8" x14ac:dyDescent="0.2">
      <c r="A36" s="1"/>
      <c r="B36" s="1"/>
      <c r="C36" s="1"/>
      <c r="D36" s="1"/>
      <c r="E36" s="1"/>
      <c r="F36" s="1"/>
      <c r="G36" s="1"/>
      <c r="H36" s="1"/>
    </row>
    <row r="37" spans="1:8" x14ac:dyDescent="0.2">
      <c r="A37" s="1"/>
      <c r="B37" s="1"/>
      <c r="C37" s="1"/>
      <c r="D37" s="1"/>
      <c r="E37" s="1"/>
      <c r="F37" s="1"/>
      <c r="G37" s="1"/>
      <c r="H37" s="1"/>
    </row>
    <row r="38" spans="1:8" x14ac:dyDescent="0.2">
      <c r="A38" s="1"/>
      <c r="B38" s="1"/>
      <c r="C38" s="1"/>
      <c r="D38" s="1"/>
      <c r="E38" s="1"/>
      <c r="F38" s="1"/>
      <c r="G38" s="1"/>
      <c r="H38" s="1"/>
    </row>
    <row r="39" spans="1:8" x14ac:dyDescent="0.2">
      <c r="A39" s="1"/>
      <c r="B39" s="1"/>
      <c r="C39" s="1"/>
      <c r="D39" s="1"/>
      <c r="E39" s="1"/>
      <c r="F39" s="1"/>
      <c r="G39" s="1"/>
      <c r="H39" s="1"/>
    </row>
    <row r="40" spans="1:8" x14ac:dyDescent="0.2">
      <c r="A40" s="1"/>
      <c r="B40" s="1"/>
      <c r="C40" s="1"/>
      <c r="D40" s="1"/>
      <c r="E40" s="1"/>
      <c r="F40" s="1"/>
      <c r="G40" s="1"/>
      <c r="H40" s="1"/>
    </row>
    <row r="41" spans="1:8" x14ac:dyDescent="0.2">
      <c r="A41" s="1"/>
      <c r="B41" s="1"/>
      <c r="C41" s="1"/>
      <c r="D41" s="1"/>
      <c r="E41" s="1"/>
      <c r="F41" s="1"/>
      <c r="G41" s="1"/>
      <c r="H41" s="1"/>
    </row>
    <row r="42" spans="1:8" x14ac:dyDescent="0.2">
      <c r="A42" s="1"/>
      <c r="B42" s="1"/>
      <c r="C42" s="1"/>
      <c r="D42" s="1"/>
      <c r="E42" s="1"/>
      <c r="F42" s="1"/>
      <c r="G42" s="1"/>
      <c r="H42" s="1"/>
    </row>
    <row r="43" spans="1:8" x14ac:dyDescent="0.2">
      <c r="A43" s="1"/>
      <c r="B43" s="1"/>
      <c r="C43" s="1"/>
      <c r="D43" s="1"/>
      <c r="E43" s="1"/>
      <c r="F43" s="1"/>
      <c r="G43" s="1"/>
      <c r="H43" s="1"/>
    </row>
    <row r="44" spans="1:8" x14ac:dyDescent="0.2">
      <c r="A44" s="1"/>
      <c r="B44" s="1"/>
      <c r="C44" s="1"/>
      <c r="D44" s="1"/>
      <c r="E44" s="1"/>
      <c r="F44" s="1"/>
      <c r="G44" s="1"/>
      <c r="H44" s="1"/>
    </row>
    <row r="45" spans="1:8" x14ac:dyDescent="0.2">
      <c r="A45" s="1"/>
      <c r="B45" s="1"/>
      <c r="C45" s="1"/>
      <c r="D45" s="1"/>
      <c r="E45" s="1"/>
      <c r="F45" s="1"/>
      <c r="G45" s="1"/>
      <c r="H45" s="1"/>
    </row>
    <row r="46" spans="1:8" x14ac:dyDescent="0.2">
      <c r="A46" s="1"/>
      <c r="B46" s="1"/>
      <c r="C46" s="1"/>
      <c r="D46" s="1"/>
      <c r="E46" s="1"/>
      <c r="F46" s="1"/>
      <c r="G46" s="1"/>
      <c r="H46" s="1"/>
    </row>
    <row r="47" spans="1:8" x14ac:dyDescent="0.2">
      <c r="A47" s="1"/>
      <c r="B47" s="1"/>
      <c r="C47" s="1"/>
      <c r="D47" s="1"/>
      <c r="E47" s="1"/>
      <c r="F47" s="1"/>
      <c r="G47" s="1"/>
      <c r="H47" s="1"/>
    </row>
    <row r="48" spans="1:8" x14ac:dyDescent="0.2">
      <c r="A48" s="1"/>
      <c r="B48" s="1"/>
      <c r="C48" s="1"/>
      <c r="D48" s="1"/>
      <c r="E48" s="1"/>
      <c r="F48" s="1"/>
      <c r="G48" s="1"/>
      <c r="H48" s="1"/>
    </row>
    <row r="49" spans="1:8" x14ac:dyDescent="0.2">
      <c r="A49" s="1"/>
      <c r="B49" s="1"/>
      <c r="C49" s="1"/>
      <c r="D49" s="1"/>
      <c r="E49" s="1"/>
      <c r="F49" s="1"/>
      <c r="G49" s="1"/>
      <c r="H49" s="1"/>
    </row>
    <row r="50" spans="1:8" x14ac:dyDescent="0.2">
      <c r="A50" s="1"/>
      <c r="B50" s="1"/>
      <c r="C50" s="1"/>
      <c r="D50" s="1"/>
      <c r="E50" s="1"/>
      <c r="F50" s="1"/>
      <c r="G50" s="1"/>
      <c r="H50" s="1"/>
    </row>
    <row r="51" spans="1:8" x14ac:dyDescent="0.2">
      <c r="A51" s="1"/>
      <c r="B51" s="1"/>
      <c r="C51" s="1"/>
      <c r="D51" s="1"/>
      <c r="E51" s="1"/>
      <c r="F51" s="1"/>
      <c r="G51" s="1"/>
      <c r="H51" s="1"/>
    </row>
    <row r="52" spans="1:8" x14ac:dyDescent="0.2">
      <c r="A52" s="1"/>
      <c r="B52" s="1"/>
      <c r="C52" s="1"/>
      <c r="D52" s="1"/>
      <c r="E52" s="1"/>
      <c r="F52" s="1"/>
      <c r="G52" s="1"/>
      <c r="H52" s="1"/>
    </row>
    <row r="53" spans="1:8" x14ac:dyDescent="0.2">
      <c r="A53" s="1"/>
      <c r="B53" s="1"/>
      <c r="C53" s="1"/>
      <c r="D53" s="1"/>
      <c r="E53" s="1"/>
      <c r="F53" s="1"/>
      <c r="G53" s="1"/>
      <c r="H53" s="1"/>
    </row>
    <row r="54" spans="1:8" x14ac:dyDescent="0.2">
      <c r="A54" s="1"/>
      <c r="B54" s="1"/>
      <c r="C54" s="1"/>
      <c r="D54" s="1"/>
      <c r="E54" s="1"/>
      <c r="F54" s="1"/>
      <c r="G54" s="1"/>
      <c r="H54" s="1"/>
    </row>
    <row r="55" spans="1:8" x14ac:dyDescent="0.2">
      <c r="A55" s="1"/>
      <c r="B55" s="1"/>
      <c r="C55" s="1"/>
      <c r="D55" s="1"/>
      <c r="E55" s="1"/>
      <c r="F55" s="1"/>
      <c r="G55" s="1"/>
      <c r="H55" s="1"/>
    </row>
    <row r="56" spans="1:8" x14ac:dyDescent="0.2">
      <c r="A56" s="1"/>
      <c r="B56" s="1"/>
      <c r="C56" s="1"/>
      <c r="D56" s="1"/>
      <c r="E56" s="1"/>
      <c r="F56" s="1"/>
      <c r="G56" s="1"/>
      <c r="H56" s="1"/>
    </row>
    <row r="57" spans="1:8" x14ac:dyDescent="0.2">
      <c r="A57" s="1"/>
      <c r="B57" s="1"/>
      <c r="C57" s="1"/>
      <c r="D57" s="1"/>
      <c r="E57" s="1"/>
      <c r="F57" s="1"/>
      <c r="G57" s="1"/>
      <c r="H57" s="1"/>
    </row>
    <row r="58" spans="1:8" x14ac:dyDescent="0.2">
      <c r="A58" s="1"/>
      <c r="B58" s="1"/>
      <c r="C58" s="1"/>
      <c r="D58" s="1"/>
      <c r="E58" s="1"/>
      <c r="F58" s="1"/>
      <c r="G58" s="1"/>
      <c r="H58" s="1"/>
    </row>
    <row r="59" spans="1:8" x14ac:dyDescent="0.2">
      <c r="A59" s="1"/>
      <c r="B59" s="1"/>
      <c r="C59" s="1"/>
      <c r="D59" s="1"/>
      <c r="E59" s="1"/>
      <c r="F59" s="1"/>
      <c r="G59" s="1"/>
      <c r="H59" s="1"/>
    </row>
    <row r="60" spans="1:8" x14ac:dyDescent="0.2">
      <c r="A60" s="1"/>
      <c r="B60" s="1"/>
      <c r="C60" s="1"/>
      <c r="D60" s="1"/>
      <c r="E60" s="1"/>
      <c r="F60" s="1"/>
      <c r="G60" s="1"/>
      <c r="H60" s="1"/>
    </row>
    <row r="61" spans="1:8" x14ac:dyDescent="0.2">
      <c r="A61" s="1"/>
      <c r="B61" s="1"/>
      <c r="C61" s="1"/>
      <c r="D61" s="1"/>
      <c r="E61" s="1"/>
      <c r="F61" s="1"/>
      <c r="G61" s="1"/>
      <c r="H61" s="1"/>
    </row>
    <row r="62" spans="1:8" x14ac:dyDescent="0.2">
      <c r="A62" s="1"/>
      <c r="B62" s="1"/>
      <c r="C62" s="1"/>
      <c r="D62" s="1"/>
      <c r="E62" s="1"/>
      <c r="F62" s="1"/>
      <c r="G62" s="1"/>
      <c r="H62" s="1"/>
    </row>
    <row r="63" spans="1:8" x14ac:dyDescent="0.2">
      <c r="A63" s="1"/>
      <c r="B63" s="1"/>
      <c r="C63" s="1"/>
      <c r="D63" s="1"/>
      <c r="E63" s="1"/>
      <c r="F63" s="1"/>
      <c r="G63" s="1"/>
      <c r="H63" s="1"/>
    </row>
    <row r="64" spans="1:8" x14ac:dyDescent="0.2">
      <c r="A64" s="1"/>
      <c r="B64" s="1"/>
      <c r="C64" s="1"/>
      <c r="D64" s="1"/>
      <c r="E64" s="1"/>
      <c r="F64" s="1"/>
      <c r="G64" s="1"/>
      <c r="H64" s="1"/>
    </row>
    <row r="65" spans="1:8" x14ac:dyDescent="0.2">
      <c r="A65" s="1"/>
      <c r="B65" s="1"/>
      <c r="C65" s="1"/>
      <c r="D65" s="1"/>
      <c r="E65" s="1"/>
      <c r="F65" s="1"/>
      <c r="G65" s="1"/>
      <c r="H65" s="1"/>
    </row>
    <row r="66" spans="1:8" x14ac:dyDescent="0.2">
      <c r="A66" s="1"/>
      <c r="B66" s="1"/>
      <c r="C66" s="1"/>
      <c r="D66" s="1"/>
      <c r="E66" s="1"/>
      <c r="F66" s="1"/>
      <c r="G66" s="1"/>
      <c r="H66" s="1"/>
    </row>
    <row r="67" spans="1:8" x14ac:dyDescent="0.2">
      <c r="A67" s="1"/>
      <c r="B67" s="1"/>
      <c r="C67" s="1"/>
      <c r="D67" s="1"/>
      <c r="E67" s="1"/>
      <c r="F67" s="1"/>
      <c r="G67" s="1"/>
      <c r="H67" s="1"/>
    </row>
    <row r="68" spans="1:8" x14ac:dyDescent="0.2">
      <c r="A68" s="1"/>
      <c r="B68" s="1"/>
      <c r="C68" s="1"/>
      <c r="D68" s="1"/>
      <c r="E68" s="1"/>
      <c r="F68" s="1"/>
      <c r="G68" s="1"/>
      <c r="H68" s="1"/>
    </row>
    <row r="69" spans="1:8" x14ac:dyDescent="0.2">
      <c r="A69" s="1"/>
      <c r="B69" s="1"/>
      <c r="C69" s="1"/>
      <c r="D69" s="1"/>
      <c r="E69" s="1"/>
      <c r="F69" s="1"/>
      <c r="G69" s="1"/>
      <c r="H69" s="1"/>
    </row>
    <row r="70" spans="1:8" x14ac:dyDescent="0.2">
      <c r="A70" s="1"/>
      <c r="B70" s="1"/>
      <c r="C70" s="1"/>
      <c r="D70" s="1"/>
      <c r="E70" s="1"/>
      <c r="F70" s="1"/>
      <c r="G70" s="1"/>
      <c r="H70" s="1"/>
    </row>
    <row r="71" spans="1:8" x14ac:dyDescent="0.2">
      <c r="A71" s="1"/>
      <c r="B71" s="1"/>
      <c r="C71" s="1"/>
      <c r="D71" s="1"/>
      <c r="E71" s="1"/>
      <c r="F71" s="1"/>
      <c r="G71" s="1"/>
      <c r="H71" s="1"/>
    </row>
    <row r="72" spans="1:8" x14ac:dyDescent="0.2">
      <c r="A72" s="1"/>
      <c r="B72" s="1"/>
      <c r="C72" s="1"/>
      <c r="D72" s="1"/>
      <c r="E72" s="1"/>
      <c r="F72" s="1"/>
      <c r="G72" s="1"/>
      <c r="H72" s="1"/>
    </row>
    <row r="73" spans="1:8" x14ac:dyDescent="0.2">
      <c r="A73" s="1"/>
      <c r="B73" s="1"/>
      <c r="C73" s="1"/>
      <c r="D73" s="1"/>
      <c r="E73" s="1"/>
      <c r="F73" s="1"/>
      <c r="G73" s="1"/>
      <c r="H73" s="1"/>
    </row>
    <row r="74" spans="1:8" x14ac:dyDescent="0.2">
      <c r="A74" s="1"/>
      <c r="B74" s="1"/>
      <c r="C74" s="1"/>
      <c r="D74" s="1"/>
      <c r="E74" s="1"/>
      <c r="F74" s="1"/>
      <c r="G74" s="1"/>
      <c r="H74" s="1"/>
    </row>
    <row r="75" spans="1:8" x14ac:dyDescent="0.2">
      <c r="A75" s="1"/>
      <c r="B75" s="1"/>
      <c r="C75" s="1"/>
      <c r="D75" s="1"/>
      <c r="E75" s="1"/>
      <c r="F75" s="1"/>
      <c r="G75" s="1"/>
      <c r="H75" s="1"/>
    </row>
    <row r="76" spans="1:8" x14ac:dyDescent="0.2">
      <c r="A76" s="1"/>
      <c r="B76" s="1"/>
      <c r="C76" s="1"/>
      <c r="D76" s="1"/>
      <c r="E76" s="1"/>
      <c r="F76" s="1"/>
      <c r="G76" s="1"/>
      <c r="H76" s="1"/>
    </row>
    <row r="77" spans="1:8" x14ac:dyDescent="0.2">
      <c r="A77" s="1"/>
      <c r="B77" s="1"/>
      <c r="C77" s="1"/>
      <c r="D77" s="1"/>
      <c r="E77" s="1"/>
      <c r="F77" s="1"/>
      <c r="G77" s="1"/>
      <c r="H77" s="1"/>
    </row>
    <row r="78" spans="1:8" x14ac:dyDescent="0.2">
      <c r="A78" s="1"/>
      <c r="B78" s="1"/>
      <c r="C78" s="1"/>
      <c r="D78" s="1"/>
      <c r="E78" s="1"/>
      <c r="F78" s="1"/>
      <c r="G78" s="1"/>
      <c r="H78" s="1"/>
    </row>
    <row r="79" spans="1:8" x14ac:dyDescent="0.2">
      <c r="A79" s="1"/>
      <c r="B79" s="1"/>
      <c r="C79" s="1"/>
      <c r="D79" s="1"/>
      <c r="E79" s="1"/>
      <c r="F79" s="1"/>
      <c r="G79" s="1"/>
      <c r="H79" s="1"/>
    </row>
    <row r="80" spans="1:8" x14ac:dyDescent="0.2">
      <c r="A80" s="11" t="s">
        <v>1</v>
      </c>
      <c r="B80" s="12"/>
      <c r="C80" s="12"/>
      <c r="D80" s="13"/>
      <c r="E80" s="8"/>
      <c r="F80" s="8"/>
      <c r="G80" s="8"/>
      <c r="H80" s="8"/>
    </row>
    <row r="81" spans="1:8" x14ac:dyDescent="0.2">
      <c r="A81" s="14" t="s">
        <v>15</v>
      </c>
      <c r="B81" s="15"/>
      <c r="C81" s="15"/>
      <c r="D81" s="16"/>
      <c r="E81" s="8"/>
      <c r="F81" s="8"/>
      <c r="G81" s="8"/>
      <c r="H81" s="8"/>
    </row>
    <row r="82" spans="1:8" x14ac:dyDescent="0.2">
      <c r="A82" s="17" t="s">
        <v>62</v>
      </c>
      <c r="B82" s="18"/>
      <c r="C82" s="18"/>
      <c r="D82" s="19"/>
      <c r="E82" s="8"/>
      <c r="F82" s="8"/>
      <c r="G82" s="8"/>
      <c r="H82" s="8"/>
    </row>
    <row r="83" spans="1:8" x14ac:dyDescent="0.2">
      <c r="A83" s="20"/>
      <c r="B83" s="21"/>
      <c r="C83" s="22"/>
      <c r="D83" s="23"/>
      <c r="E83" s="8"/>
      <c r="F83" s="8" t="s">
        <v>34</v>
      </c>
      <c r="G83" s="8"/>
      <c r="H83" s="8"/>
    </row>
    <row r="84" spans="1:8" ht="15.75" x14ac:dyDescent="0.25">
      <c r="A84" s="24" t="s">
        <v>2</v>
      </c>
      <c r="B84" s="25" t="str">
        <f>[1]Charters!B87</f>
        <v>Utah Connections Academy</v>
      </c>
      <c r="C84" s="26"/>
      <c r="D84" s="27"/>
      <c r="E84" s="8"/>
      <c r="F84" s="8"/>
      <c r="G84" s="8"/>
      <c r="H84" s="8"/>
    </row>
    <row r="85" spans="1:8" x14ac:dyDescent="0.2">
      <c r="A85" s="24"/>
      <c r="B85" s="28"/>
      <c r="C85" s="26"/>
      <c r="D85" s="27"/>
      <c r="E85" s="8"/>
      <c r="F85" s="8"/>
      <c r="G85" s="8"/>
      <c r="H85" s="8"/>
    </row>
    <row r="86" spans="1:8" x14ac:dyDescent="0.2">
      <c r="A86" s="29" t="s">
        <v>0</v>
      </c>
      <c r="B86" s="30">
        <f>[1]Charters!$E$6</f>
        <v>3184</v>
      </c>
      <c r="C86" s="26"/>
      <c r="D86" s="31"/>
      <c r="E86" s="8"/>
      <c r="F86" s="8"/>
      <c r="G86" s="8"/>
      <c r="H86" s="8"/>
    </row>
    <row r="87" spans="1:8" x14ac:dyDescent="0.2">
      <c r="A87" s="32"/>
      <c r="B87" s="6"/>
      <c r="C87" s="33"/>
      <c r="D87" s="34" t="s">
        <v>3</v>
      </c>
      <c r="E87" s="8"/>
      <c r="F87" s="8"/>
      <c r="G87" s="8"/>
      <c r="H87" s="8"/>
    </row>
    <row r="88" spans="1:8" x14ac:dyDescent="0.2">
      <c r="A88" s="29" t="s">
        <v>19</v>
      </c>
      <c r="B88" s="35" t="str">
        <f>[1]Charters!A87</f>
        <v>2H</v>
      </c>
      <c r="C88" s="36" t="s">
        <v>4</v>
      </c>
      <c r="D88" s="37" t="s">
        <v>5</v>
      </c>
      <c r="E88" s="8"/>
      <c r="F88" s="8"/>
      <c r="G88" s="8"/>
      <c r="H88" s="8"/>
    </row>
    <row r="89" spans="1:8" x14ac:dyDescent="0.2">
      <c r="A89" s="38" t="s">
        <v>6</v>
      </c>
      <c r="B89" s="39"/>
      <c r="C89" s="40"/>
      <c r="D89" s="41"/>
      <c r="E89" s="8"/>
      <c r="F89" s="8"/>
      <c r="G89" s="8"/>
      <c r="H89" s="8"/>
    </row>
    <row r="90" spans="1:8" x14ac:dyDescent="0.2">
      <c r="A90" s="38" t="s">
        <v>7</v>
      </c>
      <c r="B90" s="39"/>
      <c r="C90" s="40"/>
      <c r="D90" s="41"/>
      <c r="E90" s="8"/>
      <c r="F90" s="42" t="s">
        <v>23</v>
      </c>
      <c r="G90" s="8"/>
      <c r="H90" s="42" t="s">
        <v>26</v>
      </c>
    </row>
    <row r="91" spans="1:8" x14ac:dyDescent="0.2">
      <c r="A91" s="20" t="s">
        <v>8</v>
      </c>
      <c r="B91" s="43"/>
      <c r="C91" s="44">
        <f>[1]Charters!C547</f>
        <v>902.66099999999994</v>
      </c>
      <c r="D91" s="45">
        <f>[1]Charters!E547</f>
        <v>2874071.88</v>
      </c>
      <c r="E91" s="8"/>
      <c r="F91" s="42">
        <f>[1]Charters!E702</f>
        <v>3081084.78</v>
      </c>
      <c r="G91" s="8"/>
      <c r="H91" s="42">
        <f>[2]Charters!E241</f>
        <v>3767947.12</v>
      </c>
    </row>
    <row r="92" spans="1:8" x14ac:dyDescent="0.2">
      <c r="A92" s="20" t="s">
        <v>14</v>
      </c>
      <c r="B92" s="43"/>
      <c r="C92" s="44">
        <f>[1]Charters!F547</f>
        <v>65.016999999999996</v>
      </c>
      <c r="D92" s="45">
        <f>[1]Charters!H547</f>
        <v>207012.9</v>
      </c>
      <c r="E92" s="8"/>
      <c r="F92" s="42">
        <f>SUM(D91:D93)</f>
        <v>3081084.78</v>
      </c>
      <c r="G92" s="8"/>
      <c r="H92" s="42">
        <f>D104</f>
        <v>3767947.12</v>
      </c>
    </row>
    <row r="93" spans="1:8" x14ac:dyDescent="0.2">
      <c r="A93" s="20" t="s">
        <v>32</v>
      </c>
      <c r="B93" s="43"/>
      <c r="C93" s="44">
        <f>[1]Charters!C240</f>
        <v>0</v>
      </c>
      <c r="D93" s="45">
        <f>[1]Charters!E240</f>
        <v>0</v>
      </c>
      <c r="E93" s="8"/>
      <c r="F93" s="42">
        <f>+F91-F92</f>
        <v>0</v>
      </c>
      <c r="G93" s="8"/>
      <c r="H93" s="42">
        <f>+H91-H92</f>
        <v>0</v>
      </c>
    </row>
    <row r="94" spans="1:8" x14ac:dyDescent="0.2">
      <c r="A94" s="38" t="s">
        <v>9</v>
      </c>
      <c r="B94" s="39"/>
      <c r="C94" s="46"/>
      <c r="D94" s="47"/>
      <c r="E94" s="8"/>
      <c r="F94" s="8"/>
      <c r="G94" s="8"/>
      <c r="H94" s="8"/>
    </row>
    <row r="95" spans="1:8" x14ac:dyDescent="0.2">
      <c r="A95" s="20" t="s">
        <v>10</v>
      </c>
      <c r="B95" s="43"/>
      <c r="C95" s="40">
        <f>[3]Charters!C86</f>
        <v>167.43700000000001</v>
      </c>
      <c r="D95" s="41">
        <f>[3]Charters!E86</f>
        <v>533120.63</v>
      </c>
      <c r="E95" s="8"/>
      <c r="F95" s="42" t="s">
        <v>24</v>
      </c>
      <c r="G95" s="8"/>
      <c r="H95" s="8"/>
    </row>
    <row r="96" spans="1:8" x14ac:dyDescent="0.2">
      <c r="A96" s="48" t="s">
        <v>11</v>
      </c>
      <c r="B96" s="43"/>
      <c r="C96" s="40">
        <f>[3]Charters!F86</f>
        <v>8.08</v>
      </c>
      <c r="D96" s="49">
        <f>[3]Charters!H86</f>
        <v>25726.720000000001</v>
      </c>
      <c r="E96" s="8"/>
      <c r="F96" s="42">
        <f>[3]Charters!N398</f>
        <v>570481.74</v>
      </c>
      <c r="G96" s="8"/>
      <c r="H96" s="8"/>
    </row>
    <row r="97" spans="1:8" x14ac:dyDescent="0.2">
      <c r="A97" s="48" t="s">
        <v>12</v>
      </c>
      <c r="B97" s="43"/>
      <c r="C97" s="40">
        <f>[3]Charters!C241</f>
        <v>0</v>
      </c>
      <c r="D97" s="41">
        <f>[3]Charters!E241</f>
        <v>0</v>
      </c>
      <c r="E97" s="8"/>
      <c r="F97" s="42">
        <f>SUM(D95:D101)</f>
        <v>570481.74</v>
      </c>
      <c r="G97" s="8"/>
      <c r="H97" s="8"/>
    </row>
    <row r="98" spans="1:8" x14ac:dyDescent="0.2">
      <c r="A98" s="20" t="s">
        <v>13</v>
      </c>
      <c r="B98" s="43"/>
      <c r="C98" s="40">
        <f>[3]Charters!F241</f>
        <v>0.70899999999999996</v>
      </c>
      <c r="D98" s="41">
        <f>[3]Charters!H241</f>
        <v>2259</v>
      </c>
      <c r="E98" s="8"/>
      <c r="F98" s="42">
        <f>+F96-F97</f>
        <v>0</v>
      </c>
      <c r="G98" s="8"/>
      <c r="H98" s="8"/>
    </row>
    <row r="99" spans="1:8" x14ac:dyDescent="0.2">
      <c r="A99" s="48" t="s">
        <v>54</v>
      </c>
      <c r="B99" s="43"/>
      <c r="C99" s="40">
        <f>[3]Charters!C398</f>
        <v>2.9449999999999998</v>
      </c>
      <c r="D99" s="41">
        <f>[3]Charters!E398</f>
        <v>9375.39</v>
      </c>
      <c r="E99" s="8"/>
      <c r="F99" s="8"/>
      <c r="G99" s="8"/>
      <c r="H99" s="8"/>
    </row>
    <row r="100" spans="1:8" x14ac:dyDescent="0.2">
      <c r="A100" s="48" t="s">
        <v>55</v>
      </c>
      <c r="B100" s="43"/>
      <c r="C100" s="40">
        <f>[3]Charters!F398</f>
        <v>0</v>
      </c>
      <c r="D100" s="41">
        <f>[3]Charters!H398</f>
        <v>0</v>
      </c>
      <c r="E100" s="8"/>
      <c r="F100" s="42" t="s">
        <v>25</v>
      </c>
      <c r="G100" s="8"/>
      <c r="H100" s="8"/>
    </row>
    <row r="101" spans="1:8" x14ac:dyDescent="0.2">
      <c r="A101" s="48" t="s">
        <v>56</v>
      </c>
      <c r="B101" s="43"/>
      <c r="C101" s="40">
        <f>[3]Charters!I398</f>
        <v>0</v>
      </c>
      <c r="D101" s="41">
        <f>[3]Charters!K398</f>
        <v>0</v>
      </c>
      <c r="E101" s="8"/>
      <c r="F101" s="42">
        <f>[2]Charters!H87</f>
        <v>686862.34</v>
      </c>
      <c r="G101" s="8"/>
      <c r="H101" s="8"/>
    </row>
    <row r="102" spans="1:8" x14ac:dyDescent="0.2">
      <c r="A102" s="20" t="s">
        <v>49</v>
      </c>
      <c r="B102" s="43"/>
      <c r="C102" s="40">
        <f>[3]Charters!C554</f>
        <v>0</v>
      </c>
      <c r="D102" s="41">
        <f>[3]Charters!E554</f>
        <v>0</v>
      </c>
      <c r="E102" s="8"/>
      <c r="F102" s="42">
        <f>SUM(D95:D103)</f>
        <v>686862.34</v>
      </c>
      <c r="G102" s="8"/>
      <c r="H102" s="8"/>
    </row>
    <row r="103" spans="1:8" x14ac:dyDescent="0.2">
      <c r="A103" s="20" t="s">
        <v>50</v>
      </c>
      <c r="B103" s="43"/>
      <c r="C103" s="40">
        <f>[2]Charters!C87</f>
        <v>36.552</v>
      </c>
      <c r="D103" s="41">
        <f>[2]Charters!E87</f>
        <v>116380.6</v>
      </c>
      <c r="E103" s="8"/>
      <c r="F103" s="42">
        <f>+F101-F102</f>
        <v>0</v>
      </c>
      <c r="G103" s="8"/>
      <c r="H103" s="8"/>
    </row>
    <row r="104" spans="1:8" x14ac:dyDescent="0.2">
      <c r="A104" s="50"/>
      <c r="B104" s="51" t="s">
        <v>16</v>
      </c>
      <c r="C104" s="52">
        <f>SUM(C91:C103)</f>
        <v>1183.4010000000001</v>
      </c>
      <c r="D104" s="53">
        <f>SUM(D91:D103)</f>
        <v>3767947.12</v>
      </c>
      <c r="E104" s="8"/>
      <c r="F104" s="8"/>
      <c r="G104" s="8"/>
      <c r="H104" s="8"/>
    </row>
    <row r="105" spans="1:8" x14ac:dyDescent="0.2">
      <c r="A105" s="54" t="s">
        <v>17</v>
      </c>
      <c r="B105" s="39"/>
      <c r="C105" s="55"/>
      <c r="D105" s="47"/>
      <c r="E105" s="8"/>
      <c r="F105" s="8"/>
      <c r="G105" s="8"/>
      <c r="H105" s="42" t="s">
        <v>29</v>
      </c>
    </row>
    <row r="106" spans="1:8" x14ac:dyDescent="0.2">
      <c r="A106" s="20" t="s">
        <v>33</v>
      </c>
      <c r="B106" s="43"/>
      <c r="C106" s="56"/>
      <c r="D106" s="57">
        <f>[4]Charters!C87</f>
        <v>10921.27</v>
      </c>
      <c r="E106" s="8"/>
      <c r="F106" s="8"/>
      <c r="G106" s="8"/>
      <c r="H106" s="42">
        <f>[4]Charters!F1027</f>
        <v>6092561.1299999999</v>
      </c>
    </row>
    <row r="107" spans="1:8" x14ac:dyDescent="0.2">
      <c r="A107" s="58" t="s">
        <v>35</v>
      </c>
      <c r="B107" s="43"/>
      <c r="C107" s="56"/>
      <c r="D107" s="41">
        <f>+[4]Charters!F408</f>
        <v>4344.49</v>
      </c>
      <c r="E107" s="8"/>
      <c r="F107" s="8"/>
      <c r="G107" s="8"/>
      <c r="H107" s="42">
        <f>SUM(D104:D123)</f>
        <v>6092561.1299999999</v>
      </c>
    </row>
    <row r="108" spans="1:8" x14ac:dyDescent="0.2">
      <c r="A108" s="59" t="s">
        <v>36</v>
      </c>
      <c r="B108" s="43"/>
      <c r="C108" s="56"/>
      <c r="D108" s="41">
        <f>[4]Charters!E247</f>
        <v>43889</v>
      </c>
      <c r="E108" s="8"/>
      <c r="F108" s="8"/>
      <c r="G108" s="8"/>
      <c r="H108" s="42">
        <f>+H106-H107</f>
        <v>0</v>
      </c>
    </row>
    <row r="109" spans="1:8" x14ac:dyDescent="0.2">
      <c r="A109" s="59" t="s">
        <v>52</v>
      </c>
      <c r="B109" s="43"/>
      <c r="C109" s="56"/>
      <c r="D109" s="41">
        <f>[4]Charters!G408</f>
        <v>0</v>
      </c>
      <c r="E109" s="8"/>
      <c r="F109" s="42" t="s">
        <v>27</v>
      </c>
      <c r="G109" s="8"/>
      <c r="H109" s="42"/>
    </row>
    <row r="110" spans="1:8" x14ac:dyDescent="0.2">
      <c r="A110" s="20" t="s">
        <v>37</v>
      </c>
      <c r="B110" s="43"/>
      <c r="C110" s="56"/>
      <c r="D110" s="41">
        <f>[4]Charters!E564</f>
        <v>68492</v>
      </c>
      <c r="E110" s="8"/>
      <c r="F110" s="42">
        <f>[4]Charters!E247</f>
        <v>43889</v>
      </c>
      <c r="G110" s="8"/>
      <c r="H110" s="8"/>
    </row>
    <row r="111" spans="1:8" x14ac:dyDescent="0.2">
      <c r="A111" s="20" t="s">
        <v>38</v>
      </c>
      <c r="B111" s="43"/>
      <c r="C111" s="56"/>
      <c r="D111" s="41">
        <f>[4]Charters!F564</f>
        <v>0</v>
      </c>
      <c r="E111" s="8"/>
      <c r="F111" s="42">
        <f>SUM(D108:D108)</f>
        <v>43889</v>
      </c>
      <c r="G111" s="8"/>
      <c r="H111" s="8"/>
    </row>
    <row r="112" spans="1:8" x14ac:dyDescent="0.2">
      <c r="A112" s="59" t="s">
        <v>40</v>
      </c>
      <c r="B112" s="43"/>
      <c r="C112" s="56"/>
      <c r="D112" s="41">
        <f>[4]Charters!G564</f>
        <v>0</v>
      </c>
      <c r="E112" s="8"/>
      <c r="F112" s="42">
        <f>+F110-F111</f>
        <v>0</v>
      </c>
      <c r="G112" s="8"/>
      <c r="H112" s="8"/>
    </row>
    <row r="113" spans="1:8" x14ac:dyDescent="0.2">
      <c r="A113" s="20" t="s">
        <v>41</v>
      </c>
      <c r="B113" s="43"/>
      <c r="C113" s="56"/>
      <c r="D113" s="41">
        <f>[4]Charters!C718</f>
        <v>1906953</v>
      </c>
      <c r="E113" s="8"/>
      <c r="F113" s="42" t="s">
        <v>28</v>
      </c>
      <c r="G113" s="8"/>
      <c r="H113" s="8"/>
    </row>
    <row r="114" spans="1:8" x14ac:dyDescent="0.2">
      <c r="A114" s="20" t="s">
        <v>42</v>
      </c>
      <c r="B114" s="43"/>
      <c r="C114" s="56"/>
      <c r="D114" s="41">
        <f>[4]Charters!D718</f>
        <v>150217.70000000001</v>
      </c>
      <c r="E114" s="8"/>
      <c r="F114" s="42">
        <f>[4]Charters!D564</f>
        <v>48233.49</v>
      </c>
      <c r="G114" s="8"/>
      <c r="H114" s="8"/>
    </row>
    <row r="115" spans="1:8" x14ac:dyDescent="0.2">
      <c r="A115" s="20" t="s">
        <v>44</v>
      </c>
      <c r="B115" s="43"/>
      <c r="C115" s="56"/>
      <c r="D115" s="41">
        <f>[4]Charters!E718</f>
        <v>95300</v>
      </c>
      <c r="E115" s="8"/>
      <c r="F115" s="42">
        <f>SUM(D107:D109)</f>
        <v>48233.49</v>
      </c>
      <c r="G115" s="8"/>
      <c r="H115" s="8"/>
    </row>
    <row r="116" spans="1:8" x14ac:dyDescent="0.2">
      <c r="A116" s="59" t="s">
        <v>43</v>
      </c>
      <c r="B116" s="43"/>
      <c r="C116" s="56"/>
      <c r="D116" s="41">
        <f>[4]Charters!F718</f>
        <v>34415.839999999997</v>
      </c>
      <c r="E116" s="8"/>
      <c r="F116" s="42">
        <f>+F114-F115</f>
        <v>0</v>
      </c>
      <c r="G116" s="8"/>
      <c r="H116" s="8"/>
    </row>
    <row r="117" spans="1:8" x14ac:dyDescent="0.2">
      <c r="A117" s="59" t="s">
        <v>45</v>
      </c>
      <c r="B117" s="43"/>
      <c r="C117" s="56"/>
      <c r="D117" s="41">
        <f>[4]Charters!C564</f>
        <v>0</v>
      </c>
      <c r="E117" s="8"/>
      <c r="F117" s="8"/>
      <c r="G117" s="8"/>
      <c r="H117" s="8"/>
    </row>
    <row r="118" spans="1:8" x14ac:dyDescent="0.2">
      <c r="A118" s="59" t="s">
        <v>46</v>
      </c>
      <c r="B118" s="43"/>
      <c r="C118" s="56"/>
      <c r="D118" s="41">
        <f>[4]Charters!C874</f>
        <v>0</v>
      </c>
      <c r="E118" s="42"/>
      <c r="F118" s="42"/>
      <c r="G118" s="42"/>
      <c r="H118" s="42" t="s">
        <v>31</v>
      </c>
    </row>
    <row r="119" spans="1:8" x14ac:dyDescent="0.2">
      <c r="A119" s="59" t="s">
        <v>51</v>
      </c>
      <c r="B119" s="43"/>
      <c r="C119" s="56"/>
      <c r="D119" s="60">
        <f>[4]Charters!D874</f>
        <v>1087.27</v>
      </c>
      <c r="E119" s="42"/>
      <c r="F119" s="42"/>
      <c r="G119" s="42"/>
      <c r="H119" s="42">
        <f>[4]Charters!D1333</f>
        <v>6098094.1600000001</v>
      </c>
    </row>
    <row r="120" spans="1:8" x14ac:dyDescent="0.2">
      <c r="A120" s="20" t="s">
        <v>47</v>
      </c>
      <c r="B120" s="43"/>
      <c r="C120" s="56"/>
      <c r="D120" s="60">
        <f>[4]Charters!E874</f>
        <v>0</v>
      </c>
      <c r="E120" s="42"/>
      <c r="F120" s="42"/>
      <c r="G120" s="42"/>
      <c r="H120" s="42">
        <f>D129</f>
        <v>6098094.1600000001</v>
      </c>
    </row>
    <row r="121" spans="1:8" x14ac:dyDescent="0.2">
      <c r="A121" s="20" t="s">
        <v>57</v>
      </c>
      <c r="B121" s="43"/>
      <c r="C121" s="56"/>
      <c r="D121" s="60">
        <f>[4]Charters!C1027</f>
        <v>8993.44</v>
      </c>
      <c r="E121" s="42"/>
      <c r="F121" s="42"/>
      <c r="G121" s="42"/>
      <c r="H121" s="42">
        <f>+H119-H120</f>
        <v>0</v>
      </c>
    </row>
    <row r="122" spans="1:8" x14ac:dyDescent="0.2">
      <c r="A122" s="59" t="s">
        <v>53</v>
      </c>
      <c r="B122" s="43"/>
      <c r="C122" s="56"/>
      <c r="D122" s="60">
        <f>[4]Charters!D1027</f>
        <v>0</v>
      </c>
      <c r="E122" s="42"/>
      <c r="F122" s="42" t="s">
        <v>30</v>
      </c>
      <c r="G122" s="42"/>
      <c r="H122" s="42"/>
    </row>
    <row r="123" spans="1:8" x14ac:dyDescent="0.2">
      <c r="A123" s="59" t="s">
        <v>59</v>
      </c>
      <c r="B123" s="43"/>
      <c r="C123" s="56"/>
      <c r="D123" s="60">
        <f>[4]Charters!E1027</f>
        <v>0</v>
      </c>
      <c r="E123" s="42"/>
      <c r="F123" s="42"/>
      <c r="G123" s="42"/>
      <c r="H123" s="42"/>
    </row>
    <row r="124" spans="1:8" x14ac:dyDescent="0.2">
      <c r="A124" s="38" t="s">
        <v>18</v>
      </c>
      <c r="B124" s="61"/>
      <c r="C124" s="62"/>
      <c r="D124" s="87"/>
      <c r="E124" s="42"/>
      <c r="F124" s="42">
        <f>[4]Charters!C1333</f>
        <v>5533.03</v>
      </c>
      <c r="G124" s="42"/>
      <c r="H124" s="42"/>
    </row>
    <row r="125" spans="1:8" x14ac:dyDescent="0.2">
      <c r="A125" s="59" t="s">
        <v>39</v>
      </c>
      <c r="B125" s="43"/>
      <c r="C125" s="56"/>
      <c r="D125" s="41">
        <f>[4]Charters!C1180</f>
        <v>5533.03</v>
      </c>
      <c r="E125" s="42"/>
      <c r="F125" s="42">
        <f>SUM(D125:D128)</f>
        <v>5533.03</v>
      </c>
      <c r="G125" s="42"/>
      <c r="H125" s="42"/>
    </row>
    <row r="126" spans="1:8" x14ac:dyDescent="0.2">
      <c r="A126" s="59" t="s">
        <v>48</v>
      </c>
      <c r="B126" s="43"/>
      <c r="C126" s="56"/>
      <c r="D126" s="41">
        <f>[4]Charters!D1180</f>
        <v>0</v>
      </c>
      <c r="E126" s="42"/>
      <c r="F126" s="42">
        <f>+F124-F125</f>
        <v>0</v>
      </c>
      <c r="G126" s="42"/>
      <c r="H126" s="42"/>
    </row>
    <row r="127" spans="1:8" x14ac:dyDescent="0.2">
      <c r="A127" s="59" t="s">
        <v>60</v>
      </c>
      <c r="B127" s="43"/>
      <c r="C127" s="56"/>
      <c r="D127" s="41">
        <f>[4]Charters!E1180</f>
        <v>0</v>
      </c>
      <c r="E127" s="42"/>
      <c r="F127" s="42"/>
      <c r="G127" s="42"/>
      <c r="H127" s="42"/>
    </row>
    <row r="128" spans="1:8" x14ac:dyDescent="0.2">
      <c r="A128" s="59" t="s">
        <v>61</v>
      </c>
      <c r="B128" s="43"/>
      <c r="C128" s="56"/>
      <c r="D128" s="41">
        <f>[4]Charters!F1180</f>
        <v>0</v>
      </c>
      <c r="E128" s="42"/>
      <c r="F128" s="42"/>
      <c r="G128" s="42"/>
      <c r="H128" s="42"/>
    </row>
    <row r="129" spans="1:8" ht="13.5" thickBot="1" x14ac:dyDescent="0.25">
      <c r="A129" s="64"/>
      <c r="B129" s="65"/>
      <c r="C129" s="66"/>
      <c r="D129" s="67">
        <f>SUM(D104:D128)</f>
        <v>6098094.1600000001</v>
      </c>
      <c r="E129" s="42"/>
      <c r="F129" s="42"/>
      <c r="G129" s="42"/>
      <c r="H129" s="42"/>
    </row>
    <row r="130" spans="1:8" ht="13.5" thickTop="1" x14ac:dyDescent="0.2">
      <c r="A130" s="68"/>
      <c r="B130" s="43"/>
      <c r="C130" s="56"/>
      <c r="D130" s="86"/>
      <c r="E130" s="42"/>
      <c r="F130" s="42"/>
      <c r="G130" s="42"/>
      <c r="H130" s="42"/>
    </row>
    <row r="131" spans="1:8" x14ac:dyDescent="0.2">
      <c r="A131" s="38" t="s">
        <v>20</v>
      </c>
      <c r="B131" s="39"/>
      <c r="C131" s="70"/>
      <c r="D131" s="71" t="s">
        <v>21</v>
      </c>
      <c r="E131" s="42"/>
      <c r="F131" s="42"/>
      <c r="G131" s="42"/>
      <c r="H131" s="42"/>
    </row>
    <row r="132" spans="1:8" x14ac:dyDescent="0.2">
      <c r="A132" s="72" t="s">
        <v>22</v>
      </c>
      <c r="B132" s="73"/>
      <c r="C132" s="74"/>
      <c r="D132" s="41">
        <f>[5]Charters!C86</f>
        <v>2132.7199999999998</v>
      </c>
      <c r="E132" s="42"/>
      <c r="F132" s="42"/>
      <c r="G132" s="42"/>
      <c r="H132" s="42"/>
    </row>
    <row r="133" spans="1:8" x14ac:dyDescent="0.2">
      <c r="A133" s="75"/>
      <c r="B133" s="61"/>
      <c r="C133" s="76"/>
      <c r="D133" s="77">
        <f>SUM(D132:D132)</f>
        <v>2132.7199999999998</v>
      </c>
      <c r="E133" s="42"/>
      <c r="F133" s="42"/>
      <c r="G133" s="42"/>
      <c r="H133" s="42"/>
    </row>
    <row r="134" spans="1:8" x14ac:dyDescent="0.2">
      <c r="A134" s="78" t="s">
        <v>58</v>
      </c>
      <c r="B134" s="79"/>
      <c r="C134" s="80"/>
      <c r="D134" s="77">
        <f>D133+D129</f>
        <v>6100226.8799999999</v>
      </c>
      <c r="E134" s="42"/>
      <c r="F134" s="42"/>
      <c r="G134" s="42"/>
      <c r="H134" s="42"/>
    </row>
    <row r="135" spans="1:8" x14ac:dyDescent="0.2">
      <c r="A135" s="84"/>
      <c r="B135" s="84"/>
      <c r="C135" s="85"/>
      <c r="D135" s="81"/>
      <c r="E135" s="42"/>
      <c r="F135" s="42"/>
      <c r="G135" s="42"/>
      <c r="H135" s="42"/>
    </row>
    <row r="136" spans="1:8" x14ac:dyDescent="0.2">
      <c r="A136" s="84"/>
      <c r="B136" s="84"/>
      <c r="C136" s="85"/>
      <c r="D136" s="81">
        <f>[5]Charters!E242</f>
        <v>6100226.8799999999</v>
      </c>
      <c r="E136" s="42"/>
      <c r="F136" s="42"/>
      <c r="G136" s="42"/>
      <c r="H136" s="42"/>
    </row>
    <row r="137" spans="1:8" x14ac:dyDescent="0.2">
      <c r="A137" s="84"/>
      <c r="B137" s="84"/>
      <c r="C137" s="85"/>
      <c r="D137" s="81">
        <f>D134</f>
        <v>6100226.8799999999</v>
      </c>
      <c r="E137" s="42"/>
      <c r="F137" s="42"/>
      <c r="G137" s="42"/>
      <c r="H137" s="42"/>
    </row>
    <row r="138" spans="1:8" x14ac:dyDescent="0.2">
      <c r="C138" s="83"/>
      <c r="D138" s="42">
        <f>D136-D137</f>
        <v>0</v>
      </c>
      <c r="E138" s="42"/>
      <c r="F138" s="42"/>
      <c r="G138" s="42"/>
      <c r="H138" s="42"/>
    </row>
  </sheetData>
  <mergeCells count="4">
    <mergeCell ref="A134:C134"/>
    <mergeCell ref="A82:D82"/>
    <mergeCell ref="A81:D81"/>
    <mergeCell ref="A80:D80"/>
  </mergeCells>
  <printOptions horizontalCentered="1" verticalCentered="1"/>
  <pageMargins left="0.5" right="0.5" top="0.5" bottom="0.5" header="0.25" footer="0.25"/>
  <pageSetup orientation="portrait" verticalDpi="1200" r:id="rId1"/>
  <headerFooter alignWithMargins="0">
    <oddHeader>&amp;R&amp;8Current as of: &amp;D</oddHeader>
    <oddFooter>&amp;L&amp;8USOE, School Finance</oddFooter>
  </headerFooter>
  <picture r:id="rId2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sheetPr>
    <pageSetUpPr fitToPage="1"/>
  </sheetPr>
  <dimension ref="A1:H139"/>
  <sheetViews>
    <sheetView topLeftCell="A78" workbookViewId="0">
      <selection activeCell="C12" sqref="C12"/>
    </sheetView>
  </sheetViews>
  <sheetFormatPr defaultColWidth="9.140625" defaultRowHeight="12.75" x14ac:dyDescent="0.2"/>
  <cols>
    <col min="1" max="1" width="31.85546875" style="82" customWidth="1"/>
    <col min="2" max="2" width="16.140625" style="82" customWidth="1"/>
    <col min="3" max="4" width="14.85546875" style="82" customWidth="1"/>
    <col min="5" max="5" width="7" style="82" customWidth="1"/>
    <col min="6" max="6" width="19.7109375" style="82" customWidth="1"/>
    <col min="7" max="7" width="5.7109375" style="82" customWidth="1"/>
    <col min="8" max="8" width="18" style="82" customWidth="1"/>
    <col min="9" max="16384" width="9.140625" style="82"/>
  </cols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"/>
      <c r="B3" s="1"/>
      <c r="C3" s="1"/>
      <c r="D3" s="1"/>
      <c r="E3" s="1"/>
      <c r="F3" s="1"/>
      <c r="G3" s="1"/>
      <c r="H3" s="1"/>
    </row>
    <row r="4" spans="1:8" x14ac:dyDescent="0.2">
      <c r="A4" s="1"/>
      <c r="B4" s="1"/>
      <c r="C4" s="1"/>
      <c r="D4" s="1"/>
      <c r="E4" s="1"/>
      <c r="F4" s="1"/>
      <c r="G4" s="1"/>
      <c r="H4" s="1"/>
    </row>
    <row r="5" spans="1:8" x14ac:dyDescent="0.2">
      <c r="A5" s="1"/>
      <c r="B5" s="1"/>
      <c r="C5" s="1"/>
      <c r="D5" s="1"/>
      <c r="E5" s="1"/>
      <c r="F5" s="1"/>
      <c r="G5" s="1"/>
      <c r="H5" s="1"/>
    </row>
    <row r="6" spans="1:8" x14ac:dyDescent="0.2">
      <c r="A6" s="1"/>
      <c r="B6" s="1"/>
      <c r="C6" s="1"/>
      <c r="D6" s="1"/>
      <c r="E6" s="1"/>
      <c r="F6" s="1"/>
      <c r="G6" s="1"/>
      <c r="H6" s="1"/>
    </row>
    <row r="7" spans="1:8" x14ac:dyDescent="0.2">
      <c r="A7" s="1"/>
      <c r="B7" s="1"/>
      <c r="C7" s="1"/>
      <c r="D7" s="1"/>
      <c r="E7" s="1"/>
      <c r="F7" s="1"/>
      <c r="G7" s="1"/>
      <c r="H7" s="1"/>
    </row>
    <row r="8" spans="1:8" x14ac:dyDescent="0.2">
      <c r="A8" s="1"/>
      <c r="B8" s="1"/>
      <c r="C8" s="1"/>
      <c r="D8" s="1"/>
      <c r="E8" s="1"/>
      <c r="F8" s="1"/>
      <c r="G8" s="1"/>
      <c r="H8" s="1"/>
    </row>
    <row r="9" spans="1:8" x14ac:dyDescent="0.2">
      <c r="A9" s="1"/>
      <c r="B9" s="1"/>
      <c r="C9" s="1"/>
      <c r="D9" s="1"/>
      <c r="E9" s="1"/>
      <c r="F9" s="1"/>
      <c r="G9" s="1"/>
      <c r="H9" s="1"/>
    </row>
    <row r="10" spans="1:8" x14ac:dyDescent="0.2">
      <c r="A10" s="1"/>
      <c r="B10" s="1"/>
      <c r="C10" s="1"/>
      <c r="D10" s="1"/>
      <c r="E10" s="1"/>
      <c r="F10" s="1"/>
      <c r="G10" s="1"/>
      <c r="H10" s="1"/>
    </row>
    <row r="11" spans="1:8" x14ac:dyDescent="0.2">
      <c r="A11" s="1"/>
      <c r="B11" s="1"/>
      <c r="C11" s="1"/>
      <c r="D11" s="1"/>
      <c r="E11" s="1"/>
      <c r="F11" s="1"/>
      <c r="G11" s="1"/>
      <c r="H11" s="1"/>
    </row>
    <row r="12" spans="1:8" x14ac:dyDescent="0.2">
      <c r="A12" s="1"/>
      <c r="B12" s="1"/>
      <c r="C12" s="1"/>
      <c r="D12" s="1"/>
      <c r="E12" s="1"/>
      <c r="F12" s="1"/>
      <c r="G12" s="1"/>
      <c r="H12" s="1"/>
    </row>
    <row r="13" spans="1:8" x14ac:dyDescent="0.2">
      <c r="A13" s="1"/>
      <c r="B13" s="1"/>
      <c r="C13" s="1"/>
      <c r="D13" s="1"/>
      <c r="E13" s="1"/>
      <c r="F13" s="1"/>
      <c r="G13" s="1"/>
      <c r="H13" s="1"/>
    </row>
    <row r="14" spans="1:8" x14ac:dyDescent="0.2">
      <c r="A14" s="1"/>
      <c r="B14" s="1"/>
      <c r="C14" s="1"/>
      <c r="D14" s="1"/>
      <c r="E14" s="1"/>
      <c r="F14" s="1"/>
      <c r="G14" s="1"/>
      <c r="H14" s="1"/>
    </row>
    <row r="15" spans="1:8" x14ac:dyDescent="0.2">
      <c r="A15" s="1"/>
      <c r="B15" s="1"/>
      <c r="C15" s="1"/>
      <c r="D15" s="1"/>
      <c r="E15" s="1"/>
      <c r="F15" s="1"/>
      <c r="G15" s="1"/>
      <c r="H15" s="1"/>
    </row>
    <row r="16" spans="1:8" x14ac:dyDescent="0.2">
      <c r="A16" s="1"/>
      <c r="B16" s="1"/>
      <c r="C16" s="1"/>
      <c r="D16" s="1"/>
      <c r="E16" s="1"/>
      <c r="F16" s="1"/>
      <c r="G16" s="1"/>
      <c r="H16" s="1"/>
    </row>
    <row r="17" spans="1:8" x14ac:dyDescent="0.2">
      <c r="A17" s="1"/>
      <c r="B17" s="1"/>
      <c r="C17" s="1"/>
      <c r="D17" s="1"/>
      <c r="E17" s="1"/>
      <c r="F17" s="1"/>
      <c r="G17" s="1"/>
      <c r="H17" s="1"/>
    </row>
    <row r="18" spans="1:8" x14ac:dyDescent="0.2">
      <c r="A18" s="1"/>
      <c r="B18" s="1"/>
      <c r="C18" s="1"/>
      <c r="D18" s="1"/>
      <c r="E18" s="1"/>
      <c r="F18" s="1"/>
      <c r="G18" s="1"/>
      <c r="H18" s="1"/>
    </row>
    <row r="19" spans="1:8" x14ac:dyDescent="0.2">
      <c r="A19" s="1"/>
      <c r="B19" s="1"/>
      <c r="C19" s="1"/>
      <c r="D19" s="1"/>
      <c r="E19" s="1"/>
      <c r="F19" s="1"/>
      <c r="G19" s="1"/>
      <c r="H19" s="1"/>
    </row>
    <row r="20" spans="1:8" x14ac:dyDescent="0.2">
      <c r="A20" s="1"/>
      <c r="B20" s="1"/>
      <c r="C20" s="1"/>
      <c r="D20" s="1"/>
      <c r="E20" s="1"/>
      <c r="F20" s="1"/>
      <c r="G20" s="1"/>
      <c r="H20" s="1"/>
    </row>
    <row r="21" spans="1:8" x14ac:dyDescent="0.2">
      <c r="A21" s="1"/>
      <c r="B21" s="1"/>
      <c r="C21" s="1"/>
      <c r="D21" s="1"/>
      <c r="E21" s="1"/>
      <c r="F21" s="1"/>
      <c r="G21" s="1"/>
      <c r="H21" s="1"/>
    </row>
    <row r="22" spans="1:8" x14ac:dyDescent="0.2">
      <c r="A22" s="1"/>
      <c r="B22" s="1"/>
      <c r="C22" s="1"/>
      <c r="D22" s="4"/>
      <c r="E22" s="1"/>
      <c r="F22" s="1"/>
      <c r="G22" s="1"/>
      <c r="H22" s="1"/>
    </row>
    <row r="23" spans="1:8" x14ac:dyDescent="0.2">
      <c r="A23" s="1"/>
      <c r="B23" s="1"/>
      <c r="C23" s="1"/>
      <c r="D23" s="1"/>
      <c r="E23" s="1"/>
      <c r="F23" s="1"/>
      <c r="G23" s="1"/>
      <c r="H23" s="1"/>
    </row>
    <row r="24" spans="1:8" x14ac:dyDescent="0.2">
      <c r="A24" s="1"/>
      <c r="B24" s="1"/>
      <c r="C24" s="1"/>
      <c r="D24" s="1"/>
      <c r="E24" s="1"/>
      <c r="F24" s="1"/>
      <c r="G24" s="1"/>
      <c r="H24" s="1"/>
    </row>
    <row r="25" spans="1:8" x14ac:dyDescent="0.2">
      <c r="A25" s="1"/>
      <c r="B25" s="1"/>
      <c r="C25" s="1"/>
      <c r="D25" s="1"/>
      <c r="E25" s="1"/>
      <c r="F25" s="1"/>
      <c r="G25" s="1"/>
      <c r="H25" s="1"/>
    </row>
    <row r="26" spans="1:8" x14ac:dyDescent="0.2">
      <c r="A26" s="1"/>
      <c r="B26" s="1"/>
      <c r="C26" s="1"/>
      <c r="D26" s="1"/>
      <c r="E26" s="1"/>
      <c r="F26" s="1"/>
      <c r="G26" s="1"/>
      <c r="H26" s="1"/>
    </row>
    <row r="27" spans="1:8" x14ac:dyDescent="0.2">
      <c r="A27" s="1"/>
      <c r="B27" s="1"/>
      <c r="C27" s="1"/>
      <c r="D27" s="1"/>
      <c r="E27" s="1"/>
      <c r="F27" s="1"/>
      <c r="G27" s="1"/>
      <c r="H27" s="1"/>
    </row>
    <row r="28" spans="1:8" x14ac:dyDescent="0.2">
      <c r="A28" s="1"/>
      <c r="B28" s="1"/>
      <c r="C28" s="1"/>
      <c r="D28" s="1"/>
      <c r="E28" s="1"/>
      <c r="F28" s="1"/>
      <c r="G28" s="1"/>
      <c r="H28" s="1"/>
    </row>
    <row r="29" spans="1:8" x14ac:dyDescent="0.2">
      <c r="A29" s="1"/>
      <c r="B29" s="1"/>
      <c r="C29" s="1"/>
      <c r="D29" s="1"/>
      <c r="E29" s="1"/>
      <c r="F29" s="1"/>
      <c r="G29" s="1"/>
      <c r="H29" s="1"/>
    </row>
    <row r="30" spans="1:8" x14ac:dyDescent="0.2">
      <c r="A30" s="1"/>
      <c r="B30" s="1"/>
      <c r="C30" s="1"/>
      <c r="D30" s="1"/>
      <c r="E30" s="1"/>
      <c r="F30" s="1"/>
      <c r="G30" s="1"/>
      <c r="H30" s="1"/>
    </row>
    <row r="31" spans="1:8" x14ac:dyDescent="0.2">
      <c r="A31" s="1"/>
      <c r="B31" s="1"/>
      <c r="C31" s="1"/>
      <c r="D31" s="1"/>
      <c r="E31" s="1"/>
      <c r="F31" s="1"/>
      <c r="G31" s="1"/>
      <c r="H31" s="1"/>
    </row>
    <row r="32" spans="1:8" x14ac:dyDescent="0.2">
      <c r="A32" s="1"/>
      <c r="B32" s="1"/>
      <c r="C32" s="1"/>
      <c r="D32" s="1"/>
      <c r="E32" s="1"/>
      <c r="F32" s="1"/>
      <c r="G32" s="1"/>
      <c r="H32" s="1"/>
    </row>
    <row r="33" spans="1:8" x14ac:dyDescent="0.2">
      <c r="A33" s="1"/>
      <c r="B33" s="1"/>
      <c r="C33" s="1"/>
      <c r="D33" s="1"/>
      <c r="E33" s="1"/>
      <c r="F33" s="1"/>
      <c r="G33" s="1"/>
      <c r="H33" s="1"/>
    </row>
    <row r="34" spans="1:8" x14ac:dyDescent="0.2">
      <c r="A34" s="1"/>
      <c r="B34" s="1"/>
      <c r="C34" s="1"/>
      <c r="D34" s="1"/>
      <c r="E34" s="1"/>
      <c r="F34" s="1"/>
      <c r="G34" s="1"/>
      <c r="H34" s="1"/>
    </row>
    <row r="35" spans="1:8" x14ac:dyDescent="0.2">
      <c r="A35" s="1"/>
      <c r="B35" s="1"/>
      <c r="C35" s="1"/>
      <c r="D35" s="1"/>
      <c r="E35" s="1"/>
      <c r="F35" s="1"/>
      <c r="G35" s="1"/>
      <c r="H35" s="1"/>
    </row>
    <row r="36" spans="1:8" x14ac:dyDescent="0.2">
      <c r="A36" s="1"/>
      <c r="B36" s="1"/>
      <c r="C36" s="1"/>
      <c r="D36" s="1"/>
      <c r="E36" s="1"/>
      <c r="F36" s="1"/>
      <c r="G36" s="1"/>
      <c r="H36" s="1"/>
    </row>
    <row r="37" spans="1:8" x14ac:dyDescent="0.2">
      <c r="A37" s="1"/>
      <c r="B37" s="1"/>
      <c r="C37" s="1"/>
      <c r="D37" s="1"/>
      <c r="E37" s="1"/>
      <c r="F37" s="1"/>
      <c r="G37" s="1"/>
      <c r="H37" s="1"/>
    </row>
    <row r="38" spans="1:8" x14ac:dyDescent="0.2">
      <c r="A38" s="1"/>
      <c r="B38" s="1"/>
      <c r="C38" s="1"/>
      <c r="D38" s="1"/>
      <c r="E38" s="1"/>
      <c r="F38" s="1"/>
      <c r="G38" s="1"/>
      <c r="H38" s="1"/>
    </row>
    <row r="39" spans="1:8" x14ac:dyDescent="0.2">
      <c r="A39" s="1"/>
      <c r="B39" s="1"/>
      <c r="C39" s="1"/>
      <c r="D39" s="1"/>
      <c r="E39" s="1"/>
      <c r="F39" s="1"/>
      <c r="G39" s="1"/>
      <c r="H39" s="1"/>
    </row>
    <row r="40" spans="1:8" x14ac:dyDescent="0.2">
      <c r="A40" s="1"/>
      <c r="B40" s="1"/>
      <c r="C40" s="1"/>
      <c r="D40" s="1"/>
      <c r="E40" s="1"/>
      <c r="F40" s="1"/>
      <c r="G40" s="1"/>
      <c r="H40" s="1"/>
    </row>
    <row r="41" spans="1:8" x14ac:dyDescent="0.2">
      <c r="A41" s="1"/>
      <c r="B41" s="1"/>
      <c r="C41" s="1"/>
      <c r="D41" s="1"/>
      <c r="E41" s="1"/>
      <c r="F41" s="1"/>
      <c r="G41" s="1"/>
      <c r="H41" s="1"/>
    </row>
    <row r="42" spans="1:8" x14ac:dyDescent="0.2">
      <c r="A42" s="1"/>
      <c r="B42" s="1"/>
      <c r="C42" s="1"/>
      <c r="D42" s="1"/>
      <c r="E42" s="1"/>
      <c r="F42" s="1"/>
      <c r="G42" s="1"/>
      <c r="H42" s="1"/>
    </row>
    <row r="43" spans="1:8" x14ac:dyDescent="0.2">
      <c r="A43" s="1"/>
      <c r="B43" s="1"/>
      <c r="C43" s="1"/>
      <c r="D43" s="1"/>
      <c r="E43" s="1"/>
      <c r="F43" s="1"/>
      <c r="G43" s="1"/>
      <c r="H43" s="1"/>
    </row>
    <row r="44" spans="1:8" x14ac:dyDescent="0.2">
      <c r="A44" s="1"/>
      <c r="B44" s="1"/>
      <c r="C44" s="1"/>
      <c r="D44" s="1"/>
      <c r="E44" s="1"/>
      <c r="F44" s="1"/>
      <c r="G44" s="1"/>
      <c r="H44" s="1"/>
    </row>
    <row r="45" spans="1:8" x14ac:dyDescent="0.2">
      <c r="A45" s="1"/>
      <c r="B45" s="1"/>
      <c r="C45" s="1"/>
      <c r="D45" s="1"/>
      <c r="E45" s="1"/>
      <c r="F45" s="1"/>
      <c r="G45" s="1"/>
      <c r="H45" s="1"/>
    </row>
    <row r="46" spans="1:8" x14ac:dyDescent="0.2">
      <c r="A46" s="1"/>
      <c r="B46" s="1"/>
      <c r="C46" s="1"/>
      <c r="D46" s="1"/>
      <c r="E46" s="1"/>
      <c r="F46" s="1"/>
      <c r="G46" s="1"/>
      <c r="H46" s="1"/>
    </row>
    <row r="47" spans="1:8" x14ac:dyDescent="0.2">
      <c r="A47" s="1"/>
      <c r="B47" s="1"/>
      <c r="C47" s="1"/>
      <c r="D47" s="1"/>
      <c r="E47" s="1"/>
      <c r="F47" s="1"/>
      <c r="G47" s="1"/>
      <c r="H47" s="1"/>
    </row>
    <row r="48" spans="1:8" x14ac:dyDescent="0.2">
      <c r="A48" s="1"/>
      <c r="B48" s="1"/>
      <c r="C48" s="1"/>
      <c r="D48" s="1"/>
      <c r="E48" s="1"/>
      <c r="F48" s="1"/>
      <c r="G48" s="1"/>
      <c r="H48" s="1"/>
    </row>
    <row r="49" spans="1:8" x14ac:dyDescent="0.2">
      <c r="A49" s="1"/>
      <c r="B49" s="1"/>
      <c r="C49" s="1"/>
      <c r="D49" s="1"/>
      <c r="E49" s="1"/>
      <c r="F49" s="1"/>
      <c r="G49" s="1"/>
      <c r="H49" s="1"/>
    </row>
    <row r="50" spans="1:8" x14ac:dyDescent="0.2">
      <c r="A50" s="1"/>
      <c r="B50" s="1"/>
      <c r="C50" s="1"/>
      <c r="D50" s="1"/>
      <c r="E50" s="1"/>
      <c r="F50" s="1"/>
      <c r="G50" s="1"/>
      <c r="H50" s="1"/>
    </row>
    <row r="51" spans="1:8" x14ac:dyDescent="0.2">
      <c r="A51" s="1"/>
      <c r="B51" s="1"/>
      <c r="C51" s="1"/>
      <c r="D51" s="1"/>
      <c r="E51" s="1"/>
      <c r="F51" s="1"/>
      <c r="G51" s="1"/>
      <c r="H51" s="1"/>
    </row>
    <row r="52" spans="1:8" x14ac:dyDescent="0.2">
      <c r="A52" s="1"/>
      <c r="B52" s="1"/>
      <c r="C52" s="1"/>
      <c r="D52" s="1"/>
      <c r="E52" s="1"/>
      <c r="F52" s="1"/>
      <c r="G52" s="1"/>
      <c r="H52" s="1"/>
    </row>
    <row r="53" spans="1:8" x14ac:dyDescent="0.2">
      <c r="A53" s="1"/>
      <c r="B53" s="1"/>
      <c r="C53" s="1"/>
      <c r="D53" s="1"/>
      <c r="E53" s="1"/>
      <c r="F53" s="1"/>
      <c r="G53" s="1"/>
      <c r="H53" s="1"/>
    </row>
    <row r="54" spans="1:8" x14ac:dyDescent="0.2">
      <c r="A54" s="1"/>
      <c r="B54" s="1"/>
      <c r="C54" s="1"/>
      <c r="D54" s="1"/>
      <c r="E54" s="1"/>
      <c r="F54" s="1"/>
      <c r="G54" s="1"/>
      <c r="H54" s="1"/>
    </row>
    <row r="55" spans="1:8" x14ac:dyDescent="0.2">
      <c r="A55" s="1"/>
      <c r="B55" s="1"/>
      <c r="C55" s="1"/>
      <c r="D55" s="1"/>
      <c r="E55" s="1"/>
      <c r="F55" s="1"/>
      <c r="G55" s="1"/>
      <c r="H55" s="1"/>
    </row>
    <row r="56" spans="1:8" x14ac:dyDescent="0.2">
      <c r="A56" s="1"/>
      <c r="B56" s="1"/>
      <c r="C56" s="1"/>
      <c r="D56" s="1"/>
      <c r="E56" s="1"/>
      <c r="F56" s="1"/>
      <c r="G56" s="1"/>
      <c r="H56" s="1"/>
    </row>
    <row r="57" spans="1:8" x14ac:dyDescent="0.2">
      <c r="A57" s="1"/>
      <c r="B57" s="1"/>
      <c r="C57" s="1"/>
      <c r="D57" s="1"/>
      <c r="E57" s="1"/>
      <c r="F57" s="1"/>
      <c r="G57" s="1"/>
      <c r="H57" s="1"/>
    </row>
    <row r="58" spans="1:8" x14ac:dyDescent="0.2">
      <c r="A58" s="1"/>
      <c r="B58" s="1"/>
      <c r="C58" s="1"/>
      <c r="D58" s="1"/>
      <c r="E58" s="1"/>
      <c r="F58" s="1"/>
      <c r="G58" s="1"/>
      <c r="H58" s="1"/>
    </row>
    <row r="59" spans="1:8" x14ac:dyDescent="0.2">
      <c r="A59" s="1"/>
      <c r="B59" s="1"/>
      <c r="C59" s="1"/>
      <c r="D59" s="1"/>
      <c r="E59" s="1"/>
      <c r="F59" s="1"/>
      <c r="G59" s="1"/>
      <c r="H59" s="1"/>
    </row>
    <row r="60" spans="1:8" x14ac:dyDescent="0.2">
      <c r="A60" s="1"/>
      <c r="B60" s="1"/>
      <c r="C60" s="1"/>
      <c r="D60" s="1"/>
      <c r="E60" s="1"/>
      <c r="F60" s="1"/>
      <c r="G60" s="1"/>
      <c r="H60" s="1"/>
    </row>
    <row r="61" spans="1:8" x14ac:dyDescent="0.2">
      <c r="A61" s="1"/>
      <c r="B61" s="1"/>
      <c r="C61" s="1"/>
      <c r="D61" s="1"/>
      <c r="E61" s="1"/>
      <c r="F61" s="1"/>
      <c r="G61" s="1"/>
      <c r="H61" s="1"/>
    </row>
    <row r="62" spans="1:8" x14ac:dyDescent="0.2">
      <c r="A62" s="1"/>
      <c r="B62" s="1"/>
      <c r="C62" s="1"/>
      <c r="D62" s="1"/>
      <c r="E62" s="1"/>
      <c r="F62" s="1"/>
      <c r="G62" s="1"/>
      <c r="H62" s="1"/>
    </row>
    <row r="63" spans="1:8" x14ac:dyDescent="0.2">
      <c r="A63" s="1"/>
      <c r="B63" s="1"/>
      <c r="C63" s="1"/>
      <c r="D63" s="1"/>
      <c r="E63" s="1"/>
      <c r="F63" s="1"/>
      <c r="G63" s="1"/>
      <c r="H63" s="1"/>
    </row>
    <row r="64" spans="1:8" x14ac:dyDescent="0.2">
      <c r="A64" s="1"/>
      <c r="B64" s="1"/>
      <c r="C64" s="1"/>
      <c r="D64" s="1"/>
      <c r="E64" s="1"/>
      <c r="F64" s="1"/>
      <c r="G64" s="1"/>
      <c r="H64" s="1"/>
    </row>
    <row r="65" spans="1:8" x14ac:dyDescent="0.2">
      <c r="A65" s="1"/>
      <c r="B65" s="1"/>
      <c r="C65" s="1"/>
      <c r="D65" s="1"/>
      <c r="E65" s="1"/>
      <c r="F65" s="1"/>
      <c r="G65" s="1"/>
      <c r="H65" s="1"/>
    </row>
    <row r="66" spans="1:8" x14ac:dyDescent="0.2">
      <c r="A66" s="1"/>
      <c r="B66" s="1"/>
      <c r="C66" s="1"/>
      <c r="D66" s="1"/>
      <c r="E66" s="1"/>
      <c r="F66" s="1"/>
      <c r="G66" s="1"/>
      <c r="H66" s="1"/>
    </row>
    <row r="67" spans="1:8" x14ac:dyDescent="0.2">
      <c r="A67" s="1"/>
      <c r="B67" s="1"/>
      <c r="C67" s="1"/>
      <c r="D67" s="1"/>
      <c r="E67" s="1"/>
      <c r="F67" s="1"/>
      <c r="G67" s="1"/>
      <c r="H67" s="1"/>
    </row>
    <row r="68" spans="1:8" x14ac:dyDescent="0.2">
      <c r="A68" s="1"/>
      <c r="B68" s="1"/>
      <c r="C68" s="1"/>
      <c r="D68" s="1"/>
      <c r="E68" s="1"/>
      <c r="F68" s="1"/>
      <c r="G68" s="1"/>
      <c r="H68" s="1"/>
    </row>
    <row r="69" spans="1:8" x14ac:dyDescent="0.2">
      <c r="A69" s="1"/>
      <c r="B69" s="1"/>
      <c r="C69" s="1"/>
      <c r="D69" s="1"/>
      <c r="E69" s="1"/>
      <c r="F69" s="1"/>
      <c r="G69" s="1"/>
      <c r="H69" s="1"/>
    </row>
    <row r="70" spans="1:8" x14ac:dyDescent="0.2">
      <c r="A70" s="1"/>
      <c r="B70" s="1"/>
      <c r="C70" s="1"/>
      <c r="D70" s="1"/>
      <c r="E70" s="1"/>
      <c r="F70" s="1"/>
      <c r="G70" s="1"/>
      <c r="H70" s="1"/>
    </row>
    <row r="71" spans="1:8" x14ac:dyDescent="0.2">
      <c r="A71" s="1"/>
      <c r="B71" s="1"/>
      <c r="C71" s="1"/>
      <c r="D71" s="1"/>
      <c r="E71" s="1"/>
      <c r="F71" s="1"/>
      <c r="G71" s="1"/>
      <c r="H71" s="1"/>
    </row>
    <row r="72" spans="1:8" x14ac:dyDescent="0.2">
      <c r="A72" s="1"/>
      <c r="B72" s="1"/>
      <c r="C72" s="1"/>
      <c r="D72" s="1"/>
      <c r="E72" s="1"/>
      <c r="F72" s="1"/>
      <c r="G72" s="1"/>
      <c r="H72" s="1"/>
    </row>
    <row r="73" spans="1:8" x14ac:dyDescent="0.2">
      <c r="A73" s="1"/>
      <c r="B73" s="1"/>
      <c r="C73" s="1"/>
      <c r="D73" s="1"/>
      <c r="E73" s="1"/>
      <c r="F73" s="1"/>
      <c r="G73" s="1"/>
      <c r="H73" s="1"/>
    </row>
    <row r="74" spans="1:8" x14ac:dyDescent="0.2">
      <c r="A74" s="1"/>
      <c r="B74" s="1"/>
      <c r="C74" s="1"/>
      <c r="D74" s="1"/>
      <c r="E74" s="1"/>
      <c r="F74" s="1"/>
      <c r="G74" s="1"/>
      <c r="H74" s="1"/>
    </row>
    <row r="75" spans="1:8" x14ac:dyDescent="0.2">
      <c r="A75" s="1"/>
      <c r="B75" s="1"/>
      <c r="C75" s="1"/>
      <c r="D75" s="1"/>
      <c r="E75" s="1"/>
      <c r="F75" s="1"/>
      <c r="G75" s="1"/>
      <c r="H75" s="1"/>
    </row>
    <row r="76" spans="1:8" x14ac:dyDescent="0.2">
      <c r="A76" s="1"/>
      <c r="B76" s="1"/>
      <c r="C76" s="1"/>
      <c r="D76" s="1"/>
      <c r="E76" s="1"/>
      <c r="F76" s="1"/>
      <c r="G76" s="1"/>
      <c r="H76" s="1"/>
    </row>
    <row r="77" spans="1:8" x14ac:dyDescent="0.2">
      <c r="A77" s="1"/>
      <c r="B77" s="1"/>
      <c r="C77" s="1"/>
      <c r="D77" s="1"/>
      <c r="E77" s="1"/>
      <c r="F77" s="1"/>
      <c r="G77" s="1"/>
      <c r="H77" s="1"/>
    </row>
    <row r="78" spans="1:8" x14ac:dyDescent="0.2">
      <c r="A78" s="1"/>
      <c r="B78" s="1"/>
      <c r="C78" s="1"/>
      <c r="D78" s="1"/>
      <c r="E78" s="1"/>
      <c r="F78" s="1"/>
      <c r="G78" s="1"/>
      <c r="H78" s="1"/>
    </row>
    <row r="79" spans="1:8" x14ac:dyDescent="0.2">
      <c r="A79" s="1"/>
      <c r="B79" s="1"/>
      <c r="C79" s="1"/>
      <c r="D79" s="1"/>
      <c r="E79" s="1"/>
      <c r="F79" s="1"/>
      <c r="G79" s="1"/>
      <c r="H79" s="1"/>
    </row>
    <row r="80" spans="1:8" x14ac:dyDescent="0.2">
      <c r="A80" s="1"/>
      <c r="B80" s="1"/>
      <c r="C80" s="1"/>
      <c r="D80" s="1"/>
      <c r="E80" s="1"/>
      <c r="F80" s="1"/>
      <c r="G80" s="1"/>
      <c r="H80" s="1"/>
    </row>
    <row r="81" spans="1:8" x14ac:dyDescent="0.2">
      <c r="A81" s="11" t="s">
        <v>1</v>
      </c>
      <c r="B81" s="12"/>
      <c r="C81" s="12"/>
      <c r="D81" s="13"/>
      <c r="E81" s="8"/>
      <c r="F81" s="8"/>
      <c r="G81" s="8"/>
      <c r="H81" s="8"/>
    </row>
    <row r="82" spans="1:8" x14ac:dyDescent="0.2">
      <c r="A82" s="14" t="s">
        <v>15</v>
      </c>
      <c r="B82" s="15"/>
      <c r="C82" s="15"/>
      <c r="D82" s="16"/>
      <c r="E82" s="8"/>
      <c r="F82" s="8"/>
      <c r="G82" s="8"/>
      <c r="H82" s="8"/>
    </row>
    <row r="83" spans="1:8" x14ac:dyDescent="0.2">
      <c r="A83" s="17" t="s">
        <v>62</v>
      </c>
      <c r="B83" s="18"/>
      <c r="C83" s="18"/>
      <c r="D83" s="19"/>
      <c r="E83" s="8"/>
      <c r="F83" s="8"/>
      <c r="G83" s="8"/>
      <c r="H83" s="8"/>
    </row>
    <row r="84" spans="1:8" x14ac:dyDescent="0.2">
      <c r="A84" s="20"/>
      <c r="B84" s="21"/>
      <c r="C84" s="22"/>
      <c r="D84" s="23"/>
      <c r="E84" s="8"/>
      <c r="F84" s="8" t="s">
        <v>34</v>
      </c>
      <c r="G84" s="8"/>
      <c r="H84" s="8"/>
    </row>
    <row r="85" spans="1:8" ht="15.75" x14ac:dyDescent="0.25">
      <c r="A85" s="24" t="s">
        <v>2</v>
      </c>
      <c r="B85" s="25" t="str">
        <f>[1]Charters!B88</f>
        <v>Endeavor Hall</v>
      </c>
      <c r="C85" s="26"/>
      <c r="D85" s="27"/>
      <c r="E85" s="8"/>
      <c r="F85" s="8"/>
      <c r="G85" s="8"/>
      <c r="H85" s="8"/>
    </row>
    <row r="86" spans="1:8" x14ac:dyDescent="0.2">
      <c r="A86" s="24"/>
      <c r="B86" s="28"/>
      <c r="C86" s="26"/>
      <c r="D86" s="27"/>
      <c r="E86" s="8"/>
      <c r="F86" s="8"/>
      <c r="G86" s="8"/>
      <c r="H86" s="8"/>
    </row>
    <row r="87" spans="1:8" x14ac:dyDescent="0.2">
      <c r="A87" s="29" t="s">
        <v>0</v>
      </c>
      <c r="B87" s="30">
        <f>[1]Charters!$E$6</f>
        <v>3184</v>
      </c>
      <c r="C87" s="26"/>
      <c r="D87" s="31"/>
      <c r="E87" s="8"/>
      <c r="F87" s="8"/>
      <c r="G87" s="8"/>
      <c r="H87" s="8"/>
    </row>
    <row r="88" spans="1:8" x14ac:dyDescent="0.2">
      <c r="A88" s="32"/>
      <c r="B88" s="6"/>
      <c r="C88" s="33"/>
      <c r="D88" s="34" t="s">
        <v>3</v>
      </c>
      <c r="E88" s="8"/>
      <c r="F88" s="8"/>
      <c r="G88" s="8"/>
      <c r="H88" s="8"/>
    </row>
    <row r="89" spans="1:8" x14ac:dyDescent="0.2">
      <c r="A89" s="29" t="s">
        <v>19</v>
      </c>
      <c r="B89" s="35" t="str">
        <f>[1]Charters!A88</f>
        <v>3H</v>
      </c>
      <c r="C89" s="36" t="s">
        <v>4</v>
      </c>
      <c r="D89" s="37" t="s">
        <v>5</v>
      </c>
      <c r="E89" s="8"/>
      <c r="F89" s="8"/>
      <c r="G89" s="8"/>
      <c r="H89" s="8"/>
    </row>
    <row r="90" spans="1:8" x14ac:dyDescent="0.2">
      <c r="A90" s="38" t="s">
        <v>6</v>
      </c>
      <c r="B90" s="39"/>
      <c r="C90" s="40"/>
      <c r="D90" s="41"/>
      <c r="E90" s="8"/>
      <c r="F90" s="8"/>
      <c r="G90" s="8"/>
      <c r="H90" s="8"/>
    </row>
    <row r="91" spans="1:8" x14ac:dyDescent="0.2">
      <c r="A91" s="38" t="s">
        <v>7</v>
      </c>
      <c r="B91" s="39"/>
      <c r="C91" s="40"/>
      <c r="D91" s="41"/>
      <c r="E91" s="8"/>
      <c r="F91" s="42" t="s">
        <v>23</v>
      </c>
      <c r="G91" s="8"/>
      <c r="H91" s="42" t="s">
        <v>26</v>
      </c>
    </row>
    <row r="92" spans="1:8" x14ac:dyDescent="0.2">
      <c r="A92" s="20" t="s">
        <v>8</v>
      </c>
      <c r="B92" s="43"/>
      <c r="C92" s="44">
        <f>[1]Charters!C548</f>
        <v>521.86099999999999</v>
      </c>
      <c r="D92" s="45">
        <f>[1]Charters!E548</f>
        <v>1661606.84</v>
      </c>
      <c r="E92" s="8"/>
      <c r="F92" s="42">
        <f>[1]Charters!E703</f>
        <v>1764505.17</v>
      </c>
      <c r="G92" s="8"/>
      <c r="H92" s="42">
        <f>[2]Charters!E242</f>
        <v>2241939.59</v>
      </c>
    </row>
    <row r="93" spans="1:8" x14ac:dyDescent="0.2">
      <c r="A93" s="20" t="s">
        <v>14</v>
      </c>
      <c r="B93" s="43"/>
      <c r="C93" s="44">
        <f>[1]Charters!F548</f>
        <v>32.317</v>
      </c>
      <c r="D93" s="45">
        <f>[1]Charters!H548</f>
        <v>102898.33</v>
      </c>
      <c r="E93" s="8"/>
      <c r="F93" s="42">
        <f>SUM(D92:D94)</f>
        <v>1764505.17</v>
      </c>
      <c r="G93" s="8"/>
      <c r="H93" s="42">
        <f>D105</f>
        <v>2241939.59</v>
      </c>
    </row>
    <row r="94" spans="1:8" x14ac:dyDescent="0.2">
      <c r="A94" s="20" t="s">
        <v>32</v>
      </c>
      <c r="B94" s="43"/>
      <c r="C94" s="44">
        <f>[1]Charters!C241</f>
        <v>0</v>
      </c>
      <c r="D94" s="45">
        <f>[1]Charters!E241</f>
        <v>0</v>
      </c>
      <c r="E94" s="8"/>
      <c r="F94" s="42">
        <f>+F92-F93</f>
        <v>0</v>
      </c>
      <c r="G94" s="8"/>
      <c r="H94" s="42">
        <f>+H92-H93</f>
        <v>0</v>
      </c>
    </row>
    <row r="95" spans="1:8" x14ac:dyDescent="0.2">
      <c r="A95" s="38" t="s">
        <v>9</v>
      </c>
      <c r="B95" s="39"/>
      <c r="C95" s="46"/>
      <c r="D95" s="47"/>
      <c r="E95" s="8"/>
      <c r="F95" s="8"/>
      <c r="G95" s="8"/>
      <c r="H95" s="8"/>
    </row>
    <row r="96" spans="1:8" x14ac:dyDescent="0.2">
      <c r="A96" s="20" t="s">
        <v>10</v>
      </c>
      <c r="B96" s="43"/>
      <c r="C96" s="40">
        <f>[3]Charters!C87</f>
        <v>93.778999999999996</v>
      </c>
      <c r="D96" s="41">
        <f>[3]Charters!E87</f>
        <v>298591.46000000002</v>
      </c>
      <c r="E96" s="8"/>
      <c r="F96" s="42" t="s">
        <v>24</v>
      </c>
      <c r="G96" s="8"/>
      <c r="H96" s="8"/>
    </row>
    <row r="97" spans="1:8" x14ac:dyDescent="0.2">
      <c r="A97" s="48" t="s">
        <v>11</v>
      </c>
      <c r="B97" s="43"/>
      <c r="C97" s="40">
        <f>[3]Charters!F87</f>
        <v>0.98</v>
      </c>
      <c r="D97" s="49">
        <f>[3]Charters!H87</f>
        <v>3120.32</v>
      </c>
      <c r="E97" s="8"/>
      <c r="F97" s="42">
        <f>[3]Charters!N399</f>
        <v>308770.98</v>
      </c>
      <c r="G97" s="8"/>
      <c r="H97" s="8"/>
    </row>
    <row r="98" spans="1:8" x14ac:dyDescent="0.2">
      <c r="A98" s="48" t="s">
        <v>12</v>
      </c>
      <c r="B98" s="43"/>
      <c r="C98" s="40">
        <f>[3]Charters!C242</f>
        <v>0</v>
      </c>
      <c r="D98" s="41">
        <f>[3]Charters!E242</f>
        <v>0</v>
      </c>
      <c r="E98" s="8"/>
      <c r="F98" s="42">
        <f>SUM(D96:D102)</f>
        <v>308770.98</v>
      </c>
      <c r="G98" s="8"/>
      <c r="H98" s="8"/>
    </row>
    <row r="99" spans="1:8" x14ac:dyDescent="0.2">
      <c r="A99" s="20" t="s">
        <v>13</v>
      </c>
      <c r="B99" s="43"/>
      <c r="C99" s="40">
        <f>[3]Charters!F242</f>
        <v>0.70899999999999996</v>
      </c>
      <c r="D99" s="41">
        <f>[3]Charters!H242</f>
        <v>2259</v>
      </c>
      <c r="E99" s="8"/>
      <c r="F99" s="42">
        <f>+F97-F98</f>
        <v>0</v>
      </c>
      <c r="G99" s="8"/>
      <c r="H99" s="8"/>
    </row>
    <row r="100" spans="1:8" x14ac:dyDescent="0.2">
      <c r="A100" s="48" t="s">
        <v>54</v>
      </c>
      <c r="B100" s="43"/>
      <c r="C100" s="40">
        <f>[3]Charters!C399</f>
        <v>1.508</v>
      </c>
      <c r="D100" s="41">
        <f>[3]Charters!E399</f>
        <v>4800.2</v>
      </c>
      <c r="E100" s="8"/>
      <c r="F100" s="8"/>
      <c r="G100" s="8"/>
      <c r="H100" s="8"/>
    </row>
    <row r="101" spans="1:8" x14ac:dyDescent="0.2">
      <c r="A101" s="48" t="s">
        <v>55</v>
      </c>
      <c r="B101" s="43"/>
      <c r="C101" s="40">
        <f>[3]Charters!F399</f>
        <v>0</v>
      </c>
      <c r="D101" s="41">
        <f>[3]Charters!H399</f>
        <v>0</v>
      </c>
      <c r="E101" s="8"/>
      <c r="F101" s="42" t="s">
        <v>25</v>
      </c>
      <c r="G101" s="8"/>
      <c r="H101" s="8"/>
    </row>
    <row r="102" spans="1:8" x14ac:dyDescent="0.2">
      <c r="A102" s="48" t="s">
        <v>56</v>
      </c>
      <c r="B102" s="43"/>
      <c r="C102" s="40">
        <f>[3]Charters!I399</f>
        <v>0</v>
      </c>
      <c r="D102" s="41">
        <f>[3]Charters!K399</f>
        <v>0</v>
      </c>
      <c r="E102" s="8"/>
      <c r="F102" s="42">
        <f>[2]Charters!H88</f>
        <v>477434.42</v>
      </c>
      <c r="G102" s="8"/>
      <c r="H102" s="8"/>
    </row>
    <row r="103" spans="1:8" x14ac:dyDescent="0.2">
      <c r="A103" s="20" t="s">
        <v>49</v>
      </c>
      <c r="B103" s="43"/>
      <c r="C103" s="40">
        <f>[3]Charters!C555</f>
        <v>0</v>
      </c>
      <c r="D103" s="41">
        <f>[3]Charters!E555</f>
        <v>0</v>
      </c>
      <c r="E103" s="8"/>
      <c r="F103" s="42">
        <f>SUM(D96:D104)</f>
        <v>477434.42</v>
      </c>
      <c r="G103" s="8"/>
      <c r="H103" s="8"/>
    </row>
    <row r="104" spans="1:8" x14ac:dyDescent="0.2">
      <c r="A104" s="20" t="s">
        <v>50</v>
      </c>
      <c r="B104" s="43"/>
      <c r="C104" s="40">
        <f>[2]Charters!C88</f>
        <v>52.972000000000001</v>
      </c>
      <c r="D104" s="41">
        <f>[2]Charters!E88</f>
        <v>168663.44</v>
      </c>
      <c r="E104" s="8"/>
      <c r="F104" s="42">
        <f>+F102-F103</f>
        <v>0</v>
      </c>
      <c r="G104" s="8"/>
      <c r="H104" s="8"/>
    </row>
    <row r="105" spans="1:8" x14ac:dyDescent="0.2">
      <c r="A105" s="50"/>
      <c r="B105" s="51" t="s">
        <v>16</v>
      </c>
      <c r="C105" s="52">
        <f>SUM(C92:C104)</f>
        <v>704.12599999999998</v>
      </c>
      <c r="D105" s="53">
        <f>SUM(D92:D104)</f>
        <v>2241939.59</v>
      </c>
      <c r="E105" s="8"/>
      <c r="F105" s="8"/>
      <c r="G105" s="8"/>
      <c r="H105" s="8"/>
    </row>
    <row r="106" spans="1:8" x14ac:dyDescent="0.2">
      <c r="A106" s="54" t="s">
        <v>17</v>
      </c>
      <c r="B106" s="39"/>
      <c r="C106" s="55"/>
      <c r="D106" s="47"/>
      <c r="E106" s="8"/>
      <c r="F106" s="8"/>
      <c r="G106" s="8"/>
      <c r="H106" s="42" t="s">
        <v>29</v>
      </c>
    </row>
    <row r="107" spans="1:8" x14ac:dyDescent="0.2">
      <c r="A107" s="20" t="s">
        <v>33</v>
      </c>
      <c r="B107" s="43"/>
      <c r="C107" s="56"/>
      <c r="D107" s="57">
        <f>[4]Charters!C88</f>
        <v>6498.19</v>
      </c>
      <c r="E107" s="8"/>
      <c r="F107" s="8"/>
      <c r="G107" s="8"/>
      <c r="H107" s="42">
        <f>[4]Charters!F1028</f>
        <v>3625849.62</v>
      </c>
    </row>
    <row r="108" spans="1:8" x14ac:dyDescent="0.2">
      <c r="A108" s="58" t="s">
        <v>35</v>
      </c>
      <c r="B108" s="43"/>
      <c r="C108" s="56"/>
      <c r="D108" s="41">
        <f>+[4]Charters!F409</f>
        <v>2511.71</v>
      </c>
      <c r="E108" s="8"/>
      <c r="F108" s="8"/>
      <c r="G108" s="8"/>
      <c r="H108" s="42">
        <f>SUM(D105:D124)</f>
        <v>3625849.62</v>
      </c>
    </row>
    <row r="109" spans="1:8" x14ac:dyDescent="0.2">
      <c r="A109" s="59" t="s">
        <v>36</v>
      </c>
      <c r="B109" s="43"/>
      <c r="C109" s="56"/>
      <c r="D109" s="41">
        <f>[4]Charters!E248</f>
        <v>29483</v>
      </c>
      <c r="E109" s="8"/>
      <c r="F109" s="8"/>
      <c r="G109" s="8"/>
      <c r="H109" s="42">
        <f>+H107-H108</f>
        <v>0</v>
      </c>
    </row>
    <row r="110" spans="1:8" x14ac:dyDescent="0.2">
      <c r="A110" s="59" t="s">
        <v>52</v>
      </c>
      <c r="B110" s="43"/>
      <c r="C110" s="56"/>
      <c r="D110" s="41">
        <f>[4]Charters!G409</f>
        <v>0</v>
      </c>
      <c r="E110" s="8"/>
      <c r="F110" s="42" t="s">
        <v>27</v>
      </c>
      <c r="G110" s="8"/>
      <c r="H110" s="42"/>
    </row>
    <row r="111" spans="1:8" x14ac:dyDescent="0.2">
      <c r="A111" s="20" t="s">
        <v>37</v>
      </c>
      <c r="B111" s="43"/>
      <c r="C111" s="56"/>
      <c r="D111" s="41">
        <f>[4]Charters!E565</f>
        <v>44184</v>
      </c>
      <c r="E111" s="8"/>
      <c r="F111" s="42">
        <f>[4]Charters!E248</f>
        <v>29483</v>
      </c>
      <c r="G111" s="8"/>
      <c r="H111" s="8"/>
    </row>
    <row r="112" spans="1:8" x14ac:dyDescent="0.2">
      <c r="A112" s="20" t="s">
        <v>38</v>
      </c>
      <c r="B112" s="43"/>
      <c r="C112" s="56"/>
      <c r="D112" s="41">
        <f>[4]Charters!F565</f>
        <v>0</v>
      </c>
      <c r="E112" s="8"/>
      <c r="F112" s="42">
        <f>SUM(D109:D109)</f>
        <v>29483</v>
      </c>
      <c r="G112" s="8"/>
      <c r="H112" s="8"/>
    </row>
    <row r="113" spans="1:8" x14ac:dyDescent="0.2">
      <c r="A113" s="59" t="s">
        <v>40</v>
      </c>
      <c r="B113" s="43"/>
      <c r="C113" s="56"/>
      <c r="D113" s="41">
        <f>[4]Charters!G565</f>
        <v>0</v>
      </c>
      <c r="E113" s="8"/>
      <c r="F113" s="42">
        <f>+F111-F112</f>
        <v>0</v>
      </c>
      <c r="G113" s="8"/>
      <c r="H113" s="8"/>
    </row>
    <row r="114" spans="1:8" x14ac:dyDescent="0.2">
      <c r="A114" s="20" t="s">
        <v>41</v>
      </c>
      <c r="B114" s="43"/>
      <c r="C114" s="56"/>
      <c r="D114" s="41">
        <f>[4]Charters!C719</f>
        <v>1084542</v>
      </c>
      <c r="E114" s="8"/>
      <c r="F114" s="42" t="s">
        <v>28</v>
      </c>
      <c r="G114" s="8"/>
      <c r="H114" s="8"/>
    </row>
    <row r="115" spans="1:8" x14ac:dyDescent="0.2">
      <c r="A115" s="20" t="s">
        <v>42</v>
      </c>
      <c r="B115" s="43"/>
      <c r="C115" s="56"/>
      <c r="D115" s="41">
        <f>[4]Charters!D719</f>
        <v>139252.39000000001</v>
      </c>
      <c r="E115" s="8"/>
      <c r="F115" s="42">
        <f>[4]Charters!D565</f>
        <v>31994.71</v>
      </c>
      <c r="G115" s="8"/>
      <c r="H115" s="8"/>
    </row>
    <row r="116" spans="1:8" x14ac:dyDescent="0.2">
      <c r="A116" s="20" t="s">
        <v>44</v>
      </c>
      <c r="B116" s="43"/>
      <c r="C116" s="56"/>
      <c r="D116" s="41">
        <f>[4]Charters!E719</f>
        <v>54200</v>
      </c>
      <c r="E116" s="8"/>
      <c r="F116" s="42">
        <f>SUM(D108:D110)</f>
        <v>31994.71</v>
      </c>
      <c r="G116" s="8"/>
      <c r="H116" s="8"/>
    </row>
    <row r="117" spans="1:8" x14ac:dyDescent="0.2">
      <c r="A117" s="59" t="s">
        <v>43</v>
      </c>
      <c r="B117" s="43"/>
      <c r="C117" s="56"/>
      <c r="D117" s="41">
        <f>[4]Charters!F719</f>
        <v>19976.21</v>
      </c>
      <c r="E117" s="8"/>
      <c r="F117" s="42">
        <f>+F115-F116</f>
        <v>0</v>
      </c>
      <c r="G117" s="8"/>
      <c r="H117" s="8"/>
    </row>
    <row r="118" spans="1:8" x14ac:dyDescent="0.2">
      <c r="A118" s="59" t="s">
        <v>45</v>
      </c>
      <c r="B118" s="43"/>
      <c r="C118" s="56"/>
      <c r="D118" s="41">
        <f>[4]Charters!C565</f>
        <v>0</v>
      </c>
      <c r="E118" s="8"/>
      <c r="F118" s="8"/>
      <c r="G118" s="8"/>
      <c r="H118" s="8"/>
    </row>
    <row r="119" spans="1:8" x14ac:dyDescent="0.2">
      <c r="A119" s="59" t="s">
        <v>46</v>
      </c>
      <c r="B119" s="43"/>
      <c r="C119" s="56"/>
      <c r="D119" s="41">
        <f>[4]Charters!C875</f>
        <v>0</v>
      </c>
      <c r="E119" s="42"/>
      <c r="F119" s="42"/>
      <c r="G119" s="42"/>
      <c r="H119" s="42" t="s">
        <v>31</v>
      </c>
    </row>
    <row r="120" spans="1:8" x14ac:dyDescent="0.2">
      <c r="A120" s="59" t="s">
        <v>51</v>
      </c>
      <c r="B120" s="43"/>
      <c r="C120" s="56"/>
      <c r="D120" s="60">
        <f>[4]Charters!D875</f>
        <v>824.55</v>
      </c>
      <c r="E120" s="42"/>
      <c r="F120" s="42"/>
      <c r="G120" s="42"/>
      <c r="H120" s="42">
        <f>[4]Charters!D1334</f>
        <v>3630842.09</v>
      </c>
    </row>
    <row r="121" spans="1:8" x14ac:dyDescent="0.2">
      <c r="A121" s="20" t="s">
        <v>47</v>
      </c>
      <c r="B121" s="43"/>
      <c r="C121" s="56"/>
      <c r="D121" s="60">
        <f>[4]Charters!E875</f>
        <v>0</v>
      </c>
      <c r="E121" s="42"/>
      <c r="F121" s="42"/>
      <c r="G121" s="42"/>
      <c r="H121" s="42">
        <f>D130</f>
        <v>3630842.09</v>
      </c>
    </row>
    <row r="122" spans="1:8" x14ac:dyDescent="0.2">
      <c r="A122" s="20" t="s">
        <v>57</v>
      </c>
      <c r="B122" s="43"/>
      <c r="C122" s="56"/>
      <c r="D122" s="60">
        <f>[4]Charters!C1028</f>
        <v>2437.98</v>
      </c>
      <c r="E122" s="42"/>
      <c r="F122" s="42"/>
      <c r="G122" s="42"/>
      <c r="H122" s="42">
        <f>+H120-H121</f>
        <v>0</v>
      </c>
    </row>
    <row r="123" spans="1:8" x14ac:dyDescent="0.2">
      <c r="A123" s="59" t="s">
        <v>53</v>
      </c>
      <c r="B123" s="43"/>
      <c r="C123" s="56"/>
      <c r="D123" s="60">
        <f>[4]Charters!D1028</f>
        <v>0</v>
      </c>
      <c r="E123" s="42"/>
      <c r="F123" s="42" t="s">
        <v>30</v>
      </c>
      <c r="G123" s="42"/>
      <c r="H123" s="42"/>
    </row>
    <row r="124" spans="1:8" x14ac:dyDescent="0.2">
      <c r="A124" s="59" t="s">
        <v>59</v>
      </c>
      <c r="B124" s="43"/>
      <c r="C124" s="56"/>
      <c r="D124" s="60">
        <f>[4]Charters!E1028</f>
        <v>0</v>
      </c>
      <c r="E124" s="42"/>
      <c r="F124" s="42"/>
      <c r="G124" s="42"/>
      <c r="H124" s="42"/>
    </row>
    <row r="125" spans="1:8" x14ac:dyDescent="0.2">
      <c r="A125" s="38" t="s">
        <v>18</v>
      </c>
      <c r="B125" s="61"/>
      <c r="C125" s="62"/>
      <c r="D125" s="87"/>
      <c r="E125" s="42"/>
      <c r="F125" s="42">
        <f>[4]Charters!C1334</f>
        <v>4992.47</v>
      </c>
      <c r="G125" s="42"/>
      <c r="H125" s="42"/>
    </row>
    <row r="126" spans="1:8" x14ac:dyDescent="0.2">
      <c r="A126" s="59" t="s">
        <v>39</v>
      </c>
      <c r="B126" s="43"/>
      <c r="C126" s="56"/>
      <c r="D126" s="41">
        <f>[4]Charters!C1181</f>
        <v>4992.47</v>
      </c>
      <c r="E126" s="42"/>
      <c r="F126" s="42">
        <f>SUM(D126:D129)</f>
        <v>4992.47</v>
      </c>
      <c r="G126" s="42"/>
      <c r="H126" s="42"/>
    </row>
    <row r="127" spans="1:8" x14ac:dyDescent="0.2">
      <c r="A127" s="59" t="s">
        <v>48</v>
      </c>
      <c r="B127" s="43"/>
      <c r="C127" s="56"/>
      <c r="D127" s="41">
        <f>[4]Charters!D1181</f>
        <v>0</v>
      </c>
      <c r="E127" s="42"/>
      <c r="F127" s="42">
        <f>+F125-F126</f>
        <v>0</v>
      </c>
      <c r="G127" s="42"/>
      <c r="H127" s="42"/>
    </row>
    <row r="128" spans="1:8" x14ac:dyDescent="0.2">
      <c r="A128" s="59" t="s">
        <v>60</v>
      </c>
      <c r="B128" s="43"/>
      <c r="C128" s="56"/>
      <c r="D128" s="41">
        <f>[4]Charters!E1181</f>
        <v>0</v>
      </c>
      <c r="E128" s="42"/>
      <c r="F128" s="42"/>
      <c r="G128" s="42"/>
      <c r="H128" s="42"/>
    </row>
    <row r="129" spans="1:8" x14ac:dyDescent="0.2">
      <c r="A129" s="59" t="s">
        <v>61</v>
      </c>
      <c r="B129" s="43"/>
      <c r="C129" s="56"/>
      <c r="D129" s="41">
        <f>[4]Charters!F1181</f>
        <v>0</v>
      </c>
      <c r="E129" s="42"/>
      <c r="F129" s="42"/>
      <c r="G129" s="42"/>
      <c r="H129" s="42"/>
    </row>
    <row r="130" spans="1:8" ht="13.5" thickBot="1" x14ac:dyDescent="0.25">
      <c r="A130" s="64"/>
      <c r="B130" s="65"/>
      <c r="C130" s="66"/>
      <c r="D130" s="67">
        <f>SUM(D105:D129)</f>
        <v>3630842.09</v>
      </c>
      <c r="E130" s="42"/>
      <c r="F130" s="42"/>
      <c r="G130" s="42"/>
      <c r="H130" s="42"/>
    </row>
    <row r="131" spans="1:8" ht="13.5" thickTop="1" x14ac:dyDescent="0.2">
      <c r="A131" s="68"/>
      <c r="B131" s="43"/>
      <c r="C131" s="56"/>
      <c r="D131" s="86"/>
      <c r="E131" s="42"/>
      <c r="F131" s="42"/>
      <c r="G131" s="42"/>
      <c r="H131" s="42"/>
    </row>
    <row r="132" spans="1:8" x14ac:dyDescent="0.2">
      <c r="A132" s="38" t="s">
        <v>20</v>
      </c>
      <c r="B132" s="39"/>
      <c r="C132" s="70"/>
      <c r="D132" s="71" t="s">
        <v>21</v>
      </c>
      <c r="E132" s="42"/>
      <c r="F132" s="42"/>
      <c r="G132" s="42"/>
      <c r="H132" s="42"/>
    </row>
    <row r="133" spans="1:8" x14ac:dyDescent="0.2">
      <c r="A133" s="72" t="s">
        <v>22</v>
      </c>
      <c r="B133" s="73"/>
      <c r="C133" s="74"/>
      <c r="D133" s="41">
        <f>[5]Charters!C87</f>
        <v>1411.01</v>
      </c>
      <c r="E133" s="42"/>
      <c r="F133" s="42"/>
      <c r="G133" s="42"/>
      <c r="H133" s="42"/>
    </row>
    <row r="134" spans="1:8" x14ac:dyDescent="0.2">
      <c r="A134" s="75"/>
      <c r="B134" s="61"/>
      <c r="C134" s="76"/>
      <c r="D134" s="77">
        <f>SUM(D133:D133)</f>
        <v>1411.01</v>
      </c>
      <c r="E134" s="42"/>
      <c r="F134" s="42"/>
      <c r="G134" s="42"/>
      <c r="H134" s="42"/>
    </row>
    <row r="135" spans="1:8" x14ac:dyDescent="0.2">
      <c r="A135" s="78" t="s">
        <v>58</v>
      </c>
      <c r="B135" s="79"/>
      <c r="C135" s="80"/>
      <c r="D135" s="77">
        <f>D134+D130</f>
        <v>3632253.1</v>
      </c>
      <c r="E135" s="42"/>
      <c r="F135" s="42"/>
      <c r="G135" s="42"/>
      <c r="H135" s="42"/>
    </row>
    <row r="136" spans="1:8" x14ac:dyDescent="0.2">
      <c r="A136" s="84"/>
      <c r="B136" s="84"/>
      <c r="C136" s="85"/>
      <c r="D136" s="81"/>
      <c r="E136" s="42"/>
      <c r="F136" s="42"/>
      <c r="G136" s="42"/>
      <c r="H136" s="42"/>
    </row>
    <row r="137" spans="1:8" x14ac:dyDescent="0.2">
      <c r="A137" s="84"/>
      <c r="B137" s="84"/>
      <c r="C137" s="85"/>
      <c r="D137" s="81">
        <f>[5]Charters!E243</f>
        <v>3632253.1</v>
      </c>
      <c r="E137" s="42"/>
      <c r="F137" s="42"/>
      <c r="G137" s="42"/>
      <c r="H137" s="42"/>
    </row>
    <row r="138" spans="1:8" x14ac:dyDescent="0.2">
      <c r="A138" s="84"/>
      <c r="B138" s="84"/>
      <c r="C138" s="85"/>
      <c r="D138" s="81">
        <f>D135</f>
        <v>3632253.1</v>
      </c>
      <c r="E138" s="42"/>
      <c r="F138" s="42"/>
      <c r="G138" s="42"/>
      <c r="H138" s="42"/>
    </row>
    <row r="139" spans="1:8" x14ac:dyDescent="0.2">
      <c r="C139" s="83"/>
      <c r="D139" s="42">
        <f>D137-D138</f>
        <v>0</v>
      </c>
      <c r="E139" s="42"/>
      <c r="F139" s="42"/>
      <c r="G139" s="42"/>
      <c r="H139" s="42"/>
    </row>
  </sheetData>
  <mergeCells count="4">
    <mergeCell ref="A135:C135"/>
    <mergeCell ref="A83:D83"/>
    <mergeCell ref="A82:D82"/>
    <mergeCell ref="A81:D81"/>
  </mergeCells>
  <printOptions horizontalCentered="1" verticalCentered="1"/>
  <pageMargins left="0.5" right="0.5" top="0.5" bottom="0.5" header="0.25" footer="0.25"/>
  <pageSetup orientation="portrait" verticalDpi="1200" r:id="rId1"/>
  <headerFooter alignWithMargins="0">
    <oddHeader>&amp;R&amp;8Current as of: &amp;D</oddHeader>
    <oddFooter>&amp;L&amp;8USOE, School Finance</oddFooter>
  </headerFooter>
  <picture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sheetPr>
    <pageSetUpPr fitToPage="1"/>
  </sheetPr>
  <dimension ref="A1:H140"/>
  <sheetViews>
    <sheetView topLeftCell="A79" workbookViewId="0">
      <selection activeCell="C12" sqref="C12"/>
    </sheetView>
  </sheetViews>
  <sheetFormatPr defaultColWidth="9.140625" defaultRowHeight="12.75" x14ac:dyDescent="0.2"/>
  <cols>
    <col min="1" max="1" width="31.85546875" style="82" customWidth="1"/>
    <col min="2" max="2" width="16.140625" style="82" customWidth="1"/>
    <col min="3" max="3" width="14.85546875" style="82" customWidth="1"/>
    <col min="4" max="4" width="15" style="82" customWidth="1"/>
    <col min="5" max="5" width="7" style="82" customWidth="1"/>
    <col min="6" max="6" width="19.7109375" style="82" customWidth="1"/>
    <col min="7" max="7" width="5.7109375" style="82" customWidth="1"/>
    <col min="8" max="8" width="18" style="82" customWidth="1"/>
    <col min="9" max="16384" width="9.140625" style="82"/>
  </cols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"/>
      <c r="B3" s="1"/>
      <c r="C3" s="1"/>
      <c r="D3" s="1"/>
      <c r="E3" s="1"/>
      <c r="F3" s="1"/>
      <c r="G3" s="1"/>
      <c r="H3" s="1"/>
    </row>
    <row r="4" spans="1:8" x14ac:dyDescent="0.2">
      <c r="A4" s="1"/>
      <c r="B4" s="1"/>
      <c r="C4" s="1"/>
      <c r="D4" s="1"/>
      <c r="E4" s="1"/>
      <c r="F4" s="1"/>
      <c r="G4" s="1"/>
      <c r="H4" s="1"/>
    </row>
    <row r="5" spans="1:8" x14ac:dyDescent="0.2">
      <c r="A5" s="1"/>
      <c r="B5" s="1"/>
      <c r="C5" s="1"/>
      <c r="D5" s="1"/>
      <c r="E5" s="1"/>
      <c r="F5" s="1"/>
      <c r="G5" s="1"/>
      <c r="H5" s="1"/>
    </row>
    <row r="6" spans="1:8" x14ac:dyDescent="0.2">
      <c r="A6" s="1"/>
      <c r="B6" s="1"/>
      <c r="C6" s="1"/>
      <c r="D6" s="1"/>
      <c r="E6" s="1"/>
      <c r="F6" s="1"/>
      <c r="G6" s="1"/>
      <c r="H6" s="1"/>
    </row>
    <row r="7" spans="1:8" x14ac:dyDescent="0.2">
      <c r="A7" s="1"/>
      <c r="B7" s="1"/>
      <c r="C7" s="1"/>
      <c r="D7" s="1"/>
      <c r="E7" s="1"/>
      <c r="F7" s="1"/>
      <c r="G7" s="1"/>
      <c r="H7" s="1"/>
    </row>
    <row r="8" spans="1:8" x14ac:dyDescent="0.2">
      <c r="A8" s="1"/>
      <c r="B8" s="1"/>
      <c r="C8" s="1"/>
      <c r="D8" s="1"/>
      <c r="E8" s="1"/>
      <c r="F8" s="1"/>
      <c r="G8" s="1"/>
      <c r="H8" s="1"/>
    </row>
    <row r="9" spans="1:8" x14ac:dyDescent="0.2">
      <c r="A9" s="1"/>
      <c r="B9" s="1"/>
      <c r="C9" s="1"/>
      <c r="D9" s="1"/>
      <c r="E9" s="1"/>
      <c r="F9" s="1"/>
      <c r="G9" s="1"/>
      <c r="H9" s="1"/>
    </row>
    <row r="10" spans="1:8" x14ac:dyDescent="0.2">
      <c r="A10" s="1"/>
      <c r="B10" s="1"/>
      <c r="C10" s="1"/>
      <c r="D10" s="1"/>
      <c r="E10" s="1"/>
      <c r="F10" s="1"/>
      <c r="G10" s="1"/>
      <c r="H10" s="1"/>
    </row>
    <row r="11" spans="1:8" x14ac:dyDescent="0.2">
      <c r="A11" s="1"/>
      <c r="B11" s="1"/>
      <c r="C11" s="1"/>
      <c r="D11" s="1"/>
      <c r="E11" s="1"/>
      <c r="F11" s="1"/>
      <c r="G11" s="1"/>
      <c r="H11" s="1"/>
    </row>
    <row r="12" spans="1:8" x14ac:dyDescent="0.2">
      <c r="A12" s="1"/>
      <c r="B12" s="1"/>
      <c r="C12" s="1"/>
      <c r="D12" s="1"/>
      <c r="E12" s="1"/>
      <c r="F12" s="1"/>
      <c r="G12" s="1"/>
      <c r="H12" s="1"/>
    </row>
    <row r="13" spans="1:8" x14ac:dyDescent="0.2">
      <c r="A13" s="1"/>
      <c r="B13" s="1"/>
      <c r="C13" s="1"/>
      <c r="D13" s="1"/>
      <c r="E13" s="1"/>
      <c r="F13" s="1"/>
      <c r="G13" s="1"/>
      <c r="H13" s="1"/>
    </row>
    <row r="14" spans="1:8" x14ac:dyDescent="0.2">
      <c r="A14" s="1"/>
      <c r="B14" s="1"/>
      <c r="C14" s="1"/>
      <c r="D14" s="1"/>
      <c r="E14" s="1"/>
      <c r="F14" s="1"/>
      <c r="G14" s="1"/>
      <c r="H14" s="1"/>
    </row>
    <row r="15" spans="1:8" x14ac:dyDescent="0.2">
      <c r="A15" s="1"/>
      <c r="B15" s="1"/>
      <c r="C15" s="1"/>
      <c r="D15" s="1"/>
      <c r="E15" s="1"/>
      <c r="F15" s="1"/>
      <c r="G15" s="1"/>
      <c r="H15" s="1"/>
    </row>
    <row r="16" spans="1:8" x14ac:dyDescent="0.2">
      <c r="A16" s="1"/>
      <c r="B16" s="1"/>
      <c r="C16" s="1"/>
      <c r="D16" s="1"/>
      <c r="E16" s="1"/>
      <c r="F16" s="1"/>
      <c r="G16" s="1"/>
      <c r="H16" s="1"/>
    </row>
    <row r="17" spans="1:8" x14ac:dyDescent="0.2">
      <c r="A17" s="1"/>
      <c r="B17" s="1"/>
      <c r="C17" s="1"/>
      <c r="D17" s="1"/>
      <c r="E17" s="1"/>
      <c r="F17" s="1"/>
      <c r="G17" s="1"/>
      <c r="H17" s="1"/>
    </row>
    <row r="18" spans="1:8" x14ac:dyDescent="0.2">
      <c r="A18" s="1"/>
      <c r="B18" s="1"/>
      <c r="C18" s="1"/>
      <c r="D18" s="1"/>
      <c r="E18" s="1"/>
      <c r="F18" s="1"/>
      <c r="G18" s="1"/>
      <c r="H18" s="1"/>
    </row>
    <row r="19" spans="1:8" x14ac:dyDescent="0.2">
      <c r="A19" s="1"/>
      <c r="B19" s="1"/>
      <c r="C19" s="1"/>
      <c r="D19" s="1"/>
      <c r="E19" s="1"/>
      <c r="F19" s="1"/>
      <c r="G19" s="1"/>
      <c r="H19" s="1"/>
    </row>
    <row r="20" spans="1:8" x14ac:dyDescent="0.2">
      <c r="A20" s="1"/>
      <c r="B20" s="1"/>
      <c r="C20" s="1"/>
      <c r="D20" s="1"/>
      <c r="E20" s="1"/>
      <c r="F20" s="1"/>
      <c r="G20" s="1"/>
      <c r="H20" s="1"/>
    </row>
    <row r="21" spans="1:8" x14ac:dyDescent="0.2">
      <c r="A21" s="1"/>
      <c r="B21" s="1"/>
      <c r="C21" s="1"/>
      <c r="D21" s="1"/>
      <c r="E21" s="1"/>
      <c r="F21" s="1"/>
      <c r="G21" s="1"/>
      <c r="H21" s="1"/>
    </row>
    <row r="22" spans="1:8" x14ac:dyDescent="0.2">
      <c r="A22" s="1"/>
      <c r="B22" s="1"/>
      <c r="C22" s="1"/>
      <c r="D22" s="4"/>
      <c r="E22" s="1"/>
      <c r="F22" s="1"/>
      <c r="G22" s="1"/>
      <c r="H22" s="1"/>
    </row>
    <row r="23" spans="1:8" x14ac:dyDescent="0.2">
      <c r="A23" s="1"/>
      <c r="B23" s="1"/>
      <c r="C23" s="1"/>
      <c r="D23" s="1"/>
      <c r="E23" s="1"/>
      <c r="F23" s="1"/>
      <c r="G23" s="1"/>
      <c r="H23" s="1"/>
    </row>
    <row r="24" spans="1:8" x14ac:dyDescent="0.2">
      <c r="A24" s="1"/>
      <c r="B24" s="1"/>
      <c r="C24" s="1"/>
      <c r="D24" s="1"/>
      <c r="E24" s="1"/>
      <c r="F24" s="1"/>
      <c r="G24" s="1"/>
      <c r="H24" s="1"/>
    </row>
    <row r="25" spans="1:8" x14ac:dyDescent="0.2">
      <c r="A25" s="1"/>
      <c r="B25" s="1"/>
      <c r="C25" s="1"/>
      <c r="D25" s="1"/>
      <c r="E25" s="1"/>
      <c r="F25" s="1"/>
      <c r="G25" s="1"/>
      <c r="H25" s="1"/>
    </row>
    <row r="26" spans="1:8" x14ac:dyDescent="0.2">
      <c r="A26" s="1"/>
      <c r="B26" s="1"/>
      <c r="C26" s="1"/>
      <c r="D26" s="1"/>
      <c r="E26" s="1"/>
      <c r="F26" s="1"/>
      <c r="G26" s="1"/>
      <c r="H26" s="1"/>
    </row>
    <row r="27" spans="1:8" x14ac:dyDescent="0.2">
      <c r="A27" s="1"/>
      <c r="B27" s="1"/>
      <c r="C27" s="1"/>
      <c r="D27" s="1"/>
      <c r="E27" s="1"/>
      <c r="F27" s="1"/>
      <c r="G27" s="1"/>
      <c r="H27" s="1"/>
    </row>
    <row r="28" spans="1:8" x14ac:dyDescent="0.2">
      <c r="A28" s="1"/>
      <c r="B28" s="1"/>
      <c r="C28" s="1"/>
      <c r="D28" s="1"/>
      <c r="E28" s="1"/>
      <c r="F28" s="1"/>
      <c r="G28" s="1"/>
      <c r="H28" s="1"/>
    </row>
    <row r="29" spans="1:8" x14ac:dyDescent="0.2">
      <c r="A29" s="1"/>
      <c r="B29" s="1"/>
      <c r="C29" s="1"/>
      <c r="D29" s="1"/>
      <c r="E29" s="1"/>
      <c r="F29" s="1"/>
      <c r="G29" s="1"/>
      <c r="H29" s="1"/>
    </row>
    <row r="30" spans="1:8" x14ac:dyDescent="0.2">
      <c r="A30" s="1"/>
      <c r="B30" s="1"/>
      <c r="C30" s="1"/>
      <c r="D30" s="1"/>
      <c r="E30" s="1"/>
      <c r="F30" s="1"/>
      <c r="G30" s="1"/>
      <c r="H30" s="1"/>
    </row>
    <row r="31" spans="1:8" x14ac:dyDescent="0.2">
      <c r="A31" s="1"/>
      <c r="B31" s="1"/>
      <c r="C31" s="1"/>
      <c r="D31" s="1"/>
      <c r="E31" s="1"/>
      <c r="F31" s="1"/>
      <c r="G31" s="1"/>
      <c r="H31" s="1"/>
    </row>
    <row r="32" spans="1:8" x14ac:dyDescent="0.2">
      <c r="A32" s="1"/>
      <c r="B32" s="1"/>
      <c r="C32" s="1"/>
      <c r="D32" s="1"/>
      <c r="E32" s="1"/>
      <c r="F32" s="1"/>
      <c r="G32" s="1"/>
      <c r="H32" s="1"/>
    </row>
    <row r="33" spans="1:8" x14ac:dyDescent="0.2">
      <c r="A33" s="1"/>
      <c r="B33" s="1"/>
      <c r="C33" s="1"/>
      <c r="D33" s="1"/>
      <c r="E33" s="1"/>
      <c r="F33" s="1"/>
      <c r="G33" s="1"/>
      <c r="H33" s="1"/>
    </row>
    <row r="34" spans="1:8" x14ac:dyDescent="0.2">
      <c r="A34" s="1"/>
      <c r="B34" s="1"/>
      <c r="C34" s="1"/>
      <c r="D34" s="1"/>
      <c r="E34" s="1"/>
      <c r="F34" s="1"/>
      <c r="G34" s="1"/>
      <c r="H34" s="1"/>
    </row>
    <row r="35" spans="1:8" x14ac:dyDescent="0.2">
      <c r="A35" s="1"/>
      <c r="B35" s="1"/>
      <c r="C35" s="1"/>
      <c r="D35" s="1"/>
      <c r="E35" s="1"/>
      <c r="F35" s="1"/>
      <c r="G35" s="1"/>
      <c r="H35" s="1"/>
    </row>
    <row r="36" spans="1:8" x14ac:dyDescent="0.2">
      <c r="A36" s="1"/>
      <c r="B36" s="1"/>
      <c r="C36" s="1"/>
      <c r="D36" s="1"/>
      <c r="E36" s="1"/>
      <c r="F36" s="1"/>
      <c r="G36" s="1"/>
      <c r="H36" s="1"/>
    </row>
    <row r="37" spans="1:8" x14ac:dyDescent="0.2">
      <c r="A37" s="1"/>
      <c r="B37" s="1"/>
      <c r="C37" s="1"/>
      <c r="D37" s="1"/>
      <c r="E37" s="1"/>
      <c r="F37" s="1"/>
      <c r="G37" s="1"/>
      <c r="H37" s="1"/>
    </row>
    <row r="38" spans="1:8" x14ac:dyDescent="0.2">
      <c r="A38" s="1"/>
      <c r="B38" s="1"/>
      <c r="C38" s="1"/>
      <c r="D38" s="1"/>
      <c r="E38" s="1"/>
      <c r="F38" s="1"/>
      <c r="G38" s="1"/>
      <c r="H38" s="1"/>
    </row>
    <row r="39" spans="1:8" x14ac:dyDescent="0.2">
      <c r="A39" s="1"/>
      <c r="B39" s="1"/>
      <c r="C39" s="1"/>
      <c r="D39" s="1"/>
      <c r="E39" s="1"/>
      <c r="F39" s="1"/>
      <c r="G39" s="1"/>
      <c r="H39" s="1"/>
    </row>
    <row r="40" spans="1:8" x14ac:dyDescent="0.2">
      <c r="A40" s="1"/>
      <c r="B40" s="1"/>
      <c r="C40" s="1"/>
      <c r="D40" s="1"/>
      <c r="E40" s="1"/>
      <c r="F40" s="1"/>
      <c r="G40" s="1"/>
      <c r="H40" s="1"/>
    </row>
    <row r="41" spans="1:8" x14ac:dyDescent="0.2">
      <c r="A41" s="1"/>
      <c r="B41" s="1"/>
      <c r="C41" s="1"/>
      <c r="D41" s="1"/>
      <c r="E41" s="1"/>
      <c r="F41" s="1"/>
      <c r="G41" s="1"/>
      <c r="H41" s="1"/>
    </row>
    <row r="42" spans="1:8" x14ac:dyDescent="0.2">
      <c r="A42" s="1"/>
      <c r="B42" s="1"/>
      <c r="C42" s="1"/>
      <c r="D42" s="1"/>
      <c r="E42" s="1"/>
      <c r="F42" s="1"/>
      <c r="G42" s="1"/>
      <c r="H42" s="1"/>
    </row>
    <row r="43" spans="1:8" x14ac:dyDescent="0.2">
      <c r="A43" s="1"/>
      <c r="B43" s="1"/>
      <c r="C43" s="1"/>
      <c r="D43" s="1"/>
      <c r="E43" s="1"/>
      <c r="F43" s="1"/>
      <c r="G43" s="1"/>
      <c r="H43" s="1"/>
    </row>
    <row r="44" spans="1:8" x14ac:dyDescent="0.2">
      <c r="A44" s="1"/>
      <c r="B44" s="1"/>
      <c r="C44" s="1"/>
      <c r="D44" s="1"/>
      <c r="E44" s="1"/>
      <c r="F44" s="1"/>
      <c r="G44" s="1"/>
      <c r="H44" s="1"/>
    </row>
    <row r="45" spans="1:8" x14ac:dyDescent="0.2">
      <c r="A45" s="1"/>
      <c r="B45" s="1"/>
      <c r="C45" s="1"/>
      <c r="D45" s="1"/>
      <c r="E45" s="1"/>
      <c r="F45" s="1"/>
      <c r="G45" s="1"/>
      <c r="H45" s="1"/>
    </row>
    <row r="46" spans="1:8" x14ac:dyDescent="0.2">
      <c r="A46" s="1"/>
      <c r="B46" s="1"/>
      <c r="C46" s="1"/>
      <c r="D46" s="1"/>
      <c r="E46" s="1"/>
      <c r="F46" s="1"/>
      <c r="G46" s="1"/>
      <c r="H46" s="1"/>
    </row>
    <row r="47" spans="1:8" x14ac:dyDescent="0.2">
      <c r="A47" s="1"/>
      <c r="B47" s="1"/>
      <c r="C47" s="1"/>
      <c r="D47" s="1"/>
      <c r="E47" s="1"/>
      <c r="F47" s="1"/>
      <c r="G47" s="1"/>
      <c r="H47" s="1"/>
    </row>
    <row r="48" spans="1:8" x14ac:dyDescent="0.2">
      <c r="A48" s="1"/>
      <c r="B48" s="1"/>
      <c r="C48" s="1"/>
      <c r="D48" s="1"/>
      <c r="E48" s="1"/>
      <c r="F48" s="1"/>
      <c r="G48" s="1"/>
      <c r="H48" s="1"/>
    </row>
    <row r="49" spans="1:8" x14ac:dyDescent="0.2">
      <c r="A49" s="1"/>
      <c r="B49" s="1"/>
      <c r="C49" s="1"/>
      <c r="D49" s="1"/>
      <c r="E49" s="1"/>
      <c r="F49" s="1"/>
      <c r="G49" s="1"/>
      <c r="H49" s="1"/>
    </row>
    <row r="50" spans="1:8" x14ac:dyDescent="0.2">
      <c r="A50" s="1"/>
      <c r="B50" s="1"/>
      <c r="C50" s="1"/>
      <c r="D50" s="1"/>
      <c r="E50" s="1"/>
      <c r="F50" s="1"/>
      <c r="G50" s="1"/>
      <c r="H50" s="1"/>
    </row>
    <row r="51" spans="1:8" x14ac:dyDescent="0.2">
      <c r="A51" s="1"/>
      <c r="B51" s="1"/>
      <c r="C51" s="1"/>
      <c r="D51" s="1"/>
      <c r="E51" s="1"/>
      <c r="F51" s="1"/>
      <c r="G51" s="1"/>
      <c r="H51" s="1"/>
    </row>
    <row r="52" spans="1:8" x14ac:dyDescent="0.2">
      <c r="A52" s="1"/>
      <c r="B52" s="1"/>
      <c r="C52" s="1"/>
      <c r="D52" s="1"/>
      <c r="E52" s="1"/>
      <c r="F52" s="1"/>
      <c r="G52" s="1"/>
      <c r="H52" s="1"/>
    </row>
    <row r="53" spans="1:8" x14ac:dyDescent="0.2">
      <c r="A53" s="1"/>
      <c r="B53" s="1"/>
      <c r="C53" s="1"/>
      <c r="D53" s="1"/>
      <c r="E53" s="1"/>
      <c r="F53" s="1"/>
      <c r="G53" s="1"/>
      <c r="H53" s="1"/>
    </row>
    <row r="54" spans="1:8" x14ac:dyDescent="0.2">
      <c r="A54" s="1"/>
      <c r="B54" s="1"/>
      <c r="C54" s="1"/>
      <c r="D54" s="1"/>
      <c r="E54" s="1"/>
      <c r="F54" s="1"/>
      <c r="G54" s="1"/>
      <c r="H54" s="1"/>
    </row>
    <row r="55" spans="1:8" x14ac:dyDescent="0.2">
      <c r="A55" s="1"/>
      <c r="B55" s="1"/>
      <c r="C55" s="1"/>
      <c r="D55" s="1"/>
      <c r="E55" s="1"/>
      <c r="F55" s="1"/>
      <c r="G55" s="1"/>
      <c r="H55" s="1"/>
    </row>
    <row r="56" spans="1:8" x14ac:dyDescent="0.2">
      <c r="A56" s="1"/>
      <c r="B56" s="1"/>
      <c r="C56" s="1"/>
      <c r="D56" s="1"/>
      <c r="E56" s="1"/>
      <c r="F56" s="1"/>
      <c r="G56" s="1"/>
      <c r="H56" s="1"/>
    </row>
    <row r="57" spans="1:8" x14ac:dyDescent="0.2">
      <c r="A57" s="1"/>
      <c r="B57" s="1"/>
      <c r="C57" s="1"/>
      <c r="D57" s="1"/>
      <c r="E57" s="1"/>
      <c r="F57" s="1"/>
      <c r="G57" s="1"/>
      <c r="H57" s="1"/>
    </row>
    <row r="58" spans="1:8" x14ac:dyDescent="0.2">
      <c r="A58" s="1"/>
      <c r="B58" s="1"/>
      <c r="C58" s="1"/>
      <c r="D58" s="1"/>
      <c r="E58" s="1"/>
      <c r="F58" s="1"/>
      <c r="G58" s="1"/>
      <c r="H58" s="1"/>
    </row>
    <row r="59" spans="1:8" x14ac:dyDescent="0.2">
      <c r="A59" s="1"/>
      <c r="B59" s="1"/>
      <c r="C59" s="1"/>
      <c r="D59" s="1"/>
      <c r="E59" s="1"/>
      <c r="F59" s="1"/>
      <c r="G59" s="1"/>
      <c r="H59" s="1"/>
    </row>
    <row r="60" spans="1:8" x14ac:dyDescent="0.2">
      <c r="A60" s="1"/>
      <c r="B60" s="1"/>
      <c r="C60" s="1"/>
      <c r="D60" s="1"/>
      <c r="E60" s="1"/>
      <c r="F60" s="1"/>
      <c r="G60" s="1"/>
      <c r="H60" s="1"/>
    </row>
    <row r="61" spans="1:8" x14ac:dyDescent="0.2">
      <c r="A61" s="1"/>
      <c r="B61" s="1"/>
      <c r="C61" s="1"/>
      <c r="D61" s="1"/>
      <c r="E61" s="1"/>
      <c r="F61" s="1"/>
      <c r="G61" s="1"/>
      <c r="H61" s="1"/>
    </row>
    <row r="62" spans="1:8" x14ac:dyDescent="0.2">
      <c r="A62" s="1"/>
      <c r="B62" s="1"/>
      <c r="C62" s="1"/>
      <c r="D62" s="1"/>
      <c r="E62" s="1"/>
      <c r="F62" s="1"/>
      <c r="G62" s="1"/>
      <c r="H62" s="1"/>
    </row>
    <row r="63" spans="1:8" x14ac:dyDescent="0.2">
      <c r="A63" s="1"/>
      <c r="B63" s="1"/>
      <c r="C63" s="1"/>
      <c r="D63" s="1"/>
      <c r="E63" s="1"/>
      <c r="F63" s="1"/>
      <c r="G63" s="1"/>
      <c r="H63" s="1"/>
    </row>
    <row r="64" spans="1:8" x14ac:dyDescent="0.2">
      <c r="A64" s="1"/>
      <c r="B64" s="1"/>
      <c r="C64" s="1"/>
      <c r="D64" s="1"/>
      <c r="E64" s="1"/>
      <c r="F64" s="1"/>
      <c r="G64" s="1"/>
      <c r="H64" s="1"/>
    </row>
    <row r="65" spans="1:8" x14ac:dyDescent="0.2">
      <c r="A65" s="1"/>
      <c r="B65" s="1"/>
      <c r="C65" s="1"/>
      <c r="D65" s="1"/>
      <c r="E65" s="1"/>
      <c r="F65" s="1"/>
      <c r="G65" s="1"/>
      <c r="H65" s="1"/>
    </row>
    <row r="66" spans="1:8" x14ac:dyDescent="0.2">
      <c r="A66" s="1"/>
      <c r="B66" s="1"/>
      <c r="C66" s="1"/>
      <c r="D66" s="1"/>
      <c r="E66" s="1"/>
      <c r="F66" s="1"/>
      <c r="G66" s="1"/>
      <c r="H66" s="1"/>
    </row>
    <row r="67" spans="1:8" x14ac:dyDescent="0.2">
      <c r="A67" s="1"/>
      <c r="B67" s="1"/>
      <c r="C67" s="1"/>
      <c r="D67" s="1"/>
      <c r="E67" s="1"/>
      <c r="F67" s="1"/>
      <c r="G67" s="1"/>
      <c r="H67" s="1"/>
    </row>
    <row r="68" spans="1:8" x14ac:dyDescent="0.2">
      <c r="A68" s="1"/>
      <c r="B68" s="1"/>
      <c r="C68" s="1"/>
      <c r="D68" s="1"/>
      <c r="E68" s="1"/>
      <c r="F68" s="1"/>
      <c r="G68" s="1"/>
      <c r="H68" s="1"/>
    </row>
    <row r="69" spans="1:8" x14ac:dyDescent="0.2">
      <c r="A69" s="1"/>
      <c r="B69" s="1"/>
      <c r="C69" s="1"/>
      <c r="D69" s="1"/>
      <c r="E69" s="1"/>
      <c r="F69" s="1"/>
      <c r="G69" s="1"/>
      <c r="H69" s="1"/>
    </row>
    <row r="70" spans="1:8" x14ac:dyDescent="0.2">
      <c r="A70" s="1"/>
      <c r="B70" s="1"/>
      <c r="C70" s="1"/>
      <c r="D70" s="1"/>
      <c r="E70" s="1"/>
      <c r="F70" s="1"/>
      <c r="G70" s="1"/>
      <c r="H70" s="1"/>
    </row>
    <row r="71" spans="1:8" x14ac:dyDescent="0.2">
      <c r="A71" s="1"/>
      <c r="B71" s="1"/>
      <c r="C71" s="1"/>
      <c r="D71" s="1"/>
      <c r="E71" s="1"/>
      <c r="F71" s="1"/>
      <c r="G71" s="1"/>
      <c r="H71" s="1"/>
    </row>
    <row r="72" spans="1:8" x14ac:dyDescent="0.2">
      <c r="A72" s="1"/>
      <c r="B72" s="1"/>
      <c r="C72" s="1"/>
      <c r="D72" s="1"/>
      <c r="E72" s="1"/>
      <c r="F72" s="1"/>
      <c r="G72" s="1"/>
      <c r="H72" s="1"/>
    </row>
    <row r="73" spans="1:8" x14ac:dyDescent="0.2">
      <c r="A73" s="1"/>
      <c r="B73" s="1"/>
      <c r="C73" s="1"/>
      <c r="D73" s="1"/>
      <c r="E73" s="1"/>
      <c r="F73" s="1"/>
      <c r="G73" s="1"/>
      <c r="H73" s="1"/>
    </row>
    <row r="74" spans="1:8" x14ac:dyDescent="0.2">
      <c r="A74" s="1"/>
      <c r="B74" s="1"/>
      <c r="C74" s="1"/>
      <c r="D74" s="1"/>
      <c r="E74" s="1"/>
      <c r="F74" s="1"/>
      <c r="G74" s="1"/>
      <c r="H74" s="1"/>
    </row>
    <row r="75" spans="1:8" x14ac:dyDescent="0.2">
      <c r="A75" s="1"/>
      <c r="B75" s="1"/>
      <c r="C75" s="1"/>
      <c r="D75" s="1"/>
      <c r="E75" s="1"/>
      <c r="F75" s="1"/>
      <c r="G75" s="1"/>
      <c r="H75" s="1"/>
    </row>
    <row r="76" spans="1:8" x14ac:dyDescent="0.2">
      <c r="A76" s="1"/>
      <c r="B76" s="1"/>
      <c r="C76" s="1"/>
      <c r="D76" s="1"/>
      <c r="E76" s="1"/>
      <c r="F76" s="1"/>
      <c r="G76" s="1"/>
      <c r="H76" s="1"/>
    </row>
    <row r="77" spans="1:8" x14ac:dyDescent="0.2">
      <c r="A77" s="1"/>
      <c r="B77" s="1"/>
      <c r="C77" s="1"/>
      <c r="D77" s="1"/>
      <c r="E77" s="1"/>
      <c r="F77" s="1"/>
      <c r="G77" s="1"/>
      <c r="H77" s="1"/>
    </row>
    <row r="78" spans="1:8" x14ac:dyDescent="0.2">
      <c r="A78" s="1"/>
      <c r="B78" s="1"/>
      <c r="C78" s="1"/>
      <c r="D78" s="1"/>
      <c r="E78" s="1"/>
      <c r="F78" s="1"/>
      <c r="G78" s="1"/>
      <c r="H78" s="1"/>
    </row>
    <row r="79" spans="1:8" x14ac:dyDescent="0.2">
      <c r="A79" s="1"/>
      <c r="B79" s="1"/>
      <c r="C79" s="1"/>
      <c r="D79" s="1"/>
      <c r="E79" s="1"/>
      <c r="F79" s="1"/>
      <c r="G79" s="1"/>
      <c r="H79" s="1"/>
    </row>
    <row r="80" spans="1:8" x14ac:dyDescent="0.2">
      <c r="A80" s="1"/>
      <c r="B80" s="1"/>
      <c r="C80" s="1"/>
      <c r="D80" s="1"/>
      <c r="E80" s="1"/>
      <c r="F80" s="1"/>
      <c r="G80" s="1"/>
      <c r="H80" s="1"/>
    </row>
    <row r="81" spans="1:8" x14ac:dyDescent="0.2">
      <c r="A81" s="1"/>
      <c r="B81" s="1"/>
      <c r="C81" s="1"/>
      <c r="D81" s="1"/>
      <c r="E81" s="1"/>
      <c r="F81" s="1"/>
      <c r="G81" s="1"/>
      <c r="H81" s="1"/>
    </row>
    <row r="82" spans="1:8" x14ac:dyDescent="0.2">
      <c r="A82" s="11" t="s">
        <v>1</v>
      </c>
      <c r="B82" s="12"/>
      <c r="C82" s="12"/>
      <c r="D82" s="13"/>
      <c r="E82" s="8"/>
      <c r="F82" s="8"/>
      <c r="G82" s="8"/>
      <c r="H82" s="8"/>
    </row>
    <row r="83" spans="1:8" x14ac:dyDescent="0.2">
      <c r="A83" s="14" t="s">
        <v>15</v>
      </c>
      <c r="B83" s="15"/>
      <c r="C83" s="15"/>
      <c r="D83" s="16"/>
      <c r="E83" s="8"/>
      <c r="F83" s="8"/>
      <c r="G83" s="8"/>
      <c r="H83" s="8"/>
    </row>
    <row r="84" spans="1:8" x14ac:dyDescent="0.2">
      <c r="A84" s="17" t="s">
        <v>62</v>
      </c>
      <c r="B84" s="18"/>
      <c r="C84" s="18"/>
      <c r="D84" s="19"/>
      <c r="E84" s="8"/>
      <c r="F84" s="8"/>
      <c r="G84" s="8"/>
      <c r="H84" s="8"/>
    </row>
    <row r="85" spans="1:8" x14ac:dyDescent="0.2">
      <c r="A85" s="20"/>
      <c r="B85" s="21"/>
      <c r="C85" s="22"/>
      <c r="D85" s="23"/>
      <c r="E85" s="8"/>
      <c r="F85" s="8" t="s">
        <v>34</v>
      </c>
      <c r="G85" s="8"/>
      <c r="H85" s="8"/>
    </row>
    <row r="86" spans="1:8" ht="15.75" x14ac:dyDescent="0.25">
      <c r="A86" s="24" t="s">
        <v>2</v>
      </c>
      <c r="B86" s="25" t="str">
        <f>[1]Charters!B89</f>
        <v>Aristotle Academy</v>
      </c>
      <c r="C86" s="26"/>
      <c r="D86" s="27"/>
      <c r="E86" s="8"/>
      <c r="F86" s="8"/>
      <c r="G86" s="8"/>
      <c r="H86" s="8"/>
    </row>
    <row r="87" spans="1:8" x14ac:dyDescent="0.2">
      <c r="A87" s="24"/>
      <c r="B87" s="28"/>
      <c r="C87" s="26"/>
      <c r="D87" s="27"/>
      <c r="E87" s="8"/>
      <c r="F87" s="8"/>
      <c r="G87" s="8"/>
      <c r="H87" s="8"/>
    </row>
    <row r="88" spans="1:8" x14ac:dyDescent="0.2">
      <c r="A88" s="29" t="s">
        <v>0</v>
      </c>
      <c r="B88" s="30">
        <f>[1]Charters!$E$6</f>
        <v>3184</v>
      </c>
      <c r="C88" s="26"/>
      <c r="D88" s="31"/>
      <c r="E88" s="8"/>
      <c r="F88" s="8"/>
      <c r="G88" s="8"/>
      <c r="H88" s="8"/>
    </row>
    <row r="89" spans="1:8" x14ac:dyDescent="0.2">
      <c r="A89" s="32"/>
      <c r="B89" s="6"/>
      <c r="C89" s="33"/>
      <c r="D89" s="34" t="s">
        <v>3</v>
      </c>
      <c r="E89" s="8"/>
      <c r="F89" s="8"/>
      <c r="G89" s="8"/>
      <c r="H89" s="8"/>
    </row>
    <row r="90" spans="1:8" x14ac:dyDescent="0.2">
      <c r="A90" s="29" t="s">
        <v>19</v>
      </c>
      <c r="B90" s="35" t="str">
        <f>[1]Charters!A89</f>
        <v>4H</v>
      </c>
      <c r="C90" s="36" t="s">
        <v>4</v>
      </c>
      <c r="D90" s="37" t="s">
        <v>5</v>
      </c>
      <c r="E90" s="8"/>
      <c r="F90" s="8"/>
      <c r="G90" s="8"/>
      <c r="H90" s="8"/>
    </row>
    <row r="91" spans="1:8" x14ac:dyDescent="0.2">
      <c r="A91" s="38" t="s">
        <v>6</v>
      </c>
      <c r="B91" s="39"/>
      <c r="C91" s="40"/>
      <c r="D91" s="41"/>
      <c r="E91" s="8"/>
      <c r="F91" s="8"/>
      <c r="G91" s="8"/>
      <c r="H91" s="8"/>
    </row>
    <row r="92" spans="1:8" x14ac:dyDescent="0.2">
      <c r="A92" s="38" t="s">
        <v>7</v>
      </c>
      <c r="B92" s="39"/>
      <c r="C92" s="40"/>
      <c r="D92" s="41"/>
      <c r="E92" s="8"/>
      <c r="F92" s="42" t="s">
        <v>23</v>
      </c>
      <c r="G92" s="8"/>
      <c r="H92" s="42" t="s">
        <v>26</v>
      </c>
    </row>
    <row r="93" spans="1:8" x14ac:dyDescent="0.2">
      <c r="A93" s="20" t="s">
        <v>8</v>
      </c>
      <c r="B93" s="43"/>
      <c r="C93" s="44">
        <f>[1]Charters!C549</f>
        <v>104.45</v>
      </c>
      <c r="D93" s="45">
        <f>[1]Charters!E549</f>
        <v>332570.03999999998</v>
      </c>
      <c r="E93" s="8"/>
      <c r="F93" s="42">
        <f>[1]Charters!E704</f>
        <v>354142.86</v>
      </c>
      <c r="G93" s="8"/>
      <c r="H93" s="42">
        <f>[2]Charters!E243</f>
        <v>534389.02</v>
      </c>
    </row>
    <row r="94" spans="1:8" x14ac:dyDescent="0.2">
      <c r="A94" s="20" t="s">
        <v>14</v>
      </c>
      <c r="B94" s="43"/>
      <c r="C94" s="44">
        <f>[1]Charters!F549</f>
        <v>6.7750000000000004</v>
      </c>
      <c r="D94" s="45">
        <f>[1]Charters!H549</f>
        <v>21572.82</v>
      </c>
      <c r="E94" s="8"/>
      <c r="F94" s="42">
        <f>SUM(D93:D95)</f>
        <v>354142.86</v>
      </c>
      <c r="G94" s="8"/>
      <c r="H94" s="42">
        <f>D106</f>
        <v>534389.02</v>
      </c>
    </row>
    <row r="95" spans="1:8" x14ac:dyDescent="0.2">
      <c r="A95" s="20" t="s">
        <v>32</v>
      </c>
      <c r="B95" s="43"/>
      <c r="C95" s="44">
        <f>[1]Charters!C242</f>
        <v>0</v>
      </c>
      <c r="D95" s="45">
        <f>[1]Charters!E242</f>
        <v>0</v>
      </c>
      <c r="E95" s="8"/>
      <c r="F95" s="42">
        <f>+F93-F94</f>
        <v>0</v>
      </c>
      <c r="G95" s="8"/>
      <c r="H95" s="42">
        <f>+H93-H94</f>
        <v>0</v>
      </c>
    </row>
    <row r="96" spans="1:8" x14ac:dyDescent="0.2">
      <c r="A96" s="38" t="s">
        <v>9</v>
      </c>
      <c r="B96" s="39"/>
      <c r="C96" s="46"/>
      <c r="D96" s="47"/>
      <c r="E96" s="8"/>
      <c r="F96" s="8"/>
      <c r="G96" s="8"/>
      <c r="H96" s="8"/>
    </row>
    <row r="97" spans="1:8" x14ac:dyDescent="0.2">
      <c r="A97" s="20" t="s">
        <v>10</v>
      </c>
      <c r="B97" s="43"/>
      <c r="C97" s="40">
        <f>[3]Charters!C88</f>
        <v>40.701999999999998</v>
      </c>
      <c r="D97" s="41">
        <f>[3]Charters!E88</f>
        <v>129596.58</v>
      </c>
      <c r="E97" s="8"/>
      <c r="F97" s="42" t="s">
        <v>24</v>
      </c>
      <c r="G97" s="8"/>
      <c r="H97" s="8"/>
    </row>
    <row r="98" spans="1:8" x14ac:dyDescent="0.2">
      <c r="A98" s="48" t="s">
        <v>11</v>
      </c>
      <c r="B98" s="43"/>
      <c r="C98" s="40">
        <f>[3]Charters!F88</f>
        <v>3.47</v>
      </c>
      <c r="D98" s="49">
        <f>[3]Charters!H88</f>
        <v>11048.48</v>
      </c>
      <c r="E98" s="8"/>
      <c r="F98" s="42">
        <f>[3]Charters!N400</f>
        <v>144764.79999999999</v>
      </c>
      <c r="G98" s="8"/>
      <c r="H98" s="8"/>
    </row>
    <row r="99" spans="1:8" x14ac:dyDescent="0.2">
      <c r="A99" s="48" t="s">
        <v>12</v>
      </c>
      <c r="B99" s="43"/>
      <c r="C99" s="40">
        <f>[3]Charters!C243</f>
        <v>0</v>
      </c>
      <c r="D99" s="41">
        <f>[3]Charters!E243</f>
        <v>0</v>
      </c>
      <c r="E99" s="8"/>
      <c r="F99" s="42">
        <f>SUM(D97:D103)</f>
        <v>144764.79999999999</v>
      </c>
      <c r="G99" s="8"/>
      <c r="H99" s="8"/>
    </row>
    <row r="100" spans="1:8" x14ac:dyDescent="0.2">
      <c r="A100" s="20" t="s">
        <v>13</v>
      </c>
      <c r="B100" s="43"/>
      <c r="C100" s="40">
        <f>[3]Charters!F243</f>
        <v>0.79900000000000004</v>
      </c>
      <c r="D100" s="41">
        <f>[3]Charters!H243</f>
        <v>2544.67</v>
      </c>
      <c r="E100" s="8"/>
      <c r="F100" s="42">
        <f>+F98-F99</f>
        <v>0</v>
      </c>
      <c r="G100" s="8"/>
      <c r="H100" s="8"/>
    </row>
    <row r="101" spans="1:8" x14ac:dyDescent="0.2">
      <c r="A101" s="48" t="s">
        <v>54</v>
      </c>
      <c r="B101" s="43"/>
      <c r="C101" s="40">
        <f>[3]Charters!C400</f>
        <v>0.495</v>
      </c>
      <c r="D101" s="41">
        <f>[3]Charters!E400</f>
        <v>1575.07</v>
      </c>
      <c r="E101" s="8"/>
      <c r="F101" s="8"/>
      <c r="G101" s="8"/>
      <c r="H101" s="8"/>
    </row>
    <row r="102" spans="1:8" x14ac:dyDescent="0.2">
      <c r="A102" s="48" t="s">
        <v>55</v>
      </c>
      <c r="B102" s="43"/>
      <c r="C102" s="40">
        <f>[3]Charters!F400</f>
        <v>0</v>
      </c>
      <c r="D102" s="41">
        <f>[3]Charters!H400</f>
        <v>0</v>
      </c>
      <c r="E102" s="8"/>
      <c r="F102" s="42" t="s">
        <v>25</v>
      </c>
      <c r="G102" s="8"/>
      <c r="H102" s="8"/>
    </row>
    <row r="103" spans="1:8" x14ac:dyDescent="0.2">
      <c r="A103" s="48" t="s">
        <v>56</v>
      </c>
      <c r="B103" s="43"/>
      <c r="C103" s="40">
        <f>[3]Charters!I400</f>
        <v>0</v>
      </c>
      <c r="D103" s="41">
        <f>[3]Charters!K400</f>
        <v>0</v>
      </c>
      <c r="E103" s="8"/>
      <c r="F103" s="42">
        <f>[2]Charters!H89</f>
        <v>180246.16</v>
      </c>
      <c r="G103" s="8"/>
      <c r="H103" s="8"/>
    </row>
    <row r="104" spans="1:8" x14ac:dyDescent="0.2">
      <c r="A104" s="20" t="s">
        <v>49</v>
      </c>
      <c r="B104" s="43"/>
      <c r="C104" s="40">
        <f>[3]Charters!C556</f>
        <v>0</v>
      </c>
      <c r="D104" s="41">
        <f>[3]Charters!E556</f>
        <v>0</v>
      </c>
      <c r="E104" s="8"/>
      <c r="F104" s="42">
        <f>SUM(D97:D105)</f>
        <v>180246.16</v>
      </c>
      <c r="G104" s="8"/>
      <c r="H104" s="8"/>
    </row>
    <row r="105" spans="1:8" x14ac:dyDescent="0.2">
      <c r="A105" s="20" t="s">
        <v>50</v>
      </c>
      <c r="B105" s="43"/>
      <c r="C105" s="40">
        <f>[2]Charters!C89</f>
        <v>11.144</v>
      </c>
      <c r="D105" s="41">
        <f>[2]Charters!E89</f>
        <v>35481.360000000001</v>
      </c>
      <c r="E105" s="8"/>
      <c r="F105" s="42">
        <f>+F103-F104</f>
        <v>0</v>
      </c>
      <c r="G105" s="8"/>
      <c r="H105" s="8"/>
    </row>
    <row r="106" spans="1:8" x14ac:dyDescent="0.2">
      <c r="A106" s="50"/>
      <c r="B106" s="51" t="s">
        <v>16</v>
      </c>
      <c r="C106" s="52">
        <f>SUM(C93:C105)</f>
        <v>167.83500000000001</v>
      </c>
      <c r="D106" s="53">
        <f>SUM(D93:D105)</f>
        <v>534389.02</v>
      </c>
      <c r="E106" s="8"/>
      <c r="F106" s="8"/>
      <c r="G106" s="8"/>
      <c r="H106" s="8"/>
    </row>
    <row r="107" spans="1:8" x14ac:dyDescent="0.2">
      <c r="A107" s="54" t="s">
        <v>17</v>
      </c>
      <c r="B107" s="39"/>
      <c r="C107" s="55"/>
      <c r="D107" s="47"/>
      <c r="E107" s="8"/>
      <c r="F107" s="8"/>
      <c r="G107" s="8"/>
      <c r="H107" s="42" t="s">
        <v>29</v>
      </c>
    </row>
    <row r="108" spans="1:8" x14ac:dyDescent="0.2">
      <c r="A108" s="20" t="s">
        <v>33</v>
      </c>
      <c r="B108" s="43"/>
      <c r="C108" s="56"/>
      <c r="D108" s="57">
        <f>[4]Charters!C89</f>
        <v>1548.91</v>
      </c>
      <c r="E108" s="8"/>
      <c r="F108" s="8"/>
      <c r="G108" s="8"/>
      <c r="H108" s="42">
        <f>[4]Charters!F1029</f>
        <v>856168.35</v>
      </c>
    </row>
    <row r="109" spans="1:8" x14ac:dyDescent="0.2">
      <c r="A109" s="58" t="s">
        <v>35</v>
      </c>
      <c r="B109" s="43"/>
      <c r="C109" s="56"/>
      <c r="D109" s="41">
        <f>+[4]Charters!F410</f>
        <v>502.72</v>
      </c>
      <c r="E109" s="8"/>
      <c r="F109" s="8"/>
      <c r="G109" s="8"/>
      <c r="H109" s="42">
        <f>SUM(D106:D125)</f>
        <v>856168.35</v>
      </c>
    </row>
    <row r="110" spans="1:8" x14ac:dyDescent="0.2">
      <c r="A110" s="59" t="s">
        <v>36</v>
      </c>
      <c r="B110" s="43"/>
      <c r="C110" s="56"/>
      <c r="D110" s="41">
        <f>[4]Charters!E249</f>
        <v>12489</v>
      </c>
      <c r="E110" s="8"/>
      <c r="F110" s="8"/>
      <c r="G110" s="8"/>
      <c r="H110" s="42">
        <f>+H108-H109</f>
        <v>0</v>
      </c>
    </row>
    <row r="111" spans="1:8" x14ac:dyDescent="0.2">
      <c r="A111" s="59" t="s">
        <v>52</v>
      </c>
      <c r="B111" s="43"/>
      <c r="C111" s="56"/>
      <c r="D111" s="41">
        <f>[4]Charters!G410</f>
        <v>0</v>
      </c>
      <c r="E111" s="8"/>
      <c r="F111" s="42" t="s">
        <v>27</v>
      </c>
      <c r="G111" s="8"/>
      <c r="H111" s="42"/>
    </row>
    <row r="112" spans="1:8" x14ac:dyDescent="0.2">
      <c r="A112" s="20" t="s">
        <v>37</v>
      </c>
      <c r="B112" s="43"/>
      <c r="C112" s="56"/>
      <c r="D112" s="41">
        <f>[4]Charters!E566</f>
        <v>20996</v>
      </c>
      <c r="E112" s="8"/>
      <c r="F112" s="42">
        <f>[4]Charters!E249</f>
        <v>12489</v>
      </c>
      <c r="G112" s="8"/>
      <c r="H112" s="8"/>
    </row>
    <row r="113" spans="1:8" x14ac:dyDescent="0.2">
      <c r="A113" s="20" t="s">
        <v>38</v>
      </c>
      <c r="B113" s="43"/>
      <c r="C113" s="56"/>
      <c r="D113" s="41">
        <f>[4]Charters!F566</f>
        <v>859</v>
      </c>
      <c r="E113" s="8"/>
      <c r="F113" s="42">
        <f>SUM(D110:D110)</f>
        <v>12489</v>
      </c>
      <c r="G113" s="8"/>
      <c r="H113" s="8"/>
    </row>
    <row r="114" spans="1:8" x14ac:dyDescent="0.2">
      <c r="A114" s="59" t="s">
        <v>40</v>
      </c>
      <c r="B114" s="43"/>
      <c r="C114" s="56"/>
      <c r="D114" s="41">
        <f>[4]Charters!G566</f>
        <v>0</v>
      </c>
      <c r="E114" s="8"/>
      <c r="F114" s="42">
        <f>+F112-F113</f>
        <v>0</v>
      </c>
      <c r="G114" s="8"/>
      <c r="H114" s="8"/>
    </row>
    <row r="115" spans="1:8" x14ac:dyDescent="0.2">
      <c r="A115" s="20" t="s">
        <v>41</v>
      </c>
      <c r="B115" s="43"/>
      <c r="C115" s="56"/>
      <c r="D115" s="41">
        <f>[4]Charters!C720</f>
        <v>226113</v>
      </c>
      <c r="E115" s="8"/>
      <c r="F115" s="42" t="s">
        <v>28</v>
      </c>
      <c r="G115" s="8"/>
      <c r="H115" s="8"/>
    </row>
    <row r="116" spans="1:8" x14ac:dyDescent="0.2">
      <c r="A116" s="20" t="s">
        <v>42</v>
      </c>
      <c r="B116" s="43"/>
      <c r="C116" s="56"/>
      <c r="D116" s="41">
        <f>[4]Charters!D720</f>
        <v>42214.400000000001</v>
      </c>
      <c r="E116" s="8"/>
      <c r="F116" s="42">
        <f>[4]Charters!D566</f>
        <v>12991.72</v>
      </c>
      <c r="G116" s="8"/>
      <c r="H116" s="8"/>
    </row>
    <row r="117" spans="1:8" x14ac:dyDescent="0.2">
      <c r="A117" s="20" t="s">
        <v>44</v>
      </c>
      <c r="B117" s="43"/>
      <c r="C117" s="56"/>
      <c r="D117" s="41">
        <f>[4]Charters!E720</f>
        <v>11300</v>
      </c>
      <c r="E117" s="8"/>
      <c r="F117" s="42">
        <f>SUM(D109:D111)</f>
        <v>12991.72</v>
      </c>
      <c r="G117" s="8"/>
      <c r="H117" s="8"/>
    </row>
    <row r="118" spans="1:8" x14ac:dyDescent="0.2">
      <c r="A118" s="59" t="s">
        <v>43</v>
      </c>
      <c r="B118" s="43"/>
      <c r="C118" s="56"/>
      <c r="D118" s="41">
        <f>[4]Charters!F720</f>
        <v>5412.22</v>
      </c>
      <c r="E118" s="8"/>
      <c r="F118" s="42">
        <f>+F116-F117</f>
        <v>0</v>
      </c>
      <c r="G118" s="8"/>
      <c r="H118" s="8"/>
    </row>
    <row r="119" spans="1:8" x14ac:dyDescent="0.2">
      <c r="A119" s="59" t="s">
        <v>45</v>
      </c>
      <c r="B119" s="43"/>
      <c r="C119" s="56"/>
      <c r="D119" s="41">
        <f>[4]Charters!C566</f>
        <v>0</v>
      </c>
      <c r="E119" s="8"/>
      <c r="F119" s="8"/>
      <c r="G119" s="8"/>
      <c r="H119" s="8"/>
    </row>
    <row r="120" spans="1:8" x14ac:dyDescent="0.2">
      <c r="A120" s="59" t="s">
        <v>46</v>
      </c>
      <c r="B120" s="43"/>
      <c r="C120" s="56"/>
      <c r="D120" s="41">
        <f>[4]Charters!C876</f>
        <v>0</v>
      </c>
      <c r="E120" s="42"/>
      <c r="F120" s="42"/>
      <c r="G120" s="42"/>
      <c r="H120" s="42" t="s">
        <v>31</v>
      </c>
    </row>
    <row r="121" spans="1:8" x14ac:dyDescent="0.2">
      <c r="A121" s="59" t="s">
        <v>51</v>
      </c>
      <c r="B121" s="43"/>
      <c r="C121" s="56"/>
      <c r="D121" s="60">
        <f>[4]Charters!D876</f>
        <v>344.08</v>
      </c>
      <c r="E121" s="42"/>
      <c r="F121" s="42"/>
      <c r="G121" s="42"/>
      <c r="H121" s="42">
        <f>[4]Charters!D1335</f>
        <v>857671.02</v>
      </c>
    </row>
    <row r="122" spans="1:8" x14ac:dyDescent="0.2">
      <c r="A122" s="20" t="s">
        <v>47</v>
      </c>
      <c r="B122" s="43"/>
      <c r="C122" s="56"/>
      <c r="D122" s="60">
        <f>[4]Charters!E876</f>
        <v>0</v>
      </c>
      <c r="E122" s="42"/>
      <c r="F122" s="42"/>
      <c r="G122" s="42"/>
      <c r="H122" s="42">
        <f>D131</f>
        <v>857671.02</v>
      </c>
    </row>
    <row r="123" spans="1:8" x14ac:dyDescent="0.2">
      <c r="A123" s="20" t="s">
        <v>57</v>
      </c>
      <c r="B123" s="43"/>
      <c r="C123" s="56"/>
      <c r="D123" s="60">
        <f>[4]Charters!C1029</f>
        <v>0</v>
      </c>
      <c r="E123" s="42"/>
      <c r="F123" s="42"/>
      <c r="G123" s="42"/>
      <c r="H123" s="42">
        <f>+H121-H122</f>
        <v>0</v>
      </c>
    </row>
    <row r="124" spans="1:8" x14ac:dyDescent="0.2">
      <c r="A124" s="59" t="s">
        <v>53</v>
      </c>
      <c r="B124" s="43"/>
      <c r="C124" s="56"/>
      <c r="D124" s="60">
        <f>[4]Charters!D1029</f>
        <v>0</v>
      </c>
      <c r="E124" s="42"/>
      <c r="F124" s="42" t="s">
        <v>30</v>
      </c>
      <c r="G124" s="42"/>
      <c r="H124" s="42"/>
    </row>
    <row r="125" spans="1:8" x14ac:dyDescent="0.2">
      <c r="A125" s="59" t="s">
        <v>59</v>
      </c>
      <c r="B125" s="43"/>
      <c r="C125" s="56"/>
      <c r="D125" s="60">
        <f>[4]Charters!E1029</f>
        <v>0</v>
      </c>
      <c r="E125" s="42"/>
      <c r="F125" s="42"/>
      <c r="G125" s="42"/>
      <c r="H125" s="42"/>
    </row>
    <row r="126" spans="1:8" x14ac:dyDescent="0.2">
      <c r="A126" s="38" t="s">
        <v>18</v>
      </c>
      <c r="B126" s="61"/>
      <c r="C126" s="62"/>
      <c r="D126" s="87"/>
      <c r="E126" s="42"/>
      <c r="F126" s="42">
        <f>[4]Charters!C1335</f>
        <v>1502.67</v>
      </c>
      <c r="G126" s="42"/>
      <c r="H126" s="42"/>
    </row>
    <row r="127" spans="1:8" x14ac:dyDescent="0.2">
      <c r="A127" s="59" t="s">
        <v>39</v>
      </c>
      <c r="B127" s="43"/>
      <c r="C127" s="56"/>
      <c r="D127" s="41">
        <f>[4]Charters!C1182</f>
        <v>1502.67</v>
      </c>
      <c r="E127" s="42"/>
      <c r="F127" s="42">
        <f>SUM(D127:D130)</f>
        <v>1502.67</v>
      </c>
      <c r="G127" s="42"/>
      <c r="H127" s="42"/>
    </row>
    <row r="128" spans="1:8" x14ac:dyDescent="0.2">
      <c r="A128" s="59" t="s">
        <v>48</v>
      </c>
      <c r="B128" s="43"/>
      <c r="C128" s="56"/>
      <c r="D128" s="41">
        <f>[4]Charters!D1182</f>
        <v>0</v>
      </c>
      <c r="E128" s="42"/>
      <c r="F128" s="42">
        <f>+F126-F127</f>
        <v>0</v>
      </c>
      <c r="G128" s="42"/>
      <c r="H128" s="42"/>
    </row>
    <row r="129" spans="1:8" x14ac:dyDescent="0.2">
      <c r="A129" s="59" t="s">
        <v>60</v>
      </c>
      <c r="B129" s="43"/>
      <c r="C129" s="56"/>
      <c r="D129" s="41">
        <f>[4]Charters!E1182</f>
        <v>0</v>
      </c>
      <c r="E129" s="42"/>
      <c r="F129" s="42"/>
      <c r="G129" s="42"/>
      <c r="H129" s="42"/>
    </row>
    <row r="130" spans="1:8" x14ac:dyDescent="0.2">
      <c r="A130" s="59" t="s">
        <v>61</v>
      </c>
      <c r="B130" s="43"/>
      <c r="C130" s="56"/>
      <c r="D130" s="41">
        <f>[4]Charters!F1182</f>
        <v>0</v>
      </c>
      <c r="E130" s="42"/>
      <c r="F130" s="42"/>
      <c r="G130" s="42"/>
      <c r="H130" s="42"/>
    </row>
    <row r="131" spans="1:8" ht="13.5" thickBot="1" x14ac:dyDescent="0.25">
      <c r="A131" s="64"/>
      <c r="B131" s="65"/>
      <c r="C131" s="66"/>
      <c r="D131" s="67">
        <f>SUM(D106:D130)</f>
        <v>857671.02</v>
      </c>
      <c r="E131" s="42"/>
      <c r="F131" s="42"/>
      <c r="G131" s="42"/>
      <c r="H131" s="42"/>
    </row>
    <row r="132" spans="1:8" ht="13.5" thickTop="1" x14ac:dyDescent="0.2">
      <c r="A132" s="68"/>
      <c r="B132" s="43"/>
      <c r="C132" s="56"/>
      <c r="D132" s="86"/>
      <c r="E132" s="42"/>
      <c r="F132" s="42"/>
      <c r="G132" s="42"/>
      <c r="H132" s="42"/>
    </row>
    <row r="133" spans="1:8" x14ac:dyDescent="0.2">
      <c r="A133" s="38" t="s">
        <v>20</v>
      </c>
      <c r="B133" s="39"/>
      <c r="C133" s="70"/>
      <c r="D133" s="71" t="s">
        <v>21</v>
      </c>
      <c r="E133" s="42"/>
      <c r="F133" s="42"/>
      <c r="G133" s="42"/>
      <c r="H133" s="42"/>
    </row>
    <row r="134" spans="1:8" x14ac:dyDescent="0.2">
      <c r="A134" s="72" t="s">
        <v>22</v>
      </c>
      <c r="B134" s="73"/>
      <c r="C134" s="74"/>
      <c r="D134" s="41">
        <f>[5]Charters!C88</f>
        <v>375.16</v>
      </c>
      <c r="E134" s="42"/>
      <c r="F134" s="42"/>
      <c r="G134" s="42"/>
      <c r="H134" s="42"/>
    </row>
    <row r="135" spans="1:8" x14ac:dyDescent="0.2">
      <c r="A135" s="75"/>
      <c r="B135" s="61"/>
      <c r="C135" s="76"/>
      <c r="D135" s="77">
        <f>SUM(D134:D134)</f>
        <v>375.16</v>
      </c>
      <c r="E135" s="42"/>
      <c r="F135" s="42"/>
      <c r="G135" s="42"/>
      <c r="H135" s="42"/>
    </row>
    <row r="136" spans="1:8" x14ac:dyDescent="0.2">
      <c r="A136" s="78" t="s">
        <v>58</v>
      </c>
      <c r="B136" s="79"/>
      <c r="C136" s="80"/>
      <c r="D136" s="77">
        <f>D135+D131</f>
        <v>858046.18</v>
      </c>
      <c r="E136" s="42"/>
      <c r="F136" s="42"/>
      <c r="G136" s="42"/>
      <c r="H136" s="42"/>
    </row>
    <row r="137" spans="1:8" x14ac:dyDescent="0.2">
      <c r="A137" s="84"/>
      <c r="B137" s="84"/>
      <c r="C137" s="85"/>
      <c r="D137" s="81"/>
      <c r="E137" s="42"/>
      <c r="F137" s="42"/>
      <c r="G137" s="42"/>
      <c r="H137" s="42"/>
    </row>
    <row r="138" spans="1:8" x14ac:dyDescent="0.2">
      <c r="A138" s="84"/>
      <c r="B138" s="84"/>
      <c r="C138" s="85"/>
      <c r="D138" s="81">
        <f>[5]Charters!E244</f>
        <v>858046.18</v>
      </c>
      <c r="E138" s="42"/>
      <c r="F138" s="42"/>
      <c r="G138" s="42"/>
      <c r="H138" s="42"/>
    </row>
    <row r="139" spans="1:8" x14ac:dyDescent="0.2">
      <c r="A139" s="84"/>
      <c r="B139" s="84"/>
      <c r="C139" s="85"/>
      <c r="D139" s="81">
        <f>D136</f>
        <v>858046.18</v>
      </c>
      <c r="E139" s="42"/>
      <c r="F139" s="42"/>
      <c r="G139" s="42"/>
      <c r="H139" s="42"/>
    </row>
    <row r="140" spans="1:8" x14ac:dyDescent="0.2">
      <c r="C140" s="83"/>
      <c r="D140" s="42">
        <f>D138-D139</f>
        <v>0</v>
      </c>
      <c r="E140" s="42"/>
      <c r="F140" s="42"/>
      <c r="G140" s="42"/>
      <c r="H140" s="42"/>
    </row>
  </sheetData>
  <mergeCells count="4">
    <mergeCell ref="A136:C136"/>
    <mergeCell ref="A84:D84"/>
    <mergeCell ref="A83:D83"/>
    <mergeCell ref="A82:D82"/>
  </mergeCells>
  <printOptions horizontalCentered="1" verticalCentered="1"/>
  <pageMargins left="0.5" right="0.5" top="0.5" bottom="0.5" header="0.25" footer="0.25"/>
  <pageSetup orientation="portrait" r:id="rId1"/>
  <headerFooter alignWithMargins="0">
    <oddHeader>&amp;R&amp;8Current as of: &amp;D</oddHeader>
    <oddFooter>&amp;L&amp;8USOE, School Finance</oddFooter>
  </headerFooter>
  <picture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sheetPr>
    <pageSetUpPr fitToPage="1"/>
  </sheetPr>
  <dimension ref="A1:H141"/>
  <sheetViews>
    <sheetView topLeftCell="A77" workbookViewId="0">
      <selection activeCell="C12" sqref="C12"/>
    </sheetView>
  </sheetViews>
  <sheetFormatPr defaultColWidth="9.140625" defaultRowHeight="12.75" x14ac:dyDescent="0.2"/>
  <cols>
    <col min="1" max="1" width="31.85546875" style="82" customWidth="1"/>
    <col min="2" max="2" width="16.140625" style="82" customWidth="1"/>
    <col min="3" max="4" width="14.85546875" style="82" customWidth="1"/>
    <col min="5" max="5" width="7" style="82" customWidth="1"/>
    <col min="6" max="6" width="19.7109375" style="82" customWidth="1"/>
    <col min="7" max="7" width="5.7109375" style="82" customWidth="1"/>
    <col min="8" max="8" width="18.140625" style="82" customWidth="1"/>
    <col min="9" max="16384" width="9.140625" style="82"/>
  </cols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"/>
      <c r="B3" s="1"/>
      <c r="C3" s="1"/>
      <c r="D3" s="1"/>
      <c r="E3" s="1"/>
      <c r="F3" s="1"/>
      <c r="G3" s="1"/>
      <c r="H3" s="1"/>
    </row>
    <row r="4" spans="1:8" x14ac:dyDescent="0.2">
      <c r="A4" s="1"/>
      <c r="B4" s="1"/>
      <c r="C4" s="1"/>
      <c r="D4" s="1"/>
      <c r="E4" s="1"/>
      <c r="F4" s="1"/>
      <c r="G4" s="1"/>
      <c r="H4" s="1"/>
    </row>
    <row r="5" spans="1:8" x14ac:dyDescent="0.2">
      <c r="A5" s="1"/>
      <c r="B5" s="1"/>
      <c r="C5" s="1"/>
      <c r="D5" s="1"/>
      <c r="E5" s="1"/>
      <c r="F5" s="1"/>
      <c r="G5" s="1"/>
      <c r="H5" s="1"/>
    </row>
    <row r="6" spans="1:8" x14ac:dyDescent="0.2">
      <c r="A6" s="1"/>
      <c r="B6" s="1"/>
      <c r="C6" s="1"/>
      <c r="D6" s="1"/>
      <c r="E6" s="1"/>
      <c r="F6" s="1"/>
      <c r="G6" s="1"/>
      <c r="H6" s="1"/>
    </row>
    <row r="7" spans="1:8" x14ac:dyDescent="0.2">
      <c r="A7" s="1"/>
      <c r="B7" s="1"/>
      <c r="C7" s="1"/>
      <c r="D7" s="1"/>
      <c r="E7" s="1"/>
      <c r="F7" s="1"/>
      <c r="G7" s="1"/>
      <c r="H7" s="1"/>
    </row>
    <row r="8" spans="1:8" x14ac:dyDescent="0.2">
      <c r="A8" s="1"/>
      <c r="B8" s="1"/>
      <c r="C8" s="1"/>
      <c r="D8" s="1"/>
      <c r="E8" s="1"/>
      <c r="F8" s="1"/>
      <c r="G8" s="1"/>
      <c r="H8" s="1"/>
    </row>
    <row r="9" spans="1:8" x14ac:dyDescent="0.2">
      <c r="A9" s="1"/>
      <c r="B9" s="1"/>
      <c r="C9" s="1"/>
      <c r="D9" s="1"/>
      <c r="E9" s="1"/>
      <c r="F9" s="1"/>
      <c r="G9" s="1"/>
      <c r="H9" s="1"/>
    </row>
    <row r="10" spans="1:8" x14ac:dyDescent="0.2">
      <c r="A10" s="1"/>
      <c r="B10" s="1"/>
      <c r="C10" s="1"/>
      <c r="D10" s="1"/>
      <c r="E10" s="1"/>
      <c r="F10" s="1"/>
      <c r="G10" s="1"/>
      <c r="H10" s="1"/>
    </row>
    <row r="11" spans="1:8" x14ac:dyDescent="0.2">
      <c r="A11" s="1"/>
      <c r="B11" s="1"/>
      <c r="C11" s="1"/>
      <c r="D11" s="1"/>
      <c r="E11" s="1"/>
      <c r="F11" s="1"/>
      <c r="G11" s="1"/>
      <c r="H11" s="1"/>
    </row>
    <row r="12" spans="1:8" x14ac:dyDescent="0.2">
      <c r="A12" s="1"/>
      <c r="B12" s="1"/>
      <c r="C12" s="1"/>
      <c r="D12" s="1"/>
      <c r="E12" s="1"/>
      <c r="F12" s="1"/>
      <c r="G12" s="1"/>
      <c r="H12" s="1"/>
    </row>
    <row r="13" spans="1:8" x14ac:dyDescent="0.2">
      <c r="A13" s="1"/>
      <c r="B13" s="1"/>
      <c r="C13" s="1"/>
      <c r="D13" s="1"/>
      <c r="E13" s="1"/>
      <c r="F13" s="1"/>
      <c r="G13" s="1"/>
      <c r="H13" s="1"/>
    </row>
    <row r="14" spans="1:8" x14ac:dyDescent="0.2">
      <c r="A14" s="1"/>
      <c r="B14" s="1"/>
      <c r="C14" s="1"/>
      <c r="D14" s="1"/>
      <c r="E14" s="1"/>
      <c r="F14" s="1"/>
      <c r="G14" s="1"/>
      <c r="H14" s="1"/>
    </row>
    <row r="15" spans="1:8" x14ac:dyDescent="0.2">
      <c r="A15" s="1"/>
      <c r="B15" s="1"/>
      <c r="C15" s="1"/>
      <c r="D15" s="1"/>
      <c r="E15" s="1"/>
      <c r="F15" s="1"/>
      <c r="G15" s="1"/>
      <c r="H15" s="1"/>
    </row>
    <row r="16" spans="1:8" x14ac:dyDescent="0.2">
      <c r="A16" s="1"/>
      <c r="B16" s="1"/>
      <c r="C16" s="1"/>
      <c r="D16" s="1"/>
      <c r="E16" s="1"/>
      <c r="F16" s="1"/>
      <c r="G16" s="1"/>
      <c r="H16" s="1"/>
    </row>
    <row r="17" spans="1:8" x14ac:dyDescent="0.2">
      <c r="A17" s="1"/>
      <c r="B17" s="1"/>
      <c r="C17" s="1"/>
      <c r="D17" s="1"/>
      <c r="E17" s="1"/>
      <c r="F17" s="1"/>
      <c r="G17" s="1"/>
      <c r="H17" s="1"/>
    </row>
    <row r="18" spans="1:8" x14ac:dyDescent="0.2">
      <c r="A18" s="1"/>
      <c r="B18" s="1"/>
      <c r="C18" s="1"/>
      <c r="D18" s="1"/>
      <c r="E18" s="1"/>
      <c r="F18" s="1"/>
      <c r="G18" s="1"/>
      <c r="H18" s="1"/>
    </row>
    <row r="19" spans="1:8" x14ac:dyDescent="0.2">
      <c r="A19" s="1"/>
      <c r="B19" s="1"/>
      <c r="C19" s="1"/>
      <c r="D19" s="1"/>
      <c r="E19" s="1"/>
      <c r="F19" s="1"/>
      <c r="G19" s="1"/>
      <c r="H19" s="1"/>
    </row>
    <row r="20" spans="1:8" x14ac:dyDescent="0.2">
      <c r="A20" s="1"/>
      <c r="B20" s="1"/>
      <c r="C20" s="1"/>
      <c r="D20" s="1"/>
      <c r="E20" s="1"/>
      <c r="F20" s="1"/>
      <c r="G20" s="1"/>
      <c r="H20" s="1"/>
    </row>
    <row r="21" spans="1:8" x14ac:dyDescent="0.2">
      <c r="A21" s="1"/>
      <c r="B21" s="1"/>
      <c r="C21" s="1"/>
      <c r="D21" s="1"/>
      <c r="E21" s="1"/>
      <c r="F21" s="1"/>
      <c r="G21" s="1"/>
      <c r="H21" s="1"/>
    </row>
    <row r="22" spans="1:8" x14ac:dyDescent="0.2">
      <c r="A22" s="1"/>
      <c r="B22" s="1"/>
      <c r="C22" s="1"/>
      <c r="D22" s="4"/>
      <c r="E22" s="1"/>
      <c r="F22" s="1"/>
      <c r="G22" s="1"/>
      <c r="H22" s="1"/>
    </row>
    <row r="23" spans="1:8" x14ac:dyDescent="0.2">
      <c r="A23" s="1"/>
      <c r="B23" s="1"/>
      <c r="C23" s="1"/>
      <c r="D23" s="1"/>
      <c r="E23" s="1"/>
      <c r="F23" s="1"/>
      <c r="G23" s="1"/>
      <c r="H23" s="1"/>
    </row>
    <row r="24" spans="1:8" x14ac:dyDescent="0.2">
      <c r="A24" s="1"/>
      <c r="B24" s="1"/>
      <c r="C24" s="1"/>
      <c r="D24" s="1"/>
      <c r="E24" s="1"/>
      <c r="F24" s="1"/>
      <c r="G24" s="1"/>
      <c r="H24" s="1"/>
    </row>
    <row r="25" spans="1:8" x14ac:dyDescent="0.2">
      <c r="A25" s="1"/>
      <c r="B25" s="1"/>
      <c r="C25" s="1"/>
      <c r="D25" s="1"/>
      <c r="E25" s="1"/>
      <c r="F25" s="1"/>
      <c r="G25" s="1"/>
      <c r="H25" s="1"/>
    </row>
    <row r="26" spans="1:8" x14ac:dyDescent="0.2">
      <c r="A26" s="1"/>
      <c r="B26" s="1"/>
      <c r="C26" s="1"/>
      <c r="D26" s="1"/>
      <c r="E26" s="1"/>
      <c r="F26" s="1"/>
      <c r="G26" s="1"/>
      <c r="H26" s="1"/>
    </row>
    <row r="27" spans="1:8" x14ac:dyDescent="0.2">
      <c r="A27" s="1"/>
      <c r="B27" s="1"/>
      <c r="C27" s="1"/>
      <c r="D27" s="1"/>
      <c r="E27" s="1"/>
      <c r="F27" s="1"/>
      <c r="G27" s="1"/>
      <c r="H27" s="1"/>
    </row>
    <row r="28" spans="1:8" x14ac:dyDescent="0.2">
      <c r="A28" s="1"/>
      <c r="B28" s="1"/>
      <c r="C28" s="1"/>
      <c r="D28" s="1"/>
      <c r="E28" s="1"/>
      <c r="F28" s="1"/>
      <c r="G28" s="1"/>
      <c r="H28" s="1"/>
    </row>
    <row r="29" spans="1:8" x14ac:dyDescent="0.2">
      <c r="A29" s="1"/>
      <c r="B29" s="1"/>
      <c r="C29" s="1"/>
      <c r="D29" s="1"/>
      <c r="E29" s="1"/>
      <c r="F29" s="1"/>
      <c r="G29" s="1"/>
      <c r="H29" s="1"/>
    </row>
    <row r="30" spans="1:8" x14ac:dyDescent="0.2">
      <c r="A30" s="1"/>
      <c r="B30" s="1"/>
      <c r="C30" s="1"/>
      <c r="D30" s="1"/>
      <c r="E30" s="1"/>
      <c r="F30" s="1"/>
      <c r="G30" s="1"/>
      <c r="H30" s="1"/>
    </row>
    <row r="31" spans="1:8" x14ac:dyDescent="0.2">
      <c r="A31" s="1"/>
      <c r="B31" s="1"/>
      <c r="C31" s="1"/>
      <c r="D31" s="1"/>
      <c r="E31" s="1"/>
      <c r="F31" s="1"/>
      <c r="G31" s="1"/>
      <c r="H31" s="1"/>
    </row>
    <row r="32" spans="1:8" x14ac:dyDescent="0.2">
      <c r="A32" s="1"/>
      <c r="B32" s="1"/>
      <c r="C32" s="1"/>
      <c r="D32" s="1"/>
      <c r="E32" s="1"/>
      <c r="F32" s="1"/>
      <c r="G32" s="1"/>
      <c r="H32" s="1"/>
    </row>
    <row r="33" spans="1:8" x14ac:dyDescent="0.2">
      <c r="A33" s="1"/>
      <c r="B33" s="1"/>
      <c r="C33" s="1"/>
      <c r="D33" s="1"/>
      <c r="E33" s="1"/>
      <c r="F33" s="1"/>
      <c r="G33" s="1"/>
      <c r="H33" s="1"/>
    </row>
    <row r="34" spans="1:8" x14ac:dyDescent="0.2">
      <c r="A34" s="1"/>
      <c r="B34" s="1"/>
      <c r="C34" s="1"/>
      <c r="D34" s="1"/>
      <c r="E34" s="1"/>
      <c r="F34" s="1"/>
      <c r="G34" s="1"/>
      <c r="H34" s="1"/>
    </row>
    <row r="35" spans="1:8" x14ac:dyDescent="0.2">
      <c r="A35" s="1"/>
      <c r="B35" s="1"/>
      <c r="C35" s="1"/>
      <c r="D35" s="1"/>
      <c r="E35" s="1"/>
      <c r="F35" s="1"/>
      <c r="G35" s="1"/>
      <c r="H35" s="1"/>
    </row>
    <row r="36" spans="1:8" x14ac:dyDescent="0.2">
      <c r="A36" s="1"/>
      <c r="B36" s="1"/>
      <c r="C36" s="1"/>
      <c r="D36" s="1"/>
      <c r="E36" s="1"/>
      <c r="F36" s="1"/>
      <c r="G36" s="1"/>
      <c r="H36" s="1"/>
    </row>
    <row r="37" spans="1:8" x14ac:dyDescent="0.2">
      <c r="A37" s="1"/>
      <c r="B37" s="1"/>
      <c r="C37" s="1"/>
      <c r="D37" s="1"/>
      <c r="E37" s="1"/>
      <c r="F37" s="1"/>
      <c r="G37" s="1"/>
      <c r="H37" s="1"/>
    </row>
    <row r="38" spans="1:8" x14ac:dyDescent="0.2">
      <c r="A38" s="1"/>
      <c r="B38" s="1"/>
      <c r="C38" s="1"/>
      <c r="D38" s="1"/>
      <c r="E38" s="1"/>
      <c r="F38" s="1"/>
      <c r="G38" s="1"/>
      <c r="H38" s="1"/>
    </row>
    <row r="39" spans="1:8" x14ac:dyDescent="0.2">
      <c r="A39" s="1"/>
      <c r="B39" s="1"/>
      <c r="C39" s="1"/>
      <c r="D39" s="1"/>
      <c r="E39" s="1"/>
      <c r="F39" s="1"/>
      <c r="G39" s="1"/>
      <c r="H39" s="1"/>
    </row>
    <row r="40" spans="1:8" x14ac:dyDescent="0.2">
      <c r="A40" s="1"/>
      <c r="B40" s="1"/>
      <c r="C40" s="1"/>
      <c r="D40" s="1"/>
      <c r="E40" s="1"/>
      <c r="F40" s="1"/>
      <c r="G40" s="1"/>
      <c r="H40" s="1"/>
    </row>
    <row r="41" spans="1:8" x14ac:dyDescent="0.2">
      <c r="A41" s="1"/>
      <c r="B41" s="1"/>
      <c r="C41" s="1"/>
      <c r="D41" s="1"/>
      <c r="E41" s="1"/>
      <c r="F41" s="1"/>
      <c r="G41" s="1"/>
      <c r="H41" s="1"/>
    </row>
    <row r="42" spans="1:8" x14ac:dyDescent="0.2">
      <c r="A42" s="1"/>
      <c r="B42" s="1"/>
      <c r="C42" s="1"/>
      <c r="D42" s="1"/>
      <c r="E42" s="1"/>
      <c r="F42" s="1"/>
      <c r="G42" s="1"/>
      <c r="H42" s="1"/>
    </row>
    <row r="43" spans="1:8" x14ac:dyDescent="0.2">
      <c r="A43" s="1"/>
      <c r="B43" s="1"/>
      <c r="C43" s="1"/>
      <c r="D43" s="1"/>
      <c r="E43" s="1"/>
      <c r="F43" s="1"/>
      <c r="G43" s="1"/>
      <c r="H43" s="1"/>
    </row>
    <row r="44" spans="1:8" x14ac:dyDescent="0.2">
      <c r="A44" s="1"/>
      <c r="B44" s="1"/>
      <c r="C44" s="1"/>
      <c r="D44" s="1"/>
      <c r="E44" s="1"/>
      <c r="F44" s="1"/>
      <c r="G44" s="1"/>
      <c r="H44" s="1"/>
    </row>
    <row r="45" spans="1:8" x14ac:dyDescent="0.2">
      <c r="A45" s="1"/>
      <c r="B45" s="1"/>
      <c r="C45" s="1"/>
      <c r="D45" s="1"/>
      <c r="E45" s="1"/>
      <c r="F45" s="1"/>
      <c r="G45" s="1"/>
      <c r="H45" s="1"/>
    </row>
    <row r="46" spans="1:8" x14ac:dyDescent="0.2">
      <c r="A46" s="1"/>
      <c r="B46" s="1"/>
      <c r="C46" s="1"/>
      <c r="D46" s="1"/>
      <c r="E46" s="1"/>
      <c r="F46" s="1"/>
      <c r="G46" s="1"/>
      <c r="H46" s="1"/>
    </row>
    <row r="47" spans="1:8" x14ac:dyDescent="0.2">
      <c r="A47" s="1"/>
      <c r="B47" s="1"/>
      <c r="C47" s="1"/>
      <c r="D47" s="1"/>
      <c r="E47" s="1"/>
      <c r="F47" s="1"/>
      <c r="G47" s="1"/>
      <c r="H47" s="1"/>
    </row>
    <row r="48" spans="1:8" x14ac:dyDescent="0.2">
      <c r="A48" s="1"/>
      <c r="B48" s="1"/>
      <c r="C48" s="1"/>
      <c r="D48" s="1"/>
      <c r="E48" s="1"/>
      <c r="F48" s="1"/>
      <c r="G48" s="1"/>
      <c r="H48" s="1"/>
    </row>
    <row r="49" spans="1:8" x14ac:dyDescent="0.2">
      <c r="A49" s="1"/>
      <c r="B49" s="1"/>
      <c r="C49" s="1"/>
      <c r="D49" s="1"/>
      <c r="E49" s="1"/>
      <c r="F49" s="1"/>
      <c r="G49" s="1"/>
      <c r="H49" s="1"/>
    </row>
    <row r="50" spans="1:8" x14ac:dyDescent="0.2">
      <c r="A50" s="1"/>
      <c r="B50" s="1"/>
      <c r="C50" s="1"/>
      <c r="D50" s="1"/>
      <c r="E50" s="1"/>
      <c r="F50" s="1"/>
      <c r="G50" s="1"/>
      <c r="H50" s="1"/>
    </row>
    <row r="51" spans="1:8" x14ac:dyDescent="0.2">
      <c r="A51" s="1"/>
      <c r="B51" s="1"/>
      <c r="C51" s="1"/>
      <c r="D51" s="1"/>
      <c r="E51" s="1"/>
      <c r="F51" s="1"/>
      <c r="G51" s="1"/>
      <c r="H51" s="1"/>
    </row>
    <row r="52" spans="1:8" x14ac:dyDescent="0.2">
      <c r="A52" s="1"/>
      <c r="B52" s="1"/>
      <c r="C52" s="1"/>
      <c r="D52" s="1"/>
      <c r="E52" s="1"/>
      <c r="F52" s="1"/>
      <c r="G52" s="1"/>
      <c r="H52" s="1"/>
    </row>
    <row r="53" spans="1:8" x14ac:dyDescent="0.2">
      <c r="A53" s="1"/>
      <c r="B53" s="1"/>
      <c r="C53" s="1"/>
      <c r="D53" s="1"/>
      <c r="E53" s="1"/>
      <c r="F53" s="1"/>
      <c r="G53" s="1"/>
      <c r="H53" s="1"/>
    </row>
    <row r="54" spans="1:8" x14ac:dyDescent="0.2">
      <c r="A54" s="1"/>
      <c r="B54" s="1"/>
      <c r="C54" s="1"/>
      <c r="D54" s="1"/>
      <c r="E54" s="1"/>
      <c r="F54" s="1"/>
      <c r="G54" s="1"/>
      <c r="H54" s="1"/>
    </row>
    <row r="55" spans="1:8" x14ac:dyDescent="0.2">
      <c r="A55" s="1"/>
      <c r="B55" s="1"/>
      <c r="C55" s="1"/>
      <c r="D55" s="1"/>
      <c r="E55" s="1"/>
      <c r="F55" s="1"/>
      <c r="G55" s="1"/>
      <c r="H55" s="1"/>
    </row>
    <row r="56" spans="1:8" x14ac:dyDescent="0.2">
      <c r="A56" s="1"/>
      <c r="B56" s="1"/>
      <c r="C56" s="1"/>
      <c r="D56" s="1"/>
      <c r="E56" s="1"/>
      <c r="F56" s="1"/>
      <c r="G56" s="1"/>
      <c r="H56" s="1"/>
    </row>
    <row r="57" spans="1:8" x14ac:dyDescent="0.2">
      <c r="A57" s="1"/>
      <c r="B57" s="1"/>
      <c r="C57" s="1"/>
      <c r="D57" s="1"/>
      <c r="E57" s="1"/>
      <c r="F57" s="1"/>
      <c r="G57" s="1"/>
      <c r="H57" s="1"/>
    </row>
    <row r="58" spans="1:8" x14ac:dyDescent="0.2">
      <c r="A58" s="1"/>
      <c r="B58" s="1"/>
      <c r="C58" s="1"/>
      <c r="D58" s="1"/>
      <c r="E58" s="1"/>
      <c r="F58" s="1"/>
      <c r="G58" s="1"/>
      <c r="H58" s="1"/>
    </row>
    <row r="59" spans="1:8" x14ac:dyDescent="0.2">
      <c r="A59" s="1"/>
      <c r="B59" s="1"/>
      <c r="C59" s="1"/>
      <c r="D59" s="1"/>
      <c r="E59" s="1"/>
      <c r="F59" s="1"/>
      <c r="G59" s="1"/>
      <c r="H59" s="1"/>
    </row>
    <row r="60" spans="1:8" x14ac:dyDescent="0.2">
      <c r="A60" s="1"/>
      <c r="B60" s="1"/>
      <c r="C60" s="1"/>
      <c r="D60" s="1"/>
      <c r="E60" s="1"/>
      <c r="F60" s="1"/>
      <c r="G60" s="1"/>
      <c r="H60" s="1"/>
    </row>
    <row r="61" spans="1:8" x14ac:dyDescent="0.2">
      <c r="A61" s="1"/>
      <c r="B61" s="1"/>
      <c r="C61" s="1"/>
      <c r="D61" s="1"/>
      <c r="E61" s="1"/>
      <c r="F61" s="1"/>
      <c r="G61" s="1"/>
      <c r="H61" s="1"/>
    </row>
    <row r="62" spans="1:8" x14ac:dyDescent="0.2">
      <c r="A62" s="1"/>
      <c r="B62" s="1"/>
      <c r="C62" s="1"/>
      <c r="D62" s="1"/>
      <c r="E62" s="1"/>
      <c r="F62" s="1"/>
      <c r="G62" s="1"/>
      <c r="H62" s="1"/>
    </row>
    <row r="63" spans="1:8" x14ac:dyDescent="0.2">
      <c r="A63" s="1"/>
      <c r="B63" s="1"/>
      <c r="C63" s="1"/>
      <c r="D63" s="1"/>
      <c r="E63" s="1"/>
      <c r="F63" s="1"/>
      <c r="G63" s="1"/>
      <c r="H63" s="1"/>
    </row>
    <row r="64" spans="1:8" x14ac:dyDescent="0.2">
      <c r="A64" s="1"/>
      <c r="B64" s="1"/>
      <c r="C64" s="1"/>
      <c r="D64" s="1"/>
      <c r="E64" s="1"/>
      <c r="F64" s="1"/>
      <c r="G64" s="1"/>
      <c r="H64" s="1"/>
    </row>
    <row r="65" spans="1:8" x14ac:dyDescent="0.2">
      <c r="A65" s="1"/>
      <c r="B65" s="1"/>
      <c r="C65" s="1"/>
      <c r="D65" s="1"/>
      <c r="E65" s="1"/>
      <c r="F65" s="1"/>
      <c r="G65" s="1"/>
      <c r="H65" s="1"/>
    </row>
    <row r="66" spans="1:8" x14ac:dyDescent="0.2">
      <c r="A66" s="1"/>
      <c r="B66" s="1"/>
      <c r="C66" s="1"/>
      <c r="D66" s="1"/>
      <c r="E66" s="1"/>
      <c r="F66" s="1"/>
      <c r="G66" s="1"/>
      <c r="H66" s="1"/>
    </row>
    <row r="67" spans="1:8" x14ac:dyDescent="0.2">
      <c r="A67" s="1"/>
      <c r="B67" s="1"/>
      <c r="C67" s="1"/>
      <c r="D67" s="1"/>
      <c r="E67" s="1"/>
      <c r="F67" s="1"/>
      <c r="G67" s="1"/>
      <c r="H67" s="1"/>
    </row>
    <row r="68" spans="1:8" x14ac:dyDescent="0.2">
      <c r="A68" s="1"/>
      <c r="B68" s="1"/>
      <c r="C68" s="1"/>
      <c r="D68" s="1"/>
      <c r="E68" s="1"/>
      <c r="F68" s="1"/>
      <c r="G68" s="1"/>
      <c r="H68" s="1"/>
    </row>
    <row r="69" spans="1:8" x14ac:dyDescent="0.2">
      <c r="A69" s="1"/>
      <c r="B69" s="1"/>
      <c r="C69" s="1"/>
      <c r="D69" s="1"/>
      <c r="E69" s="1"/>
      <c r="F69" s="1"/>
      <c r="G69" s="1"/>
      <c r="H69" s="1"/>
    </row>
    <row r="70" spans="1:8" x14ac:dyDescent="0.2">
      <c r="A70" s="1"/>
      <c r="B70" s="1"/>
      <c r="C70" s="1"/>
      <c r="D70" s="1"/>
      <c r="E70" s="1"/>
      <c r="F70" s="1"/>
      <c r="G70" s="1"/>
      <c r="H70" s="1"/>
    </row>
    <row r="71" spans="1:8" x14ac:dyDescent="0.2">
      <c r="A71" s="1"/>
      <c r="B71" s="1"/>
      <c r="C71" s="1"/>
      <c r="D71" s="1"/>
      <c r="E71" s="1"/>
      <c r="F71" s="1"/>
      <c r="G71" s="1"/>
      <c r="H71" s="1"/>
    </row>
    <row r="72" spans="1:8" x14ac:dyDescent="0.2">
      <c r="A72" s="1"/>
      <c r="B72" s="1"/>
      <c r="C72" s="1"/>
      <c r="D72" s="1"/>
      <c r="E72" s="1"/>
      <c r="F72" s="1"/>
      <c r="G72" s="1"/>
      <c r="H72" s="1"/>
    </row>
    <row r="73" spans="1:8" x14ac:dyDescent="0.2">
      <c r="A73" s="1"/>
      <c r="B73" s="1"/>
      <c r="C73" s="1"/>
      <c r="D73" s="1"/>
      <c r="E73" s="1"/>
      <c r="F73" s="1"/>
      <c r="G73" s="1"/>
      <c r="H73" s="1"/>
    </row>
    <row r="74" spans="1:8" x14ac:dyDescent="0.2">
      <c r="A74" s="1"/>
      <c r="B74" s="1"/>
      <c r="C74" s="1"/>
      <c r="D74" s="1"/>
      <c r="E74" s="1"/>
      <c r="F74" s="1"/>
      <c r="G74" s="1"/>
      <c r="H74" s="1"/>
    </row>
    <row r="75" spans="1:8" x14ac:dyDescent="0.2">
      <c r="A75" s="1"/>
      <c r="B75" s="1"/>
      <c r="C75" s="1"/>
      <c r="D75" s="1"/>
      <c r="E75" s="1"/>
      <c r="F75" s="1"/>
      <c r="G75" s="1"/>
      <c r="H75" s="1"/>
    </row>
    <row r="76" spans="1:8" x14ac:dyDescent="0.2">
      <c r="A76" s="1"/>
      <c r="B76" s="1"/>
      <c r="C76" s="1"/>
      <c r="D76" s="1"/>
      <c r="E76" s="1"/>
      <c r="F76" s="1"/>
      <c r="G76" s="1"/>
      <c r="H76" s="1"/>
    </row>
    <row r="77" spans="1:8" x14ac:dyDescent="0.2">
      <c r="A77" s="1"/>
      <c r="B77" s="1"/>
      <c r="C77" s="1"/>
      <c r="D77" s="1"/>
      <c r="E77" s="1"/>
      <c r="F77" s="1"/>
      <c r="G77" s="1"/>
      <c r="H77" s="1"/>
    </row>
    <row r="78" spans="1:8" x14ac:dyDescent="0.2">
      <c r="A78" s="1"/>
      <c r="B78" s="1"/>
      <c r="C78" s="1"/>
      <c r="D78" s="1"/>
      <c r="E78" s="1"/>
      <c r="F78" s="1"/>
      <c r="G78" s="1"/>
      <c r="H78" s="1"/>
    </row>
    <row r="79" spans="1:8" x14ac:dyDescent="0.2">
      <c r="A79" s="1"/>
      <c r="B79" s="1"/>
      <c r="C79" s="1"/>
      <c r="D79" s="1"/>
      <c r="E79" s="1"/>
      <c r="F79" s="1"/>
      <c r="G79" s="1"/>
      <c r="H79" s="1"/>
    </row>
    <row r="80" spans="1:8" x14ac:dyDescent="0.2">
      <c r="A80" s="1"/>
      <c r="B80" s="1"/>
      <c r="C80" s="1"/>
      <c r="D80" s="1"/>
      <c r="E80" s="1"/>
      <c r="F80" s="1"/>
      <c r="G80" s="1"/>
      <c r="H80" s="1"/>
    </row>
    <row r="81" spans="1:8" x14ac:dyDescent="0.2">
      <c r="A81" s="1"/>
      <c r="B81" s="1"/>
      <c r="C81" s="1"/>
      <c r="D81" s="1"/>
      <c r="E81" s="1"/>
      <c r="F81" s="1"/>
      <c r="G81" s="1"/>
      <c r="H81" s="1"/>
    </row>
    <row r="82" spans="1:8" x14ac:dyDescent="0.2">
      <c r="A82" s="1"/>
      <c r="B82" s="1"/>
      <c r="C82" s="1"/>
      <c r="D82" s="1"/>
      <c r="E82" s="1"/>
      <c r="F82" s="1"/>
      <c r="G82" s="1"/>
      <c r="H82" s="1"/>
    </row>
    <row r="83" spans="1:8" x14ac:dyDescent="0.2">
      <c r="A83" s="11" t="s">
        <v>1</v>
      </c>
      <c r="B83" s="12"/>
      <c r="C83" s="12"/>
      <c r="D83" s="13"/>
      <c r="E83" s="8"/>
      <c r="F83" s="8"/>
      <c r="G83" s="8"/>
      <c r="H83" s="8"/>
    </row>
    <row r="84" spans="1:8" x14ac:dyDescent="0.2">
      <c r="A84" s="14" t="s">
        <v>15</v>
      </c>
      <c r="B84" s="15"/>
      <c r="C84" s="15"/>
      <c r="D84" s="16"/>
      <c r="E84" s="8"/>
      <c r="F84" s="8"/>
      <c r="G84" s="8"/>
      <c r="H84" s="8"/>
    </row>
    <row r="85" spans="1:8" x14ac:dyDescent="0.2">
      <c r="A85" s="17" t="s">
        <v>62</v>
      </c>
      <c r="B85" s="18"/>
      <c r="C85" s="18"/>
      <c r="D85" s="19"/>
      <c r="E85" s="8"/>
      <c r="F85" s="8"/>
      <c r="G85" s="8"/>
      <c r="H85" s="8"/>
    </row>
    <row r="86" spans="1:8" x14ac:dyDescent="0.2">
      <c r="A86" s="20"/>
      <c r="B86" s="21"/>
      <c r="C86" s="22"/>
      <c r="D86" s="23"/>
      <c r="E86" s="8"/>
      <c r="F86" s="8" t="s">
        <v>34</v>
      </c>
      <c r="G86" s="8"/>
      <c r="H86" s="8"/>
    </row>
    <row r="87" spans="1:8" ht="15.75" x14ac:dyDescent="0.25">
      <c r="A87" s="24" t="s">
        <v>2</v>
      </c>
      <c r="B87" s="25" t="str">
        <f>[1]Charters!B90</f>
        <v>HighMark Charter School</v>
      </c>
      <c r="C87" s="26"/>
      <c r="D87" s="27"/>
      <c r="E87" s="8"/>
      <c r="F87" s="8"/>
      <c r="G87" s="8"/>
      <c r="H87" s="8"/>
    </row>
    <row r="88" spans="1:8" x14ac:dyDescent="0.2">
      <c r="A88" s="24"/>
      <c r="B88" s="28"/>
      <c r="C88" s="26"/>
      <c r="D88" s="27"/>
      <c r="E88" s="8"/>
      <c r="F88" s="8"/>
      <c r="G88" s="8"/>
      <c r="H88" s="8"/>
    </row>
    <row r="89" spans="1:8" x14ac:dyDescent="0.2">
      <c r="A89" s="29" t="s">
        <v>0</v>
      </c>
      <c r="B89" s="30">
        <f>[1]Charters!$E$6</f>
        <v>3184</v>
      </c>
      <c r="C89" s="26"/>
      <c r="D89" s="31"/>
      <c r="E89" s="8"/>
      <c r="F89" s="8"/>
      <c r="G89" s="8"/>
      <c r="H89" s="8"/>
    </row>
    <row r="90" spans="1:8" x14ac:dyDescent="0.2">
      <c r="A90" s="32"/>
      <c r="B90" s="6"/>
      <c r="C90" s="33"/>
      <c r="D90" s="34" t="s">
        <v>3</v>
      </c>
      <c r="E90" s="8"/>
      <c r="F90" s="8"/>
      <c r="G90" s="8"/>
      <c r="H90" s="8"/>
    </row>
    <row r="91" spans="1:8" x14ac:dyDescent="0.2">
      <c r="A91" s="29" t="s">
        <v>19</v>
      </c>
      <c r="B91" s="35" t="str">
        <f>[1]Charters!A90</f>
        <v>5H</v>
      </c>
      <c r="C91" s="36" t="s">
        <v>4</v>
      </c>
      <c r="D91" s="37" t="s">
        <v>5</v>
      </c>
      <c r="E91" s="8"/>
      <c r="F91" s="8"/>
      <c r="G91" s="8"/>
      <c r="H91" s="8"/>
    </row>
    <row r="92" spans="1:8" x14ac:dyDescent="0.2">
      <c r="A92" s="38" t="s">
        <v>6</v>
      </c>
      <c r="B92" s="39"/>
      <c r="C92" s="40"/>
      <c r="D92" s="41"/>
      <c r="E92" s="8"/>
      <c r="F92" s="8"/>
      <c r="G92" s="8"/>
      <c r="H92" s="8"/>
    </row>
    <row r="93" spans="1:8" x14ac:dyDescent="0.2">
      <c r="A93" s="38" t="s">
        <v>7</v>
      </c>
      <c r="B93" s="39"/>
      <c r="C93" s="40"/>
      <c r="D93" s="41"/>
      <c r="E93" s="8"/>
      <c r="F93" s="42" t="s">
        <v>23</v>
      </c>
      <c r="G93" s="8"/>
      <c r="H93" s="42" t="s">
        <v>26</v>
      </c>
    </row>
    <row r="94" spans="1:8" x14ac:dyDescent="0.2">
      <c r="A94" s="20" t="s">
        <v>8</v>
      </c>
      <c r="B94" s="43"/>
      <c r="C94" s="44">
        <f>[1]Charters!C550</f>
        <v>634.07899999999995</v>
      </c>
      <c r="D94" s="45">
        <f>[1]Charters!E550</f>
        <v>2018906.84</v>
      </c>
      <c r="E94" s="8"/>
      <c r="F94" s="42">
        <f>[1]Charters!E705</f>
        <v>2138930.85</v>
      </c>
      <c r="G94" s="8"/>
      <c r="H94" s="42">
        <f>[2]Charters!E244</f>
        <v>2543659.7599999998</v>
      </c>
    </row>
    <row r="95" spans="1:8" x14ac:dyDescent="0.2">
      <c r="A95" s="20" t="s">
        <v>14</v>
      </c>
      <c r="B95" s="43"/>
      <c r="C95" s="44">
        <f>[1]Charters!F550</f>
        <v>37.695999999999998</v>
      </c>
      <c r="D95" s="45">
        <f>[1]Charters!H550</f>
        <v>120024.01</v>
      </c>
      <c r="E95" s="8"/>
      <c r="F95" s="42">
        <f>SUM(D94:D96)</f>
        <v>2138930.85</v>
      </c>
      <c r="G95" s="8"/>
      <c r="H95" s="42">
        <f>D107</f>
        <v>2543659.7599999998</v>
      </c>
    </row>
    <row r="96" spans="1:8" x14ac:dyDescent="0.2">
      <c r="A96" s="20" t="s">
        <v>32</v>
      </c>
      <c r="B96" s="43"/>
      <c r="C96" s="44">
        <f>[1]Charters!C243</f>
        <v>0</v>
      </c>
      <c r="D96" s="45">
        <f>[1]Charters!E243</f>
        <v>0</v>
      </c>
      <c r="E96" s="8"/>
      <c r="F96" s="42">
        <f>+F94-F95</f>
        <v>0</v>
      </c>
      <c r="G96" s="8"/>
      <c r="H96" s="42">
        <f>+H94-H95</f>
        <v>0</v>
      </c>
    </row>
    <row r="97" spans="1:8" x14ac:dyDescent="0.2">
      <c r="A97" s="38" t="s">
        <v>9</v>
      </c>
      <c r="B97" s="39"/>
      <c r="C97" s="46"/>
      <c r="D97" s="47"/>
      <c r="E97" s="8"/>
      <c r="F97" s="8"/>
      <c r="G97" s="8"/>
      <c r="H97" s="8"/>
    </row>
    <row r="98" spans="1:8" x14ac:dyDescent="0.2">
      <c r="A98" s="20" t="s">
        <v>10</v>
      </c>
      <c r="B98" s="43"/>
      <c r="C98" s="40">
        <f>[3]Charters!C89</f>
        <v>68.908000000000001</v>
      </c>
      <c r="D98" s="41">
        <f>[3]Charters!E89</f>
        <v>219404.07</v>
      </c>
      <c r="E98" s="8"/>
      <c r="F98" s="42" t="s">
        <v>24</v>
      </c>
      <c r="G98" s="8"/>
      <c r="H98" s="8"/>
    </row>
    <row r="99" spans="1:8" x14ac:dyDescent="0.2">
      <c r="A99" s="48" t="s">
        <v>11</v>
      </c>
      <c r="B99" s="43"/>
      <c r="C99" s="40">
        <f>[3]Charters!F89</f>
        <v>2</v>
      </c>
      <c r="D99" s="49">
        <f>[3]Charters!H89</f>
        <v>6368</v>
      </c>
      <c r="E99" s="8"/>
      <c r="F99" s="42">
        <f>[3]Charters!N401</f>
        <v>232756.27</v>
      </c>
      <c r="G99" s="8"/>
      <c r="H99" s="8"/>
    </row>
    <row r="100" spans="1:8" x14ac:dyDescent="0.2">
      <c r="A100" s="48" t="s">
        <v>12</v>
      </c>
      <c r="B100" s="43"/>
      <c r="C100" s="40">
        <f>[3]Charters!C244</f>
        <v>0</v>
      </c>
      <c r="D100" s="41">
        <f>[3]Charters!E244</f>
        <v>0</v>
      </c>
      <c r="E100" s="8"/>
      <c r="F100" s="42">
        <f>SUM(D98:D104)</f>
        <v>232756.27</v>
      </c>
      <c r="G100" s="8"/>
      <c r="H100" s="8"/>
    </row>
    <row r="101" spans="1:8" x14ac:dyDescent="0.2">
      <c r="A101" s="20" t="s">
        <v>13</v>
      </c>
      <c r="B101" s="43"/>
      <c r="C101" s="40">
        <f>[3]Charters!F244</f>
        <v>0.70899999999999996</v>
      </c>
      <c r="D101" s="41">
        <f>[3]Charters!H244</f>
        <v>2259</v>
      </c>
      <c r="E101" s="8"/>
      <c r="F101" s="42">
        <f>+F99-F100</f>
        <v>0</v>
      </c>
      <c r="G101" s="8"/>
      <c r="H101" s="8"/>
    </row>
    <row r="102" spans="1:8" x14ac:dyDescent="0.2">
      <c r="A102" s="48" t="s">
        <v>54</v>
      </c>
      <c r="B102" s="43"/>
      <c r="C102" s="40">
        <f>[3]Charters!C401</f>
        <v>1.484</v>
      </c>
      <c r="D102" s="41">
        <f>[3]Charters!E401</f>
        <v>4725.2</v>
      </c>
      <c r="E102" s="8"/>
      <c r="F102" s="8"/>
      <c r="G102" s="8"/>
      <c r="H102" s="8"/>
    </row>
    <row r="103" spans="1:8" x14ac:dyDescent="0.2">
      <c r="A103" s="48" t="s">
        <v>55</v>
      </c>
      <c r="B103" s="43"/>
      <c r="C103" s="40">
        <f>[3]Charters!F401</f>
        <v>0</v>
      </c>
      <c r="D103" s="41">
        <f>[3]Charters!H401</f>
        <v>0</v>
      </c>
      <c r="E103" s="8"/>
      <c r="F103" s="42" t="s">
        <v>25</v>
      </c>
      <c r="G103" s="8"/>
      <c r="H103" s="8"/>
    </row>
    <row r="104" spans="1:8" x14ac:dyDescent="0.2">
      <c r="A104" s="48" t="s">
        <v>56</v>
      </c>
      <c r="B104" s="43"/>
      <c r="C104" s="40">
        <f>[3]Charters!I401</f>
        <v>0</v>
      </c>
      <c r="D104" s="41">
        <f>[3]Charters!K401</f>
        <v>0</v>
      </c>
      <c r="E104" s="8"/>
      <c r="F104" s="42">
        <f>[2]Charters!H90</f>
        <v>404728.91</v>
      </c>
      <c r="G104" s="8"/>
      <c r="H104" s="8"/>
    </row>
    <row r="105" spans="1:8" x14ac:dyDescent="0.2">
      <c r="A105" s="20" t="s">
        <v>49</v>
      </c>
      <c r="B105" s="43"/>
      <c r="C105" s="40">
        <f>[3]Charters!C557</f>
        <v>1.518</v>
      </c>
      <c r="D105" s="41">
        <f>[3]Charters!E557</f>
        <v>4834.84</v>
      </c>
      <c r="E105" s="8"/>
      <c r="F105" s="42">
        <f>SUM(D98:D106)</f>
        <v>404728.91</v>
      </c>
      <c r="G105" s="8"/>
      <c r="H105" s="8"/>
    </row>
    <row r="106" spans="1:8" x14ac:dyDescent="0.2">
      <c r="A106" s="20" t="s">
        <v>50</v>
      </c>
      <c r="B106" s="43"/>
      <c r="C106" s="40">
        <f>[2]Charters!C90</f>
        <v>52.493000000000002</v>
      </c>
      <c r="D106" s="41">
        <f>[2]Charters!E90</f>
        <v>167137.79999999999</v>
      </c>
      <c r="E106" s="8"/>
      <c r="F106" s="42">
        <f>+F104-F105</f>
        <v>0</v>
      </c>
      <c r="G106" s="8"/>
      <c r="H106" s="8"/>
    </row>
    <row r="107" spans="1:8" x14ac:dyDescent="0.2">
      <c r="A107" s="50"/>
      <c r="B107" s="51" t="s">
        <v>16</v>
      </c>
      <c r="C107" s="52">
        <f>SUM(C94:C106)</f>
        <v>798.88699999999994</v>
      </c>
      <c r="D107" s="53">
        <f>SUM(D94:D106)</f>
        <v>2543659.7599999998</v>
      </c>
      <c r="E107" s="8"/>
      <c r="F107" s="8"/>
      <c r="G107" s="8"/>
      <c r="H107" s="8"/>
    </row>
    <row r="108" spans="1:8" x14ac:dyDescent="0.2">
      <c r="A108" s="54" t="s">
        <v>17</v>
      </c>
      <c r="B108" s="39"/>
      <c r="C108" s="55"/>
      <c r="D108" s="47"/>
      <c r="E108" s="8"/>
      <c r="F108" s="8"/>
      <c r="G108" s="8"/>
      <c r="H108" s="42" t="s">
        <v>29</v>
      </c>
    </row>
    <row r="109" spans="1:8" x14ac:dyDescent="0.2">
      <c r="A109" s="20" t="s">
        <v>33</v>
      </c>
      <c r="B109" s="43"/>
      <c r="C109" s="56"/>
      <c r="D109" s="57">
        <f>[4]Charters!C90</f>
        <v>7372.71</v>
      </c>
      <c r="E109" s="8"/>
      <c r="F109" s="8"/>
      <c r="G109" s="8"/>
      <c r="H109" s="42">
        <f>[4]Charters!F1030</f>
        <v>4280844.71</v>
      </c>
    </row>
    <row r="110" spans="1:8" x14ac:dyDescent="0.2">
      <c r="A110" s="58" t="s">
        <v>35</v>
      </c>
      <c r="B110" s="43"/>
      <c r="C110" s="56"/>
      <c r="D110" s="41">
        <f>+[4]Charters!F411</f>
        <v>3051.81</v>
      </c>
      <c r="E110" s="8"/>
      <c r="F110" s="8"/>
      <c r="G110" s="8"/>
      <c r="H110" s="42">
        <f>SUM(D107:D126)</f>
        <v>4280844.71</v>
      </c>
    </row>
    <row r="111" spans="1:8" x14ac:dyDescent="0.2">
      <c r="A111" s="59" t="s">
        <v>36</v>
      </c>
      <c r="B111" s="43"/>
      <c r="C111" s="56"/>
      <c r="D111" s="41">
        <f>[4]Charters!E250</f>
        <v>25425</v>
      </c>
      <c r="E111" s="8"/>
      <c r="F111" s="8"/>
      <c r="G111" s="8"/>
      <c r="H111" s="42">
        <f>+H109-H110</f>
        <v>0</v>
      </c>
    </row>
    <row r="112" spans="1:8" x14ac:dyDescent="0.2">
      <c r="A112" s="59" t="s">
        <v>52</v>
      </c>
      <c r="B112" s="43"/>
      <c r="C112" s="56"/>
      <c r="D112" s="41">
        <f>[4]Charters!G411</f>
        <v>0</v>
      </c>
      <c r="E112" s="8"/>
      <c r="F112" s="42" t="s">
        <v>27</v>
      </c>
      <c r="G112" s="8"/>
      <c r="H112" s="42"/>
    </row>
    <row r="113" spans="1:8" x14ac:dyDescent="0.2">
      <c r="A113" s="20" t="s">
        <v>37</v>
      </c>
      <c r="B113" s="43"/>
      <c r="C113" s="56"/>
      <c r="D113" s="41">
        <f>[4]Charters!E567</f>
        <v>48187</v>
      </c>
      <c r="E113" s="8"/>
      <c r="F113" s="42">
        <f>[4]Charters!E250</f>
        <v>25425</v>
      </c>
      <c r="G113" s="8"/>
      <c r="H113" s="8"/>
    </row>
    <row r="114" spans="1:8" x14ac:dyDescent="0.2">
      <c r="A114" s="20" t="s">
        <v>38</v>
      </c>
      <c r="B114" s="43"/>
      <c r="C114" s="56"/>
      <c r="D114" s="41">
        <f>[4]Charters!F567</f>
        <v>0</v>
      </c>
      <c r="E114" s="8"/>
      <c r="F114" s="42">
        <f>SUM(D111:D111)</f>
        <v>25425</v>
      </c>
      <c r="G114" s="8"/>
      <c r="H114" s="8"/>
    </row>
    <row r="115" spans="1:8" x14ac:dyDescent="0.2">
      <c r="A115" s="59" t="s">
        <v>40</v>
      </c>
      <c r="B115" s="43"/>
      <c r="C115" s="56"/>
      <c r="D115" s="41">
        <f>[4]Charters!G567</f>
        <v>0</v>
      </c>
      <c r="E115" s="8"/>
      <c r="F115" s="42">
        <f>+F113-F114</f>
        <v>0</v>
      </c>
      <c r="G115" s="8"/>
      <c r="H115" s="8"/>
    </row>
    <row r="116" spans="1:8" x14ac:dyDescent="0.2">
      <c r="A116" s="20" t="s">
        <v>41</v>
      </c>
      <c r="B116" s="43"/>
      <c r="C116" s="56"/>
      <c r="D116" s="41">
        <f>[4]Charters!C721</f>
        <v>1370685</v>
      </c>
      <c r="E116" s="8"/>
      <c r="F116" s="42" t="s">
        <v>28</v>
      </c>
      <c r="G116" s="8"/>
      <c r="H116" s="8"/>
    </row>
    <row r="117" spans="1:8" x14ac:dyDescent="0.2">
      <c r="A117" s="20" t="s">
        <v>42</v>
      </c>
      <c r="B117" s="43"/>
      <c r="C117" s="56"/>
      <c r="D117" s="41">
        <f>[4]Charters!D721</f>
        <v>179987.3</v>
      </c>
      <c r="E117" s="8"/>
      <c r="F117" s="42">
        <f>[4]Charters!D567</f>
        <v>28476.81</v>
      </c>
      <c r="G117" s="8"/>
      <c r="H117" s="8"/>
    </row>
    <row r="118" spans="1:8" x14ac:dyDescent="0.2">
      <c r="A118" s="20" t="s">
        <v>44</v>
      </c>
      <c r="B118" s="43"/>
      <c r="C118" s="56"/>
      <c r="D118" s="41">
        <f>[4]Charters!E721</f>
        <v>68500</v>
      </c>
      <c r="E118" s="8"/>
      <c r="F118" s="42">
        <f>SUM(D110:D112)</f>
        <v>28476.81</v>
      </c>
      <c r="G118" s="8"/>
      <c r="H118" s="8"/>
    </row>
    <row r="119" spans="1:8" x14ac:dyDescent="0.2">
      <c r="A119" s="59" t="s">
        <v>43</v>
      </c>
      <c r="B119" s="43"/>
      <c r="C119" s="56"/>
      <c r="D119" s="41">
        <f>[4]Charters!F721</f>
        <v>19328.14</v>
      </c>
      <c r="E119" s="8"/>
      <c r="F119" s="42">
        <f>+F117-F118</f>
        <v>0</v>
      </c>
      <c r="G119" s="8"/>
      <c r="H119" s="8"/>
    </row>
    <row r="120" spans="1:8" x14ac:dyDescent="0.2">
      <c r="A120" s="59" t="s">
        <v>45</v>
      </c>
      <c r="B120" s="43"/>
      <c r="C120" s="56"/>
      <c r="D120" s="41">
        <f>[4]Charters!C567</f>
        <v>0</v>
      </c>
      <c r="E120" s="8"/>
      <c r="F120" s="8"/>
      <c r="G120" s="8"/>
      <c r="H120" s="8"/>
    </row>
    <row r="121" spans="1:8" x14ac:dyDescent="0.2">
      <c r="A121" s="59" t="s">
        <v>46</v>
      </c>
      <c r="B121" s="43"/>
      <c r="C121" s="56"/>
      <c r="D121" s="41">
        <f>[4]Charters!C877</f>
        <v>0</v>
      </c>
      <c r="E121" s="42"/>
      <c r="F121" s="42"/>
      <c r="G121" s="42"/>
      <c r="H121" s="42" t="s">
        <v>31</v>
      </c>
    </row>
    <row r="122" spans="1:8" x14ac:dyDescent="0.2">
      <c r="A122" s="59" t="s">
        <v>51</v>
      </c>
      <c r="B122" s="43"/>
      <c r="C122" s="56"/>
      <c r="D122" s="60">
        <f>[4]Charters!D877</f>
        <v>886.94</v>
      </c>
      <c r="E122" s="42"/>
      <c r="F122" s="42"/>
      <c r="G122" s="42"/>
      <c r="H122" s="42">
        <f>[4]Charters!D1336</f>
        <v>4287640.78</v>
      </c>
    </row>
    <row r="123" spans="1:8" x14ac:dyDescent="0.2">
      <c r="A123" s="20" t="s">
        <v>47</v>
      </c>
      <c r="B123" s="43"/>
      <c r="C123" s="56"/>
      <c r="D123" s="60">
        <f>[4]Charters!E877</f>
        <v>0</v>
      </c>
      <c r="E123" s="42"/>
      <c r="F123" s="42"/>
      <c r="G123" s="42"/>
      <c r="H123" s="42">
        <f>D132</f>
        <v>4287640.78</v>
      </c>
    </row>
    <row r="124" spans="1:8" x14ac:dyDescent="0.2">
      <c r="A124" s="20" t="s">
        <v>57</v>
      </c>
      <c r="B124" s="43"/>
      <c r="C124" s="56"/>
      <c r="D124" s="60">
        <f>[4]Charters!C1030</f>
        <v>13761.05</v>
      </c>
      <c r="E124" s="42"/>
      <c r="F124" s="42"/>
      <c r="G124" s="42"/>
      <c r="H124" s="42">
        <f>+H122-H123</f>
        <v>0</v>
      </c>
    </row>
    <row r="125" spans="1:8" x14ac:dyDescent="0.2">
      <c r="A125" s="59" t="s">
        <v>53</v>
      </c>
      <c r="B125" s="43"/>
      <c r="C125" s="56"/>
      <c r="D125" s="60">
        <f>[4]Charters!D1030</f>
        <v>0</v>
      </c>
      <c r="E125" s="42"/>
      <c r="F125" s="42" t="s">
        <v>30</v>
      </c>
      <c r="G125" s="42"/>
      <c r="H125" s="42"/>
    </row>
    <row r="126" spans="1:8" x14ac:dyDescent="0.2">
      <c r="A126" s="59" t="s">
        <v>59</v>
      </c>
      <c r="B126" s="43"/>
      <c r="C126" s="56"/>
      <c r="D126" s="60">
        <f>[4]Charters!E1030</f>
        <v>0</v>
      </c>
      <c r="E126" s="42"/>
      <c r="F126" s="42"/>
      <c r="G126" s="42"/>
      <c r="H126" s="42"/>
    </row>
    <row r="127" spans="1:8" x14ac:dyDescent="0.2">
      <c r="A127" s="38" t="s">
        <v>18</v>
      </c>
      <c r="B127" s="61"/>
      <c r="C127" s="62"/>
      <c r="D127" s="87"/>
      <c r="E127" s="42"/>
      <c r="F127" s="42">
        <f>[4]Charters!C1336</f>
        <v>6796.07</v>
      </c>
      <c r="G127" s="42"/>
      <c r="H127" s="42"/>
    </row>
    <row r="128" spans="1:8" x14ac:dyDescent="0.2">
      <c r="A128" s="59" t="s">
        <v>39</v>
      </c>
      <c r="B128" s="43"/>
      <c r="C128" s="56"/>
      <c r="D128" s="41">
        <f>[4]Charters!C1183</f>
        <v>6796.07</v>
      </c>
      <c r="E128" s="42"/>
      <c r="F128" s="42">
        <f>SUM(D128:D131)</f>
        <v>6796.07</v>
      </c>
      <c r="G128" s="42"/>
      <c r="H128" s="42"/>
    </row>
    <row r="129" spans="1:8" x14ac:dyDescent="0.2">
      <c r="A129" s="59" t="s">
        <v>48</v>
      </c>
      <c r="B129" s="43"/>
      <c r="C129" s="56"/>
      <c r="D129" s="41">
        <f>[4]Charters!D1183</f>
        <v>0</v>
      </c>
      <c r="E129" s="42"/>
      <c r="F129" s="42">
        <f>+F127-F128</f>
        <v>0</v>
      </c>
      <c r="G129" s="42"/>
      <c r="H129" s="42"/>
    </row>
    <row r="130" spans="1:8" x14ac:dyDescent="0.2">
      <c r="A130" s="59" t="s">
        <v>60</v>
      </c>
      <c r="B130" s="43"/>
      <c r="C130" s="56"/>
      <c r="D130" s="41">
        <f>[4]Charters!E1183</f>
        <v>0</v>
      </c>
      <c r="E130" s="42"/>
      <c r="F130" s="42"/>
      <c r="G130" s="42"/>
      <c r="H130" s="42"/>
    </row>
    <row r="131" spans="1:8" x14ac:dyDescent="0.2">
      <c r="A131" s="59" t="s">
        <v>61</v>
      </c>
      <c r="B131" s="43"/>
      <c r="C131" s="56"/>
      <c r="D131" s="41">
        <f>[4]Charters!F1183</f>
        <v>0</v>
      </c>
      <c r="E131" s="42"/>
      <c r="F131" s="42"/>
      <c r="G131" s="42"/>
      <c r="H131" s="42"/>
    </row>
    <row r="132" spans="1:8" ht="13.5" thickBot="1" x14ac:dyDescent="0.25">
      <c r="A132" s="64"/>
      <c r="B132" s="65"/>
      <c r="C132" s="66"/>
      <c r="D132" s="67">
        <f>SUM(D107:D131)</f>
        <v>4287640.78</v>
      </c>
      <c r="E132" s="42"/>
      <c r="F132" s="42"/>
      <c r="G132" s="42"/>
      <c r="H132" s="42"/>
    </row>
    <row r="133" spans="1:8" ht="13.5" thickTop="1" x14ac:dyDescent="0.2">
      <c r="A133" s="68"/>
      <c r="B133" s="43"/>
      <c r="C133" s="56"/>
      <c r="D133" s="86"/>
      <c r="E133" s="42"/>
      <c r="F133" s="42"/>
      <c r="G133" s="42"/>
      <c r="H133" s="42"/>
    </row>
    <row r="134" spans="1:8" x14ac:dyDescent="0.2">
      <c r="A134" s="38" t="s">
        <v>20</v>
      </c>
      <c r="B134" s="39"/>
      <c r="C134" s="70"/>
      <c r="D134" s="71" t="s">
        <v>21</v>
      </c>
      <c r="E134" s="42"/>
      <c r="F134" s="42"/>
      <c r="G134" s="42"/>
      <c r="H134" s="42"/>
    </row>
    <row r="135" spans="1:8" x14ac:dyDescent="0.2">
      <c r="A135" s="72" t="s">
        <v>22</v>
      </c>
      <c r="B135" s="73"/>
      <c r="C135" s="74"/>
      <c r="D135" s="41">
        <f>[5]Charters!C89</f>
        <v>1529.88</v>
      </c>
      <c r="E135" s="42"/>
      <c r="F135" s="42"/>
      <c r="G135" s="42"/>
      <c r="H135" s="42"/>
    </row>
    <row r="136" spans="1:8" x14ac:dyDescent="0.2">
      <c r="A136" s="75"/>
      <c r="B136" s="61"/>
      <c r="C136" s="76"/>
      <c r="D136" s="77">
        <f>SUM(D135:D135)</f>
        <v>1529.88</v>
      </c>
      <c r="E136" s="42"/>
      <c r="F136" s="42"/>
      <c r="G136" s="42"/>
      <c r="H136" s="42"/>
    </row>
    <row r="137" spans="1:8" x14ac:dyDescent="0.2">
      <c r="A137" s="78" t="s">
        <v>58</v>
      </c>
      <c r="B137" s="79"/>
      <c r="C137" s="80"/>
      <c r="D137" s="77">
        <f>D136+D132</f>
        <v>4289170.66</v>
      </c>
      <c r="E137" s="42"/>
      <c r="F137" s="42"/>
      <c r="G137" s="42"/>
      <c r="H137" s="42"/>
    </row>
    <row r="138" spans="1:8" x14ac:dyDescent="0.2">
      <c r="A138" s="84"/>
      <c r="B138" s="84"/>
      <c r="C138" s="85"/>
      <c r="D138" s="81"/>
      <c r="E138" s="42"/>
      <c r="F138" s="42"/>
      <c r="G138" s="42"/>
      <c r="H138" s="42"/>
    </row>
    <row r="139" spans="1:8" x14ac:dyDescent="0.2">
      <c r="A139" s="84"/>
      <c r="B139" s="84"/>
      <c r="C139" s="85"/>
      <c r="D139" s="81">
        <f>[5]Charters!E245</f>
        <v>4289170.66</v>
      </c>
      <c r="E139" s="42"/>
      <c r="F139" s="42"/>
      <c r="G139" s="42"/>
      <c r="H139" s="42"/>
    </row>
    <row r="140" spans="1:8" x14ac:dyDescent="0.2">
      <c r="A140" s="84"/>
      <c r="B140" s="84"/>
      <c r="C140" s="85"/>
      <c r="D140" s="81">
        <f>D137</f>
        <v>4289170.66</v>
      </c>
      <c r="E140" s="42"/>
      <c r="F140" s="42"/>
      <c r="G140" s="42"/>
      <c r="H140" s="42"/>
    </row>
    <row r="141" spans="1:8" x14ac:dyDescent="0.2">
      <c r="C141" s="83"/>
      <c r="D141" s="42">
        <f>D139-D140</f>
        <v>0</v>
      </c>
      <c r="E141" s="42"/>
      <c r="F141" s="42"/>
      <c r="G141" s="42"/>
      <c r="H141" s="42"/>
    </row>
  </sheetData>
  <mergeCells count="4">
    <mergeCell ref="A137:C137"/>
    <mergeCell ref="A85:D85"/>
    <mergeCell ref="A84:D84"/>
    <mergeCell ref="A83:D83"/>
  </mergeCells>
  <printOptions horizontalCentered="1" verticalCentered="1"/>
  <pageMargins left="0.5" right="0.5" top="0.5" bottom="0.5" header="0.25" footer="0.25"/>
  <pageSetup orientation="portrait" r:id="rId1"/>
  <headerFooter alignWithMargins="0">
    <oddHeader>&amp;R&amp;8Current as of: &amp;D</oddHeader>
    <oddFooter>&amp;L&amp;8USOE, School Finance</oddFooter>
  </headerFooter>
  <picture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sheetPr>
    <pageSetUpPr fitToPage="1"/>
  </sheetPr>
  <dimension ref="A1:H142"/>
  <sheetViews>
    <sheetView topLeftCell="A81" workbookViewId="0">
      <selection activeCell="C12" sqref="C12"/>
    </sheetView>
  </sheetViews>
  <sheetFormatPr defaultColWidth="9.140625" defaultRowHeight="12.75" x14ac:dyDescent="0.2"/>
  <cols>
    <col min="1" max="1" width="31.85546875" style="82" customWidth="1"/>
    <col min="2" max="2" width="16.28515625" style="82" customWidth="1"/>
    <col min="3" max="3" width="15" style="82" customWidth="1"/>
    <col min="4" max="4" width="15.140625" style="82" customWidth="1"/>
    <col min="5" max="5" width="9.7109375" style="82" customWidth="1"/>
    <col min="6" max="6" width="19.5703125" style="82" customWidth="1"/>
    <col min="7" max="7" width="7.140625" style="82" customWidth="1"/>
    <col min="8" max="8" width="17.140625" style="82" customWidth="1"/>
    <col min="9" max="16384" width="9.140625" style="82"/>
  </cols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"/>
      <c r="B3" s="1"/>
      <c r="C3" s="1"/>
      <c r="D3" s="1"/>
      <c r="E3" s="1"/>
      <c r="F3" s="1"/>
      <c r="G3" s="1"/>
      <c r="H3" s="1"/>
    </row>
    <row r="4" spans="1:8" x14ac:dyDescent="0.2">
      <c r="A4" s="1"/>
      <c r="B4" s="1"/>
      <c r="C4" s="1"/>
      <c r="D4" s="1"/>
      <c r="E4" s="1"/>
      <c r="F4" s="1"/>
      <c r="G4" s="1"/>
      <c r="H4" s="1"/>
    </row>
    <row r="5" spans="1:8" x14ac:dyDescent="0.2">
      <c r="A5" s="1"/>
      <c r="B5" s="1"/>
      <c r="C5" s="1"/>
      <c r="D5" s="1"/>
      <c r="E5" s="1"/>
      <c r="F5" s="1"/>
      <c r="G5" s="1"/>
      <c r="H5" s="1"/>
    </row>
    <row r="6" spans="1:8" x14ac:dyDescent="0.2">
      <c r="A6" s="1"/>
      <c r="B6" s="1"/>
      <c r="C6" s="1"/>
      <c r="D6" s="1"/>
      <c r="E6" s="1"/>
      <c r="F6" s="1"/>
      <c r="G6" s="1"/>
      <c r="H6" s="1"/>
    </row>
    <row r="7" spans="1:8" x14ac:dyDescent="0.2">
      <c r="A7" s="1"/>
      <c r="B7" s="1"/>
      <c r="C7" s="1"/>
      <c r="D7" s="1"/>
      <c r="E7" s="1"/>
      <c r="F7" s="1"/>
      <c r="G7" s="1"/>
      <c r="H7" s="1"/>
    </row>
    <row r="8" spans="1:8" x14ac:dyDescent="0.2">
      <c r="A8" s="1"/>
      <c r="B8" s="1"/>
      <c r="C8" s="1"/>
      <c r="D8" s="1"/>
      <c r="E8" s="1"/>
      <c r="F8" s="1"/>
      <c r="G8" s="1"/>
      <c r="H8" s="1"/>
    </row>
    <row r="9" spans="1:8" x14ac:dyDescent="0.2">
      <c r="A9" s="1"/>
      <c r="B9" s="1"/>
      <c r="C9" s="1"/>
      <c r="D9" s="1"/>
      <c r="E9" s="1"/>
      <c r="F9" s="1"/>
      <c r="G9" s="1"/>
      <c r="H9" s="1"/>
    </row>
    <row r="10" spans="1:8" x14ac:dyDescent="0.2">
      <c r="A10" s="1"/>
      <c r="B10" s="1"/>
      <c r="C10" s="1"/>
      <c r="D10" s="1"/>
      <c r="E10" s="1"/>
      <c r="F10" s="1"/>
      <c r="G10" s="1"/>
      <c r="H10" s="1"/>
    </row>
    <row r="11" spans="1:8" x14ac:dyDescent="0.2">
      <c r="A11" s="1"/>
      <c r="B11" s="1"/>
      <c r="C11" s="1"/>
      <c r="D11" s="1"/>
      <c r="E11" s="1"/>
      <c r="F11" s="1"/>
      <c r="G11" s="1"/>
      <c r="H11" s="1"/>
    </row>
    <row r="12" spans="1:8" x14ac:dyDescent="0.2">
      <c r="A12" s="1"/>
      <c r="B12" s="1"/>
      <c r="C12" s="1"/>
      <c r="D12" s="1"/>
      <c r="E12" s="1"/>
      <c r="F12" s="1"/>
      <c r="G12" s="1"/>
      <c r="H12" s="1"/>
    </row>
    <row r="13" spans="1:8" x14ac:dyDescent="0.2">
      <c r="A13" s="1"/>
      <c r="B13" s="1"/>
      <c r="C13" s="1"/>
      <c r="D13" s="1"/>
      <c r="E13" s="1"/>
      <c r="F13" s="1"/>
      <c r="G13" s="1"/>
      <c r="H13" s="1"/>
    </row>
    <row r="14" spans="1:8" x14ac:dyDescent="0.2">
      <c r="A14" s="1"/>
      <c r="B14" s="1"/>
      <c r="C14" s="1"/>
      <c r="D14" s="1"/>
      <c r="E14" s="1"/>
      <c r="F14" s="1"/>
      <c r="G14" s="1"/>
      <c r="H14" s="1"/>
    </row>
    <row r="15" spans="1:8" x14ac:dyDescent="0.2">
      <c r="A15" s="1"/>
      <c r="B15" s="1"/>
      <c r="C15" s="1"/>
      <c r="D15" s="1"/>
      <c r="E15" s="1"/>
      <c r="F15" s="1"/>
      <c r="G15" s="1"/>
      <c r="H15" s="1"/>
    </row>
    <row r="16" spans="1:8" x14ac:dyDescent="0.2">
      <c r="A16" s="1"/>
      <c r="B16" s="1"/>
      <c r="C16" s="1"/>
      <c r="D16" s="1"/>
      <c r="E16" s="1"/>
      <c r="F16" s="1"/>
      <c r="G16" s="1"/>
      <c r="H16" s="1"/>
    </row>
    <row r="17" spans="1:8" x14ac:dyDescent="0.2">
      <c r="A17" s="1"/>
      <c r="B17" s="1"/>
      <c r="C17" s="1"/>
      <c r="D17" s="1"/>
      <c r="E17" s="1"/>
      <c r="F17" s="1"/>
      <c r="G17" s="1"/>
      <c r="H17" s="1"/>
    </row>
    <row r="18" spans="1:8" x14ac:dyDescent="0.2">
      <c r="A18" s="1"/>
      <c r="B18" s="1"/>
      <c r="C18" s="1"/>
      <c r="D18" s="1"/>
      <c r="E18" s="1"/>
      <c r="F18" s="1"/>
      <c r="G18" s="1"/>
      <c r="H18" s="1"/>
    </row>
    <row r="19" spans="1:8" x14ac:dyDescent="0.2">
      <c r="A19" s="1"/>
      <c r="B19" s="1"/>
      <c r="C19" s="1"/>
      <c r="D19" s="1"/>
      <c r="E19" s="1"/>
      <c r="F19" s="1"/>
      <c r="G19" s="1"/>
      <c r="H19" s="1"/>
    </row>
    <row r="20" spans="1:8" x14ac:dyDescent="0.2">
      <c r="A20" s="1"/>
      <c r="B20" s="1"/>
      <c r="C20" s="1"/>
      <c r="D20" s="1"/>
      <c r="E20" s="1"/>
      <c r="F20" s="1"/>
      <c r="G20" s="1"/>
      <c r="H20" s="1"/>
    </row>
    <row r="21" spans="1:8" x14ac:dyDescent="0.2">
      <c r="A21" s="1"/>
      <c r="B21" s="1"/>
      <c r="C21" s="1"/>
      <c r="D21" s="1"/>
      <c r="E21" s="1"/>
      <c r="F21" s="1"/>
      <c r="G21" s="1"/>
      <c r="H21" s="1"/>
    </row>
    <row r="22" spans="1:8" x14ac:dyDescent="0.2">
      <c r="A22" s="1"/>
      <c r="B22" s="1"/>
      <c r="C22" s="1"/>
      <c r="D22" s="4"/>
      <c r="E22" s="1"/>
      <c r="F22" s="1"/>
      <c r="G22" s="1"/>
      <c r="H22" s="1"/>
    </row>
    <row r="23" spans="1:8" x14ac:dyDescent="0.2">
      <c r="A23" s="1"/>
      <c r="B23" s="1"/>
      <c r="C23" s="1"/>
      <c r="D23" s="1"/>
      <c r="E23" s="1"/>
      <c r="F23" s="1"/>
      <c r="G23" s="1"/>
      <c r="H23" s="1"/>
    </row>
    <row r="24" spans="1:8" x14ac:dyDescent="0.2">
      <c r="A24" s="1"/>
      <c r="B24" s="1"/>
      <c r="C24" s="1"/>
      <c r="D24" s="1"/>
      <c r="E24" s="1"/>
      <c r="F24" s="1"/>
      <c r="G24" s="1"/>
      <c r="H24" s="1"/>
    </row>
    <row r="25" spans="1:8" x14ac:dyDescent="0.2">
      <c r="A25" s="1"/>
      <c r="B25" s="1"/>
      <c r="C25" s="1"/>
      <c r="D25" s="1"/>
      <c r="E25" s="1"/>
      <c r="F25" s="1"/>
      <c r="G25" s="1"/>
      <c r="H25" s="1"/>
    </row>
    <row r="26" spans="1:8" x14ac:dyDescent="0.2">
      <c r="A26" s="1"/>
      <c r="B26" s="1"/>
      <c r="C26" s="1"/>
      <c r="D26" s="1"/>
      <c r="E26" s="1"/>
      <c r="F26" s="1"/>
      <c r="G26" s="1"/>
      <c r="H26" s="1"/>
    </row>
    <row r="27" spans="1:8" x14ac:dyDescent="0.2">
      <c r="A27" s="1"/>
      <c r="B27" s="1"/>
      <c r="C27" s="1"/>
      <c r="D27" s="1"/>
      <c r="E27" s="1"/>
      <c r="F27" s="1"/>
      <c r="G27" s="1"/>
      <c r="H27" s="1"/>
    </row>
    <row r="28" spans="1:8" x14ac:dyDescent="0.2">
      <c r="A28" s="1"/>
      <c r="B28" s="1"/>
      <c r="C28" s="1"/>
      <c r="D28" s="1"/>
      <c r="E28" s="1"/>
      <c r="F28" s="1"/>
      <c r="G28" s="1"/>
      <c r="H28" s="1"/>
    </row>
    <row r="29" spans="1:8" x14ac:dyDescent="0.2">
      <c r="A29" s="1"/>
      <c r="B29" s="1"/>
      <c r="C29" s="1"/>
      <c r="D29" s="1"/>
      <c r="E29" s="1"/>
      <c r="F29" s="1"/>
      <c r="G29" s="1"/>
      <c r="H29" s="1"/>
    </row>
    <row r="30" spans="1:8" x14ac:dyDescent="0.2">
      <c r="A30" s="1"/>
      <c r="B30" s="1"/>
      <c r="C30" s="1"/>
      <c r="D30" s="1"/>
      <c r="E30" s="1"/>
      <c r="F30" s="1"/>
      <c r="G30" s="1"/>
      <c r="H30" s="1"/>
    </row>
    <row r="31" spans="1:8" x14ac:dyDescent="0.2">
      <c r="A31" s="1"/>
      <c r="B31" s="1"/>
      <c r="C31" s="1"/>
      <c r="D31" s="1"/>
      <c r="E31" s="1"/>
      <c r="F31" s="1"/>
      <c r="G31" s="1"/>
      <c r="H31" s="1"/>
    </row>
    <row r="32" spans="1:8" x14ac:dyDescent="0.2">
      <c r="A32" s="1"/>
      <c r="B32" s="1"/>
      <c r="C32" s="1"/>
      <c r="D32" s="1"/>
      <c r="E32" s="1"/>
      <c r="F32" s="1"/>
      <c r="G32" s="1"/>
      <c r="H32" s="1"/>
    </row>
    <row r="33" spans="1:8" x14ac:dyDescent="0.2">
      <c r="A33" s="1"/>
      <c r="B33" s="1"/>
      <c r="C33" s="1"/>
      <c r="D33" s="1"/>
      <c r="E33" s="1"/>
      <c r="F33" s="1"/>
      <c r="G33" s="1"/>
      <c r="H33" s="1"/>
    </row>
    <row r="34" spans="1:8" x14ac:dyDescent="0.2">
      <c r="A34" s="1"/>
      <c r="B34" s="1"/>
      <c r="C34" s="1"/>
      <c r="D34" s="1"/>
      <c r="E34" s="1"/>
      <c r="F34" s="1"/>
      <c r="G34" s="1"/>
      <c r="H34" s="1"/>
    </row>
    <row r="35" spans="1:8" x14ac:dyDescent="0.2">
      <c r="A35" s="1"/>
      <c r="B35" s="1"/>
      <c r="C35" s="1"/>
      <c r="D35" s="1"/>
      <c r="E35" s="1"/>
      <c r="F35" s="1"/>
      <c r="G35" s="1"/>
      <c r="H35" s="1"/>
    </row>
    <row r="36" spans="1:8" x14ac:dyDescent="0.2">
      <c r="A36" s="1"/>
      <c r="B36" s="1"/>
      <c r="C36" s="1"/>
      <c r="D36" s="1"/>
      <c r="E36" s="1"/>
      <c r="F36" s="1"/>
      <c r="G36" s="1"/>
      <c r="H36" s="1"/>
    </row>
    <row r="37" spans="1:8" x14ac:dyDescent="0.2">
      <c r="A37" s="1"/>
      <c r="B37" s="1"/>
      <c r="C37" s="1"/>
      <c r="D37" s="1"/>
      <c r="E37" s="1"/>
      <c r="F37" s="1"/>
      <c r="G37" s="1"/>
      <c r="H37" s="1"/>
    </row>
    <row r="38" spans="1:8" x14ac:dyDescent="0.2">
      <c r="A38" s="1"/>
      <c r="B38" s="1"/>
      <c r="C38" s="1"/>
      <c r="D38" s="1"/>
      <c r="E38" s="1"/>
      <c r="F38" s="1"/>
      <c r="G38" s="1"/>
      <c r="H38" s="1"/>
    </row>
    <row r="39" spans="1:8" x14ac:dyDescent="0.2">
      <c r="A39" s="1"/>
      <c r="B39" s="1"/>
      <c r="C39" s="1"/>
      <c r="D39" s="1"/>
      <c r="E39" s="1"/>
      <c r="F39" s="1"/>
      <c r="G39" s="1"/>
      <c r="H39" s="1"/>
    </row>
    <row r="40" spans="1:8" x14ac:dyDescent="0.2">
      <c r="A40" s="1"/>
      <c r="B40" s="1"/>
      <c r="C40" s="1"/>
      <c r="D40" s="1"/>
      <c r="E40" s="1"/>
      <c r="F40" s="1"/>
      <c r="G40" s="1"/>
      <c r="H40" s="1"/>
    </row>
    <row r="41" spans="1:8" x14ac:dyDescent="0.2">
      <c r="A41" s="1"/>
      <c r="B41" s="1"/>
      <c r="C41" s="1"/>
      <c r="D41" s="1"/>
      <c r="E41" s="1"/>
      <c r="F41" s="1"/>
      <c r="G41" s="1"/>
      <c r="H41" s="1"/>
    </row>
    <row r="42" spans="1:8" x14ac:dyDescent="0.2">
      <c r="A42" s="1"/>
      <c r="B42" s="1"/>
      <c r="C42" s="1"/>
      <c r="D42" s="1"/>
      <c r="E42" s="1"/>
      <c r="F42" s="1"/>
      <c r="G42" s="1"/>
      <c r="H42" s="1"/>
    </row>
    <row r="43" spans="1:8" x14ac:dyDescent="0.2">
      <c r="A43" s="1"/>
      <c r="B43" s="1"/>
      <c r="C43" s="1"/>
      <c r="D43" s="1"/>
      <c r="E43" s="1"/>
      <c r="F43" s="1"/>
      <c r="G43" s="1"/>
      <c r="H43" s="1"/>
    </row>
    <row r="44" spans="1:8" x14ac:dyDescent="0.2">
      <c r="A44" s="1"/>
      <c r="B44" s="1"/>
      <c r="C44" s="1"/>
      <c r="D44" s="1"/>
      <c r="E44" s="1"/>
      <c r="F44" s="1"/>
      <c r="G44" s="1"/>
      <c r="H44" s="1"/>
    </row>
    <row r="45" spans="1:8" x14ac:dyDescent="0.2">
      <c r="A45" s="1"/>
      <c r="B45" s="1"/>
      <c r="C45" s="1"/>
      <c r="D45" s="1"/>
      <c r="E45" s="1"/>
      <c r="F45" s="1"/>
      <c r="G45" s="1"/>
      <c r="H45" s="1"/>
    </row>
    <row r="46" spans="1:8" x14ac:dyDescent="0.2">
      <c r="A46" s="1"/>
      <c r="B46" s="1"/>
      <c r="C46" s="1"/>
      <c r="D46" s="1"/>
      <c r="E46" s="1"/>
      <c r="F46" s="1"/>
      <c r="G46" s="1"/>
      <c r="H46" s="1"/>
    </row>
    <row r="47" spans="1:8" x14ac:dyDescent="0.2">
      <c r="A47" s="1"/>
      <c r="B47" s="1"/>
      <c r="C47" s="1"/>
      <c r="D47" s="1"/>
      <c r="E47" s="1"/>
      <c r="F47" s="1"/>
      <c r="G47" s="1"/>
      <c r="H47" s="1"/>
    </row>
    <row r="48" spans="1:8" x14ac:dyDescent="0.2">
      <c r="A48" s="1"/>
      <c r="B48" s="1"/>
      <c r="C48" s="1"/>
      <c r="D48" s="1"/>
      <c r="E48" s="1"/>
      <c r="F48" s="1"/>
      <c r="G48" s="1"/>
      <c r="H48" s="1"/>
    </row>
    <row r="49" spans="1:8" x14ac:dyDescent="0.2">
      <c r="A49" s="1"/>
      <c r="B49" s="1"/>
      <c r="C49" s="1"/>
      <c r="D49" s="1"/>
      <c r="E49" s="1"/>
      <c r="F49" s="1"/>
      <c r="G49" s="1"/>
      <c r="H49" s="1"/>
    </row>
    <row r="50" spans="1:8" x14ac:dyDescent="0.2">
      <c r="A50" s="1"/>
      <c r="B50" s="1"/>
      <c r="C50" s="1"/>
      <c r="D50" s="1"/>
      <c r="E50" s="1"/>
      <c r="F50" s="1"/>
      <c r="G50" s="1"/>
      <c r="H50" s="1"/>
    </row>
    <row r="51" spans="1:8" x14ac:dyDescent="0.2">
      <c r="A51" s="1"/>
      <c r="B51" s="1"/>
      <c r="C51" s="1"/>
      <c r="D51" s="1"/>
      <c r="E51" s="1"/>
      <c r="F51" s="1"/>
      <c r="G51" s="1"/>
      <c r="H51" s="1"/>
    </row>
    <row r="52" spans="1:8" x14ac:dyDescent="0.2">
      <c r="A52" s="1"/>
      <c r="B52" s="1"/>
      <c r="C52" s="1"/>
      <c r="D52" s="1"/>
      <c r="E52" s="1"/>
      <c r="F52" s="1"/>
      <c r="G52" s="1"/>
      <c r="H52" s="1"/>
    </row>
    <row r="53" spans="1:8" x14ac:dyDescent="0.2">
      <c r="A53" s="1"/>
      <c r="B53" s="1"/>
      <c r="C53" s="1"/>
      <c r="D53" s="1"/>
      <c r="E53" s="1"/>
      <c r="F53" s="1"/>
      <c r="G53" s="1"/>
      <c r="H53" s="1"/>
    </row>
    <row r="54" spans="1:8" x14ac:dyDescent="0.2">
      <c r="A54" s="1"/>
      <c r="B54" s="1"/>
      <c r="C54" s="1"/>
      <c r="D54" s="1"/>
      <c r="E54" s="1"/>
      <c r="F54" s="1"/>
      <c r="G54" s="1"/>
      <c r="H54" s="1"/>
    </row>
    <row r="55" spans="1:8" x14ac:dyDescent="0.2">
      <c r="A55" s="1"/>
      <c r="B55" s="1"/>
      <c r="C55" s="1"/>
      <c r="D55" s="1"/>
      <c r="E55" s="1"/>
      <c r="F55" s="1"/>
      <c r="G55" s="1"/>
      <c r="H55" s="1"/>
    </row>
    <row r="56" spans="1:8" x14ac:dyDescent="0.2">
      <c r="A56" s="1"/>
      <c r="B56" s="1"/>
      <c r="C56" s="1"/>
      <c r="D56" s="1"/>
      <c r="E56" s="1"/>
      <c r="F56" s="1"/>
      <c r="G56" s="1"/>
      <c r="H56" s="1"/>
    </row>
    <row r="57" spans="1:8" x14ac:dyDescent="0.2">
      <c r="A57" s="1"/>
      <c r="B57" s="1"/>
      <c r="C57" s="1"/>
      <c r="D57" s="1"/>
      <c r="E57" s="1"/>
      <c r="F57" s="1"/>
      <c r="G57" s="1"/>
      <c r="H57" s="1"/>
    </row>
    <row r="58" spans="1:8" x14ac:dyDescent="0.2">
      <c r="A58" s="1"/>
      <c r="B58" s="1"/>
      <c r="C58" s="1"/>
      <c r="D58" s="1"/>
      <c r="E58" s="1"/>
      <c r="F58" s="1"/>
      <c r="G58" s="1"/>
      <c r="H58" s="1"/>
    </row>
    <row r="59" spans="1:8" x14ac:dyDescent="0.2">
      <c r="A59" s="1"/>
      <c r="B59" s="1"/>
      <c r="C59" s="1"/>
      <c r="D59" s="1"/>
      <c r="E59" s="1"/>
      <c r="F59" s="1"/>
      <c r="G59" s="1"/>
      <c r="H59" s="1"/>
    </row>
    <row r="60" spans="1:8" x14ac:dyDescent="0.2">
      <c r="A60" s="1"/>
      <c r="B60" s="1"/>
      <c r="C60" s="1"/>
      <c r="D60" s="1"/>
      <c r="E60" s="1"/>
      <c r="F60" s="1"/>
      <c r="G60" s="1"/>
      <c r="H60" s="1"/>
    </row>
    <row r="61" spans="1:8" x14ac:dyDescent="0.2">
      <c r="A61" s="1"/>
      <c r="B61" s="1"/>
      <c r="C61" s="1"/>
      <c r="D61" s="1"/>
      <c r="E61" s="1"/>
      <c r="F61" s="1"/>
      <c r="G61" s="1"/>
      <c r="H61" s="1"/>
    </row>
    <row r="62" spans="1:8" x14ac:dyDescent="0.2">
      <c r="A62" s="1"/>
      <c r="B62" s="1"/>
      <c r="C62" s="1"/>
      <c r="D62" s="1"/>
      <c r="E62" s="1"/>
      <c r="F62" s="1"/>
      <c r="G62" s="1"/>
      <c r="H62" s="1"/>
    </row>
    <row r="63" spans="1:8" x14ac:dyDescent="0.2">
      <c r="A63" s="1"/>
      <c r="B63" s="1"/>
      <c r="C63" s="1"/>
      <c r="D63" s="1"/>
      <c r="E63" s="1"/>
      <c r="F63" s="1"/>
      <c r="G63" s="1"/>
      <c r="H63" s="1"/>
    </row>
    <row r="64" spans="1:8" x14ac:dyDescent="0.2">
      <c r="A64" s="1"/>
      <c r="B64" s="1"/>
      <c r="C64" s="1"/>
      <c r="D64" s="1"/>
      <c r="E64" s="1"/>
      <c r="F64" s="1"/>
      <c r="G64" s="1"/>
      <c r="H64" s="1"/>
    </row>
    <row r="65" spans="1:8" x14ac:dyDescent="0.2">
      <c r="A65" s="1"/>
      <c r="B65" s="1"/>
      <c r="C65" s="1"/>
      <c r="D65" s="1"/>
      <c r="E65" s="1"/>
      <c r="F65" s="1"/>
      <c r="G65" s="1"/>
      <c r="H65" s="1"/>
    </row>
    <row r="66" spans="1:8" x14ac:dyDescent="0.2">
      <c r="A66" s="1"/>
      <c r="B66" s="1"/>
      <c r="C66" s="1"/>
      <c r="D66" s="1"/>
      <c r="E66" s="1"/>
      <c r="F66" s="1"/>
      <c r="G66" s="1"/>
      <c r="H66" s="1"/>
    </row>
    <row r="67" spans="1:8" x14ac:dyDescent="0.2">
      <c r="A67" s="1"/>
      <c r="B67" s="1"/>
      <c r="C67" s="1"/>
      <c r="D67" s="1"/>
      <c r="E67" s="1"/>
      <c r="F67" s="1"/>
      <c r="G67" s="1"/>
      <c r="H67" s="1"/>
    </row>
    <row r="68" spans="1:8" x14ac:dyDescent="0.2">
      <c r="A68" s="1"/>
      <c r="B68" s="1"/>
      <c r="C68" s="1"/>
      <c r="D68" s="1"/>
      <c r="E68" s="1"/>
      <c r="F68" s="1"/>
      <c r="G68" s="1"/>
      <c r="H68" s="1"/>
    </row>
    <row r="69" spans="1:8" x14ac:dyDescent="0.2">
      <c r="A69" s="1"/>
      <c r="B69" s="1"/>
      <c r="C69" s="1"/>
      <c r="D69" s="1"/>
      <c r="E69" s="1"/>
      <c r="F69" s="1"/>
      <c r="G69" s="1"/>
      <c r="H69" s="1"/>
    </row>
    <row r="70" spans="1:8" x14ac:dyDescent="0.2">
      <c r="A70" s="1"/>
      <c r="B70" s="1"/>
      <c r="C70" s="1"/>
      <c r="D70" s="1"/>
      <c r="E70" s="1"/>
      <c r="F70" s="1"/>
      <c r="G70" s="1"/>
      <c r="H70" s="1"/>
    </row>
    <row r="71" spans="1:8" x14ac:dyDescent="0.2">
      <c r="A71" s="1"/>
      <c r="B71" s="1"/>
      <c r="C71" s="1"/>
      <c r="D71" s="1"/>
      <c r="E71" s="1"/>
      <c r="F71" s="1"/>
      <c r="G71" s="1"/>
      <c r="H71" s="1"/>
    </row>
    <row r="72" spans="1:8" x14ac:dyDescent="0.2">
      <c r="A72" s="1"/>
      <c r="B72" s="1"/>
      <c r="C72" s="1"/>
      <c r="D72" s="1"/>
      <c r="E72" s="1"/>
      <c r="F72" s="1"/>
      <c r="G72" s="1"/>
      <c r="H72" s="1"/>
    </row>
    <row r="73" spans="1:8" x14ac:dyDescent="0.2">
      <c r="A73" s="1"/>
      <c r="B73" s="1"/>
      <c r="C73" s="1"/>
      <c r="D73" s="1"/>
      <c r="E73" s="1"/>
      <c r="F73" s="1"/>
      <c r="G73" s="1"/>
      <c r="H73" s="1"/>
    </row>
    <row r="74" spans="1:8" x14ac:dyDescent="0.2">
      <c r="A74" s="1"/>
      <c r="B74" s="1"/>
      <c r="C74" s="1"/>
      <c r="D74" s="1"/>
      <c r="E74" s="1"/>
      <c r="F74" s="1"/>
      <c r="G74" s="1"/>
      <c r="H74" s="1"/>
    </row>
    <row r="75" spans="1:8" x14ac:dyDescent="0.2">
      <c r="A75" s="1"/>
      <c r="B75" s="1"/>
      <c r="C75" s="1"/>
      <c r="D75" s="1"/>
      <c r="E75" s="1"/>
      <c r="F75" s="1"/>
      <c r="G75" s="1"/>
      <c r="H75" s="1"/>
    </row>
    <row r="76" spans="1:8" x14ac:dyDescent="0.2">
      <c r="A76" s="1"/>
      <c r="B76" s="1"/>
      <c r="C76" s="1"/>
      <c r="D76" s="1"/>
      <c r="E76" s="1"/>
      <c r="F76" s="1"/>
      <c r="G76" s="1"/>
      <c r="H76" s="1"/>
    </row>
    <row r="77" spans="1:8" x14ac:dyDescent="0.2">
      <c r="A77" s="1"/>
      <c r="B77" s="1"/>
      <c r="C77" s="1"/>
      <c r="D77" s="1"/>
      <c r="E77" s="1"/>
      <c r="F77" s="1"/>
      <c r="G77" s="1"/>
      <c r="H77" s="1"/>
    </row>
    <row r="78" spans="1:8" x14ac:dyDescent="0.2">
      <c r="A78" s="1"/>
      <c r="B78" s="1"/>
      <c r="C78" s="1"/>
      <c r="D78" s="1"/>
      <c r="E78" s="1"/>
      <c r="F78" s="1"/>
      <c r="G78" s="1"/>
      <c r="H78" s="1"/>
    </row>
    <row r="79" spans="1:8" x14ac:dyDescent="0.2">
      <c r="A79" s="1"/>
      <c r="B79" s="1"/>
      <c r="C79" s="1"/>
      <c r="D79" s="1"/>
      <c r="E79" s="1"/>
      <c r="F79" s="1"/>
      <c r="G79" s="1"/>
      <c r="H79" s="1"/>
    </row>
    <row r="80" spans="1:8" x14ac:dyDescent="0.2">
      <c r="A80" s="1"/>
      <c r="B80" s="1"/>
      <c r="C80" s="1"/>
      <c r="D80" s="1"/>
      <c r="E80" s="1"/>
      <c r="F80" s="1"/>
      <c r="G80" s="1"/>
      <c r="H80" s="1"/>
    </row>
    <row r="81" spans="1:8" x14ac:dyDescent="0.2">
      <c r="A81" s="1"/>
      <c r="B81" s="1"/>
      <c r="C81" s="1"/>
      <c r="D81" s="1"/>
      <c r="E81" s="1"/>
      <c r="F81" s="1"/>
      <c r="G81" s="1"/>
      <c r="H81" s="1"/>
    </row>
    <row r="82" spans="1:8" x14ac:dyDescent="0.2">
      <c r="A82" s="1"/>
      <c r="B82" s="1"/>
      <c r="C82" s="1"/>
      <c r="D82" s="1"/>
      <c r="E82" s="1"/>
      <c r="F82" s="1"/>
      <c r="G82" s="1"/>
      <c r="H82" s="1"/>
    </row>
    <row r="83" spans="1:8" x14ac:dyDescent="0.2">
      <c r="A83" s="1"/>
      <c r="B83" s="1"/>
      <c r="C83" s="1"/>
      <c r="D83" s="1"/>
      <c r="E83" s="1"/>
      <c r="F83" s="1"/>
      <c r="G83" s="1"/>
      <c r="H83" s="1"/>
    </row>
    <row r="84" spans="1:8" x14ac:dyDescent="0.2">
      <c r="A84" s="11" t="s">
        <v>1</v>
      </c>
      <c r="B84" s="12"/>
      <c r="C84" s="12"/>
      <c r="D84" s="13"/>
      <c r="E84" s="8"/>
      <c r="F84" s="8"/>
      <c r="G84" s="8"/>
      <c r="H84" s="8"/>
    </row>
    <row r="85" spans="1:8" x14ac:dyDescent="0.2">
      <c r="A85" s="14" t="s">
        <v>15</v>
      </c>
      <c r="B85" s="15"/>
      <c r="C85" s="15"/>
      <c r="D85" s="16"/>
      <c r="E85" s="8"/>
      <c r="F85" s="8"/>
      <c r="G85" s="8"/>
      <c r="H85" s="8"/>
    </row>
    <row r="86" spans="1:8" x14ac:dyDescent="0.2">
      <c r="A86" s="17" t="s">
        <v>62</v>
      </c>
      <c r="B86" s="18"/>
      <c r="C86" s="18"/>
      <c r="D86" s="19"/>
      <c r="E86" s="8"/>
      <c r="F86" s="8"/>
      <c r="G86" s="8"/>
      <c r="H86" s="8"/>
    </row>
    <row r="87" spans="1:8" x14ac:dyDescent="0.2">
      <c r="A87" s="20"/>
      <c r="B87" s="21"/>
      <c r="C87" s="22"/>
      <c r="D87" s="23"/>
      <c r="E87" s="8"/>
      <c r="F87" s="8" t="s">
        <v>34</v>
      </c>
      <c r="G87" s="8"/>
      <c r="H87" s="8"/>
    </row>
    <row r="88" spans="1:8" ht="15.75" x14ac:dyDescent="0.25">
      <c r="A88" s="24" t="s">
        <v>2</v>
      </c>
      <c r="B88" s="25" t="str">
        <f>[1]Charters!B91</f>
        <v>Promontory School</v>
      </c>
      <c r="C88" s="26"/>
      <c r="D88" s="27"/>
      <c r="E88" s="8"/>
      <c r="F88" s="8"/>
      <c r="G88" s="8"/>
      <c r="H88" s="8"/>
    </row>
    <row r="89" spans="1:8" x14ac:dyDescent="0.2">
      <c r="A89" s="24"/>
      <c r="B89" s="28"/>
      <c r="C89" s="26"/>
      <c r="D89" s="27"/>
      <c r="E89" s="8"/>
      <c r="F89" s="8"/>
      <c r="G89" s="8"/>
      <c r="H89" s="8"/>
    </row>
    <row r="90" spans="1:8" x14ac:dyDescent="0.2">
      <c r="A90" s="29" t="s">
        <v>0</v>
      </c>
      <c r="B90" s="30">
        <f>[1]Charters!$E$6</f>
        <v>3184</v>
      </c>
      <c r="C90" s="26"/>
      <c r="D90" s="31"/>
      <c r="E90" s="8"/>
      <c r="F90" s="8"/>
      <c r="G90" s="8"/>
      <c r="H90" s="8"/>
    </row>
    <row r="91" spans="1:8" x14ac:dyDescent="0.2">
      <c r="A91" s="32"/>
      <c r="B91" s="6"/>
      <c r="C91" s="33"/>
      <c r="D91" s="34" t="s">
        <v>3</v>
      </c>
      <c r="E91" s="8"/>
      <c r="F91" s="8"/>
      <c r="G91" s="8"/>
      <c r="H91" s="8"/>
    </row>
    <row r="92" spans="1:8" x14ac:dyDescent="0.2">
      <c r="A92" s="29" t="s">
        <v>19</v>
      </c>
      <c r="B92" s="35" t="str">
        <f>[1]Charters!A91</f>
        <v>6H</v>
      </c>
      <c r="C92" s="36" t="s">
        <v>4</v>
      </c>
      <c r="D92" s="37" t="s">
        <v>5</v>
      </c>
      <c r="E92" s="8"/>
      <c r="F92" s="8"/>
      <c r="G92" s="8"/>
      <c r="H92" s="8"/>
    </row>
    <row r="93" spans="1:8" x14ac:dyDescent="0.2">
      <c r="A93" s="38" t="s">
        <v>6</v>
      </c>
      <c r="B93" s="39"/>
      <c r="C93" s="40"/>
      <c r="D93" s="41"/>
      <c r="E93" s="8"/>
      <c r="F93" s="8"/>
      <c r="G93" s="8"/>
      <c r="H93" s="8"/>
    </row>
    <row r="94" spans="1:8" x14ac:dyDescent="0.2">
      <c r="A94" s="38" t="s">
        <v>7</v>
      </c>
      <c r="B94" s="39"/>
      <c r="C94" s="40"/>
      <c r="D94" s="41"/>
      <c r="E94" s="8"/>
      <c r="F94" s="42" t="s">
        <v>23</v>
      </c>
      <c r="G94" s="8"/>
      <c r="H94" s="42" t="s">
        <v>26</v>
      </c>
    </row>
    <row r="95" spans="1:8" x14ac:dyDescent="0.2">
      <c r="A95" s="20" t="s">
        <v>8</v>
      </c>
      <c r="B95" s="43"/>
      <c r="C95" s="44">
        <f>[1]Charters!C551</f>
        <v>403.57100000000003</v>
      </c>
      <c r="D95" s="45">
        <f>[1]Charters!E551</f>
        <v>1284971.1200000001</v>
      </c>
      <c r="E95" s="8"/>
      <c r="F95" s="42">
        <f>[1]Charters!E706</f>
        <v>1360111.09</v>
      </c>
      <c r="G95" s="8"/>
      <c r="H95" s="42">
        <f>[2]Charters!E245</f>
        <v>1632566.92</v>
      </c>
    </row>
    <row r="96" spans="1:8" x14ac:dyDescent="0.2">
      <c r="A96" s="20" t="s">
        <v>14</v>
      </c>
      <c r="B96" s="43"/>
      <c r="C96" s="44">
        <f>[1]Charters!F551</f>
        <v>23.599</v>
      </c>
      <c r="D96" s="45">
        <f>[1]Charters!H551</f>
        <v>75139.97</v>
      </c>
      <c r="E96" s="8"/>
      <c r="F96" s="42">
        <f>SUM(D95:D97)</f>
        <v>1360111.09</v>
      </c>
      <c r="G96" s="8"/>
      <c r="H96" s="42">
        <f>D108</f>
        <v>1632566.92</v>
      </c>
    </row>
    <row r="97" spans="1:8" x14ac:dyDescent="0.2">
      <c r="A97" s="20" t="s">
        <v>32</v>
      </c>
      <c r="B97" s="43"/>
      <c r="C97" s="44">
        <f>[1]Charters!C244</f>
        <v>0</v>
      </c>
      <c r="D97" s="45">
        <f>[1]Charters!E244</f>
        <v>0</v>
      </c>
      <c r="E97" s="8"/>
      <c r="F97" s="42">
        <f>+F95-F96</f>
        <v>0</v>
      </c>
      <c r="G97" s="8"/>
      <c r="H97" s="42">
        <f>+H95-H96</f>
        <v>0</v>
      </c>
    </row>
    <row r="98" spans="1:8" x14ac:dyDescent="0.2">
      <c r="A98" s="38" t="s">
        <v>9</v>
      </c>
      <c r="B98" s="39"/>
      <c r="C98" s="46"/>
      <c r="D98" s="47"/>
      <c r="E98" s="8"/>
      <c r="F98" s="8"/>
      <c r="G98" s="8"/>
      <c r="H98" s="8"/>
    </row>
    <row r="99" spans="1:8" x14ac:dyDescent="0.2">
      <c r="A99" s="20" t="s">
        <v>10</v>
      </c>
      <c r="B99" s="43"/>
      <c r="C99" s="40">
        <f>[3]Charters!C90</f>
        <v>42.58</v>
      </c>
      <c r="D99" s="41">
        <f>[3]Charters!E90</f>
        <v>135574.01</v>
      </c>
      <c r="E99" s="8"/>
      <c r="F99" s="42" t="s">
        <v>24</v>
      </c>
      <c r="G99" s="8"/>
      <c r="H99" s="8"/>
    </row>
    <row r="100" spans="1:8" x14ac:dyDescent="0.2">
      <c r="A100" s="48" t="s">
        <v>11</v>
      </c>
      <c r="B100" s="43"/>
      <c r="C100" s="40">
        <f>[3]Charters!F90</f>
        <v>0</v>
      </c>
      <c r="D100" s="49">
        <f>[3]Charters!H90</f>
        <v>0</v>
      </c>
      <c r="E100" s="8"/>
      <c r="F100" s="42">
        <f>[3]Charters!N402</f>
        <v>143149.4</v>
      </c>
      <c r="G100" s="8"/>
      <c r="H100" s="8"/>
    </row>
    <row r="101" spans="1:8" x14ac:dyDescent="0.2">
      <c r="A101" s="48" t="s">
        <v>12</v>
      </c>
      <c r="B101" s="43"/>
      <c r="C101" s="40">
        <f>[3]Charters!C245</f>
        <v>0</v>
      </c>
      <c r="D101" s="41">
        <f>[3]Charters!E245</f>
        <v>0</v>
      </c>
      <c r="E101" s="8"/>
      <c r="F101" s="42">
        <f>SUM(D99:D105)</f>
        <v>143149.4</v>
      </c>
      <c r="G101" s="8"/>
      <c r="H101" s="8"/>
    </row>
    <row r="102" spans="1:8" x14ac:dyDescent="0.2">
      <c r="A102" s="20" t="s">
        <v>13</v>
      </c>
      <c r="B102" s="43"/>
      <c r="C102" s="40">
        <f>[3]Charters!F245</f>
        <v>0.96599999999999997</v>
      </c>
      <c r="D102" s="41">
        <f>[3]Charters!H245</f>
        <v>3075.2</v>
      </c>
      <c r="E102" s="8"/>
      <c r="F102" s="42">
        <f>+F100-F101</f>
        <v>0</v>
      </c>
      <c r="G102" s="8"/>
      <c r="H102" s="8"/>
    </row>
    <row r="103" spans="1:8" x14ac:dyDescent="0.2">
      <c r="A103" s="48" t="s">
        <v>54</v>
      </c>
      <c r="B103" s="43"/>
      <c r="C103" s="40">
        <f>[3]Charters!C402</f>
        <v>1.413</v>
      </c>
      <c r="D103" s="41">
        <f>[3]Charters!E402</f>
        <v>4500.1899999999996</v>
      </c>
      <c r="E103" s="8"/>
      <c r="F103" s="8"/>
      <c r="G103" s="8"/>
      <c r="H103" s="8"/>
    </row>
    <row r="104" spans="1:8" x14ac:dyDescent="0.2">
      <c r="A104" s="48" t="s">
        <v>55</v>
      </c>
      <c r="B104" s="43"/>
      <c r="C104" s="40">
        <f>[3]Charters!F402</f>
        <v>0</v>
      </c>
      <c r="D104" s="41">
        <f>[3]Charters!H402</f>
        <v>0</v>
      </c>
      <c r="E104" s="8"/>
      <c r="F104" s="42" t="s">
        <v>25</v>
      </c>
      <c r="G104" s="8"/>
      <c r="H104" s="8"/>
    </row>
    <row r="105" spans="1:8" x14ac:dyDescent="0.2">
      <c r="A105" s="48" t="s">
        <v>56</v>
      </c>
      <c r="B105" s="43"/>
      <c r="C105" s="40">
        <f>[3]Charters!I402</f>
        <v>0</v>
      </c>
      <c r="D105" s="41">
        <f>[3]Charters!K402</f>
        <v>0</v>
      </c>
      <c r="E105" s="8"/>
      <c r="F105" s="42">
        <f>[2]Charters!H91</f>
        <v>272455.83</v>
      </c>
      <c r="G105" s="8"/>
      <c r="H105" s="8"/>
    </row>
    <row r="106" spans="1:8" x14ac:dyDescent="0.2">
      <c r="A106" s="20" t="s">
        <v>49</v>
      </c>
      <c r="B106" s="43"/>
      <c r="C106" s="40">
        <f>[3]Charters!C558</f>
        <v>0</v>
      </c>
      <c r="D106" s="41">
        <f>[3]Charters!E558</f>
        <v>0</v>
      </c>
      <c r="E106" s="8"/>
      <c r="F106" s="42">
        <f>SUM(D99:D107)</f>
        <v>272455.83</v>
      </c>
      <c r="G106" s="8"/>
      <c r="H106" s="8"/>
    </row>
    <row r="107" spans="1:8" x14ac:dyDescent="0.2">
      <c r="A107" s="20" t="s">
        <v>50</v>
      </c>
      <c r="B107" s="43"/>
      <c r="C107" s="40">
        <f>[2]Charters!C91</f>
        <v>40.610999999999997</v>
      </c>
      <c r="D107" s="41">
        <f>[2]Charters!E91</f>
        <v>129306.43</v>
      </c>
      <c r="E107" s="8"/>
      <c r="F107" s="42">
        <f>+F105-F106</f>
        <v>0</v>
      </c>
      <c r="G107" s="8"/>
      <c r="H107" s="8"/>
    </row>
    <row r="108" spans="1:8" x14ac:dyDescent="0.2">
      <c r="A108" s="50"/>
      <c r="B108" s="51" t="s">
        <v>16</v>
      </c>
      <c r="C108" s="52">
        <f>SUM(C95:C107)</f>
        <v>512.74</v>
      </c>
      <c r="D108" s="53">
        <f>SUM(D95:D107)</f>
        <v>1632566.92</v>
      </c>
      <c r="E108" s="8"/>
      <c r="F108" s="8"/>
      <c r="G108" s="8"/>
      <c r="H108" s="8"/>
    </row>
    <row r="109" spans="1:8" x14ac:dyDescent="0.2">
      <c r="A109" s="54" t="s">
        <v>17</v>
      </c>
      <c r="B109" s="39"/>
      <c r="C109" s="55"/>
      <c r="D109" s="47"/>
      <c r="E109" s="8"/>
      <c r="F109" s="8"/>
      <c r="G109" s="8"/>
      <c r="H109" s="42" t="s">
        <v>29</v>
      </c>
    </row>
    <row r="110" spans="1:8" x14ac:dyDescent="0.2">
      <c r="A110" s="20" t="s">
        <v>33</v>
      </c>
      <c r="B110" s="43"/>
      <c r="C110" s="56"/>
      <c r="D110" s="57">
        <f>[4]Charters!C91</f>
        <v>4731.9399999999996</v>
      </c>
      <c r="E110" s="8"/>
      <c r="F110" s="8"/>
      <c r="G110" s="8"/>
      <c r="H110" s="42">
        <f>[4]Charters!F1031</f>
        <v>2799469.99</v>
      </c>
    </row>
    <row r="111" spans="1:8" x14ac:dyDescent="0.2">
      <c r="A111" s="58" t="s">
        <v>35</v>
      </c>
      <c r="B111" s="43"/>
      <c r="C111" s="56"/>
      <c r="D111" s="41">
        <f>+[4]Charters!F412</f>
        <v>1942.38</v>
      </c>
      <c r="E111" s="8"/>
      <c r="F111" s="8"/>
      <c r="G111" s="8"/>
      <c r="H111" s="42">
        <f>SUM(D108:D127)</f>
        <v>2799469.99</v>
      </c>
    </row>
    <row r="112" spans="1:8" x14ac:dyDescent="0.2">
      <c r="A112" s="59" t="s">
        <v>36</v>
      </c>
      <c r="B112" s="43"/>
      <c r="C112" s="56"/>
      <c r="D112" s="41">
        <f>[4]Charters!E251</f>
        <v>20504</v>
      </c>
      <c r="E112" s="8"/>
      <c r="F112" s="8"/>
      <c r="G112" s="8"/>
      <c r="H112" s="42">
        <f>+H110-H111</f>
        <v>0</v>
      </c>
    </row>
    <row r="113" spans="1:8" x14ac:dyDescent="0.2">
      <c r="A113" s="59" t="s">
        <v>52</v>
      </c>
      <c r="B113" s="43"/>
      <c r="C113" s="56"/>
      <c r="D113" s="41">
        <f>[4]Charters!G412</f>
        <v>0</v>
      </c>
      <c r="E113" s="8"/>
      <c r="F113" s="42" t="s">
        <v>27</v>
      </c>
      <c r="G113" s="8"/>
      <c r="H113" s="42"/>
    </row>
    <row r="114" spans="1:8" x14ac:dyDescent="0.2">
      <c r="A114" s="20" t="s">
        <v>37</v>
      </c>
      <c r="B114" s="43"/>
      <c r="C114" s="56"/>
      <c r="D114" s="41">
        <f>[4]Charters!E568</f>
        <v>33030</v>
      </c>
      <c r="E114" s="8"/>
      <c r="F114" s="42">
        <f>[4]Charters!E251</f>
        <v>20504</v>
      </c>
      <c r="G114" s="8"/>
      <c r="H114" s="8"/>
    </row>
    <row r="115" spans="1:8" x14ac:dyDescent="0.2">
      <c r="A115" s="20" t="s">
        <v>38</v>
      </c>
      <c r="B115" s="43"/>
      <c r="C115" s="56"/>
      <c r="D115" s="41">
        <f>[4]Charters!F568</f>
        <v>0</v>
      </c>
      <c r="E115" s="8"/>
      <c r="F115" s="42">
        <f>SUM(D112:D112)</f>
        <v>20504</v>
      </c>
      <c r="G115" s="8"/>
      <c r="H115" s="8"/>
    </row>
    <row r="116" spans="1:8" x14ac:dyDescent="0.2">
      <c r="A116" s="59" t="s">
        <v>40</v>
      </c>
      <c r="B116" s="43"/>
      <c r="C116" s="56"/>
      <c r="D116" s="41">
        <f>[4]Charters!G568</f>
        <v>0</v>
      </c>
      <c r="E116" s="8"/>
      <c r="F116" s="42">
        <f>+F114-F115</f>
        <v>0</v>
      </c>
      <c r="G116" s="8"/>
      <c r="H116" s="8"/>
    </row>
    <row r="117" spans="1:8" x14ac:dyDescent="0.2">
      <c r="A117" s="20" t="s">
        <v>41</v>
      </c>
      <c r="B117" s="43"/>
      <c r="C117" s="56"/>
      <c r="D117" s="41">
        <f>[4]Charters!C722</f>
        <v>914457</v>
      </c>
      <c r="E117" s="8"/>
      <c r="F117" s="42" t="s">
        <v>28</v>
      </c>
      <c r="G117" s="8"/>
      <c r="H117" s="8"/>
    </row>
    <row r="118" spans="1:8" x14ac:dyDescent="0.2">
      <c r="A118" s="20" t="s">
        <v>42</v>
      </c>
      <c r="B118" s="43"/>
      <c r="C118" s="56"/>
      <c r="D118" s="41">
        <f>[4]Charters!D722</f>
        <v>103174.48</v>
      </c>
      <c r="E118" s="8"/>
      <c r="F118" s="42">
        <f>[4]Charters!D568</f>
        <v>22446.38</v>
      </c>
      <c r="G118" s="8"/>
      <c r="H118" s="8"/>
    </row>
    <row r="119" spans="1:8" x14ac:dyDescent="0.2">
      <c r="A119" s="20" t="s">
        <v>44</v>
      </c>
      <c r="B119" s="43"/>
      <c r="C119" s="56"/>
      <c r="D119" s="41">
        <f>[4]Charters!E722</f>
        <v>45700</v>
      </c>
      <c r="E119" s="8"/>
      <c r="F119" s="42">
        <f>SUM(D111:D113)</f>
        <v>22446.38</v>
      </c>
      <c r="G119" s="8"/>
      <c r="H119" s="8"/>
    </row>
    <row r="120" spans="1:8" x14ac:dyDescent="0.2">
      <c r="A120" s="59" t="s">
        <v>43</v>
      </c>
      <c r="B120" s="43"/>
      <c r="C120" s="56"/>
      <c r="D120" s="41">
        <f>[4]Charters!F722</f>
        <v>15472.89</v>
      </c>
      <c r="E120" s="8"/>
      <c r="F120" s="42">
        <f>+F118-F119</f>
        <v>0</v>
      </c>
      <c r="G120" s="8"/>
      <c r="H120" s="8"/>
    </row>
    <row r="121" spans="1:8" x14ac:dyDescent="0.2">
      <c r="A121" s="59" t="s">
        <v>45</v>
      </c>
      <c r="B121" s="43"/>
      <c r="C121" s="56"/>
      <c r="D121" s="41">
        <f>[4]Charters!C568</f>
        <v>0</v>
      </c>
      <c r="E121" s="8"/>
      <c r="F121" s="8"/>
      <c r="G121" s="8"/>
      <c r="H121" s="8"/>
    </row>
    <row r="122" spans="1:8" x14ac:dyDescent="0.2">
      <c r="A122" s="59" t="s">
        <v>46</v>
      </c>
      <c r="B122" s="43"/>
      <c r="C122" s="56"/>
      <c r="D122" s="41">
        <f>[4]Charters!C878</f>
        <v>0</v>
      </c>
      <c r="E122" s="42"/>
      <c r="F122" s="42"/>
      <c r="G122" s="42"/>
      <c r="H122" s="42" t="s">
        <v>31</v>
      </c>
    </row>
    <row r="123" spans="1:8" x14ac:dyDescent="0.2">
      <c r="A123" s="59" t="s">
        <v>51</v>
      </c>
      <c r="B123" s="43"/>
      <c r="C123" s="56"/>
      <c r="D123" s="60">
        <f>[4]Charters!D878</f>
        <v>677.51</v>
      </c>
      <c r="E123" s="42"/>
      <c r="F123" s="42"/>
      <c r="G123" s="42"/>
      <c r="H123" s="42">
        <f>[4]Charters!D1337</f>
        <v>2808366.03</v>
      </c>
    </row>
    <row r="124" spans="1:8" x14ac:dyDescent="0.2">
      <c r="A124" s="20" t="s">
        <v>47</v>
      </c>
      <c r="B124" s="43"/>
      <c r="C124" s="56"/>
      <c r="D124" s="60">
        <f>[4]Charters!E878</f>
        <v>0</v>
      </c>
      <c r="E124" s="42"/>
      <c r="F124" s="42"/>
      <c r="G124" s="42"/>
      <c r="H124" s="42">
        <f>D133</f>
        <v>2808366.04</v>
      </c>
    </row>
    <row r="125" spans="1:8" x14ac:dyDescent="0.2">
      <c r="A125" s="20" t="s">
        <v>57</v>
      </c>
      <c r="B125" s="43"/>
      <c r="C125" s="56"/>
      <c r="D125" s="60">
        <f>[4]Charters!C1031</f>
        <v>5417.74</v>
      </c>
      <c r="E125" s="42"/>
      <c r="F125" s="42"/>
      <c r="G125" s="42"/>
      <c r="H125" s="42">
        <f>+H123-H124</f>
        <v>-0.01</v>
      </c>
    </row>
    <row r="126" spans="1:8" x14ac:dyDescent="0.2">
      <c r="A126" s="59" t="s">
        <v>53</v>
      </c>
      <c r="B126" s="43"/>
      <c r="C126" s="56"/>
      <c r="D126" s="60">
        <f>[4]Charters!D1031</f>
        <v>0</v>
      </c>
      <c r="E126" s="42"/>
      <c r="F126" s="42" t="s">
        <v>30</v>
      </c>
      <c r="G126" s="42"/>
      <c r="H126" s="42"/>
    </row>
    <row r="127" spans="1:8" x14ac:dyDescent="0.2">
      <c r="A127" s="59" t="s">
        <v>59</v>
      </c>
      <c r="B127" s="43"/>
      <c r="C127" s="56"/>
      <c r="D127" s="60">
        <f>[4]Charters!E1031</f>
        <v>21795.13</v>
      </c>
      <c r="E127" s="42"/>
      <c r="F127" s="42"/>
      <c r="G127" s="42"/>
      <c r="H127" s="42"/>
    </row>
    <row r="128" spans="1:8" x14ac:dyDescent="0.2">
      <c r="A128" s="38" t="s">
        <v>18</v>
      </c>
      <c r="B128" s="61"/>
      <c r="C128" s="62"/>
      <c r="D128" s="87"/>
      <c r="E128" s="42"/>
      <c r="F128" s="42">
        <f>[4]Charters!C1337</f>
        <v>8896.0499999999993</v>
      </c>
      <c r="G128" s="42"/>
      <c r="H128" s="42"/>
    </row>
    <row r="129" spans="1:8" x14ac:dyDescent="0.2">
      <c r="A129" s="59" t="s">
        <v>39</v>
      </c>
      <c r="B129" s="43"/>
      <c r="C129" s="56"/>
      <c r="D129" s="41">
        <f>[4]Charters!C1184</f>
        <v>3844.83</v>
      </c>
      <c r="E129" s="42"/>
      <c r="F129" s="42">
        <f>SUM(D129:D132)</f>
        <v>8896.0499999999993</v>
      </c>
      <c r="G129" s="42"/>
      <c r="H129" s="42"/>
    </row>
    <row r="130" spans="1:8" x14ac:dyDescent="0.2">
      <c r="A130" s="59" t="s">
        <v>48</v>
      </c>
      <c r="B130" s="43"/>
      <c r="C130" s="56"/>
      <c r="D130" s="41">
        <f>[4]Charters!D1184</f>
        <v>0</v>
      </c>
      <c r="E130" s="42"/>
      <c r="F130" s="42">
        <f>+F128-F129</f>
        <v>0</v>
      </c>
      <c r="G130" s="42"/>
      <c r="H130" s="42"/>
    </row>
    <row r="131" spans="1:8" x14ac:dyDescent="0.2">
      <c r="A131" s="59" t="s">
        <v>60</v>
      </c>
      <c r="B131" s="43"/>
      <c r="C131" s="56"/>
      <c r="D131" s="41">
        <f>[4]Charters!E1184</f>
        <v>0</v>
      </c>
      <c r="E131" s="42"/>
      <c r="F131" s="42"/>
      <c r="G131" s="42"/>
      <c r="H131" s="42"/>
    </row>
    <row r="132" spans="1:8" x14ac:dyDescent="0.2">
      <c r="A132" s="59" t="s">
        <v>61</v>
      </c>
      <c r="B132" s="43"/>
      <c r="C132" s="56"/>
      <c r="D132" s="41">
        <f>[4]Charters!F1184</f>
        <v>5051.22</v>
      </c>
      <c r="E132" s="42"/>
      <c r="F132" s="42"/>
      <c r="G132" s="42"/>
      <c r="H132" s="42"/>
    </row>
    <row r="133" spans="1:8" ht="13.5" thickBot="1" x14ac:dyDescent="0.25">
      <c r="A133" s="64"/>
      <c r="B133" s="65"/>
      <c r="C133" s="66"/>
      <c r="D133" s="67">
        <f>SUM(D108:D132)</f>
        <v>2808366.04</v>
      </c>
      <c r="E133" s="42"/>
      <c r="F133" s="42"/>
      <c r="G133" s="42"/>
      <c r="H133" s="42"/>
    </row>
    <row r="134" spans="1:8" ht="13.5" thickTop="1" x14ac:dyDescent="0.2">
      <c r="A134" s="68"/>
      <c r="B134" s="43"/>
      <c r="C134" s="56"/>
      <c r="D134" s="86"/>
      <c r="E134" s="42"/>
      <c r="F134" s="42"/>
      <c r="G134" s="42"/>
      <c r="H134" s="42"/>
    </row>
    <row r="135" spans="1:8" x14ac:dyDescent="0.2">
      <c r="A135" s="38" t="s">
        <v>20</v>
      </c>
      <c r="B135" s="39"/>
      <c r="C135" s="70"/>
      <c r="D135" s="71" t="s">
        <v>21</v>
      </c>
      <c r="E135" s="42"/>
      <c r="F135" s="42"/>
      <c r="G135" s="42"/>
      <c r="H135" s="42"/>
    </row>
    <row r="136" spans="1:8" x14ac:dyDescent="0.2">
      <c r="A136" s="72" t="s">
        <v>22</v>
      </c>
      <c r="B136" s="73"/>
      <c r="C136" s="74"/>
      <c r="D136" s="41">
        <f>[5]Charters!C90</f>
        <v>1079.8800000000001</v>
      </c>
      <c r="E136" s="42"/>
      <c r="F136" s="42"/>
      <c r="G136" s="42"/>
      <c r="H136" s="42"/>
    </row>
    <row r="137" spans="1:8" x14ac:dyDescent="0.2">
      <c r="A137" s="75"/>
      <c r="B137" s="61"/>
      <c r="C137" s="76"/>
      <c r="D137" s="77">
        <f>SUM(D136:D136)</f>
        <v>1079.8800000000001</v>
      </c>
      <c r="E137" s="42"/>
      <c r="F137" s="42"/>
      <c r="G137" s="42"/>
      <c r="H137" s="42"/>
    </row>
    <row r="138" spans="1:8" x14ac:dyDescent="0.2">
      <c r="A138" s="78" t="s">
        <v>58</v>
      </c>
      <c r="B138" s="79"/>
      <c r="C138" s="80"/>
      <c r="D138" s="77">
        <f>D137+D133</f>
        <v>2809445.92</v>
      </c>
      <c r="E138" s="42"/>
      <c r="F138" s="42"/>
      <c r="G138" s="42"/>
      <c r="H138" s="42"/>
    </row>
    <row r="139" spans="1:8" x14ac:dyDescent="0.2">
      <c r="A139" s="84"/>
      <c r="B139" s="84"/>
      <c r="C139" s="85"/>
      <c r="D139" s="81"/>
      <c r="E139" s="42"/>
      <c r="F139" s="42"/>
      <c r="G139" s="42"/>
      <c r="H139" s="42"/>
    </row>
    <row r="140" spans="1:8" x14ac:dyDescent="0.2">
      <c r="A140" s="84"/>
      <c r="B140" s="84"/>
      <c r="C140" s="85"/>
      <c r="D140" s="81">
        <f>[5]Charters!E246</f>
        <v>2809445.91</v>
      </c>
      <c r="E140" s="42"/>
      <c r="F140" s="42"/>
      <c r="G140" s="42"/>
      <c r="H140" s="42"/>
    </row>
    <row r="141" spans="1:8" x14ac:dyDescent="0.2">
      <c r="A141" s="84"/>
      <c r="B141" s="84"/>
      <c r="C141" s="85"/>
      <c r="D141" s="81">
        <f>D138</f>
        <v>2809445.92</v>
      </c>
      <c r="E141" s="42"/>
      <c r="F141" s="42"/>
      <c r="G141" s="42"/>
      <c r="H141" s="42"/>
    </row>
    <row r="142" spans="1:8" x14ac:dyDescent="0.2">
      <c r="C142" s="83"/>
      <c r="D142" s="42">
        <f>D140-D141</f>
        <v>-0.01</v>
      </c>
      <c r="E142" s="42"/>
      <c r="F142" s="42"/>
      <c r="G142" s="42"/>
      <c r="H142" s="42"/>
    </row>
  </sheetData>
  <mergeCells count="4">
    <mergeCell ref="A138:C138"/>
    <mergeCell ref="A86:D86"/>
    <mergeCell ref="A85:D85"/>
    <mergeCell ref="A84:D84"/>
  </mergeCells>
  <printOptions horizontalCentered="1" verticalCentered="1"/>
  <pageMargins left="0.5" right="0.5" top="0.5" bottom="0.5" header="0.25" footer="0.25"/>
  <pageSetup orientation="portrait" r:id="rId1"/>
  <headerFooter alignWithMargins="0">
    <oddHeader>&amp;R&amp;8Current as of: &amp;D</oddHeader>
    <oddFooter>&amp;L&amp;8USOE, School Finance</oddFooter>
  </headerFooter>
  <picture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sheetPr>
    <pageSetUpPr fitToPage="1"/>
  </sheetPr>
  <dimension ref="A1:H143"/>
  <sheetViews>
    <sheetView topLeftCell="A79" workbookViewId="0">
      <selection activeCell="C12" sqref="C12"/>
    </sheetView>
  </sheetViews>
  <sheetFormatPr defaultColWidth="9.140625" defaultRowHeight="12.75" x14ac:dyDescent="0.2"/>
  <cols>
    <col min="1" max="1" width="32.5703125" style="82" customWidth="1"/>
    <col min="2" max="2" width="16.28515625" style="82" customWidth="1"/>
    <col min="3" max="4" width="14.85546875" style="82" customWidth="1"/>
    <col min="5" max="5" width="9.140625" style="82"/>
    <col min="6" max="6" width="18.7109375" style="82" customWidth="1"/>
    <col min="7" max="7" width="9.140625" style="82"/>
    <col min="8" max="8" width="18.42578125" style="82" customWidth="1"/>
    <col min="9" max="16384" width="9.140625" style="82"/>
  </cols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"/>
      <c r="B3" s="1"/>
      <c r="C3" s="1"/>
      <c r="D3" s="1"/>
      <c r="E3" s="1"/>
      <c r="F3" s="1"/>
      <c r="G3" s="1"/>
      <c r="H3" s="1"/>
    </row>
    <row r="4" spans="1:8" x14ac:dyDescent="0.2">
      <c r="A4" s="1"/>
      <c r="B4" s="1"/>
      <c r="C4" s="1"/>
      <c r="D4" s="1"/>
      <c r="E4" s="1"/>
      <c r="F4" s="1"/>
      <c r="G4" s="1"/>
      <c r="H4" s="1"/>
    </row>
    <row r="5" spans="1:8" x14ac:dyDescent="0.2">
      <c r="A5" s="1"/>
      <c r="B5" s="1"/>
      <c r="C5" s="1"/>
      <c r="D5" s="1"/>
      <c r="E5" s="1"/>
      <c r="F5" s="1"/>
      <c r="G5" s="1"/>
      <c r="H5" s="1"/>
    </row>
    <row r="6" spans="1:8" x14ac:dyDescent="0.2">
      <c r="A6" s="1"/>
      <c r="B6" s="1"/>
      <c r="C6" s="1"/>
      <c r="D6" s="1"/>
      <c r="E6" s="1"/>
      <c r="F6" s="1"/>
      <c r="G6" s="1"/>
      <c r="H6" s="1"/>
    </row>
    <row r="7" spans="1:8" x14ac:dyDescent="0.2">
      <c r="A7" s="1"/>
      <c r="B7" s="1"/>
      <c r="C7" s="1"/>
      <c r="D7" s="1"/>
      <c r="E7" s="1"/>
      <c r="F7" s="1"/>
      <c r="G7" s="1"/>
      <c r="H7" s="1"/>
    </row>
    <row r="8" spans="1:8" x14ac:dyDescent="0.2">
      <c r="A8" s="1"/>
      <c r="B8" s="1"/>
      <c r="C8" s="1"/>
      <c r="D8" s="1"/>
      <c r="E8" s="1"/>
      <c r="F8" s="1"/>
      <c r="G8" s="1"/>
      <c r="H8" s="1"/>
    </row>
    <row r="9" spans="1:8" x14ac:dyDescent="0.2">
      <c r="A9" s="1"/>
      <c r="B9" s="1"/>
      <c r="C9" s="1"/>
      <c r="D9" s="1"/>
      <c r="E9" s="1"/>
      <c r="F9" s="1"/>
      <c r="G9" s="1"/>
      <c r="H9" s="1"/>
    </row>
    <row r="10" spans="1:8" x14ac:dyDescent="0.2">
      <c r="A10" s="1"/>
      <c r="B10" s="1"/>
      <c r="C10" s="1"/>
      <c r="D10" s="1"/>
      <c r="E10" s="1"/>
      <c r="F10" s="1"/>
      <c r="G10" s="1"/>
      <c r="H10" s="1"/>
    </row>
    <row r="11" spans="1:8" x14ac:dyDescent="0.2">
      <c r="A11" s="1"/>
      <c r="B11" s="1"/>
      <c r="C11" s="1"/>
      <c r="D11" s="1"/>
      <c r="E11" s="1"/>
      <c r="F11" s="1"/>
      <c r="G11" s="1"/>
      <c r="H11" s="1"/>
    </row>
    <row r="12" spans="1:8" x14ac:dyDescent="0.2">
      <c r="A12" s="1"/>
      <c r="B12" s="1"/>
      <c r="C12" s="1"/>
      <c r="D12" s="1"/>
      <c r="E12" s="1"/>
      <c r="F12" s="1"/>
      <c r="G12" s="1"/>
      <c r="H12" s="1"/>
    </row>
    <row r="13" spans="1:8" x14ac:dyDescent="0.2">
      <c r="A13" s="1"/>
      <c r="B13" s="1"/>
      <c r="C13" s="1"/>
      <c r="D13" s="1"/>
      <c r="E13" s="1"/>
      <c r="F13" s="1"/>
      <c r="G13" s="1"/>
      <c r="H13" s="1"/>
    </row>
    <row r="14" spans="1:8" x14ac:dyDescent="0.2">
      <c r="A14" s="1"/>
      <c r="B14" s="1"/>
      <c r="C14" s="1"/>
      <c r="D14" s="1"/>
      <c r="E14" s="1"/>
      <c r="F14" s="1"/>
      <c r="G14" s="1"/>
      <c r="H14" s="1"/>
    </row>
    <row r="15" spans="1:8" x14ac:dyDescent="0.2">
      <c r="A15" s="1"/>
      <c r="B15" s="1"/>
      <c r="C15" s="1"/>
      <c r="D15" s="1"/>
      <c r="E15" s="1"/>
      <c r="F15" s="1"/>
      <c r="G15" s="1"/>
      <c r="H15" s="1"/>
    </row>
    <row r="16" spans="1:8" x14ac:dyDescent="0.2">
      <c r="A16" s="1"/>
      <c r="B16" s="1"/>
      <c r="C16" s="1"/>
      <c r="D16" s="1"/>
      <c r="E16" s="1"/>
      <c r="F16" s="1"/>
      <c r="G16" s="1"/>
      <c r="H16" s="1"/>
    </row>
    <row r="17" spans="1:8" x14ac:dyDescent="0.2">
      <c r="A17" s="1"/>
      <c r="B17" s="1"/>
      <c r="C17" s="1"/>
      <c r="D17" s="1"/>
      <c r="E17" s="1"/>
      <c r="F17" s="1"/>
      <c r="G17" s="1"/>
      <c r="H17" s="1"/>
    </row>
    <row r="18" spans="1:8" x14ac:dyDescent="0.2">
      <c r="A18" s="1"/>
      <c r="B18" s="1"/>
      <c r="C18" s="1"/>
      <c r="D18" s="1"/>
      <c r="E18" s="1"/>
      <c r="F18" s="1"/>
      <c r="G18" s="1"/>
      <c r="H18" s="1"/>
    </row>
    <row r="19" spans="1:8" x14ac:dyDescent="0.2">
      <c r="A19" s="1"/>
      <c r="B19" s="1"/>
      <c r="C19" s="1"/>
      <c r="D19" s="1"/>
      <c r="E19" s="1"/>
      <c r="F19" s="1"/>
      <c r="G19" s="1"/>
      <c r="H19" s="1"/>
    </row>
    <row r="20" spans="1:8" x14ac:dyDescent="0.2">
      <c r="A20" s="1"/>
      <c r="B20" s="1"/>
      <c r="C20" s="1"/>
      <c r="D20" s="1"/>
      <c r="E20" s="1"/>
      <c r="F20" s="1"/>
      <c r="G20" s="1"/>
      <c r="H20" s="1"/>
    </row>
    <row r="21" spans="1:8" x14ac:dyDescent="0.2">
      <c r="A21" s="1"/>
      <c r="B21" s="1"/>
      <c r="C21" s="1"/>
      <c r="D21" s="1"/>
      <c r="E21" s="1"/>
      <c r="F21" s="1"/>
      <c r="G21" s="1"/>
      <c r="H21" s="1"/>
    </row>
    <row r="22" spans="1:8" x14ac:dyDescent="0.2">
      <c r="A22" s="1"/>
      <c r="B22" s="1"/>
      <c r="C22" s="1"/>
      <c r="D22" s="4"/>
      <c r="E22" s="1"/>
      <c r="F22" s="1"/>
      <c r="G22" s="1"/>
      <c r="H22" s="1"/>
    </row>
    <row r="23" spans="1:8" x14ac:dyDescent="0.2">
      <c r="A23" s="1"/>
      <c r="B23" s="1"/>
      <c r="C23" s="1"/>
      <c r="D23" s="1"/>
      <c r="E23" s="1"/>
      <c r="F23" s="1"/>
      <c r="G23" s="1"/>
      <c r="H23" s="1"/>
    </row>
    <row r="24" spans="1:8" x14ac:dyDescent="0.2">
      <c r="A24" s="1"/>
      <c r="B24" s="1"/>
      <c r="C24" s="1"/>
      <c r="D24" s="1"/>
      <c r="E24" s="1"/>
      <c r="F24" s="1"/>
      <c r="G24" s="1"/>
      <c r="H24" s="1"/>
    </row>
    <row r="25" spans="1:8" x14ac:dyDescent="0.2">
      <c r="A25" s="1"/>
      <c r="B25" s="1"/>
      <c r="C25" s="1"/>
      <c r="D25" s="1"/>
      <c r="E25" s="1"/>
      <c r="F25" s="1"/>
      <c r="G25" s="1"/>
      <c r="H25" s="1"/>
    </row>
    <row r="26" spans="1:8" x14ac:dyDescent="0.2">
      <c r="A26" s="1"/>
      <c r="B26" s="1"/>
      <c r="C26" s="1"/>
      <c r="D26" s="1"/>
      <c r="E26" s="1"/>
      <c r="F26" s="1"/>
      <c r="G26" s="1"/>
      <c r="H26" s="1"/>
    </row>
    <row r="27" spans="1:8" x14ac:dyDescent="0.2">
      <c r="A27" s="1"/>
      <c r="B27" s="1"/>
      <c r="C27" s="1"/>
      <c r="D27" s="1"/>
      <c r="E27" s="1"/>
      <c r="F27" s="1"/>
      <c r="G27" s="1"/>
      <c r="H27" s="1"/>
    </row>
    <row r="28" spans="1:8" x14ac:dyDescent="0.2">
      <c r="A28" s="1"/>
      <c r="B28" s="1"/>
      <c r="C28" s="1"/>
      <c r="D28" s="1"/>
      <c r="E28" s="1"/>
      <c r="F28" s="1"/>
      <c r="G28" s="1"/>
      <c r="H28" s="1"/>
    </row>
    <row r="29" spans="1:8" x14ac:dyDescent="0.2">
      <c r="A29" s="1"/>
      <c r="B29" s="1"/>
      <c r="C29" s="1"/>
      <c r="D29" s="1"/>
      <c r="E29" s="1"/>
      <c r="F29" s="1"/>
      <c r="G29" s="1"/>
      <c r="H29" s="1"/>
    </row>
    <row r="30" spans="1:8" x14ac:dyDescent="0.2">
      <c r="A30" s="1"/>
      <c r="B30" s="1"/>
      <c r="C30" s="1"/>
      <c r="D30" s="1"/>
      <c r="E30" s="1"/>
      <c r="F30" s="1"/>
      <c r="G30" s="1"/>
      <c r="H30" s="1"/>
    </row>
    <row r="31" spans="1:8" x14ac:dyDescent="0.2">
      <c r="A31" s="1"/>
      <c r="B31" s="1"/>
      <c r="C31" s="1"/>
      <c r="D31" s="1"/>
      <c r="E31" s="1"/>
      <c r="F31" s="1"/>
      <c r="G31" s="1"/>
      <c r="H31" s="1"/>
    </row>
    <row r="32" spans="1:8" x14ac:dyDescent="0.2">
      <c r="A32" s="1"/>
      <c r="B32" s="1"/>
      <c r="C32" s="1"/>
      <c r="D32" s="1"/>
      <c r="E32" s="1"/>
      <c r="F32" s="1"/>
      <c r="G32" s="1"/>
      <c r="H32" s="1"/>
    </row>
    <row r="33" spans="1:8" x14ac:dyDescent="0.2">
      <c r="A33" s="1"/>
      <c r="B33" s="1"/>
      <c r="C33" s="1"/>
      <c r="D33" s="1"/>
      <c r="E33" s="1"/>
      <c r="F33" s="1"/>
      <c r="G33" s="1"/>
      <c r="H33" s="1"/>
    </row>
    <row r="34" spans="1:8" x14ac:dyDescent="0.2">
      <c r="A34" s="1"/>
      <c r="B34" s="1"/>
      <c r="C34" s="1"/>
      <c r="D34" s="1"/>
      <c r="E34" s="1"/>
      <c r="F34" s="1"/>
      <c r="G34" s="1"/>
      <c r="H34" s="1"/>
    </row>
    <row r="35" spans="1:8" x14ac:dyDescent="0.2">
      <c r="A35" s="1"/>
      <c r="B35" s="1"/>
      <c r="C35" s="1"/>
      <c r="D35" s="1"/>
      <c r="E35" s="1"/>
      <c r="F35" s="1"/>
      <c r="G35" s="1"/>
      <c r="H35" s="1"/>
    </row>
    <row r="36" spans="1:8" x14ac:dyDescent="0.2">
      <c r="A36" s="1"/>
      <c r="B36" s="1"/>
      <c r="C36" s="1"/>
      <c r="D36" s="1"/>
      <c r="E36" s="1"/>
      <c r="F36" s="1"/>
      <c r="G36" s="1"/>
      <c r="H36" s="1"/>
    </row>
    <row r="37" spans="1:8" x14ac:dyDescent="0.2">
      <c r="A37" s="1"/>
      <c r="B37" s="1"/>
      <c r="C37" s="1"/>
      <c r="D37" s="1"/>
      <c r="E37" s="1"/>
      <c r="F37" s="1"/>
      <c r="G37" s="1"/>
      <c r="H37" s="1"/>
    </row>
    <row r="38" spans="1:8" x14ac:dyDescent="0.2">
      <c r="A38" s="1"/>
      <c r="B38" s="1"/>
      <c r="C38" s="1"/>
      <c r="D38" s="1"/>
      <c r="E38" s="1"/>
      <c r="F38" s="1"/>
      <c r="G38" s="1"/>
      <c r="H38" s="1"/>
    </row>
    <row r="39" spans="1:8" x14ac:dyDescent="0.2">
      <c r="A39" s="1"/>
      <c r="B39" s="1"/>
      <c r="C39" s="1"/>
      <c r="D39" s="1"/>
      <c r="E39" s="1"/>
      <c r="F39" s="1"/>
      <c r="G39" s="1"/>
      <c r="H39" s="1"/>
    </row>
    <row r="40" spans="1:8" x14ac:dyDescent="0.2">
      <c r="A40" s="1"/>
      <c r="B40" s="1"/>
      <c r="C40" s="1"/>
      <c r="D40" s="1"/>
      <c r="E40" s="1"/>
      <c r="F40" s="1"/>
      <c r="G40" s="1"/>
      <c r="H40" s="1"/>
    </row>
    <row r="41" spans="1:8" x14ac:dyDescent="0.2">
      <c r="A41" s="1"/>
      <c r="B41" s="1"/>
      <c r="C41" s="1"/>
      <c r="D41" s="1"/>
      <c r="E41" s="1"/>
      <c r="F41" s="1"/>
      <c r="G41" s="1"/>
      <c r="H41" s="1"/>
    </row>
    <row r="42" spans="1:8" x14ac:dyDescent="0.2">
      <c r="A42" s="1"/>
      <c r="B42" s="1"/>
      <c r="C42" s="1"/>
      <c r="D42" s="1"/>
      <c r="E42" s="1"/>
      <c r="F42" s="1"/>
      <c r="G42" s="1"/>
      <c r="H42" s="1"/>
    </row>
    <row r="43" spans="1:8" x14ac:dyDescent="0.2">
      <c r="A43" s="1"/>
      <c r="B43" s="1"/>
      <c r="C43" s="1"/>
      <c r="D43" s="1"/>
      <c r="E43" s="1"/>
      <c r="F43" s="1"/>
      <c r="G43" s="1"/>
      <c r="H43" s="1"/>
    </row>
    <row r="44" spans="1:8" x14ac:dyDescent="0.2">
      <c r="A44" s="1"/>
      <c r="B44" s="1"/>
      <c r="C44" s="1"/>
      <c r="D44" s="1"/>
      <c r="E44" s="1"/>
      <c r="F44" s="1"/>
      <c r="G44" s="1"/>
      <c r="H44" s="1"/>
    </row>
    <row r="45" spans="1:8" x14ac:dyDescent="0.2">
      <c r="A45" s="1"/>
      <c r="B45" s="1"/>
      <c r="C45" s="1"/>
      <c r="D45" s="1"/>
      <c r="E45" s="1"/>
      <c r="F45" s="1"/>
      <c r="G45" s="1"/>
      <c r="H45" s="1"/>
    </row>
    <row r="46" spans="1:8" x14ac:dyDescent="0.2">
      <c r="A46" s="1"/>
      <c r="B46" s="1"/>
      <c r="C46" s="1"/>
      <c r="D46" s="1"/>
      <c r="E46" s="1"/>
      <c r="F46" s="1"/>
      <c r="G46" s="1"/>
      <c r="H46" s="1"/>
    </row>
    <row r="47" spans="1:8" x14ac:dyDescent="0.2">
      <c r="A47" s="1"/>
      <c r="B47" s="1"/>
      <c r="C47" s="1"/>
      <c r="D47" s="1"/>
      <c r="E47" s="1"/>
      <c r="F47" s="1"/>
      <c r="G47" s="1"/>
      <c r="H47" s="1"/>
    </row>
    <row r="48" spans="1:8" x14ac:dyDescent="0.2">
      <c r="A48" s="1"/>
      <c r="B48" s="1"/>
      <c r="C48" s="1"/>
      <c r="D48" s="1"/>
      <c r="E48" s="1"/>
      <c r="F48" s="1"/>
      <c r="G48" s="1"/>
      <c r="H48" s="1"/>
    </row>
    <row r="49" spans="1:8" x14ac:dyDescent="0.2">
      <c r="A49" s="1"/>
      <c r="B49" s="1"/>
      <c r="C49" s="1"/>
      <c r="D49" s="1"/>
      <c r="E49" s="1"/>
      <c r="F49" s="1"/>
      <c r="G49" s="1"/>
      <c r="H49" s="1"/>
    </row>
    <row r="50" spans="1:8" x14ac:dyDescent="0.2">
      <c r="A50" s="1"/>
      <c r="B50" s="1"/>
      <c r="C50" s="1"/>
      <c r="D50" s="1"/>
      <c r="E50" s="1"/>
      <c r="F50" s="1"/>
      <c r="G50" s="1"/>
      <c r="H50" s="1"/>
    </row>
    <row r="51" spans="1:8" x14ac:dyDescent="0.2">
      <c r="A51" s="1"/>
      <c r="B51" s="1"/>
      <c r="C51" s="1"/>
      <c r="D51" s="1"/>
      <c r="E51" s="1"/>
      <c r="F51" s="1"/>
      <c r="G51" s="1"/>
      <c r="H51" s="1"/>
    </row>
    <row r="52" spans="1:8" x14ac:dyDescent="0.2">
      <c r="A52" s="1"/>
      <c r="B52" s="1"/>
      <c r="C52" s="1"/>
      <c r="D52" s="1"/>
      <c r="E52" s="1"/>
      <c r="F52" s="1"/>
      <c r="G52" s="1"/>
      <c r="H52" s="1"/>
    </row>
    <row r="53" spans="1:8" x14ac:dyDescent="0.2">
      <c r="A53" s="1"/>
      <c r="B53" s="1"/>
      <c r="C53" s="1"/>
      <c r="D53" s="1"/>
      <c r="E53" s="1"/>
      <c r="F53" s="1"/>
      <c r="G53" s="1"/>
      <c r="H53" s="1"/>
    </row>
    <row r="54" spans="1:8" x14ac:dyDescent="0.2">
      <c r="A54" s="1"/>
      <c r="B54" s="1"/>
      <c r="C54" s="1"/>
      <c r="D54" s="1"/>
      <c r="E54" s="1"/>
      <c r="F54" s="1"/>
      <c r="G54" s="1"/>
      <c r="H54" s="1"/>
    </row>
    <row r="55" spans="1:8" x14ac:dyDescent="0.2">
      <c r="A55" s="1"/>
      <c r="B55" s="1"/>
      <c r="C55" s="1"/>
      <c r="D55" s="1"/>
      <c r="E55" s="1"/>
      <c r="F55" s="1"/>
      <c r="G55" s="1"/>
      <c r="H55" s="1"/>
    </row>
    <row r="56" spans="1:8" x14ac:dyDescent="0.2">
      <c r="A56" s="1"/>
      <c r="B56" s="1"/>
      <c r="C56" s="1"/>
      <c r="D56" s="1"/>
      <c r="E56" s="1"/>
      <c r="F56" s="1"/>
      <c r="G56" s="1"/>
      <c r="H56" s="1"/>
    </row>
    <row r="57" spans="1:8" x14ac:dyDescent="0.2">
      <c r="A57" s="1"/>
      <c r="B57" s="1"/>
      <c r="C57" s="1"/>
      <c r="D57" s="1"/>
      <c r="E57" s="1"/>
      <c r="F57" s="1"/>
      <c r="G57" s="1"/>
      <c r="H57" s="1"/>
    </row>
    <row r="58" spans="1:8" x14ac:dyDescent="0.2">
      <c r="A58" s="1"/>
      <c r="B58" s="1"/>
      <c r="C58" s="1"/>
      <c r="D58" s="1"/>
      <c r="E58" s="1"/>
      <c r="F58" s="1"/>
      <c r="G58" s="1"/>
      <c r="H58" s="1"/>
    </row>
    <row r="59" spans="1:8" x14ac:dyDescent="0.2">
      <c r="A59" s="1"/>
      <c r="B59" s="1"/>
      <c r="C59" s="1"/>
      <c r="D59" s="1"/>
      <c r="E59" s="1"/>
      <c r="F59" s="1"/>
      <c r="G59" s="1"/>
      <c r="H59" s="1"/>
    </row>
    <row r="60" spans="1:8" x14ac:dyDescent="0.2">
      <c r="A60" s="1"/>
      <c r="B60" s="1"/>
      <c r="C60" s="1"/>
      <c r="D60" s="1"/>
      <c r="E60" s="1"/>
      <c r="F60" s="1"/>
      <c r="G60" s="1"/>
      <c r="H60" s="1"/>
    </row>
    <row r="61" spans="1:8" x14ac:dyDescent="0.2">
      <c r="A61" s="1"/>
      <c r="B61" s="1"/>
      <c r="C61" s="1"/>
      <c r="D61" s="1"/>
      <c r="E61" s="1"/>
      <c r="F61" s="1"/>
      <c r="G61" s="1"/>
      <c r="H61" s="1"/>
    </row>
    <row r="62" spans="1:8" x14ac:dyDescent="0.2">
      <c r="A62" s="1"/>
      <c r="B62" s="1"/>
      <c r="C62" s="1"/>
      <c r="D62" s="1"/>
      <c r="E62" s="1"/>
      <c r="F62" s="1"/>
      <c r="G62" s="1"/>
      <c r="H62" s="1"/>
    </row>
    <row r="63" spans="1:8" x14ac:dyDescent="0.2">
      <c r="A63" s="1"/>
      <c r="B63" s="1"/>
      <c r="C63" s="1"/>
      <c r="D63" s="1"/>
      <c r="E63" s="1"/>
      <c r="F63" s="1"/>
      <c r="G63" s="1"/>
      <c r="H63" s="1"/>
    </row>
    <row r="64" spans="1:8" x14ac:dyDescent="0.2">
      <c r="A64" s="1"/>
      <c r="B64" s="1"/>
      <c r="C64" s="1"/>
      <c r="D64" s="1"/>
      <c r="E64" s="1"/>
      <c r="F64" s="1"/>
      <c r="G64" s="1"/>
      <c r="H64" s="1"/>
    </row>
    <row r="65" spans="1:8" x14ac:dyDescent="0.2">
      <c r="A65" s="1"/>
      <c r="B65" s="1"/>
      <c r="C65" s="1"/>
      <c r="D65" s="1"/>
      <c r="E65" s="1"/>
      <c r="F65" s="1"/>
      <c r="G65" s="1"/>
      <c r="H65" s="1"/>
    </row>
    <row r="66" spans="1:8" x14ac:dyDescent="0.2">
      <c r="A66" s="1"/>
      <c r="B66" s="1"/>
      <c r="C66" s="1"/>
      <c r="D66" s="1"/>
      <c r="E66" s="1"/>
      <c r="F66" s="1"/>
      <c r="G66" s="1"/>
      <c r="H66" s="1"/>
    </row>
    <row r="67" spans="1:8" x14ac:dyDescent="0.2">
      <c r="A67" s="1"/>
      <c r="B67" s="1"/>
      <c r="C67" s="1"/>
      <c r="D67" s="1"/>
      <c r="E67" s="1"/>
      <c r="F67" s="1"/>
      <c r="G67" s="1"/>
      <c r="H67" s="1"/>
    </row>
    <row r="68" spans="1:8" x14ac:dyDescent="0.2">
      <c r="A68" s="1"/>
      <c r="B68" s="1"/>
      <c r="C68" s="1"/>
      <c r="D68" s="1"/>
      <c r="E68" s="1"/>
      <c r="F68" s="1"/>
      <c r="G68" s="1"/>
      <c r="H68" s="1"/>
    </row>
    <row r="69" spans="1:8" x14ac:dyDescent="0.2">
      <c r="A69" s="1"/>
      <c r="B69" s="1"/>
      <c r="C69" s="1"/>
      <c r="D69" s="1"/>
      <c r="E69" s="1"/>
      <c r="F69" s="1"/>
      <c r="G69" s="1"/>
      <c r="H69" s="1"/>
    </row>
    <row r="70" spans="1:8" x14ac:dyDescent="0.2">
      <c r="A70" s="1"/>
      <c r="B70" s="1"/>
      <c r="C70" s="1"/>
      <c r="D70" s="1"/>
      <c r="E70" s="1"/>
      <c r="F70" s="1"/>
      <c r="G70" s="1"/>
      <c r="H70" s="1"/>
    </row>
    <row r="71" spans="1:8" x14ac:dyDescent="0.2">
      <c r="A71" s="1"/>
      <c r="B71" s="1"/>
      <c r="C71" s="1"/>
      <c r="D71" s="1"/>
      <c r="E71" s="1"/>
      <c r="F71" s="1"/>
      <c r="G71" s="1"/>
      <c r="H71" s="1"/>
    </row>
    <row r="72" spans="1:8" x14ac:dyDescent="0.2">
      <c r="A72" s="1"/>
      <c r="B72" s="1"/>
      <c r="C72" s="1"/>
      <c r="D72" s="1"/>
      <c r="E72" s="1"/>
      <c r="F72" s="1"/>
      <c r="G72" s="1"/>
      <c r="H72" s="1"/>
    </row>
    <row r="73" spans="1:8" x14ac:dyDescent="0.2">
      <c r="A73" s="1"/>
      <c r="B73" s="1"/>
      <c r="C73" s="1"/>
      <c r="D73" s="1"/>
      <c r="E73" s="1"/>
      <c r="F73" s="1"/>
      <c r="G73" s="1"/>
      <c r="H73" s="1"/>
    </row>
    <row r="74" spans="1:8" x14ac:dyDescent="0.2">
      <c r="A74" s="1"/>
      <c r="B74" s="1"/>
      <c r="C74" s="1"/>
      <c r="D74" s="1"/>
      <c r="E74" s="1"/>
      <c r="F74" s="1"/>
      <c r="G74" s="1"/>
      <c r="H74" s="1"/>
    </row>
    <row r="75" spans="1:8" x14ac:dyDescent="0.2">
      <c r="A75" s="1"/>
      <c r="B75" s="1"/>
      <c r="C75" s="1"/>
      <c r="D75" s="1"/>
      <c r="E75" s="1"/>
      <c r="F75" s="1"/>
      <c r="G75" s="1"/>
      <c r="H75" s="1"/>
    </row>
    <row r="76" spans="1:8" x14ac:dyDescent="0.2">
      <c r="A76" s="1"/>
      <c r="B76" s="1"/>
      <c r="C76" s="1"/>
      <c r="D76" s="1"/>
      <c r="E76" s="1"/>
      <c r="F76" s="1"/>
      <c r="G76" s="1"/>
      <c r="H76" s="1"/>
    </row>
    <row r="77" spans="1:8" x14ac:dyDescent="0.2">
      <c r="A77" s="1"/>
      <c r="B77" s="1"/>
      <c r="C77" s="1"/>
      <c r="D77" s="1"/>
      <c r="E77" s="1"/>
      <c r="F77" s="1"/>
      <c r="G77" s="1"/>
      <c r="H77" s="1"/>
    </row>
    <row r="78" spans="1:8" x14ac:dyDescent="0.2">
      <c r="A78" s="1"/>
      <c r="B78" s="1"/>
      <c r="C78" s="1"/>
      <c r="D78" s="1"/>
      <c r="E78" s="1"/>
      <c r="F78" s="1"/>
      <c r="G78" s="1"/>
      <c r="H78" s="1"/>
    </row>
    <row r="79" spans="1:8" x14ac:dyDescent="0.2">
      <c r="A79" s="1"/>
      <c r="B79" s="1"/>
      <c r="C79" s="1"/>
      <c r="D79" s="1"/>
      <c r="E79" s="1"/>
      <c r="F79" s="1"/>
      <c r="G79" s="1"/>
      <c r="H79" s="1"/>
    </row>
    <row r="80" spans="1:8" x14ac:dyDescent="0.2">
      <c r="A80" s="1"/>
      <c r="B80" s="1"/>
      <c r="C80" s="1"/>
      <c r="D80" s="1"/>
      <c r="E80" s="1"/>
      <c r="F80" s="1"/>
      <c r="G80" s="1"/>
      <c r="H80" s="1"/>
    </row>
    <row r="81" spans="1:8" x14ac:dyDescent="0.2">
      <c r="A81" s="1"/>
      <c r="B81" s="1"/>
      <c r="C81" s="1"/>
      <c r="D81" s="1"/>
      <c r="E81" s="1"/>
      <c r="F81" s="1"/>
      <c r="G81" s="1"/>
      <c r="H81" s="1"/>
    </row>
    <row r="82" spans="1:8" x14ac:dyDescent="0.2">
      <c r="A82" s="1"/>
      <c r="B82" s="1"/>
      <c r="C82" s="1"/>
      <c r="D82" s="1"/>
      <c r="E82" s="1"/>
      <c r="F82" s="1"/>
      <c r="G82" s="1"/>
      <c r="H82" s="1"/>
    </row>
    <row r="83" spans="1:8" x14ac:dyDescent="0.2">
      <c r="A83" s="1"/>
      <c r="B83" s="1"/>
      <c r="C83" s="1"/>
      <c r="D83" s="1"/>
      <c r="E83" s="1"/>
      <c r="F83" s="1"/>
      <c r="G83" s="1"/>
      <c r="H83" s="1"/>
    </row>
    <row r="84" spans="1:8" x14ac:dyDescent="0.2">
      <c r="A84" s="1"/>
      <c r="B84" s="1"/>
      <c r="C84" s="1"/>
      <c r="D84" s="1"/>
      <c r="E84" s="1"/>
      <c r="F84" s="1"/>
      <c r="G84" s="1"/>
      <c r="H84" s="1"/>
    </row>
    <row r="85" spans="1:8" x14ac:dyDescent="0.2">
      <c r="A85" s="11" t="s">
        <v>1</v>
      </c>
      <c r="B85" s="12"/>
      <c r="C85" s="12"/>
      <c r="D85" s="13"/>
      <c r="E85" s="8"/>
      <c r="F85" s="8"/>
      <c r="G85" s="8"/>
      <c r="H85" s="8"/>
    </row>
    <row r="86" spans="1:8" x14ac:dyDescent="0.2">
      <c r="A86" s="14" t="s">
        <v>15</v>
      </c>
      <c r="B86" s="15"/>
      <c r="C86" s="15"/>
      <c r="D86" s="16"/>
      <c r="E86" s="8"/>
      <c r="F86" s="8"/>
      <c r="G86" s="8"/>
      <c r="H86" s="8"/>
    </row>
    <row r="87" spans="1:8" x14ac:dyDescent="0.2">
      <c r="A87" s="17" t="s">
        <v>62</v>
      </c>
      <c r="B87" s="18"/>
      <c r="C87" s="18"/>
      <c r="D87" s="19"/>
      <c r="E87" s="8"/>
      <c r="F87" s="8"/>
      <c r="G87" s="8"/>
      <c r="H87" s="8"/>
    </row>
    <row r="88" spans="1:8" x14ac:dyDescent="0.2">
      <c r="A88" s="20"/>
      <c r="B88" s="21"/>
      <c r="C88" s="22"/>
      <c r="D88" s="23"/>
      <c r="E88" s="8"/>
      <c r="F88" s="8" t="s">
        <v>34</v>
      </c>
      <c r="G88" s="8"/>
      <c r="H88" s="8"/>
    </row>
    <row r="89" spans="1:8" ht="15.75" x14ac:dyDescent="0.25">
      <c r="A89" s="24" t="s">
        <v>2</v>
      </c>
      <c r="B89" s="25" t="str">
        <f>[1]Charters!B92</f>
        <v>Pacific Heritage Academy</v>
      </c>
      <c r="C89" s="26"/>
      <c r="D89" s="27"/>
      <c r="E89" s="8"/>
      <c r="F89" s="8"/>
      <c r="G89" s="8"/>
      <c r="H89" s="8"/>
    </row>
    <row r="90" spans="1:8" x14ac:dyDescent="0.2">
      <c r="A90" s="24"/>
      <c r="B90" s="28"/>
      <c r="C90" s="26"/>
      <c r="D90" s="27"/>
      <c r="E90" s="8"/>
      <c r="F90" s="8"/>
      <c r="G90" s="8"/>
      <c r="H90" s="8"/>
    </row>
    <row r="91" spans="1:8" x14ac:dyDescent="0.2">
      <c r="A91" s="29" t="s">
        <v>0</v>
      </c>
      <c r="B91" s="30">
        <f>[1]Charters!$E$6</f>
        <v>3184</v>
      </c>
      <c r="C91" s="26"/>
      <c r="D91" s="31"/>
      <c r="E91" s="8"/>
      <c r="F91" s="8"/>
      <c r="G91" s="8"/>
      <c r="H91" s="8"/>
    </row>
    <row r="92" spans="1:8" x14ac:dyDescent="0.2">
      <c r="A92" s="32"/>
      <c r="B92" s="6"/>
      <c r="C92" s="33"/>
      <c r="D92" s="34" t="s">
        <v>3</v>
      </c>
      <c r="E92" s="8"/>
      <c r="F92" s="8"/>
      <c r="G92" s="8"/>
      <c r="H92" s="8"/>
    </row>
    <row r="93" spans="1:8" x14ac:dyDescent="0.2">
      <c r="A93" s="29" t="s">
        <v>19</v>
      </c>
      <c r="B93" s="35" t="str">
        <f>[1]Charters!A92</f>
        <v>7H</v>
      </c>
      <c r="C93" s="36" t="s">
        <v>4</v>
      </c>
      <c r="D93" s="37" t="s">
        <v>5</v>
      </c>
      <c r="E93" s="8"/>
      <c r="F93" s="8"/>
      <c r="G93" s="8"/>
      <c r="H93" s="8"/>
    </row>
    <row r="94" spans="1:8" x14ac:dyDescent="0.2">
      <c r="A94" s="38" t="s">
        <v>6</v>
      </c>
      <c r="B94" s="39"/>
      <c r="C94" s="40"/>
      <c r="D94" s="41"/>
      <c r="E94" s="8"/>
      <c r="F94" s="8"/>
      <c r="G94" s="8"/>
      <c r="H94" s="8"/>
    </row>
    <row r="95" spans="1:8" x14ac:dyDescent="0.2">
      <c r="A95" s="38" t="s">
        <v>7</v>
      </c>
      <c r="B95" s="39"/>
      <c r="C95" s="40"/>
      <c r="D95" s="41"/>
      <c r="E95" s="8"/>
      <c r="F95" s="42" t="s">
        <v>23</v>
      </c>
      <c r="G95" s="8"/>
      <c r="H95" s="42" t="s">
        <v>26</v>
      </c>
    </row>
    <row r="96" spans="1:8" x14ac:dyDescent="0.2">
      <c r="A96" s="20" t="s">
        <v>8</v>
      </c>
      <c r="B96" s="43"/>
      <c r="C96" s="44">
        <f>[1]Charters!C552</f>
        <v>347.23</v>
      </c>
      <c r="D96" s="45">
        <f>[1]Charters!E552</f>
        <v>1105581.3400000001</v>
      </c>
      <c r="E96" s="8"/>
      <c r="F96" s="42">
        <f>[1]Charters!E707</f>
        <v>1156532.06</v>
      </c>
      <c r="G96" s="8"/>
      <c r="H96" s="42">
        <f>[2]Charters!E246</f>
        <v>1421546.08</v>
      </c>
    </row>
    <row r="97" spans="1:8" x14ac:dyDescent="0.2">
      <c r="A97" s="20" t="s">
        <v>14</v>
      </c>
      <c r="B97" s="43"/>
      <c r="C97" s="44">
        <f>[1]Charters!F552</f>
        <v>16.001999999999999</v>
      </c>
      <c r="D97" s="45">
        <f>[1]Charters!H552</f>
        <v>50950.720000000001</v>
      </c>
      <c r="E97" s="8"/>
      <c r="F97" s="42">
        <f>SUM(D96:D98)</f>
        <v>1156532.06</v>
      </c>
      <c r="G97" s="8"/>
      <c r="H97" s="42">
        <f>D109</f>
        <v>1421546.08</v>
      </c>
    </row>
    <row r="98" spans="1:8" x14ac:dyDescent="0.2">
      <c r="A98" s="20" t="s">
        <v>32</v>
      </c>
      <c r="B98" s="43"/>
      <c r="C98" s="44">
        <f>[1]Charters!C245</f>
        <v>0</v>
      </c>
      <c r="D98" s="45">
        <f>[1]Charters!E245</f>
        <v>0</v>
      </c>
      <c r="E98" s="8"/>
      <c r="F98" s="42">
        <f>+F96-F97</f>
        <v>0</v>
      </c>
      <c r="G98" s="8"/>
      <c r="H98" s="42">
        <f>+H96-H97</f>
        <v>0</v>
      </c>
    </row>
    <row r="99" spans="1:8" x14ac:dyDescent="0.2">
      <c r="A99" s="38" t="s">
        <v>9</v>
      </c>
      <c r="B99" s="39"/>
      <c r="C99" s="46"/>
      <c r="D99" s="47"/>
      <c r="E99" s="8"/>
      <c r="F99" s="8"/>
      <c r="G99" s="8"/>
      <c r="H99" s="8"/>
    </row>
    <row r="100" spans="1:8" x14ac:dyDescent="0.2">
      <c r="A100" s="20" t="s">
        <v>10</v>
      </c>
      <c r="B100" s="43"/>
      <c r="C100" s="40">
        <f>[3]Charters!C91</f>
        <v>44.665999999999997</v>
      </c>
      <c r="D100" s="41">
        <f>[3]Charters!E91</f>
        <v>142216.5</v>
      </c>
      <c r="E100" s="8"/>
      <c r="F100" s="42" t="s">
        <v>24</v>
      </c>
      <c r="G100" s="8"/>
      <c r="H100" s="8"/>
    </row>
    <row r="101" spans="1:8" x14ac:dyDescent="0.2">
      <c r="A101" s="48" t="s">
        <v>11</v>
      </c>
      <c r="B101" s="43"/>
      <c r="C101" s="40">
        <f>[3]Charters!F91</f>
        <v>1</v>
      </c>
      <c r="D101" s="49">
        <f>[3]Charters!H91</f>
        <v>3184</v>
      </c>
      <c r="E101" s="8"/>
      <c r="F101" s="42">
        <f>[3]Charters!N403</f>
        <v>151709.67000000001</v>
      </c>
      <c r="G101" s="8"/>
      <c r="H101" s="8"/>
    </row>
    <row r="102" spans="1:8" x14ac:dyDescent="0.2">
      <c r="A102" s="48" t="s">
        <v>12</v>
      </c>
      <c r="B102" s="43"/>
      <c r="C102" s="40">
        <f>[3]Charters!C246</f>
        <v>0</v>
      </c>
      <c r="D102" s="41">
        <f>[3]Charters!E246</f>
        <v>0</v>
      </c>
      <c r="E102" s="8"/>
      <c r="F102" s="42">
        <f>SUM(D100:D106)</f>
        <v>151709.67000000001</v>
      </c>
      <c r="G102" s="8"/>
      <c r="H102" s="8"/>
    </row>
    <row r="103" spans="1:8" x14ac:dyDescent="0.2">
      <c r="A103" s="20" t="s">
        <v>13</v>
      </c>
      <c r="B103" s="43"/>
      <c r="C103" s="40">
        <f>[3]Charters!F246</f>
        <v>0.70899999999999996</v>
      </c>
      <c r="D103" s="41">
        <f>[3]Charters!H246</f>
        <v>2259</v>
      </c>
      <c r="E103" s="8"/>
      <c r="F103" s="42">
        <f>+F101-F102</f>
        <v>0</v>
      </c>
      <c r="G103" s="8"/>
      <c r="H103" s="8"/>
    </row>
    <row r="104" spans="1:8" x14ac:dyDescent="0.2">
      <c r="A104" s="48" t="s">
        <v>54</v>
      </c>
      <c r="B104" s="43"/>
      <c r="C104" s="40">
        <f>[3]Charters!C403</f>
        <v>1.272</v>
      </c>
      <c r="D104" s="41">
        <f>[3]Charters!E403</f>
        <v>4050.17</v>
      </c>
      <c r="E104" s="8"/>
      <c r="F104" s="8"/>
      <c r="G104" s="8"/>
      <c r="H104" s="8"/>
    </row>
    <row r="105" spans="1:8" x14ac:dyDescent="0.2">
      <c r="A105" s="48" t="s">
        <v>55</v>
      </c>
      <c r="B105" s="43"/>
      <c r="C105" s="40">
        <f>[3]Charters!F403</f>
        <v>0</v>
      </c>
      <c r="D105" s="41">
        <f>[3]Charters!H403</f>
        <v>0</v>
      </c>
      <c r="E105" s="8"/>
      <c r="F105" s="42" t="s">
        <v>25</v>
      </c>
      <c r="G105" s="8"/>
      <c r="H105" s="8"/>
    </row>
    <row r="106" spans="1:8" x14ac:dyDescent="0.2">
      <c r="A106" s="48" t="s">
        <v>56</v>
      </c>
      <c r="B106" s="43"/>
      <c r="C106" s="40">
        <f>[3]Charters!I403</f>
        <v>0</v>
      </c>
      <c r="D106" s="41">
        <f>[3]Charters!K403</f>
        <v>0</v>
      </c>
      <c r="E106" s="8"/>
      <c r="F106" s="42">
        <f>[2]Charters!H92</f>
        <v>265014.02</v>
      </c>
      <c r="G106" s="8"/>
      <c r="H106" s="8"/>
    </row>
    <row r="107" spans="1:8" x14ac:dyDescent="0.2">
      <c r="A107" s="20" t="s">
        <v>49</v>
      </c>
      <c r="B107" s="43"/>
      <c r="C107" s="40">
        <f>[3]Charters!C559</f>
        <v>0</v>
      </c>
      <c r="D107" s="41">
        <f>[3]Charters!E559</f>
        <v>0</v>
      </c>
      <c r="E107" s="8"/>
      <c r="F107" s="42">
        <f>SUM(D100:D108)</f>
        <v>265014.02</v>
      </c>
      <c r="G107" s="8"/>
      <c r="H107" s="8"/>
    </row>
    <row r="108" spans="1:8" x14ac:dyDescent="0.2">
      <c r="A108" s="20" t="s">
        <v>50</v>
      </c>
      <c r="B108" s="43"/>
      <c r="C108" s="40">
        <f>[2]Charters!C92</f>
        <v>35.585999999999999</v>
      </c>
      <c r="D108" s="41">
        <f>[2]Charters!E92</f>
        <v>113304.35</v>
      </c>
      <c r="E108" s="8"/>
      <c r="F108" s="42">
        <f>+F106-F107</f>
        <v>0</v>
      </c>
      <c r="G108" s="8"/>
      <c r="H108" s="8"/>
    </row>
    <row r="109" spans="1:8" x14ac:dyDescent="0.2">
      <c r="A109" s="50"/>
      <c r="B109" s="51" t="s">
        <v>16</v>
      </c>
      <c r="C109" s="52">
        <f>SUM(C96:C108)</f>
        <v>446.46499999999997</v>
      </c>
      <c r="D109" s="53">
        <f>SUM(D96:D108)</f>
        <v>1421546.08</v>
      </c>
      <c r="E109" s="8"/>
      <c r="F109" s="8"/>
      <c r="G109" s="8"/>
      <c r="H109" s="8"/>
    </row>
    <row r="110" spans="1:8" x14ac:dyDescent="0.2">
      <c r="A110" s="54" t="s">
        <v>17</v>
      </c>
      <c r="B110" s="39"/>
      <c r="C110" s="55"/>
      <c r="D110" s="47"/>
      <c r="E110" s="8"/>
      <c r="F110" s="8"/>
      <c r="G110" s="8"/>
      <c r="H110" s="42" t="s">
        <v>29</v>
      </c>
    </row>
    <row r="111" spans="1:8" x14ac:dyDescent="0.2">
      <c r="A111" s="20" t="s">
        <v>33</v>
      </c>
      <c r="B111" s="43"/>
      <c r="C111" s="56"/>
      <c r="D111" s="57">
        <f>[4]Charters!C92</f>
        <v>4120.3100000000004</v>
      </c>
      <c r="E111" s="8"/>
      <c r="F111" s="8"/>
      <c r="G111" s="8"/>
      <c r="H111" s="42">
        <f>[4]Charters!F1032</f>
        <v>2487602.54</v>
      </c>
    </row>
    <row r="112" spans="1:8" x14ac:dyDescent="0.2">
      <c r="A112" s="58" t="s">
        <v>35</v>
      </c>
      <c r="B112" s="43"/>
      <c r="C112" s="56"/>
      <c r="D112" s="41">
        <f>+[4]Charters!F413</f>
        <v>1671.21</v>
      </c>
      <c r="E112" s="8"/>
      <c r="F112" s="8"/>
      <c r="G112" s="8"/>
      <c r="H112" s="42">
        <f>SUM(D109:D128)</f>
        <v>2487602.54</v>
      </c>
    </row>
    <row r="113" spans="1:8" x14ac:dyDescent="0.2">
      <c r="A113" s="59" t="s">
        <v>36</v>
      </c>
      <c r="B113" s="43"/>
      <c r="C113" s="56"/>
      <c r="D113" s="41">
        <f>[4]Charters!E252</f>
        <v>23446</v>
      </c>
      <c r="E113" s="8"/>
      <c r="F113" s="8"/>
      <c r="G113" s="8"/>
      <c r="H113" s="42">
        <f>+H111-H112</f>
        <v>0</v>
      </c>
    </row>
    <row r="114" spans="1:8" x14ac:dyDescent="0.2">
      <c r="A114" s="59" t="s">
        <v>52</v>
      </c>
      <c r="B114" s="43"/>
      <c r="C114" s="56"/>
      <c r="D114" s="41">
        <f>[4]Charters!G413</f>
        <v>0</v>
      </c>
      <c r="E114" s="8"/>
      <c r="F114" s="42" t="s">
        <v>27</v>
      </c>
      <c r="G114" s="8"/>
      <c r="H114" s="42"/>
    </row>
    <row r="115" spans="1:8" x14ac:dyDescent="0.2">
      <c r="A115" s="20" t="s">
        <v>37</v>
      </c>
      <c r="B115" s="43"/>
      <c r="C115" s="56"/>
      <c r="D115" s="41">
        <f>[4]Charters!E569</f>
        <v>28169</v>
      </c>
      <c r="E115" s="8"/>
      <c r="F115" s="42">
        <f>[4]Charters!E252</f>
        <v>23446</v>
      </c>
      <c r="G115" s="8"/>
      <c r="H115" s="8"/>
    </row>
    <row r="116" spans="1:8" x14ac:dyDescent="0.2">
      <c r="A116" s="20" t="s">
        <v>38</v>
      </c>
      <c r="B116" s="43"/>
      <c r="C116" s="56"/>
      <c r="D116" s="41">
        <f>[4]Charters!F569</f>
        <v>0</v>
      </c>
      <c r="E116" s="8"/>
      <c r="F116" s="42">
        <f>SUM(D113:D113)</f>
        <v>23446</v>
      </c>
      <c r="G116" s="8"/>
      <c r="H116" s="8"/>
    </row>
    <row r="117" spans="1:8" x14ac:dyDescent="0.2">
      <c r="A117" s="59" t="s">
        <v>40</v>
      </c>
      <c r="B117" s="43"/>
      <c r="C117" s="56"/>
      <c r="D117" s="41">
        <f>[4]Charters!G569</f>
        <v>0</v>
      </c>
      <c r="E117" s="8"/>
      <c r="F117" s="42">
        <f>+F115-F116</f>
        <v>0</v>
      </c>
      <c r="G117" s="8"/>
      <c r="H117" s="8"/>
    </row>
    <row r="118" spans="1:8" x14ac:dyDescent="0.2">
      <c r="A118" s="20" t="s">
        <v>41</v>
      </c>
      <c r="B118" s="43"/>
      <c r="C118" s="56"/>
      <c r="D118" s="41">
        <f>[4]Charters!C723</f>
        <v>860430</v>
      </c>
      <c r="E118" s="8"/>
      <c r="F118" s="42" t="s">
        <v>28</v>
      </c>
      <c r="G118" s="8"/>
      <c r="H118" s="8"/>
    </row>
    <row r="119" spans="1:8" x14ac:dyDescent="0.2">
      <c r="A119" s="20" t="s">
        <v>42</v>
      </c>
      <c r="B119" s="43"/>
      <c r="C119" s="56"/>
      <c r="D119" s="41">
        <f>[4]Charters!D723</f>
        <v>73006.080000000002</v>
      </c>
      <c r="E119" s="8"/>
      <c r="F119" s="42">
        <f>[4]Charters!D569</f>
        <v>25117.21</v>
      </c>
      <c r="G119" s="8"/>
      <c r="H119" s="8"/>
    </row>
    <row r="120" spans="1:8" x14ac:dyDescent="0.2">
      <c r="A120" s="20" t="s">
        <v>44</v>
      </c>
      <c r="B120" s="43"/>
      <c r="C120" s="56"/>
      <c r="D120" s="41">
        <f>[4]Charters!E723</f>
        <v>43000</v>
      </c>
      <c r="E120" s="8"/>
      <c r="F120" s="42">
        <f>SUM(D112:D114)</f>
        <v>25117.21</v>
      </c>
      <c r="G120" s="8"/>
      <c r="H120" s="8"/>
    </row>
    <row r="121" spans="1:8" x14ac:dyDescent="0.2">
      <c r="A121" s="59" t="s">
        <v>43</v>
      </c>
      <c r="B121" s="43"/>
      <c r="C121" s="56"/>
      <c r="D121" s="41">
        <f>[4]Charters!F723</f>
        <v>14947.82</v>
      </c>
      <c r="E121" s="8"/>
      <c r="F121" s="42">
        <f>+F119-F120</f>
        <v>0</v>
      </c>
      <c r="G121" s="8"/>
      <c r="H121" s="8"/>
    </row>
    <row r="122" spans="1:8" x14ac:dyDescent="0.2">
      <c r="A122" s="59" t="s">
        <v>45</v>
      </c>
      <c r="B122" s="43"/>
      <c r="C122" s="56"/>
      <c r="D122" s="41">
        <f>[4]Charters!C569</f>
        <v>0</v>
      </c>
      <c r="E122" s="8"/>
      <c r="F122" s="8"/>
      <c r="G122" s="8"/>
      <c r="H122" s="8"/>
    </row>
    <row r="123" spans="1:8" x14ac:dyDescent="0.2">
      <c r="A123" s="59" t="s">
        <v>46</v>
      </c>
      <c r="B123" s="43"/>
      <c r="C123" s="56"/>
      <c r="D123" s="41">
        <f>[4]Charters!C879</f>
        <v>0</v>
      </c>
      <c r="E123" s="42"/>
      <c r="F123" s="42"/>
      <c r="G123" s="42"/>
      <c r="H123" s="42" t="s">
        <v>31</v>
      </c>
    </row>
    <row r="124" spans="1:8" x14ac:dyDescent="0.2">
      <c r="A124" s="59" t="s">
        <v>51</v>
      </c>
      <c r="B124" s="43"/>
      <c r="C124" s="56"/>
      <c r="D124" s="60">
        <f>[4]Charters!D879</f>
        <v>588.04</v>
      </c>
      <c r="E124" s="42"/>
      <c r="F124" s="42"/>
      <c r="G124" s="42"/>
      <c r="H124" s="42">
        <f>[4]Charters!D1338</f>
        <v>2490407.52</v>
      </c>
    </row>
    <row r="125" spans="1:8" x14ac:dyDescent="0.2">
      <c r="A125" s="20" t="s">
        <v>47</v>
      </c>
      <c r="B125" s="43"/>
      <c r="C125" s="56"/>
      <c r="D125" s="60">
        <f>[4]Charters!E879</f>
        <v>16678</v>
      </c>
      <c r="E125" s="42"/>
      <c r="F125" s="42"/>
      <c r="G125" s="42"/>
      <c r="H125" s="42">
        <f>D134</f>
        <v>2490407.52</v>
      </c>
    </row>
    <row r="126" spans="1:8" x14ac:dyDescent="0.2">
      <c r="A126" s="20" t="s">
        <v>57</v>
      </c>
      <c r="B126" s="43"/>
      <c r="C126" s="56"/>
      <c r="D126" s="60">
        <f>[4]Charters!C1032</f>
        <v>0</v>
      </c>
      <c r="E126" s="42"/>
      <c r="F126" s="42"/>
      <c r="G126" s="42"/>
      <c r="H126" s="42">
        <f>+H124-H125</f>
        <v>0</v>
      </c>
    </row>
    <row r="127" spans="1:8" x14ac:dyDescent="0.2">
      <c r="A127" s="59" t="s">
        <v>53</v>
      </c>
      <c r="B127" s="43"/>
      <c r="C127" s="56"/>
      <c r="D127" s="60">
        <f>[4]Charters!D1032</f>
        <v>0</v>
      </c>
      <c r="E127" s="42"/>
      <c r="F127" s="42" t="s">
        <v>30</v>
      </c>
      <c r="G127" s="42"/>
      <c r="H127" s="42"/>
    </row>
    <row r="128" spans="1:8" x14ac:dyDescent="0.2">
      <c r="A128" s="59" t="s">
        <v>59</v>
      </c>
      <c r="B128" s="43"/>
      <c r="C128" s="56"/>
      <c r="D128" s="60">
        <f>[4]Charters!E1032</f>
        <v>0</v>
      </c>
      <c r="E128" s="42"/>
      <c r="F128" s="42"/>
      <c r="G128" s="42"/>
      <c r="H128" s="42"/>
    </row>
    <row r="129" spans="1:8" x14ac:dyDescent="0.2">
      <c r="A129" s="38" t="s">
        <v>18</v>
      </c>
      <c r="B129" s="61"/>
      <c r="C129" s="62"/>
      <c r="D129" s="87"/>
      <c r="E129" s="42"/>
      <c r="F129" s="42">
        <f>[4]Charters!C1338</f>
        <v>2804.98</v>
      </c>
      <c r="G129" s="42"/>
      <c r="H129" s="42"/>
    </row>
    <row r="130" spans="1:8" x14ac:dyDescent="0.2">
      <c r="A130" s="59" t="s">
        <v>39</v>
      </c>
      <c r="B130" s="43"/>
      <c r="C130" s="56"/>
      <c r="D130" s="41">
        <f>[4]Charters!C1185</f>
        <v>2804.98</v>
      </c>
      <c r="E130" s="42"/>
      <c r="F130" s="42">
        <f>SUM(D130:D133)</f>
        <v>2804.98</v>
      </c>
      <c r="G130" s="42"/>
      <c r="H130" s="42"/>
    </row>
    <row r="131" spans="1:8" x14ac:dyDescent="0.2">
      <c r="A131" s="59" t="s">
        <v>48</v>
      </c>
      <c r="B131" s="43"/>
      <c r="C131" s="56"/>
      <c r="D131" s="41">
        <f>[4]Charters!D1185</f>
        <v>0</v>
      </c>
      <c r="E131" s="42"/>
      <c r="F131" s="42">
        <f>+F129-F130</f>
        <v>0</v>
      </c>
      <c r="G131" s="42"/>
      <c r="H131" s="42"/>
    </row>
    <row r="132" spans="1:8" x14ac:dyDescent="0.2">
      <c r="A132" s="59" t="s">
        <v>60</v>
      </c>
      <c r="B132" s="43"/>
      <c r="C132" s="56"/>
      <c r="D132" s="41">
        <f>[4]Charters!E1185</f>
        <v>0</v>
      </c>
      <c r="E132" s="42"/>
      <c r="F132" s="42"/>
      <c r="G132" s="42"/>
      <c r="H132" s="42"/>
    </row>
    <row r="133" spans="1:8" x14ac:dyDescent="0.2">
      <c r="A133" s="59" t="s">
        <v>61</v>
      </c>
      <c r="B133" s="43"/>
      <c r="C133" s="56"/>
      <c r="D133" s="41">
        <f>[4]Charters!F1185</f>
        <v>0</v>
      </c>
      <c r="E133" s="42"/>
      <c r="F133" s="42"/>
      <c r="G133" s="42"/>
      <c r="H133" s="42"/>
    </row>
    <row r="134" spans="1:8" ht="13.5" thickBot="1" x14ac:dyDescent="0.25">
      <c r="A134" s="64"/>
      <c r="B134" s="65"/>
      <c r="C134" s="66"/>
      <c r="D134" s="67">
        <f>SUM(D109:D133)</f>
        <v>2490407.52</v>
      </c>
      <c r="E134" s="42"/>
      <c r="F134" s="42"/>
      <c r="G134" s="42"/>
      <c r="H134" s="42"/>
    </row>
    <row r="135" spans="1:8" ht="13.5" thickTop="1" x14ac:dyDescent="0.2">
      <c r="A135" s="68"/>
      <c r="B135" s="43"/>
      <c r="C135" s="56"/>
      <c r="D135" s="86"/>
      <c r="E135" s="42"/>
      <c r="F135" s="42"/>
      <c r="G135" s="42"/>
      <c r="H135" s="42"/>
    </row>
    <row r="136" spans="1:8" x14ac:dyDescent="0.2">
      <c r="A136" s="38" t="s">
        <v>20</v>
      </c>
      <c r="B136" s="39"/>
      <c r="C136" s="70"/>
      <c r="D136" s="71" t="s">
        <v>21</v>
      </c>
      <c r="E136" s="42"/>
      <c r="F136" s="42"/>
      <c r="G136" s="42"/>
      <c r="H136" s="42"/>
    </row>
    <row r="137" spans="1:8" x14ac:dyDescent="0.2">
      <c r="A137" s="72" t="s">
        <v>22</v>
      </c>
      <c r="B137" s="73"/>
      <c r="C137" s="74"/>
      <c r="D137" s="41">
        <f>[5]Charters!C91</f>
        <v>935.54</v>
      </c>
      <c r="E137" s="42"/>
      <c r="F137" s="42"/>
      <c r="G137" s="42"/>
      <c r="H137" s="42"/>
    </row>
    <row r="138" spans="1:8" x14ac:dyDescent="0.2">
      <c r="A138" s="75"/>
      <c r="B138" s="61"/>
      <c r="C138" s="76"/>
      <c r="D138" s="77">
        <f>SUM(D137:D137)</f>
        <v>935.54</v>
      </c>
      <c r="E138" s="42"/>
      <c r="F138" s="42"/>
      <c r="G138" s="42"/>
      <c r="H138" s="42"/>
    </row>
    <row r="139" spans="1:8" x14ac:dyDescent="0.2">
      <c r="A139" s="78" t="s">
        <v>58</v>
      </c>
      <c r="B139" s="79"/>
      <c r="C139" s="80"/>
      <c r="D139" s="77">
        <f>D138+D134</f>
        <v>2491343.06</v>
      </c>
      <c r="E139" s="42"/>
      <c r="F139" s="42"/>
      <c r="G139" s="42"/>
      <c r="H139" s="42"/>
    </row>
    <row r="140" spans="1:8" x14ac:dyDescent="0.2">
      <c r="A140" s="84"/>
      <c r="B140" s="84"/>
      <c r="C140" s="85"/>
      <c r="D140" s="81"/>
      <c r="E140" s="42"/>
      <c r="F140" s="42"/>
      <c r="G140" s="42"/>
      <c r="H140" s="42"/>
    </row>
    <row r="141" spans="1:8" x14ac:dyDescent="0.2">
      <c r="A141" s="84"/>
      <c r="B141" s="84"/>
      <c r="C141" s="85"/>
      <c r="D141" s="81">
        <f>[5]Charters!E247</f>
        <v>2491343.06</v>
      </c>
      <c r="E141" s="42"/>
      <c r="F141" s="42"/>
      <c r="G141" s="42"/>
      <c r="H141" s="42"/>
    </row>
    <row r="142" spans="1:8" x14ac:dyDescent="0.2">
      <c r="A142" s="84"/>
      <c r="B142" s="84"/>
      <c r="C142" s="85"/>
      <c r="D142" s="81">
        <f>D139</f>
        <v>2491343.06</v>
      </c>
      <c r="E142" s="42"/>
      <c r="F142" s="42"/>
      <c r="G142" s="42"/>
      <c r="H142" s="42"/>
    </row>
    <row r="143" spans="1:8" x14ac:dyDescent="0.2">
      <c r="C143" s="83"/>
      <c r="D143" s="42">
        <f>D141-D142</f>
        <v>0</v>
      </c>
      <c r="E143" s="42"/>
      <c r="F143" s="42"/>
      <c r="G143" s="42"/>
      <c r="H143" s="42"/>
    </row>
  </sheetData>
  <mergeCells count="4">
    <mergeCell ref="A139:C139"/>
    <mergeCell ref="A87:D87"/>
    <mergeCell ref="A86:D86"/>
    <mergeCell ref="A85:D85"/>
  </mergeCells>
  <printOptions horizontalCentered="1" verticalCentered="1"/>
  <pageMargins left="0.5" right="0.5" top="0.5" bottom="0.5" header="0.25" footer="0.25"/>
  <pageSetup orientation="portrait" r:id="rId1"/>
  <headerFooter alignWithMargins="0">
    <oddHeader>&amp;R&amp;8Current as of: &amp;D</oddHeader>
    <oddFooter>&amp;L&amp;8USOE, School Finance</oddFooter>
  </headerFooter>
  <picture r:id="rId2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sheetPr>
    <pageSetUpPr fitToPage="1"/>
  </sheetPr>
  <dimension ref="A1:H144"/>
  <sheetViews>
    <sheetView topLeftCell="A83" workbookViewId="0">
      <selection activeCell="C12" sqref="C12"/>
    </sheetView>
  </sheetViews>
  <sheetFormatPr defaultColWidth="9.140625" defaultRowHeight="12.75" x14ac:dyDescent="0.2"/>
  <cols>
    <col min="1" max="1" width="32.140625" style="82" customWidth="1"/>
    <col min="2" max="2" width="16.140625" style="82" customWidth="1"/>
    <col min="3" max="4" width="15" style="82" customWidth="1"/>
    <col min="5" max="5" width="9.140625" style="82"/>
    <col min="6" max="6" width="19.28515625" style="82" customWidth="1"/>
    <col min="7" max="7" width="9.28515625" style="82" customWidth="1"/>
    <col min="8" max="8" width="19.28515625" style="82" customWidth="1"/>
    <col min="9" max="16384" width="9.140625" style="82"/>
  </cols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"/>
      <c r="B3" s="1"/>
      <c r="C3" s="1"/>
      <c r="D3" s="1"/>
      <c r="E3" s="1"/>
      <c r="F3" s="1"/>
      <c r="G3" s="1"/>
      <c r="H3" s="1"/>
    </row>
    <row r="4" spans="1:8" x14ac:dyDescent="0.2">
      <c r="A4" s="1"/>
      <c r="B4" s="1"/>
      <c r="C4" s="1"/>
      <c r="D4" s="1"/>
      <c r="E4" s="1"/>
      <c r="F4" s="1"/>
      <c r="G4" s="1"/>
      <c r="H4" s="1"/>
    </row>
    <row r="5" spans="1:8" x14ac:dyDescent="0.2">
      <c r="A5" s="1"/>
      <c r="B5" s="1"/>
      <c r="C5" s="1"/>
      <c r="D5" s="1"/>
      <c r="E5" s="1"/>
      <c r="F5" s="1"/>
      <c r="G5" s="1"/>
      <c r="H5" s="1"/>
    </row>
    <row r="6" spans="1:8" x14ac:dyDescent="0.2">
      <c r="A6" s="1"/>
      <c r="B6" s="1"/>
      <c r="C6" s="1"/>
      <c r="D6" s="1"/>
      <c r="E6" s="1"/>
      <c r="F6" s="1"/>
      <c r="G6" s="1"/>
      <c r="H6" s="1"/>
    </row>
    <row r="7" spans="1:8" x14ac:dyDescent="0.2">
      <c r="A7" s="1"/>
      <c r="B7" s="1"/>
      <c r="C7" s="1"/>
      <c r="D7" s="1"/>
      <c r="E7" s="1"/>
      <c r="F7" s="1"/>
      <c r="G7" s="1"/>
      <c r="H7" s="1"/>
    </row>
    <row r="8" spans="1:8" x14ac:dyDescent="0.2">
      <c r="A8" s="1"/>
      <c r="B8" s="1"/>
      <c r="C8" s="1"/>
      <c r="D8" s="1"/>
      <c r="E8" s="1"/>
      <c r="F8" s="1"/>
      <c r="G8" s="1"/>
      <c r="H8" s="1"/>
    </row>
    <row r="9" spans="1:8" x14ac:dyDescent="0.2">
      <c r="A9" s="1"/>
      <c r="B9" s="1"/>
      <c r="C9" s="1"/>
      <c r="D9" s="1"/>
      <c r="E9" s="1"/>
      <c r="F9" s="1"/>
      <c r="G9" s="1"/>
      <c r="H9" s="1"/>
    </row>
    <row r="10" spans="1:8" x14ac:dyDescent="0.2">
      <c r="A10" s="1"/>
      <c r="B10" s="1"/>
      <c r="C10" s="1"/>
      <c r="D10" s="1"/>
      <c r="E10" s="1"/>
      <c r="F10" s="1"/>
      <c r="G10" s="1"/>
      <c r="H10" s="1"/>
    </row>
    <row r="11" spans="1:8" x14ac:dyDescent="0.2">
      <c r="A11" s="1"/>
      <c r="B11" s="1"/>
      <c r="C11" s="1"/>
      <c r="D11" s="1"/>
      <c r="E11" s="1"/>
      <c r="F11" s="1"/>
      <c r="G11" s="1"/>
      <c r="H11" s="1"/>
    </row>
    <row r="12" spans="1:8" x14ac:dyDescent="0.2">
      <c r="A12" s="1"/>
      <c r="B12" s="1"/>
      <c r="C12" s="1"/>
      <c r="D12" s="1"/>
      <c r="E12" s="1"/>
      <c r="F12" s="1"/>
      <c r="G12" s="1"/>
      <c r="H12" s="1"/>
    </row>
    <row r="13" spans="1:8" x14ac:dyDescent="0.2">
      <c r="A13" s="1"/>
      <c r="B13" s="1"/>
      <c r="C13" s="1"/>
      <c r="D13" s="1"/>
      <c r="E13" s="1"/>
      <c r="F13" s="1"/>
      <c r="G13" s="1"/>
      <c r="H13" s="1"/>
    </row>
    <row r="14" spans="1:8" x14ac:dyDescent="0.2">
      <c r="A14" s="1"/>
      <c r="B14" s="1"/>
      <c r="C14" s="1"/>
      <c r="D14" s="1"/>
      <c r="E14" s="1"/>
      <c r="F14" s="1"/>
      <c r="G14" s="1"/>
      <c r="H14" s="1"/>
    </row>
    <row r="15" spans="1:8" x14ac:dyDescent="0.2">
      <c r="A15" s="1"/>
      <c r="B15" s="1"/>
      <c r="C15" s="1"/>
      <c r="D15" s="1"/>
      <c r="E15" s="1"/>
      <c r="F15" s="1"/>
      <c r="G15" s="1"/>
      <c r="H15" s="1"/>
    </row>
    <row r="16" spans="1:8" x14ac:dyDescent="0.2">
      <c r="A16" s="1"/>
      <c r="B16" s="1"/>
      <c r="C16" s="1"/>
      <c r="D16" s="1"/>
      <c r="E16" s="1"/>
      <c r="F16" s="1"/>
      <c r="G16" s="1"/>
      <c r="H16" s="1"/>
    </row>
    <row r="17" spans="1:8" x14ac:dyDescent="0.2">
      <c r="A17" s="1"/>
      <c r="B17" s="1"/>
      <c r="C17" s="1"/>
      <c r="D17" s="1"/>
      <c r="E17" s="1"/>
      <c r="F17" s="1"/>
      <c r="G17" s="1"/>
      <c r="H17" s="1"/>
    </row>
    <row r="18" spans="1:8" x14ac:dyDescent="0.2">
      <c r="A18" s="1"/>
      <c r="B18" s="1"/>
      <c r="C18" s="1"/>
      <c r="D18" s="1"/>
      <c r="E18" s="1"/>
      <c r="F18" s="1"/>
      <c r="G18" s="1"/>
      <c r="H18" s="1"/>
    </row>
    <row r="19" spans="1:8" x14ac:dyDescent="0.2">
      <c r="A19" s="1"/>
      <c r="B19" s="1"/>
      <c r="C19" s="1"/>
      <c r="D19" s="1"/>
      <c r="E19" s="1"/>
      <c r="F19" s="1"/>
      <c r="G19" s="1"/>
      <c r="H19" s="1"/>
    </row>
    <row r="20" spans="1:8" x14ac:dyDescent="0.2">
      <c r="A20" s="1"/>
      <c r="B20" s="1"/>
      <c r="C20" s="1"/>
      <c r="D20" s="1"/>
      <c r="E20" s="1"/>
      <c r="F20" s="1"/>
      <c r="G20" s="1"/>
      <c r="H20" s="1"/>
    </row>
    <row r="21" spans="1:8" x14ac:dyDescent="0.2">
      <c r="A21" s="1"/>
      <c r="B21" s="1"/>
      <c r="C21" s="1"/>
      <c r="D21" s="1"/>
      <c r="E21" s="1"/>
      <c r="F21" s="1"/>
      <c r="G21" s="1"/>
      <c r="H21" s="1"/>
    </row>
    <row r="22" spans="1:8" x14ac:dyDescent="0.2">
      <c r="A22" s="1"/>
      <c r="B22" s="1"/>
      <c r="C22" s="1"/>
      <c r="D22" s="4"/>
      <c r="E22" s="1"/>
      <c r="F22" s="1"/>
      <c r="G22" s="1"/>
      <c r="H22" s="1"/>
    </row>
    <row r="23" spans="1:8" x14ac:dyDescent="0.2">
      <c r="A23" s="1"/>
      <c r="B23" s="1"/>
      <c r="C23" s="1"/>
      <c r="D23" s="1"/>
      <c r="E23" s="1"/>
      <c r="F23" s="1"/>
      <c r="G23" s="1"/>
      <c r="H23" s="1"/>
    </row>
    <row r="24" spans="1:8" x14ac:dyDescent="0.2">
      <c r="A24" s="1"/>
      <c r="B24" s="1"/>
      <c r="C24" s="1"/>
      <c r="D24" s="1"/>
      <c r="E24" s="1"/>
      <c r="F24" s="1"/>
      <c r="G24" s="1"/>
      <c r="H24" s="1"/>
    </row>
    <row r="25" spans="1:8" x14ac:dyDescent="0.2">
      <c r="A25" s="1"/>
      <c r="B25" s="1"/>
      <c r="C25" s="1"/>
      <c r="D25" s="1"/>
      <c r="E25" s="1"/>
      <c r="F25" s="1"/>
      <c r="G25" s="1"/>
      <c r="H25" s="1"/>
    </row>
    <row r="26" spans="1:8" x14ac:dyDescent="0.2">
      <c r="A26" s="1"/>
      <c r="B26" s="1"/>
      <c r="C26" s="1"/>
      <c r="D26" s="1"/>
      <c r="E26" s="1"/>
      <c r="F26" s="1"/>
      <c r="G26" s="1"/>
      <c r="H26" s="1"/>
    </row>
    <row r="27" spans="1:8" x14ac:dyDescent="0.2">
      <c r="A27" s="1"/>
      <c r="B27" s="1"/>
      <c r="C27" s="1"/>
      <c r="D27" s="1"/>
      <c r="E27" s="1"/>
      <c r="F27" s="1"/>
      <c r="G27" s="1"/>
      <c r="H27" s="1"/>
    </row>
    <row r="28" spans="1:8" x14ac:dyDescent="0.2">
      <c r="A28" s="1"/>
      <c r="B28" s="1"/>
      <c r="C28" s="1"/>
      <c r="D28" s="1"/>
      <c r="E28" s="1"/>
      <c r="F28" s="1"/>
      <c r="G28" s="1"/>
      <c r="H28" s="1"/>
    </row>
    <row r="29" spans="1:8" x14ac:dyDescent="0.2">
      <c r="A29" s="1"/>
      <c r="B29" s="1"/>
      <c r="C29" s="1"/>
      <c r="D29" s="1"/>
      <c r="E29" s="1"/>
      <c r="F29" s="1"/>
      <c r="G29" s="1"/>
      <c r="H29" s="1"/>
    </row>
    <row r="30" spans="1:8" x14ac:dyDescent="0.2">
      <c r="A30" s="1"/>
      <c r="B30" s="1"/>
      <c r="C30" s="1"/>
      <c r="D30" s="1"/>
      <c r="E30" s="1"/>
      <c r="F30" s="1"/>
      <c r="G30" s="1"/>
      <c r="H30" s="1"/>
    </row>
    <row r="31" spans="1:8" x14ac:dyDescent="0.2">
      <c r="A31" s="1"/>
      <c r="B31" s="1"/>
      <c r="C31" s="1"/>
      <c r="D31" s="1"/>
      <c r="E31" s="1"/>
      <c r="F31" s="1"/>
      <c r="G31" s="1"/>
      <c r="H31" s="1"/>
    </row>
    <row r="32" spans="1:8" x14ac:dyDescent="0.2">
      <c r="A32" s="1"/>
      <c r="B32" s="1"/>
      <c r="C32" s="1"/>
      <c r="D32" s="1"/>
      <c r="E32" s="1"/>
      <c r="F32" s="1"/>
      <c r="G32" s="1"/>
      <c r="H32" s="1"/>
    </row>
    <row r="33" spans="1:8" x14ac:dyDescent="0.2">
      <c r="A33" s="1"/>
      <c r="B33" s="1"/>
      <c r="C33" s="1"/>
      <c r="D33" s="1"/>
      <c r="E33" s="1"/>
      <c r="F33" s="1"/>
      <c r="G33" s="1"/>
      <c r="H33" s="1"/>
    </row>
    <row r="34" spans="1:8" x14ac:dyDescent="0.2">
      <c r="A34" s="1"/>
      <c r="B34" s="1"/>
      <c r="C34" s="1"/>
      <c r="D34" s="1"/>
      <c r="E34" s="1"/>
      <c r="F34" s="1"/>
      <c r="G34" s="1"/>
      <c r="H34" s="1"/>
    </row>
    <row r="35" spans="1:8" x14ac:dyDescent="0.2">
      <c r="A35" s="1"/>
      <c r="B35" s="1"/>
      <c r="C35" s="1"/>
      <c r="D35" s="1"/>
      <c r="E35" s="1"/>
      <c r="F35" s="1"/>
      <c r="G35" s="1"/>
      <c r="H35" s="1"/>
    </row>
    <row r="36" spans="1:8" x14ac:dyDescent="0.2">
      <c r="A36" s="1"/>
      <c r="B36" s="1"/>
      <c r="C36" s="1"/>
      <c r="D36" s="1"/>
      <c r="E36" s="1"/>
      <c r="F36" s="1"/>
      <c r="G36" s="1"/>
      <c r="H36" s="1"/>
    </row>
    <row r="37" spans="1:8" x14ac:dyDescent="0.2">
      <c r="A37" s="1"/>
      <c r="B37" s="1"/>
      <c r="C37" s="1"/>
      <c r="D37" s="1"/>
      <c r="E37" s="1"/>
      <c r="F37" s="1"/>
      <c r="G37" s="1"/>
      <c r="H37" s="1"/>
    </row>
    <row r="38" spans="1:8" x14ac:dyDescent="0.2">
      <c r="A38" s="1"/>
      <c r="B38" s="1"/>
      <c r="C38" s="1"/>
      <c r="D38" s="1"/>
      <c r="E38" s="1"/>
      <c r="F38" s="1"/>
      <c r="G38" s="1"/>
      <c r="H38" s="1"/>
    </row>
    <row r="39" spans="1:8" x14ac:dyDescent="0.2">
      <c r="A39" s="1"/>
      <c r="B39" s="1"/>
      <c r="C39" s="1"/>
      <c r="D39" s="1"/>
      <c r="E39" s="1"/>
      <c r="F39" s="1"/>
      <c r="G39" s="1"/>
      <c r="H39" s="1"/>
    </row>
    <row r="40" spans="1:8" x14ac:dyDescent="0.2">
      <c r="A40" s="1"/>
      <c r="B40" s="1"/>
      <c r="C40" s="1"/>
      <c r="D40" s="1"/>
      <c r="E40" s="1"/>
      <c r="F40" s="1"/>
      <c r="G40" s="1"/>
      <c r="H40" s="1"/>
    </row>
    <row r="41" spans="1:8" x14ac:dyDescent="0.2">
      <c r="A41" s="1"/>
      <c r="B41" s="1"/>
      <c r="C41" s="1"/>
      <c r="D41" s="1"/>
      <c r="E41" s="1"/>
      <c r="F41" s="1"/>
      <c r="G41" s="1"/>
      <c r="H41" s="1"/>
    </row>
    <row r="42" spans="1:8" x14ac:dyDescent="0.2">
      <c r="A42" s="1"/>
      <c r="B42" s="1"/>
      <c r="C42" s="1"/>
      <c r="D42" s="1"/>
      <c r="E42" s="1"/>
      <c r="F42" s="1"/>
      <c r="G42" s="1"/>
      <c r="H42" s="1"/>
    </row>
    <row r="43" spans="1:8" x14ac:dyDescent="0.2">
      <c r="A43" s="1"/>
      <c r="B43" s="1"/>
      <c r="C43" s="1"/>
      <c r="D43" s="1"/>
      <c r="E43" s="1"/>
      <c r="F43" s="1"/>
      <c r="G43" s="1"/>
      <c r="H43" s="1"/>
    </row>
    <row r="44" spans="1:8" x14ac:dyDescent="0.2">
      <c r="A44" s="1"/>
      <c r="B44" s="1"/>
      <c r="C44" s="1"/>
      <c r="D44" s="1"/>
      <c r="E44" s="1"/>
      <c r="F44" s="1"/>
      <c r="G44" s="1"/>
      <c r="H44" s="1"/>
    </row>
    <row r="45" spans="1:8" x14ac:dyDescent="0.2">
      <c r="A45" s="1"/>
      <c r="B45" s="1"/>
      <c r="C45" s="1"/>
      <c r="D45" s="1"/>
      <c r="E45" s="1"/>
      <c r="F45" s="1"/>
      <c r="G45" s="1"/>
      <c r="H45" s="1"/>
    </row>
    <row r="46" spans="1:8" x14ac:dyDescent="0.2">
      <c r="A46" s="1"/>
      <c r="B46" s="1"/>
      <c r="C46" s="1"/>
      <c r="D46" s="1"/>
      <c r="E46" s="1"/>
      <c r="F46" s="1"/>
      <c r="G46" s="1"/>
      <c r="H46" s="1"/>
    </row>
    <row r="47" spans="1:8" x14ac:dyDescent="0.2">
      <c r="A47" s="1"/>
      <c r="B47" s="1"/>
      <c r="C47" s="1"/>
      <c r="D47" s="1"/>
      <c r="E47" s="1"/>
      <c r="F47" s="1"/>
      <c r="G47" s="1"/>
      <c r="H47" s="1"/>
    </row>
    <row r="48" spans="1:8" x14ac:dyDescent="0.2">
      <c r="A48" s="1"/>
      <c r="B48" s="1"/>
      <c r="C48" s="1"/>
      <c r="D48" s="1"/>
      <c r="E48" s="1"/>
      <c r="F48" s="1"/>
      <c r="G48" s="1"/>
      <c r="H48" s="1"/>
    </row>
    <row r="49" spans="1:8" x14ac:dyDescent="0.2">
      <c r="A49" s="1"/>
      <c r="B49" s="1"/>
      <c r="C49" s="1"/>
      <c r="D49" s="1"/>
      <c r="E49" s="1"/>
      <c r="F49" s="1"/>
      <c r="G49" s="1"/>
      <c r="H49" s="1"/>
    </row>
    <row r="50" spans="1:8" x14ac:dyDescent="0.2">
      <c r="A50" s="1"/>
      <c r="B50" s="1"/>
      <c r="C50" s="1"/>
      <c r="D50" s="1"/>
      <c r="E50" s="1"/>
      <c r="F50" s="1"/>
      <c r="G50" s="1"/>
      <c r="H50" s="1"/>
    </row>
    <row r="51" spans="1:8" x14ac:dyDescent="0.2">
      <c r="A51" s="1"/>
      <c r="B51" s="1"/>
      <c r="C51" s="1"/>
      <c r="D51" s="1"/>
      <c r="E51" s="1"/>
      <c r="F51" s="1"/>
      <c r="G51" s="1"/>
      <c r="H51" s="1"/>
    </row>
    <row r="52" spans="1:8" x14ac:dyDescent="0.2">
      <c r="A52" s="1"/>
      <c r="B52" s="1"/>
      <c r="C52" s="1"/>
      <c r="D52" s="1"/>
      <c r="E52" s="1"/>
      <c r="F52" s="1"/>
      <c r="G52" s="1"/>
      <c r="H52" s="1"/>
    </row>
    <row r="53" spans="1:8" x14ac:dyDescent="0.2">
      <c r="A53" s="1"/>
      <c r="B53" s="1"/>
      <c r="C53" s="1"/>
      <c r="D53" s="1"/>
      <c r="E53" s="1"/>
      <c r="F53" s="1"/>
      <c r="G53" s="1"/>
      <c r="H53" s="1"/>
    </row>
    <row r="54" spans="1:8" x14ac:dyDescent="0.2">
      <c r="A54" s="1"/>
      <c r="B54" s="1"/>
      <c r="C54" s="1"/>
      <c r="D54" s="1"/>
      <c r="E54" s="1"/>
      <c r="F54" s="1"/>
      <c r="G54" s="1"/>
      <c r="H54" s="1"/>
    </row>
    <row r="55" spans="1:8" x14ac:dyDescent="0.2">
      <c r="A55" s="1"/>
      <c r="B55" s="1"/>
      <c r="C55" s="1"/>
      <c r="D55" s="1"/>
      <c r="E55" s="1"/>
      <c r="F55" s="1"/>
      <c r="G55" s="1"/>
      <c r="H55" s="1"/>
    </row>
    <row r="56" spans="1:8" x14ac:dyDescent="0.2">
      <c r="A56" s="1"/>
      <c r="B56" s="1"/>
      <c r="C56" s="1"/>
      <c r="D56" s="1"/>
      <c r="E56" s="1"/>
      <c r="F56" s="1"/>
      <c r="G56" s="1"/>
      <c r="H56" s="1"/>
    </row>
    <row r="57" spans="1:8" x14ac:dyDescent="0.2">
      <c r="A57" s="1"/>
      <c r="B57" s="1"/>
      <c r="C57" s="1"/>
      <c r="D57" s="1"/>
      <c r="E57" s="1"/>
      <c r="F57" s="1"/>
      <c r="G57" s="1"/>
      <c r="H57" s="1"/>
    </row>
    <row r="58" spans="1:8" x14ac:dyDescent="0.2">
      <c r="A58" s="1"/>
      <c r="B58" s="1"/>
      <c r="C58" s="1"/>
      <c r="D58" s="1"/>
      <c r="E58" s="1"/>
      <c r="F58" s="1"/>
      <c r="G58" s="1"/>
      <c r="H58" s="1"/>
    </row>
    <row r="59" spans="1:8" x14ac:dyDescent="0.2">
      <c r="A59" s="1"/>
      <c r="B59" s="1"/>
      <c r="C59" s="1"/>
      <c r="D59" s="1"/>
      <c r="E59" s="1"/>
      <c r="F59" s="1"/>
      <c r="G59" s="1"/>
      <c r="H59" s="1"/>
    </row>
    <row r="60" spans="1:8" x14ac:dyDescent="0.2">
      <c r="A60" s="1"/>
      <c r="B60" s="1"/>
      <c r="C60" s="1"/>
      <c r="D60" s="1"/>
      <c r="E60" s="1"/>
      <c r="F60" s="1"/>
      <c r="G60" s="1"/>
      <c r="H60" s="1"/>
    </row>
    <row r="61" spans="1:8" x14ac:dyDescent="0.2">
      <c r="A61" s="1"/>
      <c r="B61" s="1"/>
      <c r="C61" s="1"/>
      <c r="D61" s="1"/>
      <c r="E61" s="1"/>
      <c r="F61" s="1"/>
      <c r="G61" s="1"/>
      <c r="H61" s="1"/>
    </row>
    <row r="62" spans="1:8" x14ac:dyDescent="0.2">
      <c r="A62" s="1"/>
      <c r="B62" s="1"/>
      <c r="C62" s="1"/>
      <c r="D62" s="1"/>
      <c r="E62" s="1"/>
      <c r="F62" s="1"/>
      <c r="G62" s="1"/>
      <c r="H62" s="1"/>
    </row>
    <row r="63" spans="1:8" x14ac:dyDescent="0.2">
      <c r="A63" s="1"/>
      <c r="B63" s="1"/>
      <c r="C63" s="1"/>
      <c r="D63" s="1"/>
      <c r="E63" s="1"/>
      <c r="F63" s="1"/>
      <c r="G63" s="1"/>
      <c r="H63" s="1"/>
    </row>
    <row r="64" spans="1:8" x14ac:dyDescent="0.2">
      <c r="A64" s="1"/>
      <c r="B64" s="1"/>
      <c r="C64" s="1"/>
      <c r="D64" s="1"/>
      <c r="E64" s="1"/>
      <c r="F64" s="1"/>
      <c r="G64" s="1"/>
      <c r="H64" s="1"/>
    </row>
    <row r="65" spans="1:8" x14ac:dyDescent="0.2">
      <c r="A65" s="1"/>
      <c r="B65" s="1"/>
      <c r="C65" s="1"/>
      <c r="D65" s="1"/>
      <c r="E65" s="1"/>
      <c r="F65" s="1"/>
      <c r="G65" s="1"/>
      <c r="H65" s="1"/>
    </row>
    <row r="66" spans="1:8" x14ac:dyDescent="0.2">
      <c r="A66" s="1"/>
      <c r="B66" s="1"/>
      <c r="C66" s="1"/>
      <c r="D66" s="1"/>
      <c r="E66" s="1"/>
      <c r="F66" s="1"/>
      <c r="G66" s="1"/>
      <c r="H66" s="1"/>
    </row>
    <row r="67" spans="1:8" x14ac:dyDescent="0.2">
      <c r="A67" s="1"/>
      <c r="B67" s="1"/>
      <c r="C67" s="1"/>
      <c r="D67" s="1"/>
      <c r="E67" s="1"/>
      <c r="F67" s="1"/>
      <c r="G67" s="1"/>
      <c r="H67" s="1"/>
    </row>
    <row r="68" spans="1:8" x14ac:dyDescent="0.2">
      <c r="A68" s="1"/>
      <c r="B68" s="1"/>
      <c r="C68" s="1"/>
      <c r="D68" s="1"/>
      <c r="E68" s="1"/>
      <c r="F68" s="1"/>
      <c r="G68" s="1"/>
      <c r="H68" s="1"/>
    </row>
    <row r="69" spans="1:8" x14ac:dyDescent="0.2">
      <c r="A69" s="1"/>
      <c r="B69" s="1"/>
      <c r="C69" s="1"/>
      <c r="D69" s="1"/>
      <c r="E69" s="1"/>
      <c r="F69" s="1"/>
      <c r="G69" s="1"/>
      <c r="H69" s="1"/>
    </row>
    <row r="70" spans="1:8" x14ac:dyDescent="0.2">
      <c r="A70" s="1"/>
      <c r="B70" s="1"/>
      <c r="C70" s="1"/>
      <c r="D70" s="1"/>
      <c r="E70" s="1"/>
      <c r="F70" s="1"/>
      <c r="G70" s="1"/>
      <c r="H70" s="1"/>
    </row>
    <row r="71" spans="1:8" x14ac:dyDescent="0.2">
      <c r="A71" s="1"/>
      <c r="B71" s="1"/>
      <c r="C71" s="1"/>
      <c r="D71" s="1"/>
      <c r="E71" s="1"/>
      <c r="F71" s="1"/>
      <c r="G71" s="1"/>
      <c r="H71" s="1"/>
    </row>
    <row r="72" spans="1:8" x14ac:dyDescent="0.2">
      <c r="A72" s="1"/>
      <c r="B72" s="1"/>
      <c r="C72" s="1"/>
      <c r="D72" s="1"/>
      <c r="E72" s="1"/>
      <c r="F72" s="1"/>
      <c r="G72" s="1"/>
      <c r="H72" s="1"/>
    </row>
    <row r="73" spans="1:8" x14ac:dyDescent="0.2">
      <c r="A73" s="1"/>
      <c r="B73" s="1"/>
      <c r="C73" s="1"/>
      <c r="D73" s="1"/>
      <c r="E73" s="1"/>
      <c r="F73" s="1"/>
      <c r="G73" s="1"/>
      <c r="H73" s="1"/>
    </row>
    <row r="74" spans="1:8" x14ac:dyDescent="0.2">
      <c r="A74" s="1"/>
      <c r="B74" s="1"/>
      <c r="C74" s="1"/>
      <c r="D74" s="1"/>
      <c r="E74" s="1"/>
      <c r="F74" s="1"/>
      <c r="G74" s="1"/>
      <c r="H74" s="1"/>
    </row>
    <row r="75" spans="1:8" x14ac:dyDescent="0.2">
      <c r="A75" s="1"/>
      <c r="B75" s="1"/>
      <c r="C75" s="1"/>
      <c r="D75" s="1"/>
      <c r="E75" s="1"/>
      <c r="F75" s="1"/>
      <c r="G75" s="1"/>
      <c r="H75" s="1"/>
    </row>
    <row r="76" spans="1:8" x14ac:dyDescent="0.2">
      <c r="A76" s="1"/>
      <c r="B76" s="1"/>
      <c r="C76" s="1"/>
      <c r="D76" s="1"/>
      <c r="E76" s="1"/>
      <c r="F76" s="1"/>
      <c r="G76" s="1"/>
      <c r="H76" s="1"/>
    </row>
    <row r="77" spans="1:8" x14ac:dyDescent="0.2">
      <c r="A77" s="1"/>
      <c r="B77" s="1"/>
      <c r="C77" s="1"/>
      <c r="D77" s="1"/>
      <c r="E77" s="1"/>
      <c r="F77" s="1"/>
      <c r="G77" s="1"/>
      <c r="H77" s="1"/>
    </row>
    <row r="78" spans="1:8" x14ac:dyDescent="0.2">
      <c r="A78" s="1"/>
      <c r="B78" s="1"/>
      <c r="C78" s="1"/>
      <c r="D78" s="1"/>
      <c r="E78" s="1"/>
      <c r="F78" s="1"/>
      <c r="G78" s="1"/>
      <c r="H78" s="1"/>
    </row>
    <row r="79" spans="1:8" x14ac:dyDescent="0.2">
      <c r="A79" s="1"/>
      <c r="B79" s="1"/>
      <c r="C79" s="1"/>
      <c r="D79" s="1"/>
      <c r="E79" s="1"/>
      <c r="F79" s="1"/>
      <c r="G79" s="1"/>
      <c r="H79" s="1"/>
    </row>
    <row r="80" spans="1:8" x14ac:dyDescent="0.2">
      <c r="A80" s="1"/>
      <c r="B80" s="1"/>
      <c r="C80" s="1"/>
      <c r="D80" s="1"/>
      <c r="E80" s="1"/>
      <c r="F80" s="1"/>
      <c r="G80" s="1"/>
      <c r="H80" s="1"/>
    </row>
    <row r="81" spans="1:8" x14ac:dyDescent="0.2">
      <c r="A81" s="1"/>
      <c r="B81" s="1"/>
      <c r="C81" s="1"/>
      <c r="D81" s="1"/>
      <c r="E81" s="1"/>
      <c r="F81" s="1"/>
      <c r="G81" s="1"/>
      <c r="H81" s="1"/>
    </row>
    <row r="82" spans="1:8" x14ac:dyDescent="0.2">
      <c r="A82" s="1"/>
      <c r="B82" s="1"/>
      <c r="C82" s="1"/>
      <c r="D82" s="1"/>
      <c r="E82" s="1"/>
      <c r="F82" s="1"/>
      <c r="G82" s="1"/>
      <c r="H82" s="1"/>
    </row>
    <row r="83" spans="1:8" x14ac:dyDescent="0.2">
      <c r="A83" s="1"/>
      <c r="B83" s="1"/>
      <c r="C83" s="1"/>
      <c r="D83" s="1"/>
      <c r="E83" s="1"/>
      <c r="F83" s="1"/>
      <c r="G83" s="1"/>
      <c r="H83" s="1"/>
    </row>
    <row r="84" spans="1:8" x14ac:dyDescent="0.2">
      <c r="A84" s="1"/>
      <c r="B84" s="1"/>
      <c r="C84" s="1"/>
      <c r="D84" s="1"/>
      <c r="E84" s="1"/>
      <c r="F84" s="1"/>
      <c r="G84" s="1"/>
      <c r="H84" s="1"/>
    </row>
    <row r="85" spans="1:8" x14ac:dyDescent="0.2">
      <c r="A85" s="1"/>
      <c r="B85" s="1"/>
      <c r="C85" s="1"/>
      <c r="D85" s="1"/>
      <c r="E85" s="1"/>
      <c r="F85" s="1"/>
      <c r="G85" s="1"/>
      <c r="H85" s="1"/>
    </row>
    <row r="86" spans="1:8" x14ac:dyDescent="0.2">
      <c r="A86" s="11" t="s">
        <v>1</v>
      </c>
      <c r="B86" s="12"/>
      <c r="C86" s="12"/>
      <c r="D86" s="13"/>
      <c r="E86" s="8"/>
      <c r="F86" s="8"/>
      <c r="G86" s="8"/>
      <c r="H86" s="8"/>
    </row>
    <row r="87" spans="1:8" x14ac:dyDescent="0.2">
      <c r="A87" s="14" t="s">
        <v>15</v>
      </c>
      <c r="B87" s="15"/>
      <c r="C87" s="15"/>
      <c r="D87" s="16"/>
      <c r="E87" s="8"/>
      <c r="F87" s="8"/>
      <c r="G87" s="8"/>
      <c r="H87" s="8"/>
    </row>
    <row r="88" spans="1:8" x14ac:dyDescent="0.2">
      <c r="A88" s="17" t="s">
        <v>62</v>
      </c>
      <c r="B88" s="18"/>
      <c r="C88" s="18"/>
      <c r="D88" s="19"/>
      <c r="E88" s="8"/>
      <c r="F88" s="8"/>
      <c r="G88" s="8"/>
      <c r="H88" s="8"/>
    </row>
    <row r="89" spans="1:8" x14ac:dyDescent="0.2">
      <c r="A89" s="20"/>
      <c r="B89" s="21"/>
      <c r="C89" s="22"/>
      <c r="D89" s="23"/>
      <c r="E89" s="8"/>
      <c r="F89" s="8" t="s">
        <v>34</v>
      </c>
      <c r="G89" s="8"/>
      <c r="H89" s="8"/>
    </row>
    <row r="90" spans="1:8" ht="15.75" x14ac:dyDescent="0.25">
      <c r="A90" s="24" t="s">
        <v>2</v>
      </c>
      <c r="B90" s="25" t="str">
        <f>[1]Charters!B93</f>
        <v>Valley Academy</v>
      </c>
      <c r="C90" s="26"/>
      <c r="D90" s="27"/>
      <c r="E90" s="8"/>
      <c r="F90" s="8"/>
      <c r="G90" s="8"/>
      <c r="H90" s="8"/>
    </row>
    <row r="91" spans="1:8" x14ac:dyDescent="0.2">
      <c r="A91" s="24"/>
      <c r="B91" s="28"/>
      <c r="C91" s="26"/>
      <c r="D91" s="27"/>
      <c r="E91" s="8"/>
      <c r="F91" s="8"/>
      <c r="G91" s="8"/>
      <c r="H91" s="8"/>
    </row>
    <row r="92" spans="1:8" x14ac:dyDescent="0.2">
      <c r="A92" s="29" t="s">
        <v>0</v>
      </c>
      <c r="B92" s="30">
        <f>[1]Charters!$E$6</f>
        <v>3184</v>
      </c>
      <c r="C92" s="26"/>
      <c r="D92" s="31"/>
      <c r="E92" s="8"/>
      <c r="F92" s="8"/>
      <c r="G92" s="8"/>
      <c r="H92" s="8"/>
    </row>
    <row r="93" spans="1:8" x14ac:dyDescent="0.2">
      <c r="A93" s="32"/>
      <c r="B93" s="6"/>
      <c r="C93" s="33"/>
      <c r="D93" s="34" t="s">
        <v>3</v>
      </c>
      <c r="E93" s="8"/>
      <c r="F93" s="8"/>
      <c r="G93" s="8"/>
      <c r="H93" s="8"/>
    </row>
    <row r="94" spans="1:8" x14ac:dyDescent="0.2">
      <c r="A94" s="29" t="s">
        <v>19</v>
      </c>
      <c r="B94" s="35" t="str">
        <f>[1]Charters!A93</f>
        <v>8H</v>
      </c>
      <c r="C94" s="36" t="s">
        <v>4</v>
      </c>
      <c r="D94" s="37" t="s">
        <v>5</v>
      </c>
      <c r="E94" s="8"/>
      <c r="F94" s="8"/>
      <c r="G94" s="8"/>
      <c r="H94" s="8"/>
    </row>
    <row r="95" spans="1:8" x14ac:dyDescent="0.2">
      <c r="A95" s="38" t="s">
        <v>6</v>
      </c>
      <c r="B95" s="39"/>
      <c r="C95" s="40"/>
      <c r="D95" s="41"/>
      <c r="E95" s="8"/>
      <c r="F95" s="8"/>
      <c r="G95" s="8"/>
      <c r="H95" s="8"/>
    </row>
    <row r="96" spans="1:8" x14ac:dyDescent="0.2">
      <c r="A96" s="38" t="s">
        <v>7</v>
      </c>
      <c r="B96" s="39"/>
      <c r="C96" s="40"/>
      <c r="D96" s="41"/>
      <c r="E96" s="8"/>
      <c r="F96" s="42" t="s">
        <v>23</v>
      </c>
      <c r="G96" s="8"/>
      <c r="H96" s="42" t="s">
        <v>26</v>
      </c>
    </row>
    <row r="97" spans="1:8" x14ac:dyDescent="0.2">
      <c r="A97" s="20" t="s">
        <v>8</v>
      </c>
      <c r="B97" s="43"/>
      <c r="C97" s="44">
        <f>[1]Charters!C553</f>
        <v>304.70299999999997</v>
      </c>
      <c r="D97" s="45">
        <f>[1]Charters!E553</f>
        <v>970173.47</v>
      </c>
      <c r="E97" s="8"/>
      <c r="F97" s="42">
        <f>[1]Charters!E708</f>
        <v>1023533.01</v>
      </c>
      <c r="G97" s="8"/>
      <c r="H97" s="42">
        <f>[2]Charters!E247</f>
        <v>1288643.02</v>
      </c>
    </row>
    <row r="98" spans="1:8" x14ac:dyDescent="0.2">
      <c r="A98" s="20" t="s">
        <v>14</v>
      </c>
      <c r="B98" s="43"/>
      <c r="C98" s="44">
        <f>[1]Charters!F553</f>
        <v>16.759</v>
      </c>
      <c r="D98" s="45">
        <f>[1]Charters!H553</f>
        <v>53359.54</v>
      </c>
      <c r="E98" s="8"/>
      <c r="F98" s="42">
        <f>SUM(D97:D99)</f>
        <v>1023533.01</v>
      </c>
      <c r="G98" s="8"/>
      <c r="H98" s="42">
        <f>D110</f>
        <v>1288643.02</v>
      </c>
    </row>
    <row r="99" spans="1:8" x14ac:dyDescent="0.2">
      <c r="A99" s="20" t="s">
        <v>32</v>
      </c>
      <c r="B99" s="43"/>
      <c r="C99" s="44">
        <f>[1]Charters!C246</f>
        <v>0</v>
      </c>
      <c r="D99" s="45">
        <f>[1]Charters!E246</f>
        <v>0</v>
      </c>
      <c r="E99" s="8"/>
      <c r="F99" s="42">
        <f>+F97-F98</f>
        <v>0</v>
      </c>
      <c r="G99" s="8"/>
      <c r="H99" s="42">
        <f>+H97-H98</f>
        <v>0</v>
      </c>
    </row>
    <row r="100" spans="1:8" x14ac:dyDescent="0.2">
      <c r="A100" s="38" t="s">
        <v>9</v>
      </c>
      <c r="B100" s="39"/>
      <c r="C100" s="46"/>
      <c r="D100" s="47"/>
      <c r="E100" s="8"/>
      <c r="F100" s="8"/>
      <c r="G100" s="8"/>
      <c r="H100" s="8"/>
    </row>
    <row r="101" spans="1:8" x14ac:dyDescent="0.2">
      <c r="A101" s="20" t="s">
        <v>10</v>
      </c>
      <c r="B101" s="43"/>
      <c r="C101" s="40">
        <f>[3]Charters!C92</f>
        <v>48.362000000000002</v>
      </c>
      <c r="D101" s="41">
        <f>[3]Charters!E92</f>
        <v>153986.01999999999</v>
      </c>
      <c r="E101" s="8"/>
      <c r="F101" s="42" t="s">
        <v>24</v>
      </c>
      <c r="G101" s="8"/>
      <c r="H101" s="8"/>
    </row>
    <row r="102" spans="1:8" x14ac:dyDescent="0.2">
      <c r="A102" s="48" t="s">
        <v>11</v>
      </c>
      <c r="B102" s="43"/>
      <c r="C102" s="40">
        <f>[3]Charters!F92</f>
        <v>1.3</v>
      </c>
      <c r="D102" s="49">
        <f>[3]Charters!H92</f>
        <v>4139.2</v>
      </c>
      <c r="E102" s="8"/>
      <c r="F102" s="42">
        <f>[3]Charters!N404</f>
        <v>164659.4</v>
      </c>
      <c r="G102" s="8"/>
      <c r="H102" s="8"/>
    </row>
    <row r="103" spans="1:8" x14ac:dyDescent="0.2">
      <c r="A103" s="48" t="s">
        <v>12</v>
      </c>
      <c r="B103" s="43"/>
      <c r="C103" s="40">
        <f>[3]Charters!C247</f>
        <v>0</v>
      </c>
      <c r="D103" s="41">
        <f>[3]Charters!E247</f>
        <v>0</v>
      </c>
      <c r="E103" s="8"/>
      <c r="F103" s="42">
        <f>SUM(D101:D107)</f>
        <v>164659.4</v>
      </c>
      <c r="G103" s="8"/>
      <c r="H103" s="8"/>
    </row>
    <row r="104" spans="1:8" x14ac:dyDescent="0.2">
      <c r="A104" s="20" t="s">
        <v>13</v>
      </c>
      <c r="B104" s="43"/>
      <c r="C104" s="40">
        <f>[3]Charters!F247</f>
        <v>0.70899999999999996</v>
      </c>
      <c r="D104" s="41">
        <f>[3]Charters!H247</f>
        <v>2259</v>
      </c>
      <c r="E104" s="8"/>
      <c r="F104" s="42">
        <f>+F102-F103</f>
        <v>0</v>
      </c>
      <c r="G104" s="8"/>
      <c r="H104" s="8"/>
    </row>
    <row r="105" spans="1:8" x14ac:dyDescent="0.2">
      <c r="A105" s="48" t="s">
        <v>54</v>
      </c>
      <c r="B105" s="43"/>
      <c r="C105" s="40">
        <f>[3]Charters!C404</f>
        <v>1.343</v>
      </c>
      <c r="D105" s="41">
        <f>[3]Charters!E404</f>
        <v>4275.18</v>
      </c>
      <c r="E105" s="8"/>
      <c r="F105" s="8"/>
      <c r="G105" s="8"/>
      <c r="H105" s="8"/>
    </row>
    <row r="106" spans="1:8" x14ac:dyDescent="0.2">
      <c r="A106" s="48" t="s">
        <v>55</v>
      </c>
      <c r="B106" s="43"/>
      <c r="C106" s="40">
        <f>[3]Charters!F404</f>
        <v>0</v>
      </c>
      <c r="D106" s="41">
        <f>[3]Charters!H404</f>
        <v>0</v>
      </c>
      <c r="E106" s="8"/>
      <c r="F106" s="42" t="s">
        <v>25</v>
      </c>
      <c r="G106" s="8"/>
      <c r="H106" s="8"/>
    </row>
    <row r="107" spans="1:8" x14ac:dyDescent="0.2">
      <c r="A107" s="48" t="s">
        <v>56</v>
      </c>
      <c r="B107" s="43"/>
      <c r="C107" s="40">
        <f>[3]Charters!I404</f>
        <v>0</v>
      </c>
      <c r="D107" s="41">
        <f>[3]Charters!K404</f>
        <v>0</v>
      </c>
      <c r="E107" s="8"/>
      <c r="F107" s="42">
        <f>[2]Charters!H93</f>
        <v>265110.01</v>
      </c>
      <c r="G107" s="8"/>
      <c r="H107" s="8"/>
    </row>
    <row r="108" spans="1:8" x14ac:dyDescent="0.2">
      <c r="A108" s="20" t="s">
        <v>49</v>
      </c>
      <c r="B108" s="43"/>
      <c r="C108" s="40">
        <f>[3]Charters!C560</f>
        <v>0</v>
      </c>
      <c r="D108" s="41">
        <f>[3]Charters!E560</f>
        <v>0</v>
      </c>
      <c r="E108" s="8"/>
      <c r="F108" s="42">
        <f>SUM(D101:D109)</f>
        <v>265110.01</v>
      </c>
      <c r="G108" s="8"/>
      <c r="H108" s="8"/>
    </row>
    <row r="109" spans="1:8" x14ac:dyDescent="0.2">
      <c r="A109" s="20" t="s">
        <v>50</v>
      </c>
      <c r="B109" s="43"/>
      <c r="C109" s="40">
        <f>[2]Charters!C93</f>
        <v>31.548999999999999</v>
      </c>
      <c r="D109" s="41">
        <f>[2]Charters!E93</f>
        <v>100450.61</v>
      </c>
      <c r="E109" s="8"/>
      <c r="F109" s="42">
        <f>+F107-F108</f>
        <v>0</v>
      </c>
      <c r="G109" s="8"/>
      <c r="H109" s="8"/>
    </row>
    <row r="110" spans="1:8" x14ac:dyDescent="0.2">
      <c r="A110" s="50"/>
      <c r="B110" s="51" t="s">
        <v>16</v>
      </c>
      <c r="C110" s="52">
        <f>SUM(C97:C109)</f>
        <v>404.72500000000002</v>
      </c>
      <c r="D110" s="53">
        <f>SUM(D97:D109)</f>
        <v>1288643.02</v>
      </c>
      <c r="E110" s="8"/>
      <c r="F110" s="8"/>
      <c r="G110" s="8"/>
      <c r="H110" s="8"/>
    </row>
    <row r="111" spans="1:8" x14ac:dyDescent="0.2">
      <c r="A111" s="54" t="s">
        <v>17</v>
      </c>
      <c r="B111" s="39"/>
      <c r="C111" s="55"/>
      <c r="D111" s="47"/>
      <c r="E111" s="8"/>
      <c r="F111" s="8"/>
      <c r="G111" s="8"/>
      <c r="H111" s="42" t="s">
        <v>29</v>
      </c>
    </row>
    <row r="112" spans="1:8" x14ac:dyDescent="0.2">
      <c r="A112" s="20" t="s">
        <v>33</v>
      </c>
      <c r="B112" s="43"/>
      <c r="C112" s="56"/>
      <c r="D112" s="57">
        <f>[4]Charters!C93</f>
        <v>3735.09</v>
      </c>
      <c r="E112" s="8"/>
      <c r="F112" s="8"/>
      <c r="G112" s="8"/>
      <c r="H112" s="42">
        <f>[4]Charters!F1033</f>
        <v>2134730.86</v>
      </c>
    </row>
    <row r="113" spans="1:8" x14ac:dyDescent="0.2">
      <c r="A113" s="58" t="s">
        <v>35</v>
      </c>
      <c r="B113" s="43"/>
      <c r="C113" s="56"/>
      <c r="D113" s="41">
        <f>+[4]Charters!F414</f>
        <v>1466.53</v>
      </c>
      <c r="E113" s="8"/>
      <c r="F113" s="8"/>
      <c r="G113" s="8"/>
      <c r="H113" s="42">
        <f>SUM(D110:D129)</f>
        <v>2134730.86</v>
      </c>
    </row>
    <row r="114" spans="1:8" x14ac:dyDescent="0.2">
      <c r="A114" s="59" t="s">
        <v>36</v>
      </c>
      <c r="B114" s="43"/>
      <c r="C114" s="56"/>
      <c r="D114" s="41">
        <f>[4]Charters!E253</f>
        <v>23700</v>
      </c>
      <c r="E114" s="8"/>
      <c r="F114" s="8"/>
      <c r="G114" s="8"/>
      <c r="H114" s="42">
        <f>+H112-H113</f>
        <v>0</v>
      </c>
    </row>
    <row r="115" spans="1:8" x14ac:dyDescent="0.2">
      <c r="A115" s="59" t="s">
        <v>52</v>
      </c>
      <c r="B115" s="43"/>
      <c r="C115" s="56"/>
      <c r="D115" s="41">
        <f>[4]Charters!G414</f>
        <v>0</v>
      </c>
      <c r="E115" s="8"/>
      <c r="F115" s="42" t="s">
        <v>27</v>
      </c>
      <c r="G115" s="8"/>
      <c r="H115" s="42"/>
    </row>
    <row r="116" spans="1:8" x14ac:dyDescent="0.2">
      <c r="A116" s="20" t="s">
        <v>37</v>
      </c>
      <c r="B116" s="43"/>
      <c r="C116" s="56"/>
      <c r="D116" s="41">
        <f>[4]Charters!E570</f>
        <v>25452</v>
      </c>
      <c r="E116" s="8"/>
      <c r="F116" s="42">
        <f>[4]Charters!E253</f>
        <v>23700</v>
      </c>
      <c r="G116" s="8"/>
      <c r="H116" s="8"/>
    </row>
    <row r="117" spans="1:8" x14ac:dyDescent="0.2">
      <c r="A117" s="20" t="s">
        <v>38</v>
      </c>
      <c r="B117" s="43"/>
      <c r="C117" s="56"/>
      <c r="D117" s="41">
        <f>[4]Charters!F570</f>
        <v>0</v>
      </c>
      <c r="E117" s="8"/>
      <c r="F117" s="42">
        <f>SUM(D114:D114)</f>
        <v>23700</v>
      </c>
      <c r="G117" s="8"/>
      <c r="H117" s="8"/>
    </row>
    <row r="118" spans="1:8" x14ac:dyDescent="0.2">
      <c r="A118" s="59" t="s">
        <v>40</v>
      </c>
      <c r="B118" s="43"/>
      <c r="C118" s="56"/>
      <c r="D118" s="41">
        <f>[4]Charters!G570</f>
        <v>68435</v>
      </c>
      <c r="E118" s="8"/>
      <c r="F118" s="42">
        <f>+F116-F117</f>
        <v>0</v>
      </c>
      <c r="G118" s="8"/>
      <c r="H118" s="8"/>
    </row>
    <row r="119" spans="1:8" x14ac:dyDescent="0.2">
      <c r="A119" s="20" t="s">
        <v>41</v>
      </c>
      <c r="B119" s="43"/>
      <c r="C119" s="56"/>
      <c r="D119" s="41">
        <f>[4]Charters!C724</f>
        <v>590295</v>
      </c>
      <c r="E119" s="8"/>
      <c r="F119" s="42" t="s">
        <v>28</v>
      </c>
      <c r="G119" s="8"/>
      <c r="H119" s="8"/>
    </row>
    <row r="120" spans="1:8" x14ac:dyDescent="0.2">
      <c r="A120" s="20" t="s">
        <v>42</v>
      </c>
      <c r="B120" s="43"/>
      <c r="C120" s="56"/>
      <c r="D120" s="41">
        <f>[4]Charters!D724</f>
        <v>88218.66</v>
      </c>
      <c r="E120" s="8"/>
      <c r="F120" s="42">
        <f>[4]Charters!D570</f>
        <v>25166.53</v>
      </c>
      <c r="G120" s="8"/>
      <c r="H120" s="8"/>
    </row>
    <row r="121" spans="1:8" x14ac:dyDescent="0.2">
      <c r="A121" s="20" t="s">
        <v>44</v>
      </c>
      <c r="B121" s="43"/>
      <c r="C121" s="56"/>
      <c r="D121" s="41">
        <f>[4]Charters!E724</f>
        <v>29500</v>
      </c>
      <c r="E121" s="8"/>
      <c r="F121" s="42">
        <f>SUM(D113:D115)</f>
        <v>25166.53</v>
      </c>
      <c r="G121" s="8"/>
      <c r="H121" s="8"/>
    </row>
    <row r="122" spans="1:8" x14ac:dyDescent="0.2">
      <c r="A122" s="59" t="s">
        <v>43</v>
      </c>
      <c r="B122" s="43"/>
      <c r="C122" s="56"/>
      <c r="D122" s="41">
        <f>[4]Charters!F724</f>
        <v>14711.1</v>
      </c>
      <c r="E122" s="8"/>
      <c r="F122" s="42">
        <f>+F120-F121</f>
        <v>0</v>
      </c>
      <c r="G122" s="8"/>
      <c r="H122" s="8"/>
    </row>
    <row r="123" spans="1:8" x14ac:dyDescent="0.2">
      <c r="A123" s="59" t="s">
        <v>45</v>
      </c>
      <c r="B123" s="43"/>
      <c r="C123" s="56"/>
      <c r="D123" s="41">
        <f>[4]Charters!C570</f>
        <v>0</v>
      </c>
      <c r="E123" s="8"/>
      <c r="F123" s="8"/>
      <c r="G123" s="8"/>
      <c r="H123" s="8"/>
    </row>
    <row r="124" spans="1:8" x14ac:dyDescent="0.2">
      <c r="A124" s="59" t="s">
        <v>46</v>
      </c>
      <c r="B124" s="43"/>
      <c r="C124" s="56"/>
      <c r="D124" s="41">
        <f>[4]Charters!C880</f>
        <v>0</v>
      </c>
      <c r="E124" s="42"/>
      <c r="F124" s="42"/>
      <c r="G124" s="42"/>
      <c r="H124" s="42" t="s">
        <v>31</v>
      </c>
    </row>
    <row r="125" spans="1:8" x14ac:dyDescent="0.2">
      <c r="A125" s="59" t="s">
        <v>51</v>
      </c>
      <c r="B125" s="43"/>
      <c r="C125" s="56"/>
      <c r="D125" s="60">
        <f>[4]Charters!D880</f>
        <v>574.46</v>
      </c>
      <c r="E125" s="42"/>
      <c r="F125" s="42"/>
      <c r="G125" s="42"/>
      <c r="H125" s="42">
        <f>[4]Charters!D1339</f>
        <v>2138001.0699999998</v>
      </c>
    </row>
    <row r="126" spans="1:8" x14ac:dyDescent="0.2">
      <c r="A126" s="20" t="s">
        <v>47</v>
      </c>
      <c r="B126" s="43"/>
      <c r="C126" s="56"/>
      <c r="D126" s="60">
        <f>[4]Charters!E880</f>
        <v>0</v>
      </c>
      <c r="E126" s="42"/>
      <c r="F126" s="42"/>
      <c r="G126" s="42"/>
      <c r="H126" s="42">
        <f>D135</f>
        <v>2138001.0699999998</v>
      </c>
    </row>
    <row r="127" spans="1:8" x14ac:dyDescent="0.2">
      <c r="A127" s="20" t="s">
        <v>57</v>
      </c>
      <c r="B127" s="43"/>
      <c r="C127" s="56"/>
      <c r="D127" s="60">
        <f>[4]Charters!C1033</f>
        <v>0</v>
      </c>
      <c r="E127" s="42"/>
      <c r="F127" s="42"/>
      <c r="G127" s="42"/>
      <c r="H127" s="42">
        <f>+H125-H126</f>
        <v>0</v>
      </c>
    </row>
    <row r="128" spans="1:8" x14ac:dyDescent="0.2">
      <c r="A128" s="59" t="s">
        <v>53</v>
      </c>
      <c r="B128" s="43"/>
      <c r="C128" s="56"/>
      <c r="D128" s="60">
        <f>[4]Charters!D1033</f>
        <v>0</v>
      </c>
      <c r="E128" s="42"/>
      <c r="F128" s="42" t="s">
        <v>30</v>
      </c>
      <c r="G128" s="42"/>
      <c r="H128" s="42"/>
    </row>
    <row r="129" spans="1:8" x14ac:dyDescent="0.2">
      <c r="A129" s="59" t="s">
        <v>59</v>
      </c>
      <c r="B129" s="43"/>
      <c r="C129" s="56"/>
      <c r="D129" s="60">
        <f>[4]Charters!E1033</f>
        <v>0</v>
      </c>
      <c r="E129" s="42"/>
      <c r="F129" s="42"/>
      <c r="G129" s="42"/>
      <c r="H129" s="42"/>
    </row>
    <row r="130" spans="1:8" x14ac:dyDescent="0.2">
      <c r="A130" s="38" t="s">
        <v>18</v>
      </c>
      <c r="B130" s="61"/>
      <c r="C130" s="62"/>
      <c r="D130" s="87"/>
      <c r="E130" s="42"/>
      <c r="F130" s="42">
        <f>[4]Charters!C1339</f>
        <v>3270.21</v>
      </c>
      <c r="G130" s="42"/>
      <c r="H130" s="42"/>
    </row>
    <row r="131" spans="1:8" x14ac:dyDescent="0.2">
      <c r="A131" s="59" t="s">
        <v>39</v>
      </c>
      <c r="B131" s="43"/>
      <c r="C131" s="56"/>
      <c r="D131" s="41">
        <f>[4]Charters!C1186</f>
        <v>3270.21</v>
      </c>
      <c r="E131" s="42"/>
      <c r="F131" s="42">
        <f>SUM(D131:D134)</f>
        <v>3270.21</v>
      </c>
      <c r="G131" s="42"/>
      <c r="H131" s="42"/>
    </row>
    <row r="132" spans="1:8" x14ac:dyDescent="0.2">
      <c r="A132" s="59" t="s">
        <v>48</v>
      </c>
      <c r="B132" s="43"/>
      <c r="C132" s="56"/>
      <c r="D132" s="41">
        <f>[4]Charters!D1186</f>
        <v>0</v>
      </c>
      <c r="E132" s="42"/>
      <c r="F132" s="42">
        <f>+F130-F131</f>
        <v>0</v>
      </c>
      <c r="G132" s="42"/>
      <c r="H132" s="42"/>
    </row>
    <row r="133" spans="1:8" x14ac:dyDescent="0.2">
      <c r="A133" s="59" t="s">
        <v>60</v>
      </c>
      <c r="B133" s="43"/>
      <c r="C133" s="56"/>
      <c r="D133" s="41">
        <f>[4]Charters!E1186</f>
        <v>0</v>
      </c>
      <c r="E133" s="42"/>
      <c r="F133" s="42"/>
      <c r="G133" s="42"/>
      <c r="H133" s="42"/>
    </row>
    <row r="134" spans="1:8" x14ac:dyDescent="0.2">
      <c r="A134" s="59" t="s">
        <v>61</v>
      </c>
      <c r="B134" s="43"/>
      <c r="C134" s="56"/>
      <c r="D134" s="41">
        <f>[4]Charters!F1186</f>
        <v>0</v>
      </c>
      <c r="E134" s="42"/>
      <c r="F134" s="42"/>
      <c r="G134" s="42"/>
      <c r="H134" s="42"/>
    </row>
    <row r="135" spans="1:8" ht="13.5" thickBot="1" x14ac:dyDescent="0.25">
      <c r="A135" s="64"/>
      <c r="B135" s="65"/>
      <c r="C135" s="66"/>
      <c r="D135" s="67">
        <f>SUM(D110:D134)</f>
        <v>2138001.0699999998</v>
      </c>
      <c r="E135" s="42"/>
      <c r="F135" s="42"/>
      <c r="G135" s="42"/>
      <c r="H135" s="42"/>
    </row>
    <row r="136" spans="1:8" ht="13.5" thickTop="1" x14ac:dyDescent="0.2">
      <c r="A136" s="68"/>
      <c r="B136" s="43"/>
      <c r="C136" s="56"/>
      <c r="D136" s="86"/>
      <c r="E136" s="42"/>
      <c r="F136" s="42"/>
      <c r="G136" s="42"/>
      <c r="H136" s="42"/>
    </row>
    <row r="137" spans="1:8" x14ac:dyDescent="0.2">
      <c r="A137" s="38" t="s">
        <v>20</v>
      </c>
      <c r="B137" s="39"/>
      <c r="C137" s="70"/>
      <c r="D137" s="71" t="s">
        <v>21</v>
      </c>
      <c r="E137" s="42"/>
      <c r="F137" s="42"/>
      <c r="G137" s="42"/>
      <c r="H137" s="42"/>
    </row>
    <row r="138" spans="1:8" x14ac:dyDescent="0.2">
      <c r="A138" s="72" t="s">
        <v>22</v>
      </c>
      <c r="B138" s="73"/>
      <c r="C138" s="74"/>
      <c r="D138" s="41">
        <f>[5]Charters!C92</f>
        <v>854.88</v>
      </c>
      <c r="E138" s="42"/>
      <c r="F138" s="42"/>
      <c r="G138" s="42"/>
      <c r="H138" s="42"/>
    </row>
    <row r="139" spans="1:8" x14ac:dyDescent="0.2">
      <c r="A139" s="75"/>
      <c r="B139" s="61"/>
      <c r="C139" s="76"/>
      <c r="D139" s="77">
        <f>SUM(D138:D138)</f>
        <v>854.88</v>
      </c>
      <c r="E139" s="42"/>
      <c r="F139" s="42"/>
      <c r="G139" s="42"/>
      <c r="H139" s="42"/>
    </row>
    <row r="140" spans="1:8" x14ac:dyDescent="0.2">
      <c r="A140" s="78" t="s">
        <v>58</v>
      </c>
      <c r="B140" s="79"/>
      <c r="C140" s="80"/>
      <c r="D140" s="77">
        <f>D139+D135</f>
        <v>2138855.9500000002</v>
      </c>
      <c r="E140" s="42"/>
      <c r="F140" s="42"/>
      <c r="G140" s="42"/>
      <c r="H140" s="42"/>
    </row>
    <row r="141" spans="1:8" x14ac:dyDescent="0.2">
      <c r="A141" s="84"/>
      <c r="B141" s="84"/>
      <c r="C141" s="85"/>
      <c r="D141" s="81"/>
      <c r="E141" s="42"/>
      <c r="F141" s="42"/>
      <c r="G141" s="42"/>
      <c r="H141" s="42"/>
    </row>
    <row r="142" spans="1:8" x14ac:dyDescent="0.2">
      <c r="A142" s="84"/>
      <c r="B142" s="84"/>
      <c r="C142" s="85"/>
      <c r="D142" s="81">
        <f>[5]Charters!E248</f>
        <v>2138855.9500000002</v>
      </c>
      <c r="E142" s="42"/>
      <c r="F142" s="42"/>
      <c r="G142" s="42"/>
      <c r="H142" s="42"/>
    </row>
    <row r="143" spans="1:8" x14ac:dyDescent="0.2">
      <c r="A143" s="84"/>
      <c r="B143" s="84"/>
      <c r="C143" s="85"/>
      <c r="D143" s="81">
        <f>D140</f>
        <v>2138855.9500000002</v>
      </c>
      <c r="E143" s="42"/>
      <c r="F143" s="42"/>
      <c r="G143" s="42"/>
      <c r="H143" s="42"/>
    </row>
    <row r="144" spans="1:8" x14ac:dyDescent="0.2">
      <c r="C144" s="83"/>
      <c r="D144" s="42">
        <f>D142-D143</f>
        <v>0</v>
      </c>
      <c r="E144" s="42"/>
      <c r="F144" s="42"/>
      <c r="G144" s="42"/>
      <c r="H144" s="42"/>
    </row>
  </sheetData>
  <mergeCells count="4">
    <mergeCell ref="A140:C140"/>
    <mergeCell ref="A88:D88"/>
    <mergeCell ref="A87:D87"/>
    <mergeCell ref="A86:D86"/>
  </mergeCells>
  <printOptions horizontalCentered="1" verticalCentered="1"/>
  <pageMargins left="0.5" right="0.5" top="0.5" bottom="0.5" header="0.25" footer="0.25"/>
  <pageSetup orientation="portrait" r:id="rId1"/>
  <headerFooter alignWithMargins="0">
    <oddHeader>&amp;R&amp;8Current as of: &amp;D</oddHeader>
    <oddFooter>&amp;L&amp;8USOE, School Finance</oddFooter>
  </headerFooter>
  <picture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sheetPr>
    <pageSetUpPr fitToPage="1"/>
  </sheetPr>
  <dimension ref="A1:H145"/>
  <sheetViews>
    <sheetView topLeftCell="A86" workbookViewId="0">
      <selection activeCell="C12" sqref="C12"/>
    </sheetView>
  </sheetViews>
  <sheetFormatPr defaultColWidth="9.140625" defaultRowHeight="12.75" x14ac:dyDescent="0.2"/>
  <cols>
    <col min="1" max="1" width="32.85546875" style="82" customWidth="1"/>
    <col min="2" max="2" width="16.140625" style="82" customWidth="1"/>
    <col min="3" max="3" width="15.140625" style="82" customWidth="1"/>
    <col min="4" max="4" width="15" style="82" customWidth="1"/>
    <col min="5" max="5" width="9.140625" style="82"/>
    <col min="6" max="6" width="16" style="82" customWidth="1"/>
    <col min="7" max="7" width="9.140625" style="82"/>
    <col min="8" max="8" width="13.5703125" style="82" customWidth="1"/>
    <col min="9" max="16384" width="9.140625" style="82"/>
  </cols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"/>
      <c r="B3" s="1"/>
      <c r="C3" s="1"/>
      <c r="D3" s="1"/>
      <c r="E3" s="1"/>
      <c r="F3" s="1"/>
      <c r="G3" s="1"/>
      <c r="H3" s="1"/>
    </row>
    <row r="4" spans="1:8" x14ac:dyDescent="0.2">
      <c r="A4" s="1"/>
      <c r="B4" s="1"/>
      <c r="C4" s="1"/>
      <c r="D4" s="1"/>
      <c r="E4" s="1"/>
      <c r="F4" s="1"/>
      <c r="G4" s="1"/>
      <c r="H4" s="1"/>
    </row>
    <row r="5" spans="1:8" x14ac:dyDescent="0.2">
      <c r="A5" s="1"/>
      <c r="B5" s="1"/>
      <c r="C5" s="1"/>
      <c r="D5" s="1"/>
      <c r="E5" s="1"/>
      <c r="F5" s="1"/>
      <c r="G5" s="1"/>
      <c r="H5" s="1"/>
    </row>
    <row r="6" spans="1:8" x14ac:dyDescent="0.2">
      <c r="A6" s="1"/>
      <c r="B6" s="1"/>
      <c r="C6" s="1"/>
      <c r="D6" s="1"/>
      <c r="E6" s="1"/>
      <c r="F6" s="1"/>
      <c r="G6" s="1"/>
      <c r="H6" s="1"/>
    </row>
    <row r="7" spans="1:8" x14ac:dyDescent="0.2">
      <c r="A7" s="1"/>
      <c r="B7" s="1"/>
      <c r="C7" s="1"/>
      <c r="D7" s="1"/>
      <c r="E7" s="1"/>
      <c r="F7" s="1"/>
      <c r="G7" s="1"/>
      <c r="H7" s="1"/>
    </row>
    <row r="8" spans="1:8" x14ac:dyDescent="0.2">
      <c r="A8" s="1"/>
      <c r="B8" s="1"/>
      <c r="C8" s="1"/>
      <c r="D8" s="1"/>
      <c r="E8" s="1"/>
      <c r="F8" s="1"/>
      <c r="G8" s="1"/>
      <c r="H8" s="1"/>
    </row>
    <row r="9" spans="1:8" x14ac:dyDescent="0.2">
      <c r="A9" s="1"/>
      <c r="B9" s="1"/>
      <c r="C9" s="1"/>
      <c r="D9" s="1"/>
      <c r="E9" s="1"/>
      <c r="F9" s="1"/>
      <c r="G9" s="1"/>
      <c r="H9" s="1"/>
    </row>
    <row r="10" spans="1:8" x14ac:dyDescent="0.2">
      <c r="A10" s="1"/>
      <c r="B10" s="1"/>
      <c r="C10" s="1"/>
      <c r="D10" s="1"/>
      <c r="E10" s="1"/>
      <c r="F10" s="1"/>
      <c r="G10" s="1"/>
      <c r="H10" s="1"/>
    </row>
    <row r="11" spans="1:8" x14ac:dyDescent="0.2">
      <c r="A11" s="1"/>
      <c r="B11" s="1"/>
      <c r="C11" s="1"/>
      <c r="D11" s="1"/>
      <c r="E11" s="1"/>
      <c r="F11" s="1"/>
      <c r="G11" s="1"/>
      <c r="H11" s="1"/>
    </row>
    <row r="12" spans="1:8" x14ac:dyDescent="0.2">
      <c r="A12" s="1"/>
      <c r="B12" s="1"/>
      <c r="C12" s="1"/>
      <c r="D12" s="1"/>
      <c r="E12" s="1"/>
      <c r="F12" s="1"/>
      <c r="G12" s="1"/>
      <c r="H12" s="1"/>
    </row>
    <row r="13" spans="1:8" x14ac:dyDescent="0.2">
      <c r="A13" s="1"/>
      <c r="B13" s="1"/>
      <c r="C13" s="1"/>
      <c r="D13" s="1"/>
      <c r="E13" s="1"/>
      <c r="F13" s="1"/>
      <c r="G13" s="1"/>
      <c r="H13" s="1"/>
    </row>
    <row r="14" spans="1:8" x14ac:dyDescent="0.2">
      <c r="A14" s="1"/>
      <c r="B14" s="1"/>
      <c r="C14" s="1"/>
      <c r="D14" s="1"/>
      <c r="E14" s="1"/>
      <c r="F14" s="1"/>
      <c r="G14" s="1"/>
      <c r="H14" s="1"/>
    </row>
    <row r="15" spans="1:8" x14ac:dyDescent="0.2">
      <c r="A15" s="1"/>
      <c r="B15" s="1"/>
      <c r="C15" s="1"/>
      <c r="D15" s="1"/>
      <c r="E15" s="1"/>
      <c r="F15" s="1"/>
      <c r="G15" s="1"/>
      <c r="H15" s="1"/>
    </row>
    <row r="16" spans="1:8" x14ac:dyDescent="0.2">
      <c r="A16" s="1"/>
      <c r="B16" s="1"/>
      <c r="C16" s="1"/>
      <c r="D16" s="1"/>
      <c r="E16" s="1"/>
      <c r="F16" s="1"/>
      <c r="G16" s="1"/>
      <c r="H16" s="1"/>
    </row>
    <row r="17" spans="1:8" x14ac:dyDescent="0.2">
      <c r="A17" s="1"/>
      <c r="B17" s="1"/>
      <c r="C17" s="1"/>
      <c r="D17" s="1"/>
      <c r="E17" s="1"/>
      <c r="F17" s="1"/>
      <c r="G17" s="1"/>
      <c r="H17" s="1"/>
    </row>
    <row r="18" spans="1:8" x14ac:dyDescent="0.2">
      <c r="A18" s="1"/>
      <c r="B18" s="1"/>
      <c r="C18" s="1"/>
      <c r="D18" s="1"/>
      <c r="E18" s="1"/>
      <c r="F18" s="1"/>
      <c r="G18" s="1"/>
      <c r="H18" s="1"/>
    </row>
    <row r="19" spans="1:8" x14ac:dyDescent="0.2">
      <c r="A19" s="1"/>
      <c r="B19" s="1"/>
      <c r="C19" s="1"/>
      <c r="D19" s="1"/>
      <c r="E19" s="1"/>
      <c r="F19" s="1"/>
      <c r="G19" s="1"/>
      <c r="H19" s="1"/>
    </row>
    <row r="20" spans="1:8" x14ac:dyDescent="0.2">
      <c r="A20" s="1"/>
      <c r="B20" s="1"/>
      <c r="C20" s="1"/>
      <c r="D20" s="1"/>
      <c r="E20" s="1"/>
      <c r="F20" s="1"/>
      <c r="G20" s="1"/>
      <c r="H20" s="1"/>
    </row>
    <row r="21" spans="1:8" x14ac:dyDescent="0.2">
      <c r="A21" s="1"/>
      <c r="B21" s="1"/>
      <c r="C21" s="1"/>
      <c r="D21" s="1"/>
      <c r="E21" s="1"/>
      <c r="F21" s="1"/>
      <c r="G21" s="1"/>
      <c r="H21" s="1"/>
    </row>
    <row r="22" spans="1:8" x14ac:dyDescent="0.2">
      <c r="A22" s="1"/>
      <c r="B22" s="1"/>
      <c r="C22" s="1"/>
      <c r="D22" s="4"/>
      <c r="E22" s="1"/>
      <c r="F22" s="1"/>
      <c r="G22" s="1"/>
      <c r="H22" s="1"/>
    </row>
    <row r="23" spans="1:8" x14ac:dyDescent="0.2">
      <c r="A23" s="1"/>
      <c r="B23" s="1"/>
      <c r="C23" s="1"/>
      <c r="D23" s="1"/>
      <c r="E23" s="1"/>
      <c r="F23" s="1"/>
      <c r="G23" s="1"/>
      <c r="H23" s="1"/>
    </row>
    <row r="24" spans="1:8" x14ac:dyDescent="0.2">
      <c r="A24" s="1"/>
      <c r="B24" s="1"/>
      <c r="C24" s="1"/>
      <c r="D24" s="1"/>
      <c r="E24" s="1"/>
      <c r="F24" s="1"/>
      <c r="G24" s="1"/>
      <c r="H24" s="1"/>
    </row>
    <row r="25" spans="1:8" x14ac:dyDescent="0.2">
      <c r="A25" s="1"/>
      <c r="B25" s="1"/>
      <c r="C25" s="1"/>
      <c r="D25" s="1"/>
      <c r="E25" s="1"/>
      <c r="F25" s="1"/>
      <c r="G25" s="1"/>
      <c r="H25" s="1"/>
    </row>
    <row r="26" spans="1:8" x14ac:dyDescent="0.2">
      <c r="A26" s="1"/>
      <c r="B26" s="1"/>
      <c r="C26" s="1"/>
      <c r="D26" s="1"/>
      <c r="E26" s="1"/>
      <c r="F26" s="1"/>
      <c r="G26" s="1"/>
      <c r="H26" s="1"/>
    </row>
    <row r="27" spans="1:8" x14ac:dyDescent="0.2">
      <c r="A27" s="1"/>
      <c r="B27" s="1"/>
      <c r="C27" s="1"/>
      <c r="D27" s="1"/>
      <c r="E27" s="1"/>
      <c r="F27" s="1"/>
      <c r="G27" s="1"/>
      <c r="H27" s="1"/>
    </row>
    <row r="28" spans="1:8" x14ac:dyDescent="0.2">
      <c r="A28" s="1"/>
      <c r="B28" s="1"/>
      <c r="C28" s="1"/>
      <c r="D28" s="1"/>
      <c r="E28" s="1"/>
      <c r="F28" s="1"/>
      <c r="G28" s="1"/>
      <c r="H28" s="1"/>
    </row>
    <row r="29" spans="1:8" x14ac:dyDescent="0.2">
      <c r="A29" s="1"/>
      <c r="B29" s="1"/>
      <c r="C29" s="1"/>
      <c r="D29" s="1"/>
      <c r="E29" s="1"/>
      <c r="F29" s="1"/>
      <c r="G29" s="1"/>
      <c r="H29" s="1"/>
    </row>
    <row r="30" spans="1:8" x14ac:dyDescent="0.2">
      <c r="A30" s="1"/>
      <c r="B30" s="1"/>
      <c r="C30" s="1"/>
      <c r="D30" s="1"/>
      <c r="E30" s="1"/>
      <c r="F30" s="1"/>
      <c r="G30" s="1"/>
      <c r="H30" s="1"/>
    </row>
    <row r="31" spans="1:8" x14ac:dyDescent="0.2">
      <c r="A31" s="1"/>
      <c r="B31" s="1"/>
      <c r="C31" s="1"/>
      <c r="D31" s="1"/>
      <c r="E31" s="1"/>
      <c r="F31" s="1"/>
      <c r="G31" s="1"/>
      <c r="H31" s="1"/>
    </row>
    <row r="32" spans="1:8" x14ac:dyDescent="0.2">
      <c r="A32" s="1"/>
      <c r="B32" s="1"/>
      <c r="C32" s="1"/>
      <c r="D32" s="1"/>
      <c r="E32" s="1"/>
      <c r="F32" s="1"/>
      <c r="G32" s="1"/>
      <c r="H32" s="1"/>
    </row>
    <row r="33" spans="1:8" x14ac:dyDescent="0.2">
      <c r="A33" s="1"/>
      <c r="B33" s="1"/>
      <c r="C33" s="1"/>
      <c r="D33" s="1"/>
      <c r="E33" s="1"/>
      <c r="F33" s="1"/>
      <c r="G33" s="1"/>
      <c r="H33" s="1"/>
    </row>
    <row r="34" spans="1:8" x14ac:dyDescent="0.2">
      <c r="A34" s="1"/>
      <c r="B34" s="1"/>
      <c r="C34" s="1"/>
      <c r="D34" s="1"/>
      <c r="E34" s="1"/>
      <c r="F34" s="1"/>
      <c r="G34" s="1"/>
      <c r="H34" s="1"/>
    </row>
    <row r="35" spans="1:8" x14ac:dyDescent="0.2">
      <c r="A35" s="1"/>
      <c r="B35" s="1"/>
      <c r="C35" s="1"/>
      <c r="D35" s="1"/>
      <c r="E35" s="1"/>
      <c r="F35" s="1"/>
      <c r="G35" s="1"/>
      <c r="H35" s="1"/>
    </row>
    <row r="36" spans="1:8" x14ac:dyDescent="0.2">
      <c r="A36" s="1"/>
      <c r="B36" s="1"/>
      <c r="C36" s="1"/>
      <c r="D36" s="1"/>
      <c r="E36" s="1"/>
      <c r="F36" s="1"/>
      <c r="G36" s="1"/>
      <c r="H36" s="1"/>
    </row>
    <row r="37" spans="1:8" x14ac:dyDescent="0.2">
      <c r="A37" s="1"/>
      <c r="B37" s="1"/>
      <c r="C37" s="1"/>
      <c r="D37" s="1"/>
      <c r="E37" s="1"/>
      <c r="F37" s="1"/>
      <c r="G37" s="1"/>
      <c r="H37" s="1"/>
    </row>
    <row r="38" spans="1:8" x14ac:dyDescent="0.2">
      <c r="A38" s="1"/>
      <c r="B38" s="1"/>
      <c r="C38" s="1"/>
      <c r="D38" s="1"/>
      <c r="E38" s="1"/>
      <c r="F38" s="1"/>
      <c r="G38" s="1"/>
      <c r="H38" s="1"/>
    </row>
    <row r="39" spans="1:8" x14ac:dyDescent="0.2">
      <c r="A39" s="1"/>
      <c r="B39" s="1"/>
      <c r="C39" s="1"/>
      <c r="D39" s="1"/>
      <c r="E39" s="1"/>
      <c r="F39" s="1"/>
      <c r="G39" s="1"/>
      <c r="H39" s="1"/>
    </row>
    <row r="40" spans="1:8" x14ac:dyDescent="0.2">
      <c r="A40" s="1"/>
      <c r="B40" s="1"/>
      <c r="C40" s="1"/>
      <c r="D40" s="1"/>
      <c r="E40" s="1"/>
      <c r="F40" s="1"/>
      <c r="G40" s="1"/>
      <c r="H40" s="1"/>
    </row>
    <row r="41" spans="1:8" x14ac:dyDescent="0.2">
      <c r="A41" s="1"/>
      <c r="B41" s="1"/>
      <c r="C41" s="1"/>
      <c r="D41" s="1"/>
      <c r="E41" s="1"/>
      <c r="F41" s="1"/>
      <c r="G41" s="1"/>
      <c r="H41" s="1"/>
    </row>
    <row r="42" spans="1:8" x14ac:dyDescent="0.2">
      <c r="A42" s="1"/>
      <c r="B42" s="1"/>
      <c r="C42" s="1"/>
      <c r="D42" s="1"/>
      <c r="E42" s="1"/>
      <c r="F42" s="1"/>
      <c r="G42" s="1"/>
      <c r="H42" s="1"/>
    </row>
    <row r="43" spans="1:8" x14ac:dyDescent="0.2">
      <c r="A43" s="1"/>
      <c r="B43" s="1"/>
      <c r="C43" s="1"/>
      <c r="D43" s="1"/>
      <c r="E43" s="1"/>
      <c r="F43" s="1"/>
      <c r="G43" s="1"/>
      <c r="H43" s="1"/>
    </row>
    <row r="44" spans="1:8" x14ac:dyDescent="0.2">
      <c r="A44" s="1"/>
      <c r="B44" s="1"/>
      <c r="C44" s="1"/>
      <c r="D44" s="1"/>
      <c r="E44" s="1"/>
      <c r="F44" s="1"/>
      <c r="G44" s="1"/>
      <c r="H44" s="1"/>
    </row>
    <row r="45" spans="1:8" x14ac:dyDescent="0.2">
      <c r="A45" s="1"/>
      <c r="B45" s="1"/>
      <c r="C45" s="1"/>
      <c r="D45" s="1"/>
      <c r="E45" s="1"/>
      <c r="F45" s="1"/>
      <c r="G45" s="1"/>
      <c r="H45" s="1"/>
    </row>
    <row r="46" spans="1:8" x14ac:dyDescent="0.2">
      <c r="A46" s="1"/>
      <c r="B46" s="1"/>
      <c r="C46" s="1"/>
      <c r="D46" s="1"/>
      <c r="E46" s="1"/>
      <c r="F46" s="1"/>
      <c r="G46" s="1"/>
      <c r="H46" s="1"/>
    </row>
    <row r="47" spans="1:8" x14ac:dyDescent="0.2">
      <c r="A47" s="1"/>
      <c r="B47" s="1"/>
      <c r="C47" s="1"/>
      <c r="D47" s="1"/>
      <c r="E47" s="1"/>
      <c r="F47" s="1"/>
      <c r="G47" s="1"/>
      <c r="H47" s="1"/>
    </row>
    <row r="48" spans="1:8" x14ac:dyDescent="0.2">
      <c r="A48" s="1"/>
      <c r="B48" s="1"/>
      <c r="C48" s="1"/>
      <c r="D48" s="1"/>
      <c r="E48" s="1"/>
      <c r="F48" s="1"/>
      <c r="G48" s="1"/>
      <c r="H48" s="1"/>
    </row>
    <row r="49" spans="1:8" x14ac:dyDescent="0.2">
      <c r="A49" s="1"/>
      <c r="B49" s="1"/>
      <c r="C49" s="1"/>
      <c r="D49" s="1"/>
      <c r="E49" s="1"/>
      <c r="F49" s="1"/>
      <c r="G49" s="1"/>
      <c r="H49" s="1"/>
    </row>
    <row r="50" spans="1:8" x14ac:dyDescent="0.2">
      <c r="A50" s="1"/>
      <c r="B50" s="1"/>
      <c r="C50" s="1"/>
      <c r="D50" s="1"/>
      <c r="E50" s="1"/>
      <c r="F50" s="1"/>
      <c r="G50" s="1"/>
      <c r="H50" s="1"/>
    </row>
    <row r="51" spans="1:8" x14ac:dyDescent="0.2">
      <c r="A51" s="1"/>
      <c r="B51" s="1"/>
      <c r="C51" s="1"/>
      <c r="D51" s="1"/>
      <c r="E51" s="1"/>
      <c r="F51" s="1"/>
      <c r="G51" s="1"/>
      <c r="H51" s="1"/>
    </row>
    <row r="52" spans="1:8" x14ac:dyDescent="0.2">
      <c r="A52" s="1"/>
      <c r="B52" s="1"/>
      <c r="C52" s="1"/>
      <c r="D52" s="1"/>
      <c r="E52" s="1"/>
      <c r="F52" s="1"/>
      <c r="G52" s="1"/>
      <c r="H52" s="1"/>
    </row>
    <row r="53" spans="1:8" x14ac:dyDescent="0.2">
      <c r="A53" s="1"/>
      <c r="B53" s="1"/>
      <c r="C53" s="1"/>
      <c r="D53" s="1"/>
      <c r="E53" s="1"/>
      <c r="F53" s="1"/>
      <c r="G53" s="1"/>
      <c r="H53" s="1"/>
    </row>
    <row r="54" spans="1:8" x14ac:dyDescent="0.2">
      <c r="A54" s="1"/>
      <c r="B54" s="1"/>
      <c r="C54" s="1"/>
      <c r="D54" s="1"/>
      <c r="E54" s="1"/>
      <c r="F54" s="1"/>
      <c r="G54" s="1"/>
      <c r="H54" s="1"/>
    </row>
    <row r="55" spans="1:8" x14ac:dyDescent="0.2">
      <c r="A55" s="1"/>
      <c r="B55" s="1"/>
      <c r="C55" s="1"/>
      <c r="D55" s="1"/>
      <c r="E55" s="1"/>
      <c r="F55" s="1"/>
      <c r="G55" s="1"/>
      <c r="H55" s="1"/>
    </row>
    <row r="56" spans="1:8" x14ac:dyDescent="0.2">
      <c r="A56" s="1"/>
      <c r="B56" s="1"/>
      <c r="C56" s="1"/>
      <c r="D56" s="1"/>
      <c r="E56" s="1"/>
      <c r="F56" s="1"/>
      <c r="G56" s="1"/>
      <c r="H56" s="1"/>
    </row>
    <row r="57" spans="1:8" x14ac:dyDescent="0.2">
      <c r="A57" s="1"/>
      <c r="B57" s="1"/>
      <c r="C57" s="1"/>
      <c r="D57" s="1"/>
      <c r="E57" s="1"/>
      <c r="F57" s="1"/>
      <c r="G57" s="1"/>
      <c r="H57" s="1"/>
    </row>
    <row r="58" spans="1:8" x14ac:dyDescent="0.2">
      <c r="A58" s="1"/>
      <c r="B58" s="1"/>
      <c r="C58" s="1"/>
      <c r="D58" s="1"/>
      <c r="E58" s="1"/>
      <c r="F58" s="1"/>
      <c r="G58" s="1"/>
      <c r="H58" s="1"/>
    </row>
    <row r="59" spans="1:8" x14ac:dyDescent="0.2">
      <c r="A59" s="1"/>
      <c r="B59" s="1"/>
      <c r="C59" s="1"/>
      <c r="D59" s="1"/>
      <c r="E59" s="1"/>
      <c r="F59" s="1"/>
      <c r="G59" s="1"/>
      <c r="H59" s="1"/>
    </row>
    <row r="60" spans="1:8" x14ac:dyDescent="0.2">
      <c r="A60" s="1"/>
      <c r="B60" s="1"/>
      <c r="C60" s="1"/>
      <c r="D60" s="1"/>
      <c r="E60" s="1"/>
      <c r="F60" s="1"/>
      <c r="G60" s="1"/>
      <c r="H60" s="1"/>
    </row>
    <row r="61" spans="1:8" x14ac:dyDescent="0.2">
      <c r="A61" s="1"/>
      <c r="B61" s="1"/>
      <c r="C61" s="1"/>
      <c r="D61" s="1"/>
      <c r="E61" s="1"/>
      <c r="F61" s="1"/>
      <c r="G61" s="1"/>
      <c r="H61" s="1"/>
    </row>
    <row r="62" spans="1:8" x14ac:dyDescent="0.2">
      <c r="A62" s="1"/>
      <c r="B62" s="1"/>
      <c r="C62" s="1"/>
      <c r="D62" s="1"/>
      <c r="E62" s="1"/>
      <c r="F62" s="1"/>
      <c r="G62" s="1"/>
      <c r="H62" s="1"/>
    </row>
    <row r="63" spans="1:8" x14ac:dyDescent="0.2">
      <c r="A63" s="1"/>
      <c r="B63" s="1"/>
      <c r="C63" s="1"/>
      <c r="D63" s="1"/>
      <c r="E63" s="1"/>
      <c r="F63" s="1"/>
      <c r="G63" s="1"/>
      <c r="H63" s="1"/>
    </row>
    <row r="64" spans="1:8" x14ac:dyDescent="0.2">
      <c r="A64" s="1"/>
      <c r="B64" s="1"/>
      <c r="C64" s="1"/>
      <c r="D64" s="1"/>
      <c r="E64" s="1"/>
      <c r="F64" s="1"/>
      <c r="G64" s="1"/>
      <c r="H64" s="1"/>
    </row>
    <row r="65" spans="1:8" x14ac:dyDescent="0.2">
      <c r="A65" s="1"/>
      <c r="B65" s="1"/>
      <c r="C65" s="1"/>
      <c r="D65" s="1"/>
      <c r="E65" s="1"/>
      <c r="F65" s="1"/>
      <c r="G65" s="1"/>
      <c r="H65" s="1"/>
    </row>
    <row r="66" spans="1:8" x14ac:dyDescent="0.2">
      <c r="A66" s="1"/>
      <c r="B66" s="1"/>
      <c r="C66" s="1"/>
      <c r="D66" s="1"/>
      <c r="E66" s="1"/>
      <c r="F66" s="1"/>
      <c r="G66" s="1"/>
      <c r="H66" s="1"/>
    </row>
    <row r="67" spans="1:8" x14ac:dyDescent="0.2">
      <c r="A67" s="1"/>
      <c r="B67" s="1"/>
      <c r="C67" s="1"/>
      <c r="D67" s="1"/>
      <c r="E67" s="1"/>
      <c r="F67" s="1"/>
      <c r="G67" s="1"/>
      <c r="H67" s="1"/>
    </row>
    <row r="68" spans="1:8" x14ac:dyDescent="0.2">
      <c r="A68" s="1"/>
      <c r="B68" s="1"/>
      <c r="C68" s="1"/>
      <c r="D68" s="1"/>
      <c r="E68" s="1"/>
      <c r="F68" s="1"/>
      <c r="G68" s="1"/>
      <c r="H68" s="1"/>
    </row>
    <row r="69" spans="1:8" x14ac:dyDescent="0.2">
      <c r="A69" s="1"/>
      <c r="B69" s="1"/>
      <c r="C69" s="1"/>
      <c r="D69" s="1"/>
      <c r="E69" s="1"/>
      <c r="F69" s="1"/>
      <c r="G69" s="1"/>
      <c r="H69" s="1"/>
    </row>
    <row r="70" spans="1:8" x14ac:dyDescent="0.2">
      <c r="A70" s="1"/>
      <c r="B70" s="1"/>
      <c r="C70" s="1"/>
      <c r="D70" s="1"/>
      <c r="E70" s="1"/>
      <c r="F70" s="1"/>
      <c r="G70" s="1"/>
      <c r="H70" s="1"/>
    </row>
    <row r="71" spans="1:8" x14ac:dyDescent="0.2">
      <c r="A71" s="1"/>
      <c r="B71" s="1"/>
      <c r="C71" s="1"/>
      <c r="D71" s="1"/>
      <c r="E71" s="1"/>
      <c r="F71" s="1"/>
      <c r="G71" s="1"/>
      <c r="H71" s="1"/>
    </row>
    <row r="72" spans="1:8" x14ac:dyDescent="0.2">
      <c r="A72" s="1"/>
      <c r="B72" s="1"/>
      <c r="C72" s="1"/>
      <c r="D72" s="1"/>
      <c r="E72" s="1"/>
      <c r="F72" s="1"/>
      <c r="G72" s="1"/>
      <c r="H72" s="1"/>
    </row>
    <row r="73" spans="1:8" x14ac:dyDescent="0.2">
      <c r="A73" s="1"/>
      <c r="B73" s="1"/>
      <c r="C73" s="1"/>
      <c r="D73" s="1"/>
      <c r="E73" s="1"/>
      <c r="F73" s="1"/>
      <c r="G73" s="1"/>
      <c r="H73" s="1"/>
    </row>
    <row r="74" spans="1:8" x14ac:dyDescent="0.2">
      <c r="A74" s="1"/>
      <c r="B74" s="1"/>
      <c r="C74" s="1"/>
      <c r="D74" s="1"/>
      <c r="E74" s="1"/>
      <c r="F74" s="1"/>
      <c r="G74" s="1"/>
      <c r="H74" s="1"/>
    </row>
    <row r="75" spans="1:8" x14ac:dyDescent="0.2">
      <c r="A75" s="1"/>
      <c r="B75" s="1"/>
      <c r="C75" s="1"/>
      <c r="D75" s="1"/>
      <c r="E75" s="1"/>
      <c r="F75" s="1"/>
      <c r="G75" s="1"/>
      <c r="H75" s="1"/>
    </row>
    <row r="76" spans="1:8" x14ac:dyDescent="0.2">
      <c r="A76" s="1"/>
      <c r="B76" s="1"/>
      <c r="C76" s="1"/>
      <c r="D76" s="1"/>
      <c r="E76" s="1"/>
      <c r="F76" s="1"/>
      <c r="G76" s="1"/>
      <c r="H76" s="1"/>
    </row>
    <row r="77" spans="1:8" x14ac:dyDescent="0.2">
      <c r="A77" s="1"/>
      <c r="B77" s="1"/>
      <c r="C77" s="1"/>
      <c r="D77" s="1"/>
      <c r="E77" s="1"/>
      <c r="F77" s="1"/>
      <c r="G77" s="1"/>
      <c r="H77" s="1"/>
    </row>
    <row r="78" spans="1:8" x14ac:dyDescent="0.2">
      <c r="A78" s="1"/>
      <c r="B78" s="1"/>
      <c r="C78" s="1"/>
      <c r="D78" s="1"/>
      <c r="E78" s="1"/>
      <c r="F78" s="1"/>
      <c r="G78" s="1"/>
      <c r="H78" s="1"/>
    </row>
    <row r="79" spans="1:8" x14ac:dyDescent="0.2">
      <c r="A79" s="1"/>
      <c r="B79" s="1"/>
      <c r="C79" s="1"/>
      <c r="D79" s="1"/>
      <c r="E79" s="1"/>
      <c r="F79" s="1"/>
      <c r="G79" s="1"/>
      <c r="H79" s="1"/>
    </row>
    <row r="80" spans="1:8" x14ac:dyDescent="0.2">
      <c r="A80" s="1"/>
      <c r="B80" s="1"/>
      <c r="C80" s="1"/>
      <c r="D80" s="1"/>
      <c r="E80" s="1"/>
      <c r="F80" s="1"/>
      <c r="G80" s="1"/>
      <c r="H80" s="1"/>
    </row>
    <row r="81" spans="1:8" x14ac:dyDescent="0.2">
      <c r="A81" s="1"/>
      <c r="B81" s="1"/>
      <c r="C81" s="1"/>
      <c r="D81" s="1"/>
      <c r="E81" s="1"/>
      <c r="F81" s="1"/>
      <c r="G81" s="1"/>
      <c r="H81" s="1"/>
    </row>
    <row r="82" spans="1:8" x14ac:dyDescent="0.2">
      <c r="A82" s="1"/>
      <c r="B82" s="1"/>
      <c r="C82" s="1"/>
      <c r="D82" s="1"/>
      <c r="E82" s="1"/>
      <c r="F82" s="1"/>
      <c r="G82" s="1"/>
      <c r="H82" s="1"/>
    </row>
    <row r="83" spans="1:8" x14ac:dyDescent="0.2">
      <c r="A83" s="1"/>
      <c r="B83" s="1"/>
      <c r="C83" s="1"/>
      <c r="D83" s="1"/>
      <c r="E83" s="1"/>
      <c r="F83" s="1"/>
      <c r="G83" s="1"/>
      <c r="H83" s="1"/>
    </row>
    <row r="84" spans="1:8" x14ac:dyDescent="0.2">
      <c r="A84" s="1"/>
      <c r="B84" s="1"/>
      <c r="C84" s="1"/>
      <c r="D84" s="1"/>
      <c r="E84" s="1"/>
      <c r="F84" s="1"/>
      <c r="G84" s="1"/>
      <c r="H84" s="1"/>
    </row>
    <row r="85" spans="1:8" x14ac:dyDescent="0.2">
      <c r="A85" s="1"/>
      <c r="B85" s="1"/>
      <c r="C85" s="1"/>
      <c r="D85" s="1"/>
      <c r="E85" s="1"/>
      <c r="F85" s="1"/>
      <c r="G85" s="1"/>
      <c r="H85" s="1"/>
    </row>
    <row r="86" spans="1:8" x14ac:dyDescent="0.2">
      <c r="A86" s="1"/>
      <c r="B86" s="1"/>
      <c r="C86" s="1"/>
      <c r="D86" s="1"/>
      <c r="E86" s="1"/>
      <c r="F86" s="1"/>
      <c r="G86" s="1"/>
      <c r="H86" s="1"/>
    </row>
    <row r="87" spans="1:8" x14ac:dyDescent="0.2">
      <c r="A87" s="11" t="s">
        <v>1</v>
      </c>
      <c r="B87" s="12"/>
      <c r="C87" s="12"/>
      <c r="D87" s="13"/>
      <c r="E87" s="8"/>
      <c r="F87" s="8"/>
      <c r="G87" s="8"/>
      <c r="H87" s="8"/>
    </row>
    <row r="88" spans="1:8" x14ac:dyDescent="0.2">
      <c r="A88" s="14" t="s">
        <v>15</v>
      </c>
      <c r="B88" s="15"/>
      <c r="C88" s="15"/>
      <c r="D88" s="16"/>
      <c r="E88" s="8"/>
      <c r="F88" s="8"/>
      <c r="G88" s="8"/>
      <c r="H88" s="8"/>
    </row>
    <row r="89" spans="1:8" x14ac:dyDescent="0.2">
      <c r="A89" s="17" t="s">
        <v>62</v>
      </c>
      <c r="B89" s="18"/>
      <c r="C89" s="18"/>
      <c r="D89" s="19"/>
      <c r="E89" s="8"/>
      <c r="F89" s="8"/>
      <c r="G89" s="8"/>
      <c r="H89" s="8"/>
    </row>
    <row r="90" spans="1:8" x14ac:dyDescent="0.2">
      <c r="A90" s="20"/>
      <c r="B90" s="21"/>
      <c r="C90" s="22"/>
      <c r="D90" s="23"/>
      <c r="E90" s="8"/>
      <c r="F90" s="8" t="s">
        <v>34</v>
      </c>
      <c r="G90" s="8"/>
      <c r="H90" s="8"/>
    </row>
    <row r="91" spans="1:8" ht="15.75" x14ac:dyDescent="0.25">
      <c r="A91" s="24" t="s">
        <v>2</v>
      </c>
      <c r="B91" s="25" t="str">
        <f>[1]Charters!B94</f>
        <v>Pioneer HS for Performing Arts</v>
      </c>
      <c r="C91" s="26"/>
      <c r="D91" s="27"/>
      <c r="E91" s="8"/>
      <c r="F91" s="8"/>
      <c r="G91" s="8"/>
      <c r="H91" s="8"/>
    </row>
    <row r="92" spans="1:8" x14ac:dyDescent="0.2">
      <c r="A92" s="24"/>
      <c r="B92" s="28"/>
      <c r="C92" s="26"/>
      <c r="D92" s="27"/>
      <c r="E92" s="8"/>
      <c r="F92" s="8"/>
      <c r="G92" s="8"/>
      <c r="H92" s="8"/>
    </row>
    <row r="93" spans="1:8" x14ac:dyDescent="0.2">
      <c r="A93" s="29" t="s">
        <v>0</v>
      </c>
      <c r="B93" s="30">
        <f>[1]Charters!$E$6</f>
        <v>3184</v>
      </c>
      <c r="C93" s="26"/>
      <c r="D93" s="31"/>
      <c r="E93" s="8"/>
      <c r="F93" s="8"/>
      <c r="G93" s="8"/>
      <c r="H93" s="8"/>
    </row>
    <row r="94" spans="1:8" x14ac:dyDescent="0.2">
      <c r="A94" s="32"/>
      <c r="B94" s="6"/>
      <c r="C94" s="33"/>
      <c r="D94" s="34" t="s">
        <v>3</v>
      </c>
      <c r="E94" s="8"/>
      <c r="F94" s="8"/>
      <c r="G94" s="8"/>
      <c r="H94" s="8"/>
    </row>
    <row r="95" spans="1:8" x14ac:dyDescent="0.2">
      <c r="A95" s="29" t="s">
        <v>19</v>
      </c>
      <c r="B95" s="35" t="str">
        <f>[1]Charters!A94</f>
        <v>9H</v>
      </c>
      <c r="C95" s="36" t="s">
        <v>4</v>
      </c>
      <c r="D95" s="37" t="s">
        <v>5</v>
      </c>
      <c r="E95" s="8"/>
      <c r="F95" s="8"/>
      <c r="G95" s="8"/>
      <c r="H95" s="8"/>
    </row>
    <row r="96" spans="1:8" x14ac:dyDescent="0.2">
      <c r="A96" s="38" t="s">
        <v>6</v>
      </c>
      <c r="B96" s="39"/>
      <c r="C96" s="40"/>
      <c r="D96" s="41"/>
      <c r="E96" s="8"/>
      <c r="F96" s="8"/>
      <c r="G96" s="8"/>
      <c r="H96" s="8"/>
    </row>
    <row r="97" spans="1:8" x14ac:dyDescent="0.2">
      <c r="A97" s="38" t="s">
        <v>7</v>
      </c>
      <c r="B97" s="39"/>
      <c r="C97" s="40"/>
      <c r="D97" s="41"/>
      <c r="E97" s="8"/>
      <c r="F97" s="42" t="s">
        <v>23</v>
      </c>
      <c r="G97" s="8"/>
      <c r="H97" s="42" t="s">
        <v>26</v>
      </c>
    </row>
    <row r="98" spans="1:8" x14ac:dyDescent="0.2">
      <c r="A98" s="20" t="s">
        <v>8</v>
      </c>
      <c r="B98" s="43"/>
      <c r="C98" s="44">
        <f>[1]Charters!C554</f>
        <v>304.30900000000003</v>
      </c>
      <c r="D98" s="45">
        <f>[1]Charters!E554</f>
        <v>968919.49</v>
      </c>
      <c r="E98" s="8"/>
      <c r="F98" s="42">
        <f>[1]Charters!E709</f>
        <v>1037450.4</v>
      </c>
      <c r="G98" s="8"/>
      <c r="H98" s="42">
        <f>[2]Charters!E248</f>
        <v>1221470.56</v>
      </c>
    </row>
    <row r="99" spans="1:8" x14ac:dyDescent="0.2">
      <c r="A99" s="20" t="s">
        <v>14</v>
      </c>
      <c r="B99" s="43"/>
      <c r="C99" s="44">
        <f>[1]Charters!F554</f>
        <v>21.524000000000001</v>
      </c>
      <c r="D99" s="45">
        <f>[1]Charters!H554</f>
        <v>68530.91</v>
      </c>
      <c r="E99" s="8"/>
      <c r="F99" s="42">
        <f>SUM(D98:D100)</f>
        <v>1037450.4</v>
      </c>
      <c r="G99" s="8"/>
      <c r="H99" s="42">
        <f>D111</f>
        <v>1221470.56</v>
      </c>
    </row>
    <row r="100" spans="1:8" x14ac:dyDescent="0.2">
      <c r="A100" s="20" t="s">
        <v>32</v>
      </c>
      <c r="B100" s="43"/>
      <c r="C100" s="44">
        <f>[1]Charters!C247</f>
        <v>0</v>
      </c>
      <c r="D100" s="45">
        <f>[1]Charters!E247</f>
        <v>0</v>
      </c>
      <c r="E100" s="8"/>
      <c r="F100" s="42">
        <f>+F98-F99</f>
        <v>0</v>
      </c>
      <c r="G100" s="8"/>
      <c r="H100" s="42">
        <f>+H98-H99</f>
        <v>0</v>
      </c>
    </row>
    <row r="101" spans="1:8" x14ac:dyDescent="0.2">
      <c r="A101" s="38" t="s">
        <v>9</v>
      </c>
      <c r="B101" s="39"/>
      <c r="C101" s="46"/>
      <c r="D101" s="47"/>
      <c r="E101" s="8"/>
      <c r="F101" s="8"/>
      <c r="G101" s="8"/>
      <c r="H101" s="8"/>
    </row>
    <row r="102" spans="1:8" x14ac:dyDescent="0.2">
      <c r="A102" s="20" t="s">
        <v>10</v>
      </c>
      <c r="B102" s="43"/>
      <c r="C102" s="40">
        <f>[3]Charters!C93</f>
        <v>56.685000000000002</v>
      </c>
      <c r="D102" s="41">
        <f>[3]Charters!E93</f>
        <v>180486.11</v>
      </c>
      <c r="E102" s="8"/>
      <c r="F102" s="42" t="s">
        <v>24</v>
      </c>
      <c r="G102" s="8"/>
      <c r="H102" s="8"/>
    </row>
    <row r="103" spans="1:8" x14ac:dyDescent="0.2">
      <c r="A103" s="48" t="s">
        <v>11</v>
      </c>
      <c r="B103" s="43"/>
      <c r="C103" s="40">
        <f>[3]Charters!F93</f>
        <v>0</v>
      </c>
      <c r="D103" s="49">
        <f>[3]Charters!H93</f>
        <v>0</v>
      </c>
      <c r="E103" s="8"/>
      <c r="F103" s="42">
        <f>[3]Charters!N405</f>
        <v>184020.16</v>
      </c>
      <c r="G103" s="8"/>
      <c r="H103" s="8"/>
    </row>
    <row r="104" spans="1:8" x14ac:dyDescent="0.2">
      <c r="A104" s="48" t="s">
        <v>12</v>
      </c>
      <c r="B104" s="43"/>
      <c r="C104" s="40">
        <f>[3]Charters!C248</f>
        <v>0</v>
      </c>
      <c r="D104" s="41">
        <f>[3]Charters!E248</f>
        <v>0</v>
      </c>
      <c r="E104" s="8"/>
      <c r="F104" s="42">
        <f>SUM(D102:D108)</f>
        <v>184020.16</v>
      </c>
      <c r="G104" s="8"/>
      <c r="H104" s="8"/>
    </row>
    <row r="105" spans="1:8" x14ac:dyDescent="0.2">
      <c r="A105" s="20" t="s">
        <v>13</v>
      </c>
      <c r="B105" s="43"/>
      <c r="C105" s="40">
        <f>[3]Charters!F248</f>
        <v>0.70899999999999996</v>
      </c>
      <c r="D105" s="41">
        <f>[3]Charters!H248</f>
        <v>2259</v>
      </c>
      <c r="E105" s="8"/>
      <c r="F105" s="42">
        <f>+F103-F104</f>
        <v>0</v>
      </c>
      <c r="G105" s="8"/>
      <c r="H105" s="8"/>
    </row>
    <row r="106" spans="1:8" x14ac:dyDescent="0.2">
      <c r="A106" s="48" t="s">
        <v>54</v>
      </c>
      <c r="B106" s="43"/>
      <c r="C106" s="40">
        <f>[3]Charters!C405</f>
        <v>0.4</v>
      </c>
      <c r="D106" s="41">
        <f>[3]Charters!E405</f>
        <v>1275.05</v>
      </c>
      <c r="E106" s="8"/>
      <c r="F106" s="8"/>
      <c r="G106" s="8"/>
      <c r="H106" s="8"/>
    </row>
    <row r="107" spans="1:8" x14ac:dyDescent="0.2">
      <c r="A107" s="48" t="s">
        <v>55</v>
      </c>
      <c r="B107" s="43"/>
      <c r="C107" s="40">
        <f>[3]Charters!F405</f>
        <v>0</v>
      </c>
      <c r="D107" s="41">
        <f>[3]Charters!H405</f>
        <v>0</v>
      </c>
      <c r="E107" s="8"/>
      <c r="F107" s="42" t="s">
        <v>25</v>
      </c>
      <c r="G107" s="8"/>
      <c r="H107" s="8"/>
    </row>
    <row r="108" spans="1:8" x14ac:dyDescent="0.2">
      <c r="A108" s="48" t="s">
        <v>56</v>
      </c>
      <c r="B108" s="43"/>
      <c r="C108" s="40">
        <f>[3]Charters!I405</f>
        <v>0</v>
      </c>
      <c r="D108" s="41">
        <f>[3]Charters!K405</f>
        <v>0</v>
      </c>
      <c r="E108" s="8"/>
      <c r="F108" s="42">
        <f>[2]Charters!H94</f>
        <v>184020.16</v>
      </c>
      <c r="G108" s="8"/>
      <c r="H108" s="8"/>
    </row>
    <row r="109" spans="1:8" x14ac:dyDescent="0.2">
      <c r="A109" s="20" t="s">
        <v>49</v>
      </c>
      <c r="B109" s="43"/>
      <c r="C109" s="40">
        <f>[3]Charters!C561</f>
        <v>0</v>
      </c>
      <c r="D109" s="41">
        <f>[3]Charters!E561</f>
        <v>0</v>
      </c>
      <c r="E109" s="8"/>
      <c r="F109" s="42">
        <f>SUM(D102:D110)</f>
        <v>184020.16</v>
      </c>
      <c r="G109" s="8"/>
      <c r="H109" s="8"/>
    </row>
    <row r="110" spans="1:8" x14ac:dyDescent="0.2">
      <c r="A110" s="20" t="s">
        <v>50</v>
      </c>
      <c r="B110" s="43"/>
      <c r="C110" s="40">
        <f>[2]Charters!C94</f>
        <v>0</v>
      </c>
      <c r="D110" s="41">
        <f>[2]Charters!E94</f>
        <v>0</v>
      </c>
      <c r="E110" s="8"/>
      <c r="F110" s="42">
        <f>+F108-F109</f>
        <v>0</v>
      </c>
      <c r="G110" s="8"/>
      <c r="H110" s="8"/>
    </row>
    <row r="111" spans="1:8" x14ac:dyDescent="0.2">
      <c r="A111" s="50"/>
      <c r="B111" s="51" t="s">
        <v>16</v>
      </c>
      <c r="C111" s="52">
        <f>SUM(C98:C110)</f>
        <v>383.62700000000001</v>
      </c>
      <c r="D111" s="53">
        <f>SUM(D98:D110)</f>
        <v>1221470.56</v>
      </c>
      <c r="E111" s="8"/>
      <c r="F111" s="8"/>
      <c r="G111" s="8"/>
      <c r="H111" s="8"/>
    </row>
    <row r="112" spans="1:8" x14ac:dyDescent="0.2">
      <c r="A112" s="54" t="s">
        <v>17</v>
      </c>
      <c r="B112" s="39"/>
      <c r="C112" s="55"/>
      <c r="D112" s="47"/>
      <c r="E112" s="8"/>
      <c r="F112" s="8"/>
      <c r="G112" s="8"/>
      <c r="H112" s="42" t="s">
        <v>29</v>
      </c>
    </row>
    <row r="113" spans="1:8" x14ac:dyDescent="0.2">
      <c r="A113" s="20" t="s">
        <v>33</v>
      </c>
      <c r="B113" s="43"/>
      <c r="C113" s="56"/>
      <c r="D113" s="57">
        <f>[4]Charters!C94</f>
        <v>3540.39</v>
      </c>
      <c r="E113" s="8"/>
      <c r="F113" s="8"/>
      <c r="G113" s="8"/>
      <c r="H113" s="42">
        <f>[4]Charters!F1034</f>
        <v>1597723.71</v>
      </c>
    </row>
    <row r="114" spans="1:8" x14ac:dyDescent="0.2">
      <c r="A114" s="58" t="s">
        <v>35</v>
      </c>
      <c r="B114" s="43"/>
      <c r="C114" s="56"/>
      <c r="D114" s="41">
        <f>+[4]Charters!F415</f>
        <v>1464.63</v>
      </c>
      <c r="E114" s="8"/>
      <c r="F114" s="8"/>
      <c r="G114" s="8"/>
      <c r="H114" s="42">
        <f>SUM(D111:D130)</f>
        <v>1597723.71</v>
      </c>
    </row>
    <row r="115" spans="1:8" x14ac:dyDescent="0.2">
      <c r="A115" s="59" t="s">
        <v>36</v>
      </c>
      <c r="B115" s="43"/>
      <c r="C115" s="56"/>
      <c r="D115" s="41">
        <f>[4]Charters!E254</f>
        <v>15127</v>
      </c>
      <c r="E115" s="8"/>
      <c r="F115" s="8"/>
      <c r="G115" s="8"/>
      <c r="H115" s="42">
        <f>+H113-H114</f>
        <v>0</v>
      </c>
    </row>
    <row r="116" spans="1:8" x14ac:dyDescent="0.2">
      <c r="A116" s="59" t="s">
        <v>52</v>
      </c>
      <c r="B116" s="43"/>
      <c r="C116" s="56"/>
      <c r="D116" s="41">
        <f>[4]Charters!G415</f>
        <v>6091.71</v>
      </c>
      <c r="E116" s="8"/>
      <c r="F116" s="42" t="s">
        <v>27</v>
      </c>
      <c r="G116" s="8"/>
      <c r="H116" s="42"/>
    </row>
    <row r="117" spans="1:8" x14ac:dyDescent="0.2">
      <c r="A117" s="20" t="s">
        <v>37</v>
      </c>
      <c r="B117" s="43"/>
      <c r="C117" s="56"/>
      <c r="D117" s="41">
        <f>[4]Charters!E571</f>
        <v>20996</v>
      </c>
      <c r="E117" s="8"/>
      <c r="F117" s="42">
        <f>[4]Charters!E254</f>
        <v>15127</v>
      </c>
      <c r="G117" s="8"/>
      <c r="H117" s="8"/>
    </row>
    <row r="118" spans="1:8" x14ac:dyDescent="0.2">
      <c r="A118" s="20" t="s">
        <v>38</v>
      </c>
      <c r="B118" s="43"/>
      <c r="C118" s="56"/>
      <c r="D118" s="41">
        <f>[4]Charters!F571</f>
        <v>0</v>
      </c>
      <c r="E118" s="8"/>
      <c r="F118" s="42">
        <f>SUM(D115:D115)</f>
        <v>15127</v>
      </c>
      <c r="G118" s="8"/>
      <c r="H118" s="8"/>
    </row>
    <row r="119" spans="1:8" x14ac:dyDescent="0.2">
      <c r="A119" s="59" t="s">
        <v>40</v>
      </c>
      <c r="B119" s="43"/>
      <c r="C119" s="56"/>
      <c r="D119" s="41">
        <f>[4]Charters!G571</f>
        <v>0</v>
      </c>
      <c r="E119" s="8"/>
      <c r="F119" s="42">
        <f>+F117-F118</f>
        <v>0</v>
      </c>
      <c r="G119" s="8"/>
      <c r="H119" s="8"/>
    </row>
    <row r="120" spans="1:8" x14ac:dyDescent="0.2">
      <c r="A120" s="20" t="s">
        <v>41</v>
      </c>
      <c r="B120" s="43"/>
      <c r="C120" s="56"/>
      <c r="D120" s="41">
        <f>[4]Charters!C725</f>
        <v>262131</v>
      </c>
      <c r="E120" s="8"/>
      <c r="F120" s="42" t="s">
        <v>28</v>
      </c>
      <c r="G120" s="8"/>
      <c r="H120" s="8"/>
    </row>
    <row r="121" spans="1:8" x14ac:dyDescent="0.2">
      <c r="A121" s="20" t="s">
        <v>42</v>
      </c>
      <c r="B121" s="43"/>
      <c r="C121" s="56"/>
      <c r="D121" s="41">
        <f>[4]Charters!D725</f>
        <v>47912.85</v>
      </c>
      <c r="E121" s="8"/>
      <c r="F121" s="42">
        <f>[4]Charters!D571</f>
        <v>22683.34</v>
      </c>
      <c r="G121" s="8"/>
      <c r="H121" s="8"/>
    </row>
    <row r="122" spans="1:8" x14ac:dyDescent="0.2">
      <c r="A122" s="20" t="s">
        <v>44</v>
      </c>
      <c r="B122" s="43"/>
      <c r="C122" s="56"/>
      <c r="D122" s="41">
        <f>[4]Charters!E725</f>
        <v>13100</v>
      </c>
      <c r="E122" s="8"/>
      <c r="F122" s="42">
        <f>SUM(D114:D116)</f>
        <v>22683.34</v>
      </c>
      <c r="G122" s="8"/>
      <c r="H122" s="8"/>
    </row>
    <row r="123" spans="1:8" x14ac:dyDescent="0.2">
      <c r="A123" s="59" t="s">
        <v>43</v>
      </c>
      <c r="B123" s="43"/>
      <c r="C123" s="56"/>
      <c r="D123" s="41">
        <f>[4]Charters!F725</f>
        <v>0</v>
      </c>
      <c r="E123" s="8"/>
      <c r="F123" s="42">
        <f>+F121-F122</f>
        <v>0</v>
      </c>
      <c r="G123" s="8"/>
      <c r="H123" s="8"/>
    </row>
    <row r="124" spans="1:8" x14ac:dyDescent="0.2">
      <c r="A124" s="59" t="s">
        <v>45</v>
      </c>
      <c r="B124" s="43"/>
      <c r="C124" s="56"/>
      <c r="D124" s="41">
        <f>[4]Charters!C571</f>
        <v>0</v>
      </c>
      <c r="E124" s="8"/>
      <c r="F124" s="8"/>
      <c r="G124" s="8"/>
      <c r="H124" s="8"/>
    </row>
    <row r="125" spans="1:8" x14ac:dyDescent="0.2">
      <c r="A125" s="59" t="s">
        <v>46</v>
      </c>
      <c r="B125" s="43"/>
      <c r="C125" s="56"/>
      <c r="D125" s="41">
        <f>[4]Charters!C881</f>
        <v>0</v>
      </c>
      <c r="E125" s="42"/>
      <c r="F125" s="42"/>
      <c r="G125" s="42"/>
      <c r="H125" s="42" t="s">
        <v>31</v>
      </c>
    </row>
    <row r="126" spans="1:8" x14ac:dyDescent="0.2">
      <c r="A126" s="59" t="s">
        <v>51</v>
      </c>
      <c r="B126" s="43"/>
      <c r="C126" s="56"/>
      <c r="D126" s="60">
        <f>[4]Charters!D881</f>
        <v>471.83</v>
      </c>
      <c r="E126" s="42"/>
      <c r="F126" s="42"/>
      <c r="G126" s="42"/>
      <c r="H126" s="42">
        <f>[4]Charters!D1340</f>
        <v>1599564.58</v>
      </c>
    </row>
    <row r="127" spans="1:8" x14ac:dyDescent="0.2">
      <c r="A127" s="20" t="s">
        <v>47</v>
      </c>
      <c r="B127" s="43"/>
      <c r="C127" s="56"/>
      <c r="D127" s="60">
        <f>[4]Charters!E881</f>
        <v>0</v>
      </c>
      <c r="E127" s="42"/>
      <c r="F127" s="42"/>
      <c r="G127" s="42"/>
      <c r="H127" s="42">
        <f>D136</f>
        <v>1599564.58</v>
      </c>
    </row>
    <row r="128" spans="1:8" x14ac:dyDescent="0.2">
      <c r="A128" s="20" t="s">
        <v>57</v>
      </c>
      <c r="B128" s="43"/>
      <c r="C128" s="56"/>
      <c r="D128" s="60">
        <f>[4]Charters!C1034</f>
        <v>5417.74</v>
      </c>
      <c r="E128" s="42"/>
      <c r="F128" s="42"/>
      <c r="G128" s="42"/>
      <c r="H128" s="42">
        <f>+H126-H127</f>
        <v>0</v>
      </c>
    </row>
    <row r="129" spans="1:8" x14ac:dyDescent="0.2">
      <c r="A129" s="59" t="s">
        <v>53</v>
      </c>
      <c r="B129" s="43"/>
      <c r="C129" s="56"/>
      <c r="D129" s="60">
        <f>[4]Charters!D1034</f>
        <v>0</v>
      </c>
      <c r="E129" s="42"/>
      <c r="F129" s="42" t="s">
        <v>30</v>
      </c>
      <c r="G129" s="42"/>
      <c r="H129" s="42"/>
    </row>
    <row r="130" spans="1:8" x14ac:dyDescent="0.2">
      <c r="A130" s="59" t="s">
        <v>59</v>
      </c>
      <c r="B130" s="43"/>
      <c r="C130" s="56"/>
      <c r="D130" s="60">
        <f>[4]Charters!E1034</f>
        <v>0</v>
      </c>
      <c r="E130" s="42"/>
      <c r="F130" s="42"/>
      <c r="G130" s="42"/>
      <c r="H130" s="42"/>
    </row>
    <row r="131" spans="1:8" x14ac:dyDescent="0.2">
      <c r="A131" s="38" t="s">
        <v>18</v>
      </c>
      <c r="B131" s="61"/>
      <c r="C131" s="62"/>
      <c r="D131" s="87"/>
      <c r="E131" s="42"/>
      <c r="F131" s="42">
        <f>[4]Charters!C1340</f>
        <v>1840.87</v>
      </c>
      <c r="G131" s="42"/>
      <c r="H131" s="42"/>
    </row>
    <row r="132" spans="1:8" x14ac:dyDescent="0.2">
      <c r="A132" s="59" t="s">
        <v>39</v>
      </c>
      <c r="B132" s="43"/>
      <c r="C132" s="56"/>
      <c r="D132" s="41">
        <f>[4]Charters!C1187</f>
        <v>1840.87</v>
      </c>
      <c r="E132" s="42"/>
      <c r="F132" s="42">
        <f>SUM(D132:D135)</f>
        <v>1840.87</v>
      </c>
      <c r="G132" s="42"/>
      <c r="H132" s="42"/>
    </row>
    <row r="133" spans="1:8" x14ac:dyDescent="0.2">
      <c r="A133" s="59" t="s">
        <v>48</v>
      </c>
      <c r="B133" s="43"/>
      <c r="C133" s="56"/>
      <c r="D133" s="41">
        <f>[4]Charters!D1187</f>
        <v>0</v>
      </c>
      <c r="E133" s="42"/>
      <c r="F133" s="42">
        <f>+F131-F132</f>
        <v>0</v>
      </c>
      <c r="G133" s="42"/>
      <c r="H133" s="42"/>
    </row>
    <row r="134" spans="1:8" x14ac:dyDescent="0.2">
      <c r="A134" s="59" t="s">
        <v>60</v>
      </c>
      <c r="B134" s="43"/>
      <c r="C134" s="56"/>
      <c r="D134" s="41">
        <f>[4]Charters!E1187</f>
        <v>0</v>
      </c>
      <c r="E134" s="42"/>
      <c r="F134" s="42"/>
      <c r="G134" s="42"/>
      <c r="H134" s="42"/>
    </row>
    <row r="135" spans="1:8" x14ac:dyDescent="0.2">
      <c r="A135" s="59" t="s">
        <v>61</v>
      </c>
      <c r="B135" s="43"/>
      <c r="C135" s="56"/>
      <c r="D135" s="41">
        <f>[4]Charters!F1187</f>
        <v>0</v>
      </c>
      <c r="E135" s="42"/>
      <c r="F135" s="42"/>
      <c r="G135" s="42"/>
      <c r="H135" s="42"/>
    </row>
    <row r="136" spans="1:8" ht="13.5" thickBot="1" x14ac:dyDescent="0.25">
      <c r="A136" s="64"/>
      <c r="B136" s="65"/>
      <c r="C136" s="66"/>
      <c r="D136" s="67">
        <f>SUM(D111:D135)</f>
        <v>1599564.58</v>
      </c>
      <c r="E136" s="42"/>
      <c r="F136" s="42"/>
      <c r="G136" s="42"/>
      <c r="H136" s="42"/>
    </row>
    <row r="137" spans="1:8" ht="13.5" thickTop="1" x14ac:dyDescent="0.2">
      <c r="A137" s="68"/>
      <c r="B137" s="43"/>
      <c r="C137" s="56"/>
      <c r="D137" s="86"/>
      <c r="E137" s="42"/>
      <c r="F137" s="42"/>
      <c r="G137" s="42"/>
      <c r="H137" s="42"/>
    </row>
    <row r="138" spans="1:8" x14ac:dyDescent="0.2">
      <c r="A138" s="38" t="s">
        <v>20</v>
      </c>
      <c r="B138" s="39"/>
      <c r="C138" s="70"/>
      <c r="D138" s="71" t="s">
        <v>21</v>
      </c>
      <c r="E138" s="42"/>
      <c r="F138" s="42"/>
      <c r="G138" s="42"/>
      <c r="H138" s="42"/>
    </row>
    <row r="139" spans="1:8" x14ac:dyDescent="0.2">
      <c r="A139" s="72" t="s">
        <v>22</v>
      </c>
      <c r="B139" s="73"/>
      <c r="C139" s="74"/>
      <c r="D139" s="41">
        <f>[5]Charters!C93</f>
        <v>676.57</v>
      </c>
      <c r="E139" s="42"/>
      <c r="F139" s="42"/>
      <c r="G139" s="42"/>
      <c r="H139" s="42"/>
    </row>
    <row r="140" spans="1:8" x14ac:dyDescent="0.2">
      <c r="A140" s="75"/>
      <c r="B140" s="61"/>
      <c r="C140" s="76"/>
      <c r="D140" s="77">
        <f>SUM(D139:D139)</f>
        <v>676.57</v>
      </c>
      <c r="E140" s="42"/>
      <c r="F140" s="42"/>
      <c r="G140" s="42"/>
      <c r="H140" s="42"/>
    </row>
    <row r="141" spans="1:8" x14ac:dyDescent="0.2">
      <c r="A141" s="78" t="s">
        <v>58</v>
      </c>
      <c r="B141" s="79"/>
      <c r="C141" s="80"/>
      <c r="D141" s="77">
        <f>D140+D136</f>
        <v>1600241.15</v>
      </c>
      <c r="E141" s="42"/>
      <c r="F141" s="42"/>
      <c r="G141" s="42"/>
      <c r="H141" s="42"/>
    </row>
    <row r="142" spans="1:8" x14ac:dyDescent="0.2">
      <c r="A142" s="84"/>
      <c r="B142" s="84"/>
      <c r="C142" s="85"/>
      <c r="D142" s="81"/>
      <c r="E142" s="42"/>
      <c r="F142" s="42"/>
      <c r="G142" s="42"/>
      <c r="H142" s="42"/>
    </row>
    <row r="143" spans="1:8" x14ac:dyDescent="0.2">
      <c r="A143" s="84"/>
      <c r="B143" s="84"/>
      <c r="C143" s="85"/>
      <c r="D143" s="81">
        <f>[5]Charters!E249</f>
        <v>1600241.15</v>
      </c>
      <c r="E143" s="42"/>
      <c r="F143" s="42"/>
      <c r="G143" s="42"/>
      <c r="H143" s="42"/>
    </row>
    <row r="144" spans="1:8" x14ac:dyDescent="0.2">
      <c r="A144" s="84"/>
      <c r="B144" s="84"/>
      <c r="C144" s="85"/>
      <c r="D144" s="81">
        <f>D141</f>
        <v>1600241.15</v>
      </c>
      <c r="E144" s="42"/>
      <c r="F144" s="42"/>
      <c r="G144" s="42"/>
      <c r="H144" s="42"/>
    </row>
    <row r="145" spans="3:8" x14ac:dyDescent="0.2">
      <c r="C145" s="83"/>
      <c r="D145" s="42">
        <f>D143-D144</f>
        <v>0</v>
      </c>
      <c r="E145" s="42"/>
      <c r="F145" s="42"/>
      <c r="G145" s="42"/>
      <c r="H145" s="42"/>
    </row>
  </sheetData>
  <mergeCells count="4">
    <mergeCell ref="A141:C141"/>
    <mergeCell ref="A89:D89"/>
    <mergeCell ref="A88:D88"/>
    <mergeCell ref="A87:D87"/>
  </mergeCells>
  <printOptions horizontalCentered="1" verticalCentered="1"/>
  <pageMargins left="0.5" right="0.5" top="0.5" bottom="0.5" header="0.25" footer="0.25"/>
  <pageSetup orientation="portrait" r:id="rId1"/>
  <headerFooter alignWithMargins="0">
    <oddHeader>&amp;R&amp;8Current as of: &amp;D</oddHeader>
    <oddFooter>&amp;L&amp;8USOE, School Finance</oddFooter>
  </headerFooter>
  <picture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0-000000000000}">
  <sheetPr>
    <pageSetUpPr fitToPage="1"/>
  </sheetPr>
  <dimension ref="A1:H146"/>
  <sheetViews>
    <sheetView topLeftCell="A85" workbookViewId="0">
      <selection activeCell="C12" sqref="C12"/>
    </sheetView>
  </sheetViews>
  <sheetFormatPr defaultColWidth="9.140625" defaultRowHeight="12.75" x14ac:dyDescent="0.2"/>
  <cols>
    <col min="1" max="1" width="32" style="82" customWidth="1"/>
    <col min="2" max="2" width="16.140625" style="82" customWidth="1"/>
    <col min="3" max="4" width="14.85546875" style="82" customWidth="1"/>
    <col min="5" max="5" width="11" style="82" customWidth="1"/>
    <col min="6" max="6" width="18" style="82" customWidth="1"/>
    <col min="7" max="7" width="7" style="82" customWidth="1"/>
    <col min="8" max="8" width="17.5703125" style="82" customWidth="1"/>
    <col min="9" max="16384" width="9.140625" style="82"/>
  </cols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"/>
      <c r="B3" s="1"/>
      <c r="C3" s="1"/>
      <c r="D3" s="1"/>
      <c r="E3" s="1"/>
      <c r="F3" s="1"/>
      <c r="G3" s="1"/>
      <c r="H3" s="1"/>
    </row>
    <row r="4" spans="1:8" x14ac:dyDescent="0.2">
      <c r="A4" s="1"/>
      <c r="B4" s="1"/>
      <c r="C4" s="1"/>
      <c r="D4" s="1"/>
      <c r="E4" s="1"/>
      <c r="F4" s="1"/>
      <c r="G4" s="1"/>
      <c r="H4" s="1"/>
    </row>
    <row r="5" spans="1:8" x14ac:dyDescent="0.2">
      <c r="A5" s="1"/>
      <c r="B5" s="1"/>
      <c r="C5" s="1"/>
      <c r="D5" s="1"/>
      <c r="E5" s="1"/>
      <c r="F5" s="1"/>
      <c r="G5" s="1"/>
      <c r="H5" s="1"/>
    </row>
    <row r="6" spans="1:8" x14ac:dyDescent="0.2">
      <c r="A6" s="1"/>
      <c r="B6" s="1"/>
      <c r="C6" s="1"/>
      <c r="D6" s="1"/>
      <c r="E6" s="1"/>
      <c r="F6" s="1"/>
      <c r="G6" s="1"/>
      <c r="H6" s="1"/>
    </row>
    <row r="7" spans="1:8" x14ac:dyDescent="0.2">
      <c r="A7" s="1"/>
      <c r="B7" s="1"/>
      <c r="C7" s="1"/>
      <c r="D7" s="1"/>
      <c r="E7" s="1"/>
      <c r="F7" s="1"/>
      <c r="G7" s="1"/>
      <c r="H7" s="1"/>
    </row>
    <row r="8" spans="1:8" x14ac:dyDescent="0.2">
      <c r="A8" s="1"/>
      <c r="B8" s="1"/>
      <c r="C8" s="1"/>
      <c r="D8" s="1"/>
      <c r="E8" s="1"/>
      <c r="F8" s="1"/>
      <c r="G8" s="1"/>
      <c r="H8" s="1"/>
    </row>
    <row r="9" spans="1:8" x14ac:dyDescent="0.2">
      <c r="A9" s="1"/>
      <c r="B9" s="1"/>
      <c r="C9" s="1"/>
      <c r="D9" s="1"/>
      <c r="E9" s="1"/>
      <c r="F9" s="1"/>
      <c r="G9" s="1"/>
      <c r="H9" s="1"/>
    </row>
    <row r="10" spans="1:8" x14ac:dyDescent="0.2">
      <c r="A10" s="1"/>
      <c r="B10" s="1"/>
      <c r="C10" s="1"/>
      <c r="D10" s="1"/>
      <c r="E10" s="1"/>
      <c r="F10" s="1"/>
      <c r="G10" s="1"/>
      <c r="H10" s="1"/>
    </row>
    <row r="11" spans="1:8" x14ac:dyDescent="0.2">
      <c r="A11" s="1"/>
      <c r="B11" s="1"/>
      <c r="C11" s="1"/>
      <c r="D11" s="1"/>
      <c r="E11" s="1"/>
      <c r="F11" s="1"/>
      <c r="G11" s="1"/>
      <c r="H11" s="1"/>
    </row>
    <row r="12" spans="1:8" x14ac:dyDescent="0.2">
      <c r="A12" s="1"/>
      <c r="B12" s="1"/>
      <c r="C12" s="1"/>
      <c r="D12" s="1"/>
      <c r="E12" s="1"/>
      <c r="F12" s="1"/>
      <c r="G12" s="1"/>
      <c r="H12" s="1"/>
    </row>
    <row r="13" spans="1:8" x14ac:dyDescent="0.2">
      <c r="A13" s="1"/>
      <c r="B13" s="1"/>
      <c r="C13" s="1"/>
      <c r="D13" s="1"/>
      <c r="E13" s="1"/>
      <c r="F13" s="1"/>
      <c r="G13" s="1"/>
      <c r="H13" s="1"/>
    </row>
    <row r="14" spans="1:8" x14ac:dyDescent="0.2">
      <c r="A14" s="1"/>
      <c r="B14" s="1"/>
      <c r="C14" s="1"/>
      <c r="D14" s="1"/>
      <c r="E14" s="1"/>
      <c r="F14" s="1"/>
      <c r="G14" s="1"/>
      <c r="H14" s="1"/>
    </row>
    <row r="15" spans="1:8" x14ac:dyDescent="0.2">
      <c r="A15" s="1"/>
      <c r="B15" s="1"/>
      <c r="C15" s="1"/>
      <c r="D15" s="1"/>
      <c r="E15" s="1"/>
      <c r="F15" s="1"/>
      <c r="G15" s="1"/>
      <c r="H15" s="1"/>
    </row>
    <row r="16" spans="1:8" x14ac:dyDescent="0.2">
      <c r="A16" s="1"/>
      <c r="B16" s="1"/>
      <c r="C16" s="1"/>
      <c r="D16" s="1"/>
      <c r="E16" s="1"/>
      <c r="F16" s="1"/>
      <c r="G16" s="1"/>
      <c r="H16" s="1"/>
    </row>
    <row r="17" spans="1:8" x14ac:dyDescent="0.2">
      <c r="A17" s="1"/>
      <c r="B17" s="1"/>
      <c r="C17" s="1"/>
      <c r="D17" s="1"/>
      <c r="E17" s="1"/>
      <c r="F17" s="1"/>
      <c r="G17" s="1"/>
      <c r="H17" s="1"/>
    </row>
    <row r="18" spans="1:8" x14ac:dyDescent="0.2">
      <c r="A18" s="1"/>
      <c r="B18" s="1"/>
      <c r="C18" s="1"/>
      <c r="D18" s="1"/>
      <c r="E18" s="1"/>
      <c r="F18" s="1"/>
      <c r="G18" s="1"/>
      <c r="H18" s="1"/>
    </row>
    <row r="19" spans="1:8" x14ac:dyDescent="0.2">
      <c r="A19" s="1"/>
      <c r="B19" s="1"/>
      <c r="C19" s="1"/>
      <c r="D19" s="1"/>
      <c r="E19" s="1"/>
      <c r="F19" s="1"/>
      <c r="G19" s="1"/>
      <c r="H19" s="1"/>
    </row>
    <row r="20" spans="1:8" x14ac:dyDescent="0.2">
      <c r="A20" s="1"/>
      <c r="B20" s="1"/>
      <c r="C20" s="1"/>
      <c r="D20" s="1"/>
      <c r="E20" s="1"/>
      <c r="F20" s="1"/>
      <c r="G20" s="1"/>
      <c r="H20" s="1"/>
    </row>
    <row r="21" spans="1:8" x14ac:dyDescent="0.2">
      <c r="A21" s="1"/>
      <c r="B21" s="1"/>
      <c r="C21" s="1"/>
      <c r="D21" s="1"/>
      <c r="E21" s="1"/>
      <c r="F21" s="1"/>
      <c r="G21" s="1"/>
      <c r="H21" s="1"/>
    </row>
    <row r="22" spans="1:8" x14ac:dyDescent="0.2">
      <c r="A22" s="1"/>
      <c r="B22" s="1"/>
      <c r="C22" s="1"/>
      <c r="D22" s="4"/>
      <c r="E22" s="1"/>
      <c r="F22" s="1"/>
      <c r="G22" s="1"/>
      <c r="H22" s="1"/>
    </row>
    <row r="23" spans="1:8" x14ac:dyDescent="0.2">
      <c r="A23" s="1"/>
      <c r="B23" s="1"/>
      <c r="C23" s="1"/>
      <c r="D23" s="1"/>
      <c r="E23" s="1"/>
      <c r="F23" s="1"/>
      <c r="G23" s="1"/>
      <c r="H23" s="1"/>
    </row>
    <row r="24" spans="1:8" x14ac:dyDescent="0.2">
      <c r="A24" s="1"/>
      <c r="B24" s="1"/>
      <c r="C24" s="1"/>
      <c r="D24" s="1"/>
      <c r="E24" s="1"/>
      <c r="F24" s="1"/>
      <c r="G24" s="1"/>
      <c r="H24" s="1"/>
    </row>
    <row r="25" spans="1:8" x14ac:dyDescent="0.2">
      <c r="A25" s="1"/>
      <c r="B25" s="1"/>
      <c r="C25" s="1"/>
      <c r="D25" s="1"/>
      <c r="E25" s="1"/>
      <c r="F25" s="1"/>
      <c r="G25" s="1"/>
      <c r="H25" s="1"/>
    </row>
    <row r="26" spans="1:8" x14ac:dyDescent="0.2">
      <c r="A26" s="1"/>
      <c r="B26" s="1"/>
      <c r="C26" s="1"/>
      <c r="D26" s="1"/>
      <c r="E26" s="1"/>
      <c r="F26" s="1"/>
      <c r="G26" s="1"/>
      <c r="H26" s="1"/>
    </row>
    <row r="27" spans="1:8" x14ac:dyDescent="0.2">
      <c r="A27" s="1"/>
      <c r="B27" s="1"/>
      <c r="C27" s="1"/>
      <c r="D27" s="1"/>
      <c r="E27" s="1"/>
      <c r="F27" s="1"/>
      <c r="G27" s="1"/>
      <c r="H27" s="1"/>
    </row>
    <row r="28" spans="1:8" x14ac:dyDescent="0.2">
      <c r="A28" s="1"/>
      <c r="B28" s="1"/>
      <c r="C28" s="1"/>
      <c r="D28" s="1"/>
      <c r="E28" s="1"/>
      <c r="F28" s="1"/>
      <c r="G28" s="1"/>
      <c r="H28" s="1"/>
    </row>
    <row r="29" spans="1:8" x14ac:dyDescent="0.2">
      <c r="A29" s="1"/>
      <c r="B29" s="1"/>
      <c r="C29" s="1"/>
      <c r="D29" s="1"/>
      <c r="E29" s="1"/>
      <c r="F29" s="1"/>
      <c r="G29" s="1"/>
      <c r="H29" s="1"/>
    </row>
    <row r="30" spans="1:8" x14ac:dyDescent="0.2">
      <c r="A30" s="1"/>
      <c r="B30" s="1"/>
      <c r="C30" s="1"/>
      <c r="D30" s="1"/>
      <c r="E30" s="1"/>
      <c r="F30" s="1"/>
      <c r="G30" s="1"/>
      <c r="H30" s="1"/>
    </row>
    <row r="31" spans="1:8" x14ac:dyDescent="0.2">
      <c r="A31" s="1"/>
      <c r="B31" s="1"/>
      <c r="C31" s="1"/>
      <c r="D31" s="1"/>
      <c r="E31" s="1"/>
      <c r="F31" s="1"/>
      <c r="G31" s="1"/>
      <c r="H31" s="1"/>
    </row>
    <row r="32" spans="1:8" x14ac:dyDescent="0.2">
      <c r="A32" s="1"/>
      <c r="B32" s="1"/>
      <c r="C32" s="1"/>
      <c r="D32" s="1"/>
      <c r="E32" s="1"/>
      <c r="F32" s="1"/>
      <c r="G32" s="1"/>
      <c r="H32" s="1"/>
    </row>
    <row r="33" spans="1:8" x14ac:dyDescent="0.2">
      <c r="A33" s="1"/>
      <c r="B33" s="1"/>
      <c r="C33" s="1"/>
      <c r="D33" s="1"/>
      <c r="E33" s="1"/>
      <c r="F33" s="1"/>
      <c r="G33" s="1"/>
      <c r="H33" s="1"/>
    </row>
    <row r="34" spans="1:8" x14ac:dyDescent="0.2">
      <c r="A34" s="1"/>
      <c r="B34" s="1"/>
      <c r="C34" s="1"/>
      <c r="D34" s="1"/>
      <c r="E34" s="1"/>
      <c r="F34" s="1"/>
      <c r="G34" s="1"/>
      <c r="H34" s="1"/>
    </row>
    <row r="35" spans="1:8" x14ac:dyDescent="0.2">
      <c r="A35" s="1"/>
      <c r="B35" s="1"/>
      <c r="C35" s="1"/>
      <c r="D35" s="1"/>
      <c r="E35" s="1"/>
      <c r="F35" s="1"/>
      <c r="G35" s="1"/>
      <c r="H35" s="1"/>
    </row>
    <row r="36" spans="1:8" x14ac:dyDescent="0.2">
      <c r="A36" s="1"/>
      <c r="B36" s="1"/>
      <c r="C36" s="1"/>
      <c r="D36" s="1"/>
      <c r="E36" s="1"/>
      <c r="F36" s="1"/>
      <c r="G36" s="1"/>
      <c r="H36" s="1"/>
    </row>
    <row r="37" spans="1:8" x14ac:dyDescent="0.2">
      <c r="A37" s="1"/>
      <c r="B37" s="1"/>
      <c r="C37" s="1"/>
      <c r="D37" s="1"/>
      <c r="E37" s="1"/>
      <c r="F37" s="1"/>
      <c r="G37" s="1"/>
      <c r="H37" s="1"/>
    </row>
    <row r="38" spans="1:8" x14ac:dyDescent="0.2">
      <c r="A38" s="1"/>
      <c r="B38" s="1"/>
      <c r="C38" s="1"/>
      <c r="D38" s="1"/>
      <c r="E38" s="1"/>
      <c r="F38" s="1"/>
      <c r="G38" s="1"/>
      <c r="H38" s="1"/>
    </row>
    <row r="39" spans="1:8" x14ac:dyDescent="0.2">
      <c r="A39" s="1"/>
      <c r="B39" s="1"/>
      <c r="C39" s="1"/>
      <c r="D39" s="1"/>
      <c r="E39" s="1"/>
      <c r="F39" s="1"/>
      <c r="G39" s="1"/>
      <c r="H39" s="1"/>
    </row>
    <row r="40" spans="1:8" x14ac:dyDescent="0.2">
      <c r="A40" s="1"/>
      <c r="B40" s="1"/>
      <c r="C40" s="1"/>
      <c r="D40" s="1"/>
      <c r="E40" s="1"/>
      <c r="F40" s="1"/>
      <c r="G40" s="1"/>
      <c r="H40" s="1"/>
    </row>
    <row r="41" spans="1:8" x14ac:dyDescent="0.2">
      <c r="A41" s="1"/>
      <c r="B41" s="1"/>
      <c r="C41" s="1"/>
      <c r="D41" s="1"/>
      <c r="E41" s="1"/>
      <c r="F41" s="1"/>
      <c r="G41" s="1"/>
      <c r="H41" s="1"/>
    </row>
    <row r="42" spans="1:8" x14ac:dyDescent="0.2">
      <c r="A42" s="1"/>
      <c r="B42" s="1"/>
      <c r="C42" s="1"/>
      <c r="D42" s="1"/>
      <c r="E42" s="1"/>
      <c r="F42" s="1"/>
      <c r="G42" s="1"/>
      <c r="H42" s="1"/>
    </row>
    <row r="43" spans="1:8" x14ac:dyDescent="0.2">
      <c r="A43" s="1"/>
      <c r="B43" s="1"/>
      <c r="C43" s="1"/>
      <c r="D43" s="1"/>
      <c r="E43" s="1"/>
      <c r="F43" s="1"/>
      <c r="G43" s="1"/>
      <c r="H43" s="1"/>
    </row>
    <row r="44" spans="1:8" x14ac:dyDescent="0.2">
      <c r="A44" s="1"/>
      <c r="B44" s="1"/>
      <c r="C44" s="1"/>
      <c r="D44" s="1"/>
      <c r="E44" s="1"/>
      <c r="F44" s="1"/>
      <c r="G44" s="1"/>
      <c r="H44" s="1"/>
    </row>
    <row r="45" spans="1:8" x14ac:dyDescent="0.2">
      <c r="A45" s="1"/>
      <c r="B45" s="1"/>
      <c r="C45" s="1"/>
      <c r="D45" s="1"/>
      <c r="E45" s="1"/>
      <c r="F45" s="1"/>
      <c r="G45" s="1"/>
      <c r="H45" s="1"/>
    </row>
    <row r="46" spans="1:8" x14ac:dyDescent="0.2">
      <c r="A46" s="1"/>
      <c r="B46" s="1"/>
      <c r="C46" s="1"/>
      <c r="D46" s="1"/>
      <c r="E46" s="1"/>
      <c r="F46" s="1"/>
      <c r="G46" s="1"/>
      <c r="H46" s="1"/>
    </row>
    <row r="47" spans="1:8" x14ac:dyDescent="0.2">
      <c r="A47" s="1"/>
      <c r="B47" s="1"/>
      <c r="C47" s="1"/>
      <c r="D47" s="1"/>
      <c r="E47" s="1"/>
      <c r="F47" s="1"/>
      <c r="G47" s="1"/>
      <c r="H47" s="1"/>
    </row>
    <row r="48" spans="1:8" x14ac:dyDescent="0.2">
      <c r="A48" s="1"/>
      <c r="B48" s="1"/>
      <c r="C48" s="1"/>
      <c r="D48" s="1"/>
      <c r="E48" s="1"/>
      <c r="F48" s="1"/>
      <c r="G48" s="1"/>
      <c r="H48" s="1"/>
    </row>
    <row r="49" spans="1:8" x14ac:dyDescent="0.2">
      <c r="A49" s="1"/>
      <c r="B49" s="1"/>
      <c r="C49" s="1"/>
      <c r="D49" s="1"/>
      <c r="E49" s="1"/>
      <c r="F49" s="1"/>
      <c r="G49" s="1"/>
      <c r="H49" s="1"/>
    </row>
    <row r="50" spans="1:8" x14ac:dyDescent="0.2">
      <c r="A50" s="1"/>
      <c r="B50" s="1"/>
      <c r="C50" s="1"/>
      <c r="D50" s="1"/>
      <c r="E50" s="1"/>
      <c r="F50" s="1"/>
      <c r="G50" s="1"/>
      <c r="H50" s="1"/>
    </row>
    <row r="51" spans="1:8" x14ac:dyDescent="0.2">
      <c r="A51" s="1"/>
      <c r="B51" s="1"/>
      <c r="C51" s="1"/>
      <c r="D51" s="1"/>
      <c r="E51" s="1"/>
      <c r="F51" s="1"/>
      <c r="G51" s="1"/>
      <c r="H51" s="1"/>
    </row>
    <row r="52" spans="1:8" x14ac:dyDescent="0.2">
      <c r="A52" s="1"/>
      <c r="B52" s="1"/>
      <c r="C52" s="1"/>
      <c r="D52" s="1"/>
      <c r="E52" s="1"/>
      <c r="F52" s="1"/>
      <c r="G52" s="1"/>
      <c r="H52" s="1"/>
    </row>
    <row r="53" spans="1:8" x14ac:dyDescent="0.2">
      <c r="A53" s="1"/>
      <c r="B53" s="1"/>
      <c r="C53" s="1"/>
      <c r="D53" s="1"/>
      <c r="E53" s="1"/>
      <c r="F53" s="1"/>
      <c r="G53" s="1"/>
      <c r="H53" s="1"/>
    </row>
    <row r="54" spans="1:8" x14ac:dyDescent="0.2">
      <c r="A54" s="1"/>
      <c r="B54" s="1"/>
      <c r="C54" s="1"/>
      <c r="D54" s="1"/>
      <c r="E54" s="1"/>
      <c r="F54" s="1"/>
      <c r="G54" s="1"/>
      <c r="H54" s="1"/>
    </row>
    <row r="55" spans="1:8" x14ac:dyDescent="0.2">
      <c r="A55" s="1"/>
      <c r="B55" s="1"/>
      <c r="C55" s="1"/>
      <c r="D55" s="1"/>
      <c r="E55" s="1"/>
      <c r="F55" s="1"/>
      <c r="G55" s="1"/>
      <c r="H55" s="1"/>
    </row>
    <row r="56" spans="1:8" x14ac:dyDescent="0.2">
      <c r="A56" s="1"/>
      <c r="B56" s="1"/>
      <c r="C56" s="1"/>
      <c r="D56" s="1"/>
      <c r="E56" s="1"/>
      <c r="F56" s="1"/>
      <c r="G56" s="1"/>
      <c r="H56" s="1"/>
    </row>
    <row r="57" spans="1:8" x14ac:dyDescent="0.2">
      <c r="A57" s="1"/>
      <c r="B57" s="1"/>
      <c r="C57" s="1"/>
      <c r="D57" s="1"/>
      <c r="E57" s="1"/>
      <c r="F57" s="1"/>
      <c r="G57" s="1"/>
      <c r="H57" s="1"/>
    </row>
    <row r="58" spans="1:8" x14ac:dyDescent="0.2">
      <c r="A58" s="1"/>
      <c r="B58" s="1"/>
      <c r="C58" s="1"/>
      <c r="D58" s="1"/>
      <c r="E58" s="1"/>
      <c r="F58" s="1"/>
      <c r="G58" s="1"/>
      <c r="H58" s="1"/>
    </row>
    <row r="59" spans="1:8" x14ac:dyDescent="0.2">
      <c r="A59" s="1"/>
      <c r="B59" s="1"/>
      <c r="C59" s="1"/>
      <c r="D59" s="1"/>
      <c r="E59" s="1"/>
      <c r="F59" s="1"/>
      <c r="G59" s="1"/>
      <c r="H59" s="1"/>
    </row>
    <row r="60" spans="1:8" x14ac:dyDescent="0.2">
      <c r="A60" s="1"/>
      <c r="B60" s="1"/>
      <c r="C60" s="1"/>
      <c r="D60" s="1"/>
      <c r="E60" s="1"/>
      <c r="F60" s="1"/>
      <c r="G60" s="1"/>
      <c r="H60" s="1"/>
    </row>
    <row r="61" spans="1:8" x14ac:dyDescent="0.2">
      <c r="A61" s="1"/>
      <c r="B61" s="1"/>
      <c r="C61" s="1"/>
      <c r="D61" s="1"/>
      <c r="E61" s="1"/>
      <c r="F61" s="1"/>
      <c r="G61" s="1"/>
      <c r="H61" s="1"/>
    </row>
    <row r="62" spans="1:8" x14ac:dyDescent="0.2">
      <c r="A62" s="1"/>
      <c r="B62" s="1"/>
      <c r="C62" s="1"/>
      <c r="D62" s="1"/>
      <c r="E62" s="1"/>
      <c r="F62" s="1"/>
      <c r="G62" s="1"/>
      <c r="H62" s="1"/>
    </row>
    <row r="63" spans="1:8" x14ac:dyDescent="0.2">
      <c r="A63" s="1"/>
      <c r="B63" s="1"/>
      <c r="C63" s="1"/>
      <c r="D63" s="1"/>
      <c r="E63" s="1"/>
      <c r="F63" s="1"/>
      <c r="G63" s="1"/>
      <c r="H63" s="1"/>
    </row>
    <row r="64" spans="1:8" x14ac:dyDescent="0.2">
      <c r="A64" s="1"/>
      <c r="B64" s="1"/>
      <c r="C64" s="1"/>
      <c r="D64" s="1"/>
      <c r="E64" s="1"/>
      <c r="F64" s="1"/>
      <c r="G64" s="1"/>
      <c r="H64" s="1"/>
    </row>
    <row r="65" spans="1:8" x14ac:dyDescent="0.2">
      <c r="A65" s="1"/>
      <c r="B65" s="1"/>
      <c r="C65" s="1"/>
      <c r="D65" s="1"/>
      <c r="E65" s="1"/>
      <c r="F65" s="1"/>
      <c r="G65" s="1"/>
      <c r="H65" s="1"/>
    </row>
    <row r="66" spans="1:8" x14ac:dyDescent="0.2">
      <c r="A66" s="1"/>
      <c r="B66" s="1"/>
      <c r="C66" s="1"/>
      <c r="D66" s="1"/>
      <c r="E66" s="1"/>
      <c r="F66" s="1"/>
      <c r="G66" s="1"/>
      <c r="H66" s="1"/>
    </row>
    <row r="67" spans="1:8" x14ac:dyDescent="0.2">
      <c r="A67" s="1"/>
      <c r="B67" s="1"/>
      <c r="C67" s="1"/>
      <c r="D67" s="1"/>
      <c r="E67" s="1"/>
      <c r="F67" s="1"/>
      <c r="G67" s="1"/>
      <c r="H67" s="1"/>
    </row>
    <row r="68" spans="1:8" x14ac:dyDescent="0.2">
      <c r="A68" s="1"/>
      <c r="B68" s="1"/>
      <c r="C68" s="1"/>
      <c r="D68" s="1"/>
      <c r="E68" s="1"/>
      <c r="F68" s="1"/>
      <c r="G68" s="1"/>
      <c r="H68" s="1"/>
    </row>
    <row r="69" spans="1:8" x14ac:dyDescent="0.2">
      <c r="A69" s="1"/>
      <c r="B69" s="1"/>
      <c r="C69" s="1"/>
      <c r="D69" s="1"/>
      <c r="E69" s="1"/>
      <c r="F69" s="1"/>
      <c r="G69" s="1"/>
      <c r="H69" s="1"/>
    </row>
    <row r="70" spans="1:8" x14ac:dyDescent="0.2">
      <c r="A70" s="1"/>
      <c r="B70" s="1"/>
      <c r="C70" s="1"/>
      <c r="D70" s="1"/>
      <c r="E70" s="1"/>
      <c r="F70" s="1"/>
      <c r="G70" s="1"/>
      <c r="H70" s="1"/>
    </row>
    <row r="71" spans="1:8" x14ac:dyDescent="0.2">
      <c r="A71" s="1"/>
      <c r="B71" s="1"/>
      <c r="C71" s="1"/>
      <c r="D71" s="1"/>
      <c r="E71" s="1"/>
      <c r="F71" s="1"/>
      <c r="G71" s="1"/>
      <c r="H71" s="1"/>
    </row>
    <row r="72" spans="1:8" x14ac:dyDescent="0.2">
      <c r="A72" s="1"/>
      <c r="B72" s="1"/>
      <c r="C72" s="1"/>
      <c r="D72" s="1"/>
      <c r="E72" s="1"/>
      <c r="F72" s="1"/>
      <c r="G72" s="1"/>
      <c r="H72" s="1"/>
    </row>
    <row r="73" spans="1:8" x14ac:dyDescent="0.2">
      <c r="A73" s="1"/>
      <c r="B73" s="1"/>
      <c r="C73" s="1"/>
      <c r="D73" s="1"/>
      <c r="E73" s="1"/>
      <c r="F73" s="1"/>
      <c r="G73" s="1"/>
      <c r="H73" s="1"/>
    </row>
    <row r="74" spans="1:8" x14ac:dyDescent="0.2">
      <c r="A74" s="1"/>
      <c r="B74" s="1"/>
      <c r="C74" s="1"/>
      <c r="D74" s="1"/>
      <c r="E74" s="1"/>
      <c r="F74" s="1"/>
      <c r="G74" s="1"/>
      <c r="H74" s="1"/>
    </row>
    <row r="75" spans="1:8" x14ac:dyDescent="0.2">
      <c r="A75" s="1"/>
      <c r="B75" s="1"/>
      <c r="C75" s="1"/>
      <c r="D75" s="1"/>
      <c r="E75" s="1"/>
      <c r="F75" s="1"/>
      <c r="G75" s="1"/>
      <c r="H75" s="1"/>
    </row>
    <row r="76" spans="1:8" x14ac:dyDescent="0.2">
      <c r="A76" s="1"/>
      <c r="B76" s="1"/>
      <c r="C76" s="1"/>
      <c r="D76" s="1"/>
      <c r="E76" s="1"/>
      <c r="F76" s="1"/>
      <c r="G76" s="1"/>
      <c r="H76" s="1"/>
    </row>
    <row r="77" spans="1:8" x14ac:dyDescent="0.2">
      <c r="A77" s="1"/>
      <c r="B77" s="1"/>
      <c r="C77" s="1"/>
      <c r="D77" s="1"/>
      <c r="E77" s="1"/>
      <c r="F77" s="1"/>
      <c r="G77" s="1"/>
      <c r="H77" s="1"/>
    </row>
    <row r="78" spans="1:8" x14ac:dyDescent="0.2">
      <c r="A78" s="1"/>
      <c r="B78" s="1"/>
      <c r="C78" s="1"/>
      <c r="D78" s="1"/>
      <c r="E78" s="1"/>
      <c r="F78" s="1"/>
      <c r="G78" s="1"/>
      <c r="H78" s="1"/>
    </row>
    <row r="79" spans="1:8" x14ac:dyDescent="0.2">
      <c r="A79" s="1"/>
      <c r="B79" s="1"/>
      <c r="C79" s="1"/>
      <c r="D79" s="1"/>
      <c r="E79" s="1"/>
      <c r="F79" s="1"/>
      <c r="G79" s="1"/>
      <c r="H79" s="1"/>
    </row>
    <row r="80" spans="1:8" x14ac:dyDescent="0.2">
      <c r="A80" s="1"/>
      <c r="B80" s="1"/>
      <c r="C80" s="1"/>
      <c r="D80" s="1"/>
      <c r="E80" s="1"/>
      <c r="F80" s="1"/>
      <c r="G80" s="1"/>
      <c r="H80" s="1"/>
    </row>
    <row r="81" spans="1:8" x14ac:dyDescent="0.2">
      <c r="A81" s="1"/>
      <c r="B81" s="1"/>
      <c r="C81" s="1"/>
      <c r="D81" s="1"/>
      <c r="E81" s="1"/>
      <c r="F81" s="1"/>
      <c r="G81" s="1"/>
      <c r="H81" s="1"/>
    </row>
    <row r="82" spans="1:8" x14ac:dyDescent="0.2">
      <c r="A82" s="1"/>
      <c r="B82" s="1"/>
      <c r="C82" s="1"/>
      <c r="D82" s="1"/>
      <c r="E82" s="1"/>
      <c r="F82" s="1"/>
      <c r="G82" s="1"/>
      <c r="H82" s="1"/>
    </row>
    <row r="83" spans="1:8" x14ac:dyDescent="0.2">
      <c r="A83" s="1"/>
      <c r="B83" s="1"/>
      <c r="C83" s="1"/>
      <c r="D83" s="1"/>
      <c r="E83" s="1"/>
      <c r="F83" s="1"/>
      <c r="G83" s="1"/>
      <c r="H83" s="1"/>
    </row>
    <row r="84" spans="1:8" x14ac:dyDescent="0.2">
      <c r="A84" s="1"/>
      <c r="B84" s="1"/>
      <c r="C84" s="1"/>
      <c r="D84" s="1"/>
      <c r="E84" s="1"/>
      <c r="F84" s="1"/>
      <c r="G84" s="1"/>
      <c r="H84" s="1"/>
    </row>
    <row r="85" spans="1:8" x14ac:dyDescent="0.2">
      <c r="A85" s="1"/>
      <c r="B85" s="1"/>
      <c r="C85" s="1"/>
      <c r="D85" s="1"/>
      <c r="E85" s="1"/>
      <c r="F85" s="1"/>
      <c r="G85" s="1"/>
      <c r="H85" s="1"/>
    </row>
    <row r="86" spans="1:8" x14ac:dyDescent="0.2">
      <c r="A86" s="1"/>
      <c r="B86" s="1"/>
      <c r="C86" s="1"/>
      <c r="D86" s="1"/>
      <c r="E86" s="1"/>
      <c r="F86" s="1"/>
      <c r="G86" s="1"/>
      <c r="H86" s="1"/>
    </row>
    <row r="87" spans="1:8" x14ac:dyDescent="0.2">
      <c r="A87" s="1"/>
      <c r="B87" s="1"/>
      <c r="C87" s="1"/>
      <c r="D87" s="1"/>
      <c r="E87" s="1"/>
      <c r="F87" s="1"/>
      <c r="G87" s="1"/>
      <c r="H87" s="1"/>
    </row>
    <row r="88" spans="1:8" x14ac:dyDescent="0.2">
      <c r="A88" s="11" t="s">
        <v>1</v>
      </c>
      <c r="B88" s="12"/>
      <c r="C88" s="12"/>
      <c r="D88" s="13"/>
      <c r="E88" s="8"/>
      <c r="F88" s="8"/>
      <c r="G88" s="8"/>
      <c r="H88" s="8"/>
    </row>
    <row r="89" spans="1:8" x14ac:dyDescent="0.2">
      <c r="A89" s="14" t="s">
        <v>15</v>
      </c>
      <c r="B89" s="15"/>
      <c r="C89" s="15"/>
      <c r="D89" s="16"/>
      <c r="E89" s="8"/>
      <c r="F89" s="8"/>
      <c r="G89" s="8"/>
      <c r="H89" s="8"/>
    </row>
    <row r="90" spans="1:8" x14ac:dyDescent="0.2">
      <c r="A90" s="17" t="s">
        <v>62</v>
      </c>
      <c r="B90" s="18"/>
      <c r="C90" s="18"/>
      <c r="D90" s="19"/>
      <c r="E90" s="8"/>
      <c r="F90" s="8"/>
      <c r="G90" s="8"/>
      <c r="H90" s="8"/>
    </row>
    <row r="91" spans="1:8" x14ac:dyDescent="0.2">
      <c r="A91" s="20"/>
      <c r="B91" s="21"/>
      <c r="C91" s="22"/>
      <c r="D91" s="23"/>
      <c r="E91" s="8"/>
      <c r="F91" s="8" t="s">
        <v>34</v>
      </c>
      <c r="G91" s="8"/>
      <c r="H91" s="8"/>
    </row>
    <row r="92" spans="1:8" ht="15.75" x14ac:dyDescent="0.25">
      <c r="A92" s="24" t="s">
        <v>2</v>
      </c>
      <c r="B92" s="25" t="str">
        <f>[1]Charters!B95</f>
        <v>Utah Intl Charter Schl</v>
      </c>
      <c r="C92" s="26"/>
      <c r="D92" s="27"/>
      <c r="E92" s="8"/>
      <c r="F92" s="8"/>
      <c r="G92" s="8"/>
      <c r="H92" s="8"/>
    </row>
    <row r="93" spans="1:8" x14ac:dyDescent="0.2">
      <c r="A93" s="24"/>
      <c r="B93" s="28"/>
      <c r="C93" s="26"/>
      <c r="D93" s="27"/>
      <c r="E93" s="8"/>
      <c r="F93" s="8"/>
      <c r="G93" s="8"/>
      <c r="H93" s="8"/>
    </row>
    <row r="94" spans="1:8" x14ac:dyDescent="0.2">
      <c r="A94" s="29" t="s">
        <v>0</v>
      </c>
      <c r="B94" s="30">
        <f>[1]Charters!$E$6</f>
        <v>3184</v>
      </c>
      <c r="C94" s="26"/>
      <c r="D94" s="31"/>
      <c r="E94" s="8"/>
      <c r="F94" s="8"/>
      <c r="G94" s="8"/>
      <c r="H94" s="8"/>
    </row>
    <row r="95" spans="1:8" x14ac:dyDescent="0.2">
      <c r="A95" s="32"/>
      <c r="B95" s="6"/>
      <c r="C95" s="33"/>
      <c r="D95" s="34" t="s">
        <v>3</v>
      </c>
      <c r="E95" s="8"/>
      <c r="F95" s="8"/>
      <c r="G95" s="8"/>
      <c r="H95" s="8"/>
    </row>
    <row r="96" spans="1:8" x14ac:dyDescent="0.2">
      <c r="A96" s="29" t="s">
        <v>19</v>
      </c>
      <c r="B96" s="35" t="str">
        <f>[1]Charters!A95</f>
        <v>1I</v>
      </c>
      <c r="C96" s="36" t="s">
        <v>4</v>
      </c>
      <c r="D96" s="37" t="s">
        <v>5</v>
      </c>
      <c r="E96" s="8"/>
      <c r="F96" s="8"/>
      <c r="G96" s="8"/>
      <c r="H96" s="8"/>
    </row>
    <row r="97" spans="1:8" x14ac:dyDescent="0.2">
      <c r="A97" s="38" t="s">
        <v>6</v>
      </c>
      <c r="B97" s="39"/>
      <c r="C97" s="40"/>
      <c r="D97" s="41"/>
      <c r="E97" s="8"/>
      <c r="F97" s="8"/>
      <c r="G97" s="8"/>
      <c r="H97" s="8"/>
    </row>
    <row r="98" spans="1:8" x14ac:dyDescent="0.2">
      <c r="A98" s="38" t="s">
        <v>7</v>
      </c>
      <c r="B98" s="39"/>
      <c r="C98" s="40"/>
      <c r="D98" s="41"/>
      <c r="E98" s="8"/>
      <c r="F98" s="42" t="s">
        <v>23</v>
      </c>
      <c r="G98" s="8"/>
      <c r="H98" s="42" t="s">
        <v>26</v>
      </c>
    </row>
    <row r="99" spans="1:8" x14ac:dyDescent="0.2">
      <c r="A99" s="20" t="s">
        <v>8</v>
      </c>
      <c r="B99" s="43"/>
      <c r="C99" s="44">
        <f>[1]Charters!C555</f>
        <v>248.09800000000001</v>
      </c>
      <c r="D99" s="45">
        <f>[1]Charters!E555</f>
        <v>789943.82</v>
      </c>
      <c r="E99" s="8"/>
      <c r="F99" s="42">
        <f>[1]Charters!E710</f>
        <v>834877.4</v>
      </c>
      <c r="G99" s="8"/>
      <c r="H99" s="42">
        <f>[2]Charters!E249</f>
        <v>1011793.32</v>
      </c>
    </row>
    <row r="100" spans="1:8" x14ac:dyDescent="0.2">
      <c r="A100" s="20" t="s">
        <v>14</v>
      </c>
      <c r="B100" s="43"/>
      <c r="C100" s="44">
        <f>[1]Charters!F555</f>
        <v>14.112</v>
      </c>
      <c r="D100" s="45">
        <f>[1]Charters!H555</f>
        <v>44933.58</v>
      </c>
      <c r="E100" s="8"/>
      <c r="F100" s="42">
        <f>SUM(D99:D101)</f>
        <v>834877.4</v>
      </c>
      <c r="G100" s="8"/>
      <c r="H100" s="42">
        <f>D112</f>
        <v>1011793.32</v>
      </c>
    </row>
    <row r="101" spans="1:8" x14ac:dyDescent="0.2">
      <c r="A101" s="20" t="s">
        <v>32</v>
      </c>
      <c r="B101" s="43"/>
      <c r="C101" s="44">
        <f>[1]Charters!C248</f>
        <v>0</v>
      </c>
      <c r="D101" s="45">
        <f>[1]Charters!E248</f>
        <v>0</v>
      </c>
      <c r="E101" s="8"/>
      <c r="F101" s="42">
        <f>+F99-F100</f>
        <v>0</v>
      </c>
      <c r="G101" s="8"/>
      <c r="H101" s="42">
        <f>+H99-H100</f>
        <v>0</v>
      </c>
    </row>
    <row r="102" spans="1:8" x14ac:dyDescent="0.2">
      <c r="A102" s="38" t="s">
        <v>9</v>
      </c>
      <c r="B102" s="39"/>
      <c r="C102" s="46"/>
      <c r="D102" s="47"/>
      <c r="E102" s="8"/>
      <c r="F102" s="8"/>
      <c r="G102" s="8"/>
      <c r="H102" s="8"/>
    </row>
    <row r="103" spans="1:8" x14ac:dyDescent="0.2">
      <c r="A103" s="20" t="s">
        <v>10</v>
      </c>
      <c r="B103" s="43"/>
      <c r="C103" s="40">
        <f>[3]Charters!C94</f>
        <v>44.814999999999998</v>
      </c>
      <c r="D103" s="41">
        <f>[3]Charters!E94</f>
        <v>142692.42000000001</v>
      </c>
      <c r="E103" s="8"/>
      <c r="F103" s="42" t="s">
        <v>24</v>
      </c>
      <c r="G103" s="8"/>
      <c r="H103" s="8"/>
    </row>
    <row r="104" spans="1:8" x14ac:dyDescent="0.2">
      <c r="A104" s="48" t="s">
        <v>11</v>
      </c>
      <c r="B104" s="43"/>
      <c r="C104" s="40">
        <f>[3]Charters!F94</f>
        <v>4.58</v>
      </c>
      <c r="D104" s="49">
        <f>[3]Charters!H94</f>
        <v>14582.72</v>
      </c>
      <c r="E104" s="8"/>
      <c r="F104" s="42">
        <f>[3]Charters!N406</f>
        <v>160809.19</v>
      </c>
      <c r="G104" s="8"/>
      <c r="H104" s="8"/>
    </row>
    <row r="105" spans="1:8" x14ac:dyDescent="0.2">
      <c r="A105" s="48" t="s">
        <v>12</v>
      </c>
      <c r="B105" s="43"/>
      <c r="C105" s="40">
        <f>[3]Charters!C249</f>
        <v>0</v>
      </c>
      <c r="D105" s="41">
        <f>[3]Charters!E249</f>
        <v>0</v>
      </c>
      <c r="E105" s="8"/>
      <c r="F105" s="42">
        <f>SUM(D103:D109)</f>
        <v>160809.19</v>
      </c>
      <c r="G105" s="8"/>
      <c r="H105" s="8"/>
    </row>
    <row r="106" spans="1:8" x14ac:dyDescent="0.2">
      <c r="A106" s="20" t="s">
        <v>13</v>
      </c>
      <c r="B106" s="43"/>
      <c r="C106" s="40">
        <f>[3]Charters!F249</f>
        <v>0.70899999999999996</v>
      </c>
      <c r="D106" s="41">
        <f>[3]Charters!H249</f>
        <v>2259</v>
      </c>
      <c r="E106" s="8"/>
      <c r="F106" s="42">
        <f>+F104-F105</f>
        <v>0</v>
      </c>
      <c r="G106" s="8"/>
      <c r="H106" s="8"/>
    </row>
    <row r="107" spans="1:8" x14ac:dyDescent="0.2">
      <c r="A107" s="48" t="s">
        <v>54</v>
      </c>
      <c r="B107" s="43"/>
      <c r="C107" s="40">
        <f>[3]Charters!C406</f>
        <v>0.4</v>
      </c>
      <c r="D107" s="41">
        <f>[3]Charters!E406</f>
        <v>1275.05</v>
      </c>
      <c r="E107" s="8"/>
      <c r="F107" s="8"/>
      <c r="G107" s="8"/>
      <c r="H107" s="8"/>
    </row>
    <row r="108" spans="1:8" x14ac:dyDescent="0.2">
      <c r="A108" s="48" t="s">
        <v>55</v>
      </c>
      <c r="B108" s="43"/>
      <c r="C108" s="40">
        <f>[3]Charters!F406</f>
        <v>0</v>
      </c>
      <c r="D108" s="41">
        <f>[3]Charters!H406</f>
        <v>0</v>
      </c>
      <c r="E108" s="8"/>
      <c r="F108" s="42" t="s">
        <v>25</v>
      </c>
      <c r="G108" s="8"/>
      <c r="H108" s="8"/>
    </row>
    <row r="109" spans="1:8" x14ac:dyDescent="0.2">
      <c r="A109" s="48" t="s">
        <v>56</v>
      </c>
      <c r="B109" s="43"/>
      <c r="C109" s="40">
        <f>[3]Charters!I406</f>
        <v>0</v>
      </c>
      <c r="D109" s="41">
        <f>[3]Charters!K406</f>
        <v>0</v>
      </c>
      <c r="E109" s="8"/>
      <c r="F109" s="42">
        <f>[2]Charters!H95</f>
        <v>176915.92</v>
      </c>
      <c r="G109" s="8"/>
      <c r="H109" s="8"/>
    </row>
    <row r="110" spans="1:8" x14ac:dyDescent="0.2">
      <c r="A110" s="20" t="s">
        <v>49</v>
      </c>
      <c r="B110" s="43"/>
      <c r="C110" s="40">
        <f>[3]Charters!C562</f>
        <v>0</v>
      </c>
      <c r="D110" s="41">
        <f>[3]Charters!E562</f>
        <v>0</v>
      </c>
      <c r="E110" s="8"/>
      <c r="F110" s="42">
        <f>SUM(D103:D111)</f>
        <v>176915.92</v>
      </c>
      <c r="G110" s="8"/>
      <c r="H110" s="8"/>
    </row>
    <row r="111" spans="1:8" x14ac:dyDescent="0.2">
      <c r="A111" s="20" t="s">
        <v>50</v>
      </c>
      <c r="B111" s="43"/>
      <c r="C111" s="40">
        <f>[2]Charters!C95</f>
        <v>5.0590000000000002</v>
      </c>
      <c r="D111" s="41">
        <f>[2]Charters!E95</f>
        <v>16106.73</v>
      </c>
      <c r="E111" s="8"/>
      <c r="F111" s="42">
        <f>+F109-F110</f>
        <v>0</v>
      </c>
      <c r="G111" s="8"/>
      <c r="H111" s="8"/>
    </row>
    <row r="112" spans="1:8" x14ac:dyDescent="0.2">
      <c r="A112" s="50"/>
      <c r="B112" s="51" t="s">
        <v>16</v>
      </c>
      <c r="C112" s="52">
        <f>SUM(C99:C111)</f>
        <v>317.77300000000002</v>
      </c>
      <c r="D112" s="53">
        <f>SUM(D99:D111)</f>
        <v>1011793.32</v>
      </c>
      <c r="E112" s="8"/>
      <c r="F112" s="8"/>
      <c r="G112" s="8"/>
      <c r="H112" s="8"/>
    </row>
    <row r="113" spans="1:8" x14ac:dyDescent="0.2">
      <c r="A113" s="54" t="s">
        <v>17</v>
      </c>
      <c r="B113" s="39"/>
      <c r="C113" s="55"/>
      <c r="D113" s="47"/>
      <c r="E113" s="8"/>
      <c r="F113" s="8"/>
      <c r="G113" s="8"/>
      <c r="H113" s="42" t="s">
        <v>29</v>
      </c>
    </row>
    <row r="114" spans="1:8" x14ac:dyDescent="0.2">
      <c r="A114" s="20" t="s">
        <v>33</v>
      </c>
      <c r="B114" s="43"/>
      <c r="C114" s="56"/>
      <c r="D114" s="57">
        <f>[4]Charters!C95</f>
        <v>2932.65</v>
      </c>
      <c r="E114" s="8"/>
      <c r="F114" s="8"/>
      <c r="G114" s="8"/>
      <c r="H114" s="42">
        <f>[4]Charters!F1035</f>
        <v>1663279.07</v>
      </c>
    </row>
    <row r="115" spans="1:8" x14ac:dyDescent="0.2">
      <c r="A115" s="58" t="s">
        <v>35</v>
      </c>
      <c r="B115" s="43"/>
      <c r="C115" s="56"/>
      <c r="D115" s="41">
        <f>+[4]Charters!F416</f>
        <v>0</v>
      </c>
      <c r="E115" s="8"/>
      <c r="F115" s="8"/>
      <c r="G115" s="8"/>
      <c r="H115" s="42">
        <f>SUM(D112:D131)</f>
        <v>1663279.07</v>
      </c>
    </row>
    <row r="116" spans="1:8" x14ac:dyDescent="0.2">
      <c r="A116" s="59" t="s">
        <v>36</v>
      </c>
      <c r="B116" s="43"/>
      <c r="C116" s="56"/>
      <c r="D116" s="41">
        <f>[4]Charters!E255</f>
        <v>68889</v>
      </c>
      <c r="E116" s="8"/>
      <c r="F116" s="8"/>
      <c r="G116" s="8"/>
      <c r="H116" s="42">
        <f>+H114-H115</f>
        <v>0</v>
      </c>
    </row>
    <row r="117" spans="1:8" x14ac:dyDescent="0.2">
      <c r="A117" s="59" t="s">
        <v>52</v>
      </c>
      <c r="B117" s="43"/>
      <c r="C117" s="56"/>
      <c r="D117" s="41">
        <f>[4]Charters!G416</f>
        <v>0</v>
      </c>
      <c r="E117" s="8"/>
      <c r="F117" s="42" t="s">
        <v>27</v>
      </c>
      <c r="G117" s="8"/>
      <c r="H117" s="42"/>
    </row>
    <row r="118" spans="1:8" x14ac:dyDescent="0.2">
      <c r="A118" s="20" t="s">
        <v>37</v>
      </c>
      <c r="B118" s="43"/>
      <c r="C118" s="56"/>
      <c r="D118" s="41">
        <f>[4]Charters!E572</f>
        <v>20996</v>
      </c>
      <c r="E118" s="8"/>
      <c r="F118" s="42">
        <f>[4]Charters!E255</f>
        <v>68889</v>
      </c>
      <c r="G118" s="8"/>
      <c r="H118" s="8"/>
    </row>
    <row r="119" spans="1:8" x14ac:dyDescent="0.2">
      <c r="A119" s="20" t="s">
        <v>38</v>
      </c>
      <c r="B119" s="43"/>
      <c r="C119" s="56"/>
      <c r="D119" s="41">
        <f>[4]Charters!F572</f>
        <v>0</v>
      </c>
      <c r="E119" s="8"/>
      <c r="F119" s="42">
        <f>SUM(D116:D116)</f>
        <v>68889</v>
      </c>
      <c r="G119" s="8"/>
      <c r="H119" s="8"/>
    </row>
    <row r="120" spans="1:8" x14ac:dyDescent="0.2">
      <c r="A120" s="59" t="s">
        <v>40</v>
      </c>
      <c r="B120" s="43"/>
      <c r="C120" s="56"/>
      <c r="D120" s="41">
        <f>[4]Charters!G572</f>
        <v>0</v>
      </c>
      <c r="E120" s="8"/>
      <c r="F120" s="42">
        <f>+F118-F119</f>
        <v>0</v>
      </c>
      <c r="G120" s="8"/>
      <c r="H120" s="8"/>
    </row>
    <row r="121" spans="1:8" x14ac:dyDescent="0.2">
      <c r="A121" s="20" t="s">
        <v>41</v>
      </c>
      <c r="B121" s="43"/>
      <c r="C121" s="56"/>
      <c r="D121" s="41">
        <f>[4]Charters!C726</f>
        <v>430215</v>
      </c>
      <c r="E121" s="8"/>
      <c r="F121" s="42" t="s">
        <v>28</v>
      </c>
      <c r="G121" s="8"/>
      <c r="H121" s="8"/>
    </row>
    <row r="122" spans="1:8" x14ac:dyDescent="0.2">
      <c r="A122" s="20" t="s">
        <v>42</v>
      </c>
      <c r="B122" s="43"/>
      <c r="C122" s="56"/>
      <c r="D122" s="41">
        <f>[4]Charters!D726</f>
        <v>101662.21</v>
      </c>
      <c r="E122" s="8"/>
      <c r="F122" s="42">
        <f>[4]Charters!D572</f>
        <v>68889</v>
      </c>
      <c r="G122" s="8"/>
      <c r="H122" s="8"/>
    </row>
    <row r="123" spans="1:8" x14ac:dyDescent="0.2">
      <c r="A123" s="20" t="s">
        <v>44</v>
      </c>
      <c r="B123" s="43"/>
      <c r="C123" s="56"/>
      <c r="D123" s="41">
        <f>[4]Charters!E726</f>
        <v>21500</v>
      </c>
      <c r="E123" s="8"/>
      <c r="F123" s="42">
        <f>SUM(D115:D117)</f>
        <v>68889</v>
      </c>
      <c r="G123" s="8"/>
      <c r="H123" s="8"/>
    </row>
    <row r="124" spans="1:8" x14ac:dyDescent="0.2">
      <c r="A124" s="59" t="s">
        <v>43</v>
      </c>
      <c r="B124" s="43"/>
      <c r="C124" s="56"/>
      <c r="D124" s="41">
        <f>[4]Charters!F726</f>
        <v>0</v>
      </c>
      <c r="E124" s="8"/>
      <c r="F124" s="42">
        <f>+F122-F123</f>
        <v>0</v>
      </c>
      <c r="G124" s="8"/>
      <c r="H124" s="8"/>
    </row>
    <row r="125" spans="1:8" x14ac:dyDescent="0.2">
      <c r="A125" s="59" t="s">
        <v>45</v>
      </c>
      <c r="B125" s="43"/>
      <c r="C125" s="56"/>
      <c r="D125" s="41">
        <f>[4]Charters!C572</f>
        <v>0</v>
      </c>
      <c r="E125" s="8"/>
      <c r="F125" s="8"/>
      <c r="G125" s="8"/>
      <c r="H125" s="8"/>
    </row>
    <row r="126" spans="1:8" x14ac:dyDescent="0.2">
      <c r="A126" s="59" t="s">
        <v>46</v>
      </c>
      <c r="B126" s="43"/>
      <c r="C126" s="56"/>
      <c r="D126" s="41">
        <f>[4]Charters!C882</f>
        <v>0</v>
      </c>
      <c r="E126" s="42"/>
      <c r="F126" s="42"/>
      <c r="G126" s="42"/>
      <c r="H126" s="42" t="s">
        <v>31</v>
      </c>
    </row>
    <row r="127" spans="1:8" x14ac:dyDescent="0.2">
      <c r="A127" s="59" t="s">
        <v>51</v>
      </c>
      <c r="B127" s="43"/>
      <c r="C127" s="56"/>
      <c r="D127" s="60">
        <f>[4]Charters!D882</f>
        <v>414.93</v>
      </c>
      <c r="E127" s="42"/>
      <c r="F127" s="42"/>
      <c r="G127" s="42"/>
      <c r="H127" s="42">
        <f>[4]Charters!D1341</f>
        <v>1666865.44</v>
      </c>
    </row>
    <row r="128" spans="1:8" x14ac:dyDescent="0.2">
      <c r="A128" s="20" t="s">
        <v>47</v>
      </c>
      <c r="B128" s="43"/>
      <c r="C128" s="56"/>
      <c r="D128" s="60">
        <f>[4]Charters!E882</f>
        <v>0</v>
      </c>
      <c r="E128" s="42"/>
      <c r="F128" s="42"/>
      <c r="G128" s="42"/>
      <c r="H128" s="42">
        <f>D137</f>
        <v>1666865.44</v>
      </c>
    </row>
    <row r="129" spans="1:8" x14ac:dyDescent="0.2">
      <c r="A129" s="20" t="s">
        <v>57</v>
      </c>
      <c r="B129" s="43"/>
      <c r="C129" s="56"/>
      <c r="D129" s="60">
        <f>[4]Charters!C1035</f>
        <v>4875.96</v>
      </c>
      <c r="E129" s="42"/>
      <c r="F129" s="42"/>
      <c r="G129" s="42"/>
      <c r="H129" s="42">
        <f>+H127-H128</f>
        <v>0</v>
      </c>
    </row>
    <row r="130" spans="1:8" x14ac:dyDescent="0.2">
      <c r="A130" s="59" t="s">
        <v>53</v>
      </c>
      <c r="B130" s="43"/>
      <c r="C130" s="56"/>
      <c r="D130" s="60">
        <f>[4]Charters!D1035</f>
        <v>0</v>
      </c>
      <c r="E130" s="42"/>
      <c r="F130" s="42" t="s">
        <v>30</v>
      </c>
      <c r="G130" s="42"/>
      <c r="H130" s="42"/>
    </row>
    <row r="131" spans="1:8" x14ac:dyDescent="0.2">
      <c r="A131" s="59" t="s">
        <v>59</v>
      </c>
      <c r="B131" s="43"/>
      <c r="C131" s="56"/>
      <c r="D131" s="60">
        <f>[4]Charters!E1035</f>
        <v>0</v>
      </c>
      <c r="E131" s="42"/>
      <c r="F131" s="42"/>
      <c r="G131" s="42"/>
      <c r="H131" s="42"/>
    </row>
    <row r="132" spans="1:8" x14ac:dyDescent="0.2">
      <c r="A132" s="38" t="s">
        <v>18</v>
      </c>
      <c r="B132" s="61"/>
      <c r="C132" s="62"/>
      <c r="D132" s="87"/>
      <c r="E132" s="42"/>
      <c r="F132" s="42">
        <f>[4]Charters!C1341</f>
        <v>3586.37</v>
      </c>
      <c r="G132" s="42"/>
      <c r="H132" s="42"/>
    </row>
    <row r="133" spans="1:8" x14ac:dyDescent="0.2">
      <c r="A133" s="59" t="s">
        <v>39</v>
      </c>
      <c r="B133" s="43"/>
      <c r="C133" s="56"/>
      <c r="D133" s="41">
        <f>[4]Charters!C1188</f>
        <v>3586.37</v>
      </c>
      <c r="E133" s="42"/>
      <c r="F133" s="42">
        <f>SUM(D133:D136)</f>
        <v>3586.37</v>
      </c>
      <c r="G133" s="42"/>
      <c r="H133" s="42"/>
    </row>
    <row r="134" spans="1:8" x14ac:dyDescent="0.2">
      <c r="A134" s="59" t="s">
        <v>48</v>
      </c>
      <c r="B134" s="43"/>
      <c r="C134" s="56"/>
      <c r="D134" s="41">
        <f>[4]Charters!D1188</f>
        <v>0</v>
      </c>
      <c r="E134" s="42"/>
      <c r="F134" s="42">
        <f>+F132-F133</f>
        <v>0</v>
      </c>
      <c r="G134" s="42"/>
      <c r="H134" s="42"/>
    </row>
    <row r="135" spans="1:8" x14ac:dyDescent="0.2">
      <c r="A135" s="59" t="s">
        <v>60</v>
      </c>
      <c r="B135" s="43"/>
      <c r="C135" s="56"/>
      <c r="D135" s="41">
        <f>[4]Charters!E1188</f>
        <v>0</v>
      </c>
      <c r="E135" s="42"/>
      <c r="F135" s="42"/>
      <c r="G135" s="42"/>
      <c r="H135" s="42"/>
    </row>
    <row r="136" spans="1:8" x14ac:dyDescent="0.2">
      <c r="A136" s="59" t="s">
        <v>61</v>
      </c>
      <c r="B136" s="43"/>
      <c r="C136" s="56"/>
      <c r="D136" s="41">
        <f>[4]Charters!F1188</f>
        <v>0</v>
      </c>
      <c r="E136" s="42"/>
      <c r="F136" s="42"/>
      <c r="G136" s="42"/>
      <c r="H136" s="42"/>
    </row>
    <row r="137" spans="1:8" ht="13.5" thickBot="1" x14ac:dyDescent="0.25">
      <c r="A137" s="64"/>
      <c r="B137" s="65"/>
      <c r="C137" s="66"/>
      <c r="D137" s="67">
        <f>SUM(D112:D136)</f>
        <v>1666865.44</v>
      </c>
      <c r="E137" s="42"/>
      <c r="F137" s="42"/>
      <c r="G137" s="42"/>
      <c r="H137" s="42"/>
    </row>
    <row r="138" spans="1:8" ht="13.5" thickTop="1" x14ac:dyDescent="0.2">
      <c r="A138" s="68"/>
      <c r="B138" s="43"/>
      <c r="C138" s="56"/>
      <c r="D138" s="86"/>
      <c r="E138" s="42"/>
      <c r="F138" s="42"/>
      <c r="G138" s="42"/>
      <c r="H138" s="42"/>
    </row>
    <row r="139" spans="1:8" x14ac:dyDescent="0.2">
      <c r="A139" s="38" t="s">
        <v>20</v>
      </c>
      <c r="B139" s="39"/>
      <c r="C139" s="70"/>
      <c r="D139" s="71" t="s">
        <v>21</v>
      </c>
      <c r="E139" s="42"/>
      <c r="F139" s="42"/>
      <c r="G139" s="42"/>
      <c r="H139" s="42"/>
    </row>
    <row r="140" spans="1:8" x14ac:dyDescent="0.2">
      <c r="A140" s="72" t="s">
        <v>22</v>
      </c>
      <c r="B140" s="73"/>
      <c r="C140" s="74"/>
      <c r="D140" s="41">
        <f>[5]Charters!C94</f>
        <v>506.76</v>
      </c>
      <c r="E140" s="42"/>
      <c r="F140" s="42"/>
      <c r="G140" s="42"/>
      <c r="H140" s="42"/>
    </row>
    <row r="141" spans="1:8" x14ac:dyDescent="0.2">
      <c r="A141" s="75"/>
      <c r="B141" s="61"/>
      <c r="C141" s="76"/>
      <c r="D141" s="77">
        <f>SUM(D140:D140)</f>
        <v>506.76</v>
      </c>
      <c r="E141" s="42"/>
      <c r="F141" s="42"/>
      <c r="G141" s="42"/>
      <c r="H141" s="42"/>
    </row>
    <row r="142" spans="1:8" x14ac:dyDescent="0.2">
      <c r="A142" s="78" t="s">
        <v>58</v>
      </c>
      <c r="B142" s="79"/>
      <c r="C142" s="80"/>
      <c r="D142" s="77">
        <f>D141+D137</f>
        <v>1667372.2</v>
      </c>
      <c r="E142" s="42"/>
      <c r="F142" s="42"/>
      <c r="G142" s="42"/>
      <c r="H142" s="42"/>
    </row>
    <row r="143" spans="1:8" x14ac:dyDescent="0.2">
      <c r="A143" s="84"/>
      <c r="B143" s="84"/>
      <c r="C143" s="85"/>
      <c r="D143" s="81"/>
      <c r="E143" s="42"/>
      <c r="F143" s="42"/>
      <c r="G143" s="42"/>
      <c r="H143" s="42"/>
    </row>
    <row r="144" spans="1:8" x14ac:dyDescent="0.2">
      <c r="A144" s="84"/>
      <c r="B144" s="84"/>
      <c r="C144" s="85"/>
      <c r="D144" s="81">
        <f>[5]Charters!E250</f>
        <v>1667372.2</v>
      </c>
      <c r="E144" s="42"/>
      <c r="F144" s="42"/>
      <c r="G144" s="42"/>
      <c r="H144" s="42"/>
    </row>
    <row r="145" spans="1:8" x14ac:dyDescent="0.2">
      <c r="A145" s="84"/>
      <c r="B145" s="84"/>
      <c r="C145" s="85"/>
      <c r="D145" s="81">
        <f>D142</f>
        <v>1667372.2</v>
      </c>
      <c r="E145" s="42"/>
      <c r="F145" s="42"/>
      <c r="G145" s="42"/>
      <c r="H145" s="42"/>
    </row>
    <row r="146" spans="1:8" x14ac:dyDescent="0.2">
      <c r="C146" s="83"/>
      <c r="D146" s="42">
        <f>D144-D145</f>
        <v>0</v>
      </c>
      <c r="E146" s="42"/>
      <c r="F146" s="42"/>
      <c r="G146" s="42"/>
      <c r="H146" s="42"/>
    </row>
  </sheetData>
  <mergeCells count="4">
    <mergeCell ref="A142:C142"/>
    <mergeCell ref="A90:D90"/>
    <mergeCell ref="A89:D89"/>
    <mergeCell ref="A88:D88"/>
  </mergeCells>
  <printOptions horizontalCentered="1" verticalCentered="1"/>
  <pageMargins left="0.5" right="0.5" top="0.5" bottom="0.5" header="0.25" footer="0.25"/>
  <pageSetup orientation="portrait" r:id="rId1"/>
  <headerFooter alignWithMargins="0">
    <oddHeader>&amp;R&amp;8Current as of: &amp;D</oddHeader>
    <oddFooter>&amp;L&amp;8USOE, School Finance</oddFooter>
  </headerFooter>
  <picture r:id="rId2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300-000000000000}">
  <sheetPr>
    <tabColor theme="0" tint="-0.14999847407452621"/>
    <pageSetUpPr fitToPage="1"/>
  </sheetPr>
  <dimension ref="A1:H147"/>
  <sheetViews>
    <sheetView topLeftCell="A89" workbookViewId="0">
      <selection activeCell="C12" sqref="C12"/>
    </sheetView>
  </sheetViews>
  <sheetFormatPr defaultColWidth="9.140625" defaultRowHeight="12.75" x14ac:dyDescent="0.2"/>
  <cols>
    <col min="1" max="1" width="32.28515625" style="82" customWidth="1"/>
    <col min="2" max="2" width="16.28515625" style="82" customWidth="1"/>
    <col min="3" max="4" width="14.85546875" style="82" customWidth="1"/>
    <col min="5" max="5" width="9.140625" style="82"/>
    <col min="6" max="6" width="18.85546875" style="82" customWidth="1"/>
    <col min="7" max="7" width="9.140625" style="82"/>
    <col min="8" max="8" width="20" style="82" customWidth="1"/>
    <col min="9" max="16384" width="9.140625" style="82"/>
  </cols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"/>
      <c r="B3" s="1"/>
      <c r="C3" s="1"/>
      <c r="D3" s="1"/>
      <c r="E3" s="1"/>
      <c r="F3" s="1"/>
      <c r="G3" s="1"/>
      <c r="H3" s="1"/>
    </row>
    <row r="4" spans="1:8" x14ac:dyDescent="0.2">
      <c r="A4" s="1"/>
      <c r="B4" s="1"/>
      <c r="C4" s="1"/>
      <c r="D4" s="1"/>
      <c r="E4" s="1"/>
      <c r="F4" s="1"/>
      <c r="G4" s="1"/>
      <c r="H4" s="1"/>
    </row>
    <row r="5" spans="1:8" x14ac:dyDescent="0.2">
      <c r="A5" s="1"/>
      <c r="B5" s="1"/>
      <c r="C5" s="1"/>
      <c r="D5" s="1"/>
      <c r="E5" s="1"/>
      <c r="F5" s="1"/>
      <c r="G5" s="1"/>
      <c r="H5" s="1"/>
    </row>
    <row r="6" spans="1:8" x14ac:dyDescent="0.2">
      <c r="A6" s="1"/>
      <c r="B6" s="1"/>
      <c r="C6" s="1"/>
      <c r="D6" s="1"/>
      <c r="E6" s="1"/>
      <c r="F6" s="1"/>
      <c r="G6" s="1"/>
      <c r="H6" s="1"/>
    </row>
    <row r="7" spans="1:8" x14ac:dyDescent="0.2">
      <c r="A7" s="1"/>
      <c r="B7" s="1"/>
      <c r="C7" s="1"/>
      <c r="D7" s="1"/>
      <c r="E7" s="1"/>
      <c r="F7" s="1"/>
      <c r="G7" s="1"/>
      <c r="H7" s="1"/>
    </row>
    <row r="8" spans="1:8" x14ac:dyDescent="0.2">
      <c r="A8" s="1"/>
      <c r="B8" s="1"/>
      <c r="C8" s="1"/>
      <c r="D8" s="1"/>
      <c r="E8" s="1"/>
      <c r="F8" s="1"/>
      <c r="G8" s="1"/>
      <c r="H8" s="1"/>
    </row>
    <row r="9" spans="1:8" x14ac:dyDescent="0.2">
      <c r="A9" s="1"/>
      <c r="B9" s="1"/>
      <c r="C9" s="1"/>
      <c r="D9" s="1"/>
      <c r="E9" s="1"/>
      <c r="F9" s="1"/>
      <c r="G9" s="1"/>
      <c r="H9" s="1"/>
    </row>
    <row r="10" spans="1:8" x14ac:dyDescent="0.2">
      <c r="A10" s="1"/>
      <c r="B10" s="1"/>
      <c r="C10" s="1"/>
      <c r="D10" s="1"/>
      <c r="E10" s="1"/>
      <c r="F10" s="1"/>
      <c r="G10" s="1"/>
      <c r="H10" s="1"/>
    </row>
    <row r="11" spans="1:8" x14ac:dyDescent="0.2">
      <c r="A11" s="1"/>
      <c r="B11" s="1"/>
      <c r="C11" s="1"/>
      <c r="D11" s="1"/>
      <c r="E11" s="1"/>
      <c r="F11" s="1"/>
      <c r="G11" s="1"/>
      <c r="H11" s="1"/>
    </row>
    <row r="12" spans="1:8" x14ac:dyDescent="0.2">
      <c r="A12" s="1"/>
      <c r="B12" s="1"/>
      <c r="C12" s="1"/>
      <c r="D12" s="1"/>
      <c r="E12" s="1"/>
      <c r="F12" s="1"/>
      <c r="G12" s="1"/>
      <c r="H12" s="1"/>
    </row>
    <row r="13" spans="1:8" x14ac:dyDescent="0.2">
      <c r="A13" s="1"/>
      <c r="B13" s="1"/>
      <c r="C13" s="1"/>
      <c r="D13" s="1"/>
      <c r="E13" s="1"/>
      <c r="F13" s="1"/>
      <c r="G13" s="1"/>
      <c r="H13" s="1"/>
    </row>
    <row r="14" spans="1:8" x14ac:dyDescent="0.2">
      <c r="A14" s="1"/>
      <c r="B14" s="1"/>
      <c r="C14" s="1"/>
      <c r="D14" s="1"/>
      <c r="E14" s="1"/>
      <c r="F14" s="1"/>
      <c r="G14" s="1"/>
      <c r="H14" s="1"/>
    </row>
    <row r="15" spans="1:8" x14ac:dyDescent="0.2">
      <c r="A15" s="1"/>
      <c r="B15" s="1"/>
      <c r="C15" s="1"/>
      <c r="D15" s="1"/>
      <c r="E15" s="1"/>
      <c r="F15" s="1"/>
      <c r="G15" s="1"/>
      <c r="H15" s="1"/>
    </row>
    <row r="16" spans="1:8" x14ac:dyDescent="0.2">
      <c r="A16" s="1"/>
      <c r="B16" s="1"/>
      <c r="C16" s="1"/>
      <c r="D16" s="1"/>
      <c r="E16" s="1"/>
      <c r="F16" s="1"/>
      <c r="G16" s="1"/>
      <c r="H16" s="1"/>
    </row>
    <row r="17" spans="1:8" x14ac:dyDescent="0.2">
      <c r="A17" s="1"/>
      <c r="B17" s="1"/>
      <c r="C17" s="1"/>
      <c r="D17" s="1"/>
      <c r="E17" s="1"/>
      <c r="F17" s="1"/>
      <c r="G17" s="1"/>
      <c r="H17" s="1"/>
    </row>
    <row r="18" spans="1:8" x14ac:dyDescent="0.2">
      <c r="A18" s="1"/>
      <c r="B18" s="1"/>
      <c r="C18" s="1"/>
      <c r="D18" s="1"/>
      <c r="E18" s="1"/>
      <c r="F18" s="1"/>
      <c r="G18" s="1"/>
      <c r="H18" s="1"/>
    </row>
    <row r="19" spans="1:8" x14ac:dyDescent="0.2">
      <c r="A19" s="1"/>
      <c r="B19" s="1"/>
      <c r="C19" s="1"/>
      <c r="D19" s="1"/>
      <c r="E19" s="1"/>
      <c r="F19" s="1"/>
      <c r="G19" s="1"/>
      <c r="H19" s="1"/>
    </row>
    <row r="20" spans="1:8" x14ac:dyDescent="0.2">
      <c r="A20" s="1"/>
      <c r="B20" s="1"/>
      <c r="C20" s="1"/>
      <c r="D20" s="1"/>
      <c r="E20" s="1"/>
      <c r="F20" s="1"/>
      <c r="G20" s="1"/>
      <c r="H20" s="1"/>
    </row>
    <row r="21" spans="1:8" x14ac:dyDescent="0.2">
      <c r="A21" s="1"/>
      <c r="B21" s="1"/>
      <c r="C21" s="1"/>
      <c r="D21" s="1"/>
      <c r="E21" s="1"/>
      <c r="F21" s="1"/>
      <c r="G21" s="1"/>
      <c r="H21" s="1"/>
    </row>
    <row r="22" spans="1:8" x14ac:dyDescent="0.2">
      <c r="A22" s="1"/>
      <c r="B22" s="1"/>
      <c r="C22" s="1"/>
      <c r="D22" s="4"/>
      <c r="E22" s="1"/>
      <c r="F22" s="1"/>
      <c r="G22" s="1"/>
      <c r="H22" s="1"/>
    </row>
    <row r="23" spans="1:8" x14ac:dyDescent="0.2">
      <c r="A23" s="1"/>
      <c r="B23" s="1"/>
      <c r="C23" s="1"/>
      <c r="D23" s="1"/>
      <c r="E23" s="1"/>
      <c r="F23" s="1"/>
      <c r="G23" s="1"/>
      <c r="H23" s="1"/>
    </row>
    <row r="24" spans="1:8" x14ac:dyDescent="0.2">
      <c r="A24" s="1"/>
      <c r="B24" s="1"/>
      <c r="C24" s="1"/>
      <c r="D24" s="1"/>
      <c r="E24" s="1"/>
      <c r="F24" s="1"/>
      <c r="G24" s="1"/>
      <c r="H24" s="1"/>
    </row>
    <row r="25" spans="1:8" x14ac:dyDescent="0.2">
      <c r="A25" s="1"/>
      <c r="B25" s="1"/>
      <c r="C25" s="1"/>
      <c r="D25" s="1"/>
      <c r="E25" s="1"/>
      <c r="F25" s="1"/>
      <c r="G25" s="1"/>
      <c r="H25" s="1"/>
    </row>
    <row r="26" spans="1:8" x14ac:dyDescent="0.2">
      <c r="A26" s="1"/>
      <c r="B26" s="1"/>
      <c r="C26" s="1"/>
      <c r="D26" s="1"/>
      <c r="E26" s="1"/>
      <c r="F26" s="1"/>
      <c r="G26" s="1"/>
      <c r="H26" s="1"/>
    </row>
    <row r="27" spans="1:8" x14ac:dyDescent="0.2">
      <c r="A27" s="1"/>
      <c r="B27" s="1"/>
      <c r="C27" s="1"/>
      <c r="D27" s="1"/>
      <c r="E27" s="1"/>
      <c r="F27" s="1"/>
      <c r="G27" s="1"/>
      <c r="H27" s="1"/>
    </row>
    <row r="28" spans="1:8" x14ac:dyDescent="0.2">
      <c r="A28" s="1"/>
      <c r="B28" s="1"/>
      <c r="C28" s="1"/>
      <c r="D28" s="1"/>
      <c r="E28" s="1"/>
      <c r="F28" s="1"/>
      <c r="G28" s="1"/>
      <c r="H28" s="1"/>
    </row>
    <row r="29" spans="1:8" x14ac:dyDescent="0.2">
      <c r="A29" s="1"/>
      <c r="B29" s="1"/>
      <c r="C29" s="1"/>
      <c r="D29" s="1"/>
      <c r="E29" s="1"/>
      <c r="F29" s="1"/>
      <c r="G29" s="1"/>
      <c r="H29" s="1"/>
    </row>
    <row r="30" spans="1:8" x14ac:dyDescent="0.2">
      <c r="A30" s="1"/>
      <c r="B30" s="1"/>
      <c r="C30" s="1"/>
      <c r="D30" s="1"/>
      <c r="E30" s="1"/>
      <c r="F30" s="1"/>
      <c r="G30" s="1"/>
      <c r="H30" s="1"/>
    </row>
    <row r="31" spans="1:8" x14ac:dyDescent="0.2">
      <c r="A31" s="1"/>
      <c r="B31" s="1"/>
      <c r="C31" s="1"/>
      <c r="D31" s="1"/>
      <c r="E31" s="1"/>
      <c r="F31" s="1"/>
      <c r="G31" s="1"/>
      <c r="H31" s="1"/>
    </row>
    <row r="32" spans="1:8" x14ac:dyDescent="0.2">
      <c r="A32" s="1"/>
      <c r="B32" s="1"/>
      <c r="C32" s="1"/>
      <c r="D32" s="1"/>
      <c r="E32" s="1"/>
      <c r="F32" s="1"/>
      <c r="G32" s="1"/>
      <c r="H32" s="1"/>
    </row>
    <row r="33" spans="1:8" x14ac:dyDescent="0.2">
      <c r="A33" s="1"/>
      <c r="B33" s="1"/>
      <c r="C33" s="1"/>
      <c r="D33" s="1"/>
      <c r="E33" s="1"/>
      <c r="F33" s="1"/>
      <c r="G33" s="1"/>
      <c r="H33" s="1"/>
    </row>
    <row r="34" spans="1:8" x14ac:dyDescent="0.2">
      <c r="A34" s="1"/>
      <c r="B34" s="1"/>
      <c r="C34" s="1"/>
      <c r="D34" s="1"/>
      <c r="E34" s="1"/>
      <c r="F34" s="1"/>
      <c r="G34" s="1"/>
      <c r="H34" s="1"/>
    </row>
    <row r="35" spans="1:8" x14ac:dyDescent="0.2">
      <c r="A35" s="1"/>
      <c r="B35" s="1"/>
      <c r="C35" s="1"/>
      <c r="D35" s="1"/>
      <c r="E35" s="1"/>
      <c r="F35" s="1"/>
      <c r="G35" s="1"/>
      <c r="H35" s="1"/>
    </row>
    <row r="36" spans="1:8" x14ac:dyDescent="0.2">
      <c r="A36" s="1"/>
      <c r="B36" s="1"/>
      <c r="C36" s="1"/>
      <c r="D36" s="1"/>
      <c r="E36" s="1"/>
      <c r="F36" s="1"/>
      <c r="G36" s="1"/>
      <c r="H36" s="1"/>
    </row>
    <row r="37" spans="1:8" x14ac:dyDescent="0.2">
      <c r="A37" s="1"/>
      <c r="B37" s="1"/>
      <c r="C37" s="1"/>
      <c r="D37" s="1"/>
      <c r="E37" s="1"/>
      <c r="F37" s="1"/>
      <c r="G37" s="1"/>
      <c r="H37" s="1"/>
    </row>
    <row r="38" spans="1:8" x14ac:dyDescent="0.2">
      <c r="A38" s="1"/>
      <c r="B38" s="1"/>
      <c r="C38" s="1"/>
      <c r="D38" s="1"/>
      <c r="E38" s="1"/>
      <c r="F38" s="1"/>
      <c r="G38" s="1"/>
      <c r="H38" s="1"/>
    </row>
    <row r="39" spans="1:8" x14ac:dyDescent="0.2">
      <c r="A39" s="1"/>
      <c r="B39" s="1"/>
      <c r="C39" s="1"/>
      <c r="D39" s="1"/>
      <c r="E39" s="1"/>
      <c r="F39" s="1"/>
      <c r="G39" s="1"/>
      <c r="H39" s="1"/>
    </row>
    <row r="40" spans="1:8" x14ac:dyDescent="0.2">
      <c r="A40" s="1"/>
      <c r="B40" s="1"/>
      <c r="C40" s="1"/>
      <c r="D40" s="1"/>
      <c r="E40" s="1"/>
      <c r="F40" s="1"/>
      <c r="G40" s="1"/>
      <c r="H40" s="1"/>
    </row>
    <row r="41" spans="1:8" x14ac:dyDescent="0.2">
      <c r="A41" s="1"/>
      <c r="B41" s="1"/>
      <c r="C41" s="1"/>
      <c r="D41" s="1"/>
      <c r="E41" s="1"/>
      <c r="F41" s="1"/>
      <c r="G41" s="1"/>
      <c r="H41" s="1"/>
    </row>
    <row r="42" spans="1:8" x14ac:dyDescent="0.2">
      <c r="A42" s="1"/>
      <c r="B42" s="1"/>
      <c r="C42" s="1"/>
      <c r="D42" s="1"/>
      <c r="E42" s="1"/>
      <c r="F42" s="1"/>
      <c r="G42" s="1"/>
      <c r="H42" s="1"/>
    </row>
    <row r="43" spans="1:8" x14ac:dyDescent="0.2">
      <c r="A43" s="1"/>
      <c r="B43" s="1"/>
      <c r="C43" s="1"/>
      <c r="D43" s="1"/>
      <c r="E43" s="1"/>
      <c r="F43" s="1"/>
      <c r="G43" s="1"/>
      <c r="H43" s="1"/>
    </row>
    <row r="44" spans="1:8" x14ac:dyDescent="0.2">
      <c r="A44" s="1"/>
      <c r="B44" s="1"/>
      <c r="C44" s="1"/>
      <c r="D44" s="1"/>
      <c r="E44" s="1"/>
      <c r="F44" s="1"/>
      <c r="G44" s="1"/>
      <c r="H44" s="1"/>
    </row>
    <row r="45" spans="1:8" x14ac:dyDescent="0.2">
      <c r="A45" s="1"/>
      <c r="B45" s="1"/>
      <c r="C45" s="1"/>
      <c r="D45" s="1"/>
      <c r="E45" s="1"/>
      <c r="F45" s="1"/>
      <c r="G45" s="1"/>
      <c r="H45" s="1"/>
    </row>
    <row r="46" spans="1:8" x14ac:dyDescent="0.2">
      <c r="A46" s="1"/>
      <c r="B46" s="1"/>
      <c r="C46" s="1"/>
      <c r="D46" s="1"/>
      <c r="E46" s="1"/>
      <c r="F46" s="1"/>
      <c r="G46" s="1"/>
      <c r="H46" s="1"/>
    </row>
    <row r="47" spans="1:8" x14ac:dyDescent="0.2">
      <c r="A47" s="1"/>
      <c r="B47" s="1"/>
      <c r="C47" s="1"/>
      <c r="D47" s="1"/>
      <c r="E47" s="1"/>
      <c r="F47" s="1"/>
      <c r="G47" s="1"/>
      <c r="H47" s="1"/>
    </row>
    <row r="48" spans="1:8" x14ac:dyDescent="0.2">
      <c r="A48" s="1"/>
      <c r="B48" s="1"/>
      <c r="C48" s="1"/>
      <c r="D48" s="1"/>
      <c r="E48" s="1"/>
      <c r="F48" s="1"/>
      <c r="G48" s="1"/>
      <c r="H48" s="1"/>
    </row>
    <row r="49" spans="1:8" x14ac:dyDescent="0.2">
      <c r="A49" s="1"/>
      <c r="B49" s="1"/>
      <c r="C49" s="1"/>
      <c r="D49" s="1"/>
      <c r="E49" s="1"/>
      <c r="F49" s="1"/>
      <c r="G49" s="1"/>
      <c r="H49" s="1"/>
    </row>
    <row r="50" spans="1:8" x14ac:dyDescent="0.2">
      <c r="A50" s="1"/>
      <c r="B50" s="1"/>
      <c r="C50" s="1"/>
      <c r="D50" s="1"/>
      <c r="E50" s="1"/>
      <c r="F50" s="1"/>
      <c r="G50" s="1"/>
      <c r="H50" s="1"/>
    </row>
    <row r="51" spans="1:8" x14ac:dyDescent="0.2">
      <c r="A51" s="1"/>
      <c r="B51" s="1"/>
      <c r="C51" s="1"/>
      <c r="D51" s="1"/>
      <c r="E51" s="1"/>
      <c r="F51" s="1"/>
      <c r="G51" s="1"/>
      <c r="H51" s="1"/>
    </row>
    <row r="52" spans="1:8" x14ac:dyDescent="0.2">
      <c r="A52" s="1"/>
      <c r="B52" s="1"/>
      <c r="C52" s="1"/>
      <c r="D52" s="1"/>
      <c r="E52" s="1"/>
      <c r="F52" s="1"/>
      <c r="G52" s="1"/>
      <c r="H52" s="1"/>
    </row>
    <row r="53" spans="1:8" x14ac:dyDescent="0.2">
      <c r="A53" s="1"/>
      <c r="B53" s="1"/>
      <c r="C53" s="1"/>
      <c r="D53" s="1"/>
      <c r="E53" s="1"/>
      <c r="F53" s="1"/>
      <c r="G53" s="1"/>
      <c r="H53" s="1"/>
    </row>
    <row r="54" spans="1:8" x14ac:dyDescent="0.2">
      <c r="A54" s="1"/>
      <c r="B54" s="1"/>
      <c r="C54" s="1"/>
      <c r="D54" s="1"/>
      <c r="E54" s="1"/>
      <c r="F54" s="1"/>
      <c r="G54" s="1"/>
      <c r="H54" s="1"/>
    </row>
    <row r="55" spans="1:8" x14ac:dyDescent="0.2">
      <c r="A55" s="1"/>
      <c r="B55" s="1"/>
      <c r="C55" s="1"/>
      <c r="D55" s="1"/>
      <c r="E55" s="1"/>
      <c r="F55" s="1"/>
      <c r="G55" s="1"/>
      <c r="H55" s="1"/>
    </row>
    <row r="56" spans="1:8" x14ac:dyDescent="0.2">
      <c r="A56" s="1"/>
      <c r="B56" s="1"/>
      <c r="C56" s="1"/>
      <c r="D56" s="1"/>
      <c r="E56" s="1"/>
      <c r="F56" s="1"/>
      <c r="G56" s="1"/>
      <c r="H56" s="1"/>
    </row>
    <row r="57" spans="1:8" x14ac:dyDescent="0.2">
      <c r="A57" s="1"/>
      <c r="B57" s="1"/>
      <c r="C57" s="1"/>
      <c r="D57" s="1"/>
      <c r="E57" s="1"/>
      <c r="F57" s="1"/>
      <c r="G57" s="1"/>
      <c r="H57" s="1"/>
    </row>
    <row r="58" spans="1:8" x14ac:dyDescent="0.2">
      <c r="A58" s="1"/>
      <c r="B58" s="1"/>
      <c r="C58" s="1"/>
      <c r="D58" s="1"/>
      <c r="E58" s="1"/>
      <c r="F58" s="1"/>
      <c r="G58" s="1"/>
      <c r="H58" s="1"/>
    </row>
    <row r="59" spans="1:8" x14ac:dyDescent="0.2">
      <c r="A59" s="1"/>
      <c r="B59" s="1"/>
      <c r="C59" s="1"/>
      <c r="D59" s="1"/>
      <c r="E59" s="1"/>
      <c r="F59" s="1"/>
      <c r="G59" s="1"/>
      <c r="H59" s="1"/>
    </row>
    <row r="60" spans="1:8" x14ac:dyDescent="0.2">
      <c r="A60" s="1"/>
      <c r="B60" s="1"/>
      <c r="C60" s="1"/>
      <c r="D60" s="1"/>
      <c r="E60" s="1"/>
      <c r="F60" s="1"/>
      <c r="G60" s="1"/>
      <c r="H60" s="1"/>
    </row>
    <row r="61" spans="1:8" x14ac:dyDescent="0.2">
      <c r="A61" s="1"/>
      <c r="B61" s="1"/>
      <c r="C61" s="1"/>
      <c r="D61" s="1"/>
      <c r="E61" s="1"/>
      <c r="F61" s="1"/>
      <c r="G61" s="1"/>
      <c r="H61" s="1"/>
    </row>
    <row r="62" spans="1:8" x14ac:dyDescent="0.2">
      <c r="A62" s="1"/>
      <c r="B62" s="1"/>
      <c r="C62" s="1"/>
      <c r="D62" s="1"/>
      <c r="E62" s="1"/>
      <c r="F62" s="1"/>
      <c r="G62" s="1"/>
      <c r="H62" s="1"/>
    </row>
    <row r="63" spans="1:8" x14ac:dyDescent="0.2">
      <c r="A63" s="1"/>
      <c r="B63" s="1"/>
      <c r="C63" s="1"/>
      <c r="D63" s="1"/>
      <c r="E63" s="1"/>
      <c r="F63" s="1"/>
      <c r="G63" s="1"/>
      <c r="H63" s="1"/>
    </row>
    <row r="64" spans="1:8" x14ac:dyDescent="0.2">
      <c r="A64" s="1"/>
      <c r="B64" s="1"/>
      <c r="C64" s="1"/>
      <c r="D64" s="1"/>
      <c r="E64" s="1"/>
      <c r="F64" s="1"/>
      <c r="G64" s="1"/>
      <c r="H64" s="1"/>
    </row>
    <row r="65" spans="1:8" x14ac:dyDescent="0.2">
      <c r="A65" s="1"/>
      <c r="B65" s="1"/>
      <c r="C65" s="1"/>
      <c r="D65" s="1"/>
      <c r="E65" s="1"/>
      <c r="F65" s="1"/>
      <c r="G65" s="1"/>
      <c r="H65" s="1"/>
    </row>
    <row r="66" spans="1:8" x14ac:dyDescent="0.2">
      <c r="A66" s="1"/>
      <c r="B66" s="1"/>
      <c r="C66" s="1"/>
      <c r="D66" s="1"/>
      <c r="E66" s="1"/>
      <c r="F66" s="1"/>
      <c r="G66" s="1"/>
      <c r="H66" s="1"/>
    </row>
    <row r="67" spans="1:8" x14ac:dyDescent="0.2">
      <c r="A67" s="1"/>
      <c r="B67" s="1"/>
      <c r="C67" s="1"/>
      <c r="D67" s="1"/>
      <c r="E67" s="1"/>
      <c r="F67" s="1"/>
      <c r="G67" s="1"/>
      <c r="H67" s="1"/>
    </row>
    <row r="68" spans="1:8" x14ac:dyDescent="0.2">
      <c r="A68" s="1"/>
      <c r="B68" s="1"/>
      <c r="C68" s="1"/>
      <c r="D68" s="1"/>
      <c r="E68" s="1"/>
      <c r="F68" s="1"/>
      <c r="G68" s="1"/>
      <c r="H68" s="1"/>
    </row>
    <row r="69" spans="1:8" x14ac:dyDescent="0.2">
      <c r="A69" s="1"/>
      <c r="B69" s="1"/>
      <c r="C69" s="1"/>
      <c r="D69" s="1"/>
      <c r="E69" s="1"/>
      <c r="F69" s="1"/>
      <c r="G69" s="1"/>
      <c r="H69" s="1"/>
    </row>
    <row r="70" spans="1:8" x14ac:dyDescent="0.2">
      <c r="A70" s="1"/>
      <c r="B70" s="1"/>
      <c r="C70" s="1"/>
      <c r="D70" s="1"/>
      <c r="E70" s="1"/>
      <c r="F70" s="1"/>
      <c r="G70" s="1"/>
      <c r="H70" s="1"/>
    </row>
    <row r="71" spans="1:8" x14ac:dyDescent="0.2">
      <c r="A71" s="1"/>
      <c r="B71" s="1"/>
      <c r="C71" s="1"/>
      <c r="D71" s="1"/>
      <c r="E71" s="1"/>
      <c r="F71" s="1"/>
      <c r="G71" s="1"/>
      <c r="H71" s="1"/>
    </row>
    <row r="72" spans="1:8" x14ac:dyDescent="0.2">
      <c r="A72" s="1"/>
      <c r="B72" s="1"/>
      <c r="C72" s="1"/>
      <c r="D72" s="1"/>
      <c r="E72" s="1"/>
      <c r="F72" s="1"/>
      <c r="G72" s="1"/>
      <c r="H72" s="1"/>
    </row>
    <row r="73" spans="1:8" x14ac:dyDescent="0.2">
      <c r="A73" s="1"/>
      <c r="B73" s="1"/>
      <c r="C73" s="1"/>
      <c r="D73" s="1"/>
      <c r="E73" s="1"/>
      <c r="F73" s="1"/>
      <c r="G73" s="1"/>
      <c r="H73" s="1"/>
    </row>
    <row r="74" spans="1:8" x14ac:dyDescent="0.2">
      <c r="A74" s="1"/>
      <c r="B74" s="1"/>
      <c r="C74" s="1"/>
      <c r="D74" s="1"/>
      <c r="E74" s="1"/>
      <c r="F74" s="1"/>
      <c r="G74" s="1"/>
      <c r="H74" s="1"/>
    </row>
    <row r="75" spans="1:8" x14ac:dyDescent="0.2">
      <c r="A75" s="1"/>
      <c r="B75" s="1"/>
      <c r="C75" s="1"/>
      <c r="D75" s="1"/>
      <c r="E75" s="1"/>
      <c r="F75" s="1"/>
      <c r="G75" s="1"/>
      <c r="H75" s="1"/>
    </row>
    <row r="76" spans="1:8" x14ac:dyDescent="0.2">
      <c r="A76" s="1"/>
      <c r="B76" s="1"/>
      <c r="C76" s="1"/>
      <c r="D76" s="1"/>
      <c r="E76" s="1"/>
      <c r="F76" s="1"/>
      <c r="G76" s="1"/>
      <c r="H76" s="1"/>
    </row>
    <row r="77" spans="1:8" x14ac:dyDescent="0.2">
      <c r="A77" s="1"/>
      <c r="B77" s="1"/>
      <c r="C77" s="1"/>
      <c r="D77" s="1"/>
      <c r="E77" s="1"/>
      <c r="F77" s="1"/>
      <c r="G77" s="1"/>
      <c r="H77" s="1"/>
    </row>
    <row r="78" spans="1:8" x14ac:dyDescent="0.2">
      <c r="A78" s="1"/>
      <c r="B78" s="1"/>
      <c r="C78" s="1"/>
      <c r="D78" s="1"/>
      <c r="E78" s="1"/>
      <c r="F78" s="1"/>
      <c r="G78" s="1"/>
      <c r="H78" s="1"/>
    </row>
    <row r="79" spans="1:8" x14ac:dyDescent="0.2">
      <c r="A79" s="1"/>
      <c r="B79" s="1"/>
      <c r="C79" s="1"/>
      <c r="D79" s="1"/>
      <c r="E79" s="1"/>
      <c r="F79" s="1"/>
      <c r="G79" s="1"/>
      <c r="H79" s="1"/>
    </row>
    <row r="80" spans="1:8" x14ac:dyDescent="0.2">
      <c r="A80" s="1"/>
      <c r="B80" s="1"/>
      <c r="C80" s="1"/>
      <c r="D80" s="1"/>
      <c r="E80" s="1"/>
      <c r="F80" s="1"/>
      <c r="G80" s="1"/>
      <c r="H80" s="1"/>
    </row>
    <row r="81" spans="1:8" x14ac:dyDescent="0.2">
      <c r="A81" s="1"/>
      <c r="B81" s="1"/>
      <c r="C81" s="1"/>
      <c r="D81" s="1"/>
      <c r="E81" s="1"/>
      <c r="F81" s="1"/>
      <c r="G81" s="1"/>
      <c r="H81" s="1"/>
    </row>
    <row r="82" spans="1:8" x14ac:dyDescent="0.2">
      <c r="A82" s="1"/>
      <c r="B82" s="1"/>
      <c r="C82" s="1"/>
      <c r="D82" s="1"/>
      <c r="E82" s="1"/>
      <c r="F82" s="1"/>
      <c r="G82" s="1"/>
      <c r="H82" s="1"/>
    </row>
    <row r="83" spans="1:8" x14ac:dyDescent="0.2">
      <c r="A83" s="1"/>
      <c r="B83" s="1"/>
      <c r="C83" s="1"/>
      <c r="D83" s="1"/>
      <c r="E83" s="1"/>
      <c r="F83" s="1"/>
      <c r="G83" s="1"/>
      <c r="H83" s="1"/>
    </row>
    <row r="84" spans="1:8" x14ac:dyDescent="0.2">
      <c r="A84" s="1"/>
      <c r="B84" s="1"/>
      <c r="C84" s="1"/>
      <c r="D84" s="1"/>
      <c r="E84" s="1"/>
      <c r="F84" s="1"/>
      <c r="G84" s="1"/>
      <c r="H84" s="1"/>
    </row>
    <row r="85" spans="1:8" x14ac:dyDescent="0.2">
      <c r="A85" s="1"/>
      <c r="B85" s="1"/>
      <c r="C85" s="1"/>
      <c r="D85" s="1"/>
      <c r="E85" s="1"/>
      <c r="F85" s="1"/>
      <c r="G85" s="1"/>
      <c r="H85" s="1"/>
    </row>
    <row r="86" spans="1:8" x14ac:dyDescent="0.2">
      <c r="A86" s="1"/>
      <c r="B86" s="1"/>
      <c r="C86" s="1"/>
      <c r="D86" s="1"/>
      <c r="E86" s="1"/>
      <c r="F86" s="1"/>
      <c r="G86" s="1"/>
      <c r="H86" s="1"/>
    </row>
    <row r="87" spans="1:8" x14ac:dyDescent="0.2">
      <c r="A87" s="1"/>
      <c r="B87" s="1"/>
      <c r="C87" s="1"/>
      <c r="D87" s="1"/>
      <c r="E87" s="1"/>
      <c r="F87" s="1"/>
      <c r="G87" s="1"/>
      <c r="H87" s="1"/>
    </row>
    <row r="88" spans="1:8" x14ac:dyDescent="0.2">
      <c r="A88" s="1"/>
      <c r="B88" s="1"/>
      <c r="C88" s="1"/>
      <c r="D88" s="1"/>
      <c r="E88" s="1"/>
      <c r="F88" s="1"/>
      <c r="G88" s="1"/>
      <c r="H88" s="1"/>
    </row>
    <row r="89" spans="1:8" x14ac:dyDescent="0.2">
      <c r="A89" s="11" t="s">
        <v>1</v>
      </c>
      <c r="B89" s="12"/>
      <c r="C89" s="12"/>
      <c r="D89" s="13"/>
      <c r="E89" s="8"/>
      <c r="F89" s="8"/>
      <c r="G89" s="8"/>
      <c r="H89" s="8"/>
    </row>
    <row r="90" spans="1:8" x14ac:dyDescent="0.2">
      <c r="A90" s="14" t="s">
        <v>15</v>
      </c>
      <c r="B90" s="15"/>
      <c r="C90" s="15"/>
      <c r="D90" s="16"/>
      <c r="E90" s="8"/>
      <c r="F90" s="8"/>
      <c r="G90" s="8"/>
      <c r="H90" s="8"/>
    </row>
    <row r="91" spans="1:8" x14ac:dyDescent="0.2">
      <c r="A91" s="17" t="s">
        <v>62</v>
      </c>
      <c r="B91" s="18"/>
      <c r="C91" s="18"/>
      <c r="D91" s="19"/>
      <c r="E91" s="8"/>
      <c r="F91" s="8"/>
      <c r="G91" s="8"/>
      <c r="H91" s="8"/>
    </row>
    <row r="92" spans="1:8" x14ac:dyDescent="0.2">
      <c r="A92" s="20"/>
      <c r="B92" s="21"/>
      <c r="C92" s="22"/>
      <c r="D92" s="23"/>
      <c r="E92" s="8"/>
      <c r="F92" s="8" t="s">
        <v>34</v>
      </c>
      <c r="G92" s="8"/>
      <c r="H92" s="8"/>
    </row>
    <row r="93" spans="1:8" ht="15.75" x14ac:dyDescent="0.25">
      <c r="A93" s="24" t="s">
        <v>2</v>
      </c>
      <c r="B93" s="25" t="str">
        <f>[1]Charters!B96</f>
        <v>Esperanza Elem Charter School</v>
      </c>
      <c r="C93" s="26"/>
      <c r="D93" s="27"/>
      <c r="E93" s="8"/>
      <c r="F93" s="8"/>
      <c r="G93" s="8"/>
      <c r="H93" s="8"/>
    </row>
    <row r="94" spans="1:8" x14ac:dyDescent="0.2">
      <c r="A94" s="24"/>
      <c r="B94" s="28"/>
      <c r="C94" s="26"/>
      <c r="D94" s="27"/>
      <c r="E94" s="8"/>
      <c r="F94" s="8"/>
      <c r="G94" s="8"/>
      <c r="H94" s="8"/>
    </row>
    <row r="95" spans="1:8" x14ac:dyDescent="0.2">
      <c r="A95" s="29" t="s">
        <v>0</v>
      </c>
      <c r="B95" s="30">
        <f>[1]Charters!$E$6</f>
        <v>3184</v>
      </c>
      <c r="C95" s="26"/>
      <c r="D95" s="31"/>
      <c r="E95" s="8"/>
      <c r="F95" s="8"/>
      <c r="G95" s="8"/>
      <c r="H95" s="8"/>
    </row>
    <row r="96" spans="1:8" x14ac:dyDescent="0.2">
      <c r="A96" s="32"/>
      <c r="B96" s="6"/>
      <c r="C96" s="33"/>
      <c r="D96" s="34" t="s">
        <v>3</v>
      </c>
      <c r="E96" s="8"/>
      <c r="F96" s="8"/>
      <c r="G96" s="8"/>
      <c r="H96" s="8"/>
    </row>
    <row r="97" spans="1:8" x14ac:dyDescent="0.2">
      <c r="A97" s="29" t="s">
        <v>19</v>
      </c>
      <c r="B97" s="35" t="str">
        <f>[1]Charters!A96</f>
        <v>2I</v>
      </c>
      <c r="C97" s="36" t="s">
        <v>4</v>
      </c>
      <c r="D97" s="37" t="s">
        <v>5</v>
      </c>
      <c r="E97" s="8"/>
      <c r="F97" s="8"/>
      <c r="G97" s="8"/>
      <c r="H97" s="8"/>
    </row>
    <row r="98" spans="1:8" x14ac:dyDescent="0.2">
      <c r="A98" s="38" t="s">
        <v>6</v>
      </c>
      <c r="B98" s="39"/>
      <c r="C98" s="40"/>
      <c r="D98" s="41"/>
      <c r="E98" s="8"/>
      <c r="F98" s="8"/>
      <c r="G98" s="8"/>
      <c r="H98" s="8"/>
    </row>
    <row r="99" spans="1:8" x14ac:dyDescent="0.2">
      <c r="A99" s="38" t="s">
        <v>7</v>
      </c>
      <c r="B99" s="39"/>
      <c r="C99" s="40"/>
      <c r="D99" s="41"/>
      <c r="E99" s="8"/>
      <c r="F99" s="42" t="s">
        <v>23</v>
      </c>
      <c r="G99" s="8"/>
      <c r="H99" s="42" t="s">
        <v>26</v>
      </c>
    </row>
    <row r="100" spans="1:8" x14ac:dyDescent="0.2">
      <c r="A100" s="20" t="s">
        <v>8</v>
      </c>
      <c r="B100" s="43"/>
      <c r="C100" s="44">
        <f>[1]Charters!C556</f>
        <v>419.32499999999999</v>
      </c>
      <c r="D100" s="45">
        <f>[1]Charters!E556</f>
        <v>1335132.19</v>
      </c>
      <c r="E100" s="8"/>
      <c r="F100" s="42">
        <f>[1]Charters!E711</f>
        <v>1401888.8</v>
      </c>
      <c r="G100" s="8"/>
      <c r="H100" s="42">
        <f>[2]Charters!E250</f>
        <v>1680295.58</v>
      </c>
    </row>
    <row r="101" spans="1:8" x14ac:dyDescent="0.2">
      <c r="A101" s="20" t="s">
        <v>14</v>
      </c>
      <c r="B101" s="43"/>
      <c r="C101" s="44">
        <f>[1]Charters!F556</f>
        <v>20.966000000000001</v>
      </c>
      <c r="D101" s="45">
        <f>[1]Charters!H556</f>
        <v>66756.61</v>
      </c>
      <c r="E101" s="8"/>
      <c r="F101" s="42">
        <f>SUM(D100:D102)</f>
        <v>1401888.8</v>
      </c>
      <c r="G101" s="8"/>
      <c r="H101" s="42">
        <f>D113</f>
        <v>1680295.58</v>
      </c>
    </row>
    <row r="102" spans="1:8" x14ac:dyDescent="0.2">
      <c r="A102" s="20" t="s">
        <v>32</v>
      </c>
      <c r="B102" s="43"/>
      <c r="C102" s="44">
        <f>[1]Charters!C249</f>
        <v>0</v>
      </c>
      <c r="D102" s="45">
        <f>[1]Charters!E249</f>
        <v>0</v>
      </c>
      <c r="E102" s="8"/>
      <c r="F102" s="42">
        <f>+F100-F101</f>
        <v>0</v>
      </c>
      <c r="G102" s="8"/>
      <c r="H102" s="42">
        <f>+H100-H101</f>
        <v>0</v>
      </c>
    </row>
    <row r="103" spans="1:8" x14ac:dyDescent="0.2">
      <c r="A103" s="38" t="s">
        <v>9</v>
      </c>
      <c r="B103" s="39"/>
      <c r="C103" s="46"/>
      <c r="D103" s="47"/>
      <c r="E103" s="8"/>
      <c r="F103" s="8"/>
      <c r="G103" s="8"/>
      <c r="H103" s="8"/>
    </row>
    <row r="104" spans="1:8" x14ac:dyDescent="0.2">
      <c r="A104" s="20" t="s">
        <v>10</v>
      </c>
      <c r="B104" s="43"/>
      <c r="C104" s="40">
        <f>[3]Charters!C95</f>
        <v>40.716999999999999</v>
      </c>
      <c r="D104" s="41">
        <f>[3]Charters!E95</f>
        <v>129641.87</v>
      </c>
      <c r="E104" s="8"/>
      <c r="F104" s="42" t="s">
        <v>24</v>
      </c>
      <c r="G104" s="8"/>
      <c r="H104" s="8"/>
    </row>
    <row r="105" spans="1:8" x14ac:dyDescent="0.2">
      <c r="A105" s="48" t="s">
        <v>11</v>
      </c>
      <c r="B105" s="43"/>
      <c r="C105" s="40">
        <f>[3]Charters!F95</f>
        <v>0</v>
      </c>
      <c r="D105" s="49">
        <f>[3]Charters!H95</f>
        <v>0</v>
      </c>
      <c r="E105" s="8"/>
      <c r="F105" s="42">
        <f>[3]Charters!N407</f>
        <v>136851.07999999999</v>
      </c>
      <c r="G105" s="8"/>
      <c r="H105" s="8"/>
    </row>
    <row r="106" spans="1:8" x14ac:dyDescent="0.2">
      <c r="A106" s="48" t="s">
        <v>12</v>
      </c>
      <c r="B106" s="43"/>
      <c r="C106" s="40">
        <f>[3]Charters!C250</f>
        <v>0</v>
      </c>
      <c r="D106" s="41">
        <f>[3]Charters!E250</f>
        <v>0</v>
      </c>
      <c r="E106" s="8"/>
      <c r="F106" s="42">
        <f>SUM(D104:D110)</f>
        <v>136851.07999999999</v>
      </c>
      <c r="G106" s="8"/>
      <c r="H106" s="8"/>
    </row>
    <row r="107" spans="1:8" x14ac:dyDescent="0.2">
      <c r="A107" s="20" t="s">
        <v>13</v>
      </c>
      <c r="B107" s="43"/>
      <c r="C107" s="40">
        <f>[3]Charters!F250</f>
        <v>0.70899999999999996</v>
      </c>
      <c r="D107" s="41">
        <f>[3]Charters!H250</f>
        <v>2259</v>
      </c>
      <c r="E107" s="8"/>
      <c r="F107" s="42">
        <f>+F105-F106</f>
        <v>0</v>
      </c>
      <c r="G107" s="8"/>
      <c r="H107" s="8"/>
    </row>
    <row r="108" spans="1:8" x14ac:dyDescent="0.2">
      <c r="A108" s="48" t="s">
        <v>54</v>
      </c>
      <c r="B108" s="43"/>
      <c r="C108" s="40">
        <f>[3]Charters!C407</f>
        <v>1.5549999999999999</v>
      </c>
      <c r="D108" s="41">
        <f>[3]Charters!E407</f>
        <v>4950.21</v>
      </c>
      <c r="E108" s="8"/>
      <c r="F108" s="8"/>
      <c r="G108" s="8"/>
      <c r="H108" s="8"/>
    </row>
    <row r="109" spans="1:8" x14ac:dyDescent="0.2">
      <c r="A109" s="48" t="s">
        <v>55</v>
      </c>
      <c r="B109" s="43"/>
      <c r="C109" s="40">
        <f>[3]Charters!F407</f>
        <v>0</v>
      </c>
      <c r="D109" s="41">
        <f>[3]Charters!H407</f>
        <v>0</v>
      </c>
      <c r="E109" s="8"/>
      <c r="F109" s="42" t="s">
        <v>25</v>
      </c>
      <c r="G109" s="8"/>
      <c r="H109" s="8"/>
    </row>
    <row r="110" spans="1:8" x14ac:dyDescent="0.2">
      <c r="A110" s="48" t="s">
        <v>56</v>
      </c>
      <c r="B110" s="43"/>
      <c r="C110" s="40">
        <f>[3]Charters!I407</f>
        <v>0</v>
      </c>
      <c r="D110" s="41">
        <f>[3]Charters!K407</f>
        <v>0</v>
      </c>
      <c r="E110" s="8"/>
      <c r="F110" s="42">
        <f>[2]Charters!H96</f>
        <v>278406.78000000003</v>
      </c>
      <c r="G110" s="8"/>
      <c r="H110" s="8"/>
    </row>
    <row r="111" spans="1:8" x14ac:dyDescent="0.2">
      <c r="A111" s="20" t="s">
        <v>49</v>
      </c>
      <c r="B111" s="43"/>
      <c r="C111" s="40">
        <f>[3]Charters!C563</f>
        <v>0</v>
      </c>
      <c r="D111" s="41">
        <f>[3]Charters!E563</f>
        <v>0</v>
      </c>
      <c r="E111" s="8"/>
      <c r="F111" s="42">
        <f>SUM(D104:D112)</f>
        <v>278406.78000000003</v>
      </c>
      <c r="G111" s="8"/>
      <c r="H111" s="8"/>
    </row>
    <row r="112" spans="1:8" x14ac:dyDescent="0.2">
      <c r="A112" s="20" t="s">
        <v>50</v>
      </c>
      <c r="B112" s="43"/>
      <c r="C112" s="40">
        <f>[2]Charters!C96</f>
        <v>44.457999999999998</v>
      </c>
      <c r="D112" s="41">
        <f>[2]Charters!E96</f>
        <v>141555.70000000001</v>
      </c>
      <c r="E112" s="8"/>
      <c r="F112" s="42">
        <f>+F110-F111</f>
        <v>0</v>
      </c>
      <c r="G112" s="8"/>
      <c r="H112" s="8"/>
    </row>
    <row r="113" spans="1:8" x14ac:dyDescent="0.2">
      <c r="A113" s="50"/>
      <c r="B113" s="51" t="s">
        <v>16</v>
      </c>
      <c r="C113" s="52">
        <f>SUM(C100:C112)</f>
        <v>527.73</v>
      </c>
      <c r="D113" s="53">
        <f>SUM(D100:D112)</f>
        <v>1680295.58</v>
      </c>
      <c r="E113" s="8"/>
      <c r="F113" s="8"/>
      <c r="G113" s="8"/>
      <c r="H113" s="8"/>
    </row>
    <row r="114" spans="1:8" x14ac:dyDescent="0.2">
      <c r="A114" s="54" t="s">
        <v>17</v>
      </c>
      <c r="B114" s="39"/>
      <c r="C114" s="55"/>
      <c r="D114" s="47"/>
      <c r="E114" s="8"/>
      <c r="F114" s="8"/>
      <c r="G114" s="8"/>
      <c r="H114" s="42" t="s">
        <v>29</v>
      </c>
    </row>
    <row r="115" spans="1:8" x14ac:dyDescent="0.2">
      <c r="A115" s="20" t="s">
        <v>33</v>
      </c>
      <c r="B115" s="43"/>
      <c r="C115" s="56"/>
      <c r="D115" s="57">
        <f>[4]Charters!C96</f>
        <v>4870.28</v>
      </c>
      <c r="E115" s="8"/>
      <c r="F115" s="8"/>
      <c r="G115" s="8"/>
      <c r="H115" s="42">
        <f>[4]Charters!F1036</f>
        <v>2956980.78</v>
      </c>
    </row>
    <row r="116" spans="1:8" x14ac:dyDescent="0.2">
      <c r="A116" s="58" t="s">
        <v>35</v>
      </c>
      <c r="B116" s="43"/>
      <c r="C116" s="56"/>
      <c r="D116" s="41">
        <f>+[4]Charters!F417</f>
        <v>2018.21</v>
      </c>
      <c r="E116" s="8"/>
      <c r="F116" s="8"/>
      <c r="G116" s="8"/>
      <c r="H116" s="42">
        <f>SUM(D113:D132)</f>
        <v>2956980.78</v>
      </c>
    </row>
    <row r="117" spans="1:8" x14ac:dyDescent="0.2">
      <c r="A117" s="59" t="s">
        <v>36</v>
      </c>
      <c r="B117" s="43"/>
      <c r="C117" s="56"/>
      <c r="D117" s="41">
        <f>[4]Charters!E256</f>
        <v>25222</v>
      </c>
      <c r="E117" s="8"/>
      <c r="F117" s="8"/>
      <c r="G117" s="8"/>
      <c r="H117" s="42">
        <f>+H115-H116</f>
        <v>0</v>
      </c>
    </row>
    <row r="118" spans="1:8" x14ac:dyDescent="0.2">
      <c r="A118" s="59" t="s">
        <v>52</v>
      </c>
      <c r="B118" s="43"/>
      <c r="C118" s="56"/>
      <c r="D118" s="41">
        <f>[4]Charters!G417</f>
        <v>0</v>
      </c>
      <c r="E118" s="8"/>
      <c r="F118" s="42" t="s">
        <v>27</v>
      </c>
      <c r="G118" s="8"/>
      <c r="H118" s="42"/>
    </row>
    <row r="119" spans="1:8" x14ac:dyDescent="0.2">
      <c r="A119" s="20" t="s">
        <v>37</v>
      </c>
      <c r="B119" s="43"/>
      <c r="C119" s="56"/>
      <c r="D119" s="41">
        <f>[4]Charters!E573</f>
        <v>34818</v>
      </c>
      <c r="E119" s="8"/>
      <c r="F119" s="42">
        <f>[4]Charters!E256</f>
        <v>25222</v>
      </c>
      <c r="G119" s="8"/>
      <c r="H119" s="8"/>
    </row>
    <row r="120" spans="1:8" x14ac:dyDescent="0.2">
      <c r="A120" s="20" t="s">
        <v>38</v>
      </c>
      <c r="B120" s="43"/>
      <c r="C120" s="56"/>
      <c r="D120" s="41">
        <f>[4]Charters!F573</f>
        <v>0</v>
      </c>
      <c r="E120" s="8"/>
      <c r="F120" s="42">
        <f>SUM(D117:D117)</f>
        <v>25222</v>
      </c>
      <c r="G120" s="8"/>
      <c r="H120" s="8"/>
    </row>
    <row r="121" spans="1:8" x14ac:dyDescent="0.2">
      <c r="A121" s="59" t="s">
        <v>40</v>
      </c>
      <c r="B121" s="43"/>
      <c r="C121" s="56"/>
      <c r="D121" s="41">
        <f>[4]Charters!G573</f>
        <v>70516</v>
      </c>
      <c r="E121" s="8"/>
      <c r="F121" s="42">
        <f>+F119-F120</f>
        <v>0</v>
      </c>
      <c r="G121" s="8"/>
      <c r="H121" s="8"/>
    </row>
    <row r="122" spans="1:8" x14ac:dyDescent="0.2">
      <c r="A122" s="20" t="s">
        <v>41</v>
      </c>
      <c r="B122" s="43"/>
      <c r="C122" s="56"/>
      <c r="D122" s="41">
        <f>[4]Charters!C727</f>
        <v>1016508</v>
      </c>
      <c r="E122" s="8"/>
      <c r="F122" s="42" t="s">
        <v>28</v>
      </c>
      <c r="G122" s="8"/>
      <c r="H122" s="8"/>
    </row>
    <row r="123" spans="1:8" x14ac:dyDescent="0.2">
      <c r="A123" s="20" t="s">
        <v>42</v>
      </c>
      <c r="B123" s="43"/>
      <c r="C123" s="56"/>
      <c r="D123" s="41">
        <f>[4]Charters!D727</f>
        <v>50036.480000000003</v>
      </c>
      <c r="E123" s="8"/>
      <c r="F123" s="42">
        <f>[4]Charters!D573</f>
        <v>27240.21</v>
      </c>
      <c r="G123" s="8"/>
      <c r="H123" s="8"/>
    </row>
    <row r="124" spans="1:8" x14ac:dyDescent="0.2">
      <c r="A124" s="20" t="s">
        <v>44</v>
      </c>
      <c r="B124" s="43"/>
      <c r="C124" s="56"/>
      <c r="D124" s="41">
        <f>[4]Charters!E727</f>
        <v>50800</v>
      </c>
      <c r="E124" s="8"/>
      <c r="F124" s="42">
        <f>SUM(D116:D118)</f>
        <v>27240.21</v>
      </c>
      <c r="G124" s="8"/>
      <c r="H124" s="8"/>
    </row>
    <row r="125" spans="1:8" x14ac:dyDescent="0.2">
      <c r="A125" s="59" t="s">
        <v>43</v>
      </c>
      <c r="B125" s="43"/>
      <c r="C125" s="56"/>
      <c r="D125" s="41">
        <f>[4]Charters!F727</f>
        <v>21194.99</v>
      </c>
      <c r="E125" s="8"/>
      <c r="F125" s="42">
        <f>+F123-F124</f>
        <v>0</v>
      </c>
      <c r="G125" s="8"/>
      <c r="H125" s="8"/>
    </row>
    <row r="126" spans="1:8" x14ac:dyDescent="0.2">
      <c r="A126" s="59" t="s">
        <v>45</v>
      </c>
      <c r="B126" s="43"/>
      <c r="C126" s="56"/>
      <c r="D126" s="41">
        <f>[4]Charters!C573</f>
        <v>0</v>
      </c>
      <c r="E126" s="8"/>
      <c r="F126" s="8"/>
      <c r="G126" s="8"/>
      <c r="H126" s="8"/>
    </row>
    <row r="127" spans="1:8" x14ac:dyDescent="0.2">
      <c r="A127" s="59" t="s">
        <v>46</v>
      </c>
      <c r="B127" s="43"/>
      <c r="C127" s="56"/>
      <c r="D127" s="41">
        <f>[4]Charters!C883</f>
        <v>0</v>
      </c>
      <c r="E127" s="42"/>
      <c r="F127" s="42"/>
      <c r="G127" s="42"/>
      <c r="H127" s="42" t="s">
        <v>31</v>
      </c>
    </row>
    <row r="128" spans="1:8" x14ac:dyDescent="0.2">
      <c r="A128" s="59" t="s">
        <v>51</v>
      </c>
      <c r="B128" s="43"/>
      <c r="C128" s="56"/>
      <c r="D128" s="60">
        <f>[4]Charters!D883</f>
        <v>701.24</v>
      </c>
      <c r="E128" s="42"/>
      <c r="F128" s="42"/>
      <c r="G128" s="42"/>
      <c r="H128" s="42">
        <f>[4]Charters!D1342</f>
        <v>2958783.98</v>
      </c>
    </row>
    <row r="129" spans="1:8" x14ac:dyDescent="0.2">
      <c r="A129" s="20" t="s">
        <v>47</v>
      </c>
      <c r="B129" s="43"/>
      <c r="C129" s="56"/>
      <c r="D129" s="60">
        <f>[4]Charters!E883</f>
        <v>0</v>
      </c>
      <c r="E129" s="42"/>
      <c r="F129" s="42"/>
      <c r="G129" s="42"/>
      <c r="H129" s="42">
        <f>D138</f>
        <v>2958783.98</v>
      </c>
    </row>
    <row r="130" spans="1:8" x14ac:dyDescent="0.2">
      <c r="A130" s="20" t="s">
        <v>57</v>
      </c>
      <c r="B130" s="43"/>
      <c r="C130" s="56"/>
      <c r="D130" s="60">
        <f>[4]Charters!C1036</f>
        <v>0</v>
      </c>
      <c r="E130" s="42"/>
      <c r="F130" s="42"/>
      <c r="G130" s="42"/>
      <c r="H130" s="42">
        <f>+H128-H129</f>
        <v>0</v>
      </c>
    </row>
    <row r="131" spans="1:8" x14ac:dyDescent="0.2">
      <c r="A131" s="59" t="s">
        <v>53</v>
      </c>
      <c r="B131" s="43"/>
      <c r="C131" s="56"/>
      <c r="D131" s="60">
        <f>[4]Charters!D1036</f>
        <v>0</v>
      </c>
      <c r="E131" s="42"/>
      <c r="F131" s="42" t="s">
        <v>30</v>
      </c>
      <c r="G131" s="42"/>
      <c r="H131" s="42"/>
    </row>
    <row r="132" spans="1:8" x14ac:dyDescent="0.2">
      <c r="A132" s="59" t="s">
        <v>59</v>
      </c>
      <c r="B132" s="43"/>
      <c r="C132" s="56"/>
      <c r="D132" s="60">
        <f>[4]Charters!E1036</f>
        <v>0</v>
      </c>
      <c r="E132" s="42"/>
      <c r="F132" s="42"/>
      <c r="G132" s="42"/>
      <c r="H132" s="42"/>
    </row>
    <row r="133" spans="1:8" x14ac:dyDescent="0.2">
      <c r="A133" s="38" t="s">
        <v>18</v>
      </c>
      <c r="B133" s="61"/>
      <c r="C133" s="62"/>
      <c r="D133" s="87"/>
      <c r="E133" s="42"/>
      <c r="F133" s="42">
        <f>[4]Charters!C1342</f>
        <v>1803.2</v>
      </c>
      <c r="G133" s="42"/>
      <c r="H133" s="42"/>
    </row>
    <row r="134" spans="1:8" x14ac:dyDescent="0.2">
      <c r="A134" s="59" t="s">
        <v>39</v>
      </c>
      <c r="B134" s="43"/>
      <c r="C134" s="56"/>
      <c r="D134" s="41">
        <f>[4]Charters!C1189</f>
        <v>1803.2</v>
      </c>
      <c r="E134" s="42"/>
      <c r="F134" s="42">
        <f>SUM(D134:D137)</f>
        <v>1803.2</v>
      </c>
      <c r="G134" s="42"/>
      <c r="H134" s="42"/>
    </row>
    <row r="135" spans="1:8" x14ac:dyDescent="0.2">
      <c r="A135" s="59" t="s">
        <v>48</v>
      </c>
      <c r="B135" s="43"/>
      <c r="C135" s="56"/>
      <c r="D135" s="41">
        <f>[4]Charters!D1189</f>
        <v>0</v>
      </c>
      <c r="E135" s="42"/>
      <c r="F135" s="42">
        <f>+F133-F134</f>
        <v>0</v>
      </c>
      <c r="G135" s="42"/>
      <c r="H135" s="42"/>
    </row>
    <row r="136" spans="1:8" x14ac:dyDescent="0.2">
      <c r="A136" s="59" t="s">
        <v>60</v>
      </c>
      <c r="B136" s="43"/>
      <c r="C136" s="56"/>
      <c r="D136" s="41">
        <f>[4]Charters!E1189</f>
        <v>0</v>
      </c>
      <c r="E136" s="42"/>
      <c r="F136" s="42"/>
      <c r="G136" s="42"/>
      <c r="H136" s="42"/>
    </row>
    <row r="137" spans="1:8" x14ac:dyDescent="0.2">
      <c r="A137" s="59" t="s">
        <v>61</v>
      </c>
      <c r="B137" s="43"/>
      <c r="C137" s="56"/>
      <c r="D137" s="41">
        <f>[4]Charters!F1189</f>
        <v>0</v>
      </c>
      <c r="E137" s="42"/>
      <c r="F137" s="42"/>
      <c r="G137" s="42"/>
      <c r="H137" s="42"/>
    </row>
    <row r="138" spans="1:8" ht="13.5" thickBot="1" x14ac:dyDescent="0.25">
      <c r="A138" s="64"/>
      <c r="B138" s="65"/>
      <c r="C138" s="66"/>
      <c r="D138" s="67">
        <f>SUM(D113:D137)</f>
        <v>2958783.98</v>
      </c>
      <c r="E138" s="42"/>
      <c r="F138" s="42"/>
      <c r="G138" s="42"/>
      <c r="H138" s="42"/>
    </row>
    <row r="139" spans="1:8" ht="13.5" thickTop="1" x14ac:dyDescent="0.2">
      <c r="A139" s="68"/>
      <c r="B139" s="43"/>
      <c r="C139" s="56"/>
      <c r="D139" s="86"/>
      <c r="E139" s="42"/>
      <c r="F139" s="42"/>
      <c r="G139" s="42"/>
      <c r="H139" s="42"/>
    </row>
    <row r="140" spans="1:8" x14ac:dyDescent="0.2">
      <c r="A140" s="38" t="s">
        <v>20</v>
      </c>
      <c r="B140" s="39"/>
      <c r="C140" s="70"/>
      <c r="D140" s="71" t="s">
        <v>21</v>
      </c>
      <c r="E140" s="42"/>
      <c r="F140" s="42"/>
      <c r="G140" s="42"/>
      <c r="H140" s="42"/>
    </row>
    <row r="141" spans="1:8" x14ac:dyDescent="0.2">
      <c r="A141" s="72" t="s">
        <v>22</v>
      </c>
      <c r="B141" s="73"/>
      <c r="C141" s="74"/>
      <c r="D141" s="41">
        <f>[5]Charters!C95</f>
        <v>1132.94</v>
      </c>
      <c r="E141" s="42"/>
      <c r="F141" s="42"/>
      <c r="G141" s="42"/>
      <c r="H141" s="42"/>
    </row>
    <row r="142" spans="1:8" x14ac:dyDescent="0.2">
      <c r="A142" s="75"/>
      <c r="B142" s="61"/>
      <c r="C142" s="76"/>
      <c r="D142" s="77">
        <f>SUM(D141:D141)</f>
        <v>1132.94</v>
      </c>
      <c r="E142" s="42"/>
      <c r="F142" s="42"/>
      <c r="G142" s="42"/>
      <c r="H142" s="42"/>
    </row>
    <row r="143" spans="1:8" x14ac:dyDescent="0.2">
      <c r="A143" s="78" t="s">
        <v>58</v>
      </c>
      <c r="B143" s="79"/>
      <c r="C143" s="80"/>
      <c r="D143" s="77">
        <f>D142+D138</f>
        <v>2959916.92</v>
      </c>
      <c r="E143" s="42"/>
      <c r="F143" s="42"/>
      <c r="G143" s="42"/>
      <c r="H143" s="42"/>
    </row>
    <row r="144" spans="1:8" x14ac:dyDescent="0.2">
      <c r="A144" s="84"/>
      <c r="B144" s="84"/>
      <c r="C144" s="85"/>
      <c r="D144" s="81"/>
      <c r="E144" s="42"/>
      <c r="F144" s="42"/>
      <c r="G144" s="42"/>
      <c r="H144" s="42"/>
    </row>
    <row r="145" spans="1:8" x14ac:dyDescent="0.2">
      <c r="A145" s="84"/>
      <c r="B145" s="84"/>
      <c r="C145" s="85"/>
      <c r="D145" s="81">
        <f>[5]Charters!E251</f>
        <v>2959916.92</v>
      </c>
      <c r="E145" s="42"/>
      <c r="F145" s="42"/>
      <c r="G145" s="42"/>
      <c r="H145" s="42"/>
    </row>
    <row r="146" spans="1:8" x14ac:dyDescent="0.2">
      <c r="A146" s="84"/>
      <c r="B146" s="84"/>
      <c r="C146" s="85"/>
      <c r="D146" s="81">
        <f>D143</f>
        <v>2959916.92</v>
      </c>
      <c r="E146" s="42"/>
      <c r="F146" s="42"/>
      <c r="G146" s="42"/>
      <c r="H146" s="42"/>
    </row>
    <row r="147" spans="1:8" x14ac:dyDescent="0.2">
      <c r="C147" s="83"/>
      <c r="D147" s="42">
        <f>D145-D146</f>
        <v>0</v>
      </c>
      <c r="E147" s="42"/>
      <c r="F147" s="42"/>
      <c r="G147" s="42"/>
      <c r="H147" s="42"/>
    </row>
  </sheetData>
  <mergeCells count="4">
    <mergeCell ref="A143:C143"/>
    <mergeCell ref="A91:D91"/>
    <mergeCell ref="A90:D90"/>
    <mergeCell ref="A89:D89"/>
  </mergeCells>
  <printOptions horizontalCentered="1" verticalCentered="1"/>
  <pageMargins left="0.5" right="0.5" top="0.5" bottom="0.5" header="0.25" footer="0.25"/>
  <pageSetup orientation="portrait" r:id="rId1"/>
  <headerFooter alignWithMargins="0">
    <oddHeader>&amp;R&amp;8Current as of: &amp;D</oddHeader>
    <oddFooter>&amp;L&amp;8USOE, School Finance</oddFooter>
  </headerFooter>
  <picture r:id="rId2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400-000000000000}">
  <sheetPr>
    <pageSetUpPr fitToPage="1"/>
  </sheetPr>
  <dimension ref="A1:H148"/>
  <sheetViews>
    <sheetView topLeftCell="A90" workbookViewId="0">
      <selection activeCell="C12" sqref="C12"/>
    </sheetView>
  </sheetViews>
  <sheetFormatPr defaultColWidth="9.140625" defaultRowHeight="12.75" x14ac:dyDescent="0.2"/>
  <cols>
    <col min="1" max="1" width="32.42578125" style="82" customWidth="1"/>
    <col min="2" max="2" width="16.140625" style="82" customWidth="1"/>
    <col min="3" max="3" width="14.85546875" style="82" customWidth="1"/>
    <col min="4" max="4" width="15" style="82" customWidth="1"/>
    <col min="5" max="5" width="9.140625" style="82"/>
    <col min="6" max="6" width="18" style="82" customWidth="1"/>
    <col min="7" max="7" width="7.7109375" style="82" customWidth="1"/>
    <col min="8" max="8" width="17" style="82" customWidth="1"/>
    <col min="9" max="16384" width="9.140625" style="82"/>
  </cols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"/>
      <c r="B3" s="1"/>
      <c r="C3" s="1"/>
      <c r="D3" s="1"/>
      <c r="E3" s="1"/>
      <c r="F3" s="1"/>
      <c r="G3" s="1"/>
      <c r="H3" s="1"/>
    </row>
    <row r="4" spans="1:8" x14ac:dyDescent="0.2">
      <c r="A4" s="1"/>
      <c r="B4" s="1"/>
      <c r="C4" s="1"/>
      <c r="D4" s="1"/>
      <c r="E4" s="1"/>
      <c r="F4" s="1"/>
      <c r="G4" s="1"/>
      <c r="H4" s="1"/>
    </row>
    <row r="5" spans="1:8" x14ac:dyDescent="0.2">
      <c r="A5" s="1"/>
      <c r="B5" s="1"/>
      <c r="C5" s="1"/>
      <c r="D5" s="1"/>
      <c r="E5" s="1"/>
      <c r="F5" s="1"/>
      <c r="G5" s="1"/>
      <c r="H5" s="1"/>
    </row>
    <row r="6" spans="1:8" x14ac:dyDescent="0.2">
      <c r="A6" s="1"/>
      <c r="B6" s="1"/>
      <c r="C6" s="1"/>
      <c r="D6" s="1"/>
      <c r="E6" s="1"/>
      <c r="F6" s="1"/>
      <c r="G6" s="1"/>
      <c r="H6" s="1"/>
    </row>
    <row r="7" spans="1:8" x14ac:dyDescent="0.2">
      <c r="A7" s="1"/>
      <c r="B7" s="1"/>
      <c r="C7" s="1"/>
      <c r="D7" s="1"/>
      <c r="E7" s="1"/>
      <c r="F7" s="1"/>
      <c r="G7" s="1"/>
      <c r="H7" s="1"/>
    </row>
    <row r="8" spans="1:8" x14ac:dyDescent="0.2">
      <c r="A8" s="1"/>
      <c r="B8" s="1"/>
      <c r="C8" s="1"/>
      <c r="D8" s="1"/>
      <c r="E8" s="1"/>
      <c r="F8" s="1"/>
      <c r="G8" s="1"/>
      <c r="H8" s="1"/>
    </row>
    <row r="9" spans="1:8" x14ac:dyDescent="0.2">
      <c r="A9" s="1"/>
      <c r="B9" s="1"/>
      <c r="C9" s="1"/>
      <c r="D9" s="1"/>
      <c r="E9" s="1"/>
      <c r="F9" s="1"/>
      <c r="G9" s="1"/>
      <c r="H9" s="1"/>
    </row>
    <row r="10" spans="1:8" x14ac:dyDescent="0.2">
      <c r="A10" s="1"/>
      <c r="B10" s="1"/>
      <c r="C10" s="1"/>
      <c r="D10" s="1"/>
      <c r="E10" s="1"/>
      <c r="F10" s="1"/>
      <c r="G10" s="1"/>
      <c r="H10" s="1"/>
    </row>
    <row r="11" spans="1:8" x14ac:dyDescent="0.2">
      <c r="A11" s="1"/>
      <c r="B11" s="1"/>
      <c r="C11" s="1"/>
      <c r="D11" s="1"/>
      <c r="E11" s="1"/>
      <c r="F11" s="1"/>
      <c r="G11" s="1"/>
      <c r="H11" s="1"/>
    </row>
    <row r="12" spans="1:8" x14ac:dyDescent="0.2">
      <c r="A12" s="1"/>
      <c r="B12" s="1"/>
      <c r="C12" s="1"/>
      <c r="D12" s="1"/>
      <c r="E12" s="1"/>
      <c r="F12" s="1"/>
      <c r="G12" s="1"/>
      <c r="H12" s="1"/>
    </row>
    <row r="13" spans="1:8" x14ac:dyDescent="0.2">
      <c r="A13" s="1"/>
      <c r="B13" s="1"/>
      <c r="C13" s="1"/>
      <c r="D13" s="1"/>
      <c r="E13" s="1"/>
      <c r="F13" s="1"/>
      <c r="G13" s="1"/>
      <c r="H13" s="1"/>
    </row>
    <row r="14" spans="1:8" x14ac:dyDescent="0.2">
      <c r="A14" s="1"/>
      <c r="B14" s="1"/>
      <c r="C14" s="1"/>
      <c r="D14" s="1"/>
      <c r="E14" s="1"/>
      <c r="F14" s="1"/>
      <c r="G14" s="1"/>
      <c r="H14" s="1"/>
    </row>
    <row r="15" spans="1:8" x14ac:dyDescent="0.2">
      <c r="A15" s="1"/>
      <c r="B15" s="1"/>
      <c r="C15" s="1"/>
      <c r="D15" s="1"/>
      <c r="E15" s="1"/>
      <c r="F15" s="1"/>
      <c r="G15" s="1"/>
      <c r="H15" s="1"/>
    </row>
    <row r="16" spans="1:8" x14ac:dyDescent="0.2">
      <c r="A16" s="1"/>
      <c r="B16" s="1"/>
      <c r="C16" s="1"/>
      <c r="D16" s="1"/>
      <c r="E16" s="1"/>
      <c r="F16" s="1"/>
      <c r="G16" s="1"/>
      <c r="H16" s="1"/>
    </row>
    <row r="17" spans="1:8" x14ac:dyDescent="0.2">
      <c r="A17" s="1"/>
      <c r="B17" s="1"/>
      <c r="C17" s="1"/>
      <c r="D17" s="1"/>
      <c r="E17" s="1"/>
      <c r="F17" s="1"/>
      <c r="G17" s="1"/>
      <c r="H17" s="1"/>
    </row>
    <row r="18" spans="1:8" x14ac:dyDescent="0.2">
      <c r="A18" s="1"/>
      <c r="B18" s="1"/>
      <c r="C18" s="1"/>
      <c r="D18" s="1"/>
      <c r="E18" s="1"/>
      <c r="F18" s="1"/>
      <c r="G18" s="1"/>
      <c r="H18" s="1"/>
    </row>
    <row r="19" spans="1:8" x14ac:dyDescent="0.2">
      <c r="A19" s="1"/>
      <c r="B19" s="1"/>
      <c r="C19" s="1"/>
      <c r="D19" s="1"/>
      <c r="E19" s="1"/>
      <c r="F19" s="1"/>
      <c r="G19" s="1"/>
      <c r="H19" s="1"/>
    </row>
    <row r="20" spans="1:8" x14ac:dyDescent="0.2">
      <c r="A20" s="1"/>
      <c r="B20" s="1"/>
      <c r="C20" s="1"/>
      <c r="D20" s="1"/>
      <c r="E20" s="1"/>
      <c r="F20" s="1"/>
      <c r="G20" s="1"/>
      <c r="H20" s="1"/>
    </row>
    <row r="21" spans="1:8" x14ac:dyDescent="0.2">
      <c r="A21" s="1"/>
      <c r="B21" s="1"/>
      <c r="C21" s="1"/>
      <c r="D21" s="1"/>
      <c r="E21" s="1"/>
      <c r="F21" s="1"/>
      <c r="G21" s="1"/>
      <c r="H21" s="1"/>
    </row>
    <row r="22" spans="1:8" x14ac:dyDescent="0.2">
      <c r="A22" s="1"/>
      <c r="B22" s="1"/>
      <c r="C22" s="1"/>
      <c r="D22" s="4"/>
      <c r="E22" s="1"/>
      <c r="F22" s="1"/>
      <c r="G22" s="1"/>
      <c r="H22" s="1"/>
    </row>
    <row r="23" spans="1:8" x14ac:dyDescent="0.2">
      <c r="A23" s="1"/>
      <c r="B23" s="1"/>
      <c r="C23" s="1"/>
      <c r="D23" s="1"/>
      <c r="E23" s="1"/>
      <c r="F23" s="1"/>
      <c r="G23" s="1"/>
      <c r="H23" s="1"/>
    </row>
    <row r="24" spans="1:8" x14ac:dyDescent="0.2">
      <c r="A24" s="1"/>
      <c r="B24" s="1"/>
      <c r="C24" s="1"/>
      <c r="D24" s="1"/>
      <c r="E24" s="1"/>
      <c r="F24" s="1"/>
      <c r="G24" s="1"/>
      <c r="H24" s="1"/>
    </row>
    <row r="25" spans="1:8" x14ac:dyDescent="0.2">
      <c r="A25" s="1"/>
      <c r="B25" s="1"/>
      <c r="C25" s="1"/>
      <c r="D25" s="1"/>
      <c r="E25" s="1"/>
      <c r="F25" s="1"/>
      <c r="G25" s="1"/>
      <c r="H25" s="1"/>
    </row>
    <row r="26" spans="1:8" x14ac:dyDescent="0.2">
      <c r="A26" s="1"/>
      <c r="B26" s="1"/>
      <c r="C26" s="1"/>
      <c r="D26" s="1"/>
      <c r="E26" s="1"/>
      <c r="F26" s="1"/>
      <c r="G26" s="1"/>
      <c r="H26" s="1"/>
    </row>
    <row r="27" spans="1:8" x14ac:dyDescent="0.2">
      <c r="A27" s="1"/>
      <c r="B27" s="1"/>
      <c r="C27" s="1"/>
      <c r="D27" s="1"/>
      <c r="E27" s="1"/>
      <c r="F27" s="1"/>
      <c r="G27" s="1"/>
      <c r="H27" s="1"/>
    </row>
    <row r="28" spans="1:8" x14ac:dyDescent="0.2">
      <c r="A28" s="1"/>
      <c r="B28" s="1"/>
      <c r="C28" s="1"/>
      <c r="D28" s="1"/>
      <c r="E28" s="1"/>
      <c r="F28" s="1"/>
      <c r="G28" s="1"/>
      <c r="H28" s="1"/>
    </row>
    <row r="29" spans="1:8" x14ac:dyDescent="0.2">
      <c r="A29" s="1"/>
      <c r="B29" s="1"/>
      <c r="C29" s="1"/>
      <c r="D29" s="1"/>
      <c r="E29" s="1"/>
      <c r="F29" s="1"/>
      <c r="G29" s="1"/>
      <c r="H29" s="1"/>
    </row>
    <row r="30" spans="1:8" x14ac:dyDescent="0.2">
      <c r="A30" s="1"/>
      <c r="B30" s="1"/>
      <c r="C30" s="1"/>
      <c r="D30" s="1"/>
      <c r="E30" s="1"/>
      <c r="F30" s="1"/>
      <c r="G30" s="1"/>
      <c r="H30" s="1"/>
    </row>
    <row r="31" spans="1:8" x14ac:dyDescent="0.2">
      <c r="A31" s="1"/>
      <c r="B31" s="1"/>
      <c r="C31" s="1"/>
      <c r="D31" s="1"/>
      <c r="E31" s="1"/>
      <c r="F31" s="1"/>
      <c r="G31" s="1"/>
      <c r="H31" s="1"/>
    </row>
    <row r="32" spans="1:8" x14ac:dyDescent="0.2">
      <c r="A32" s="1"/>
      <c r="B32" s="1"/>
      <c r="C32" s="1"/>
      <c r="D32" s="1"/>
      <c r="E32" s="1"/>
      <c r="F32" s="1"/>
      <c r="G32" s="1"/>
      <c r="H32" s="1"/>
    </row>
    <row r="33" spans="1:8" x14ac:dyDescent="0.2">
      <c r="A33" s="1"/>
      <c r="B33" s="1"/>
      <c r="C33" s="1"/>
      <c r="D33" s="1"/>
      <c r="E33" s="1"/>
      <c r="F33" s="1"/>
      <c r="G33" s="1"/>
      <c r="H33" s="1"/>
    </row>
    <row r="34" spans="1:8" x14ac:dyDescent="0.2">
      <c r="A34" s="1"/>
      <c r="B34" s="1"/>
      <c r="C34" s="1"/>
      <c r="D34" s="1"/>
      <c r="E34" s="1"/>
      <c r="F34" s="1"/>
      <c r="G34" s="1"/>
      <c r="H34" s="1"/>
    </row>
    <row r="35" spans="1:8" x14ac:dyDescent="0.2">
      <c r="A35" s="1"/>
      <c r="B35" s="1"/>
      <c r="C35" s="1"/>
      <c r="D35" s="1"/>
      <c r="E35" s="1"/>
      <c r="F35" s="1"/>
      <c r="G35" s="1"/>
      <c r="H35" s="1"/>
    </row>
    <row r="36" spans="1:8" x14ac:dyDescent="0.2">
      <c r="A36" s="1"/>
      <c r="B36" s="1"/>
      <c r="C36" s="1"/>
      <c r="D36" s="1"/>
      <c r="E36" s="1"/>
      <c r="F36" s="1"/>
      <c r="G36" s="1"/>
      <c r="H36" s="1"/>
    </row>
    <row r="37" spans="1:8" x14ac:dyDescent="0.2">
      <c r="A37" s="1"/>
      <c r="B37" s="1"/>
      <c r="C37" s="1"/>
      <c r="D37" s="1"/>
      <c r="E37" s="1"/>
      <c r="F37" s="1"/>
      <c r="G37" s="1"/>
      <c r="H37" s="1"/>
    </row>
    <row r="38" spans="1:8" x14ac:dyDescent="0.2">
      <c r="A38" s="1"/>
      <c r="B38" s="1"/>
      <c r="C38" s="1"/>
      <c r="D38" s="1"/>
      <c r="E38" s="1"/>
      <c r="F38" s="1"/>
      <c r="G38" s="1"/>
      <c r="H38" s="1"/>
    </row>
    <row r="39" spans="1:8" x14ac:dyDescent="0.2">
      <c r="A39" s="1"/>
      <c r="B39" s="1"/>
      <c r="C39" s="1"/>
      <c r="D39" s="1"/>
      <c r="E39" s="1"/>
      <c r="F39" s="1"/>
      <c r="G39" s="1"/>
      <c r="H39" s="1"/>
    </row>
    <row r="40" spans="1:8" x14ac:dyDescent="0.2">
      <c r="A40" s="1"/>
      <c r="B40" s="1"/>
      <c r="C40" s="1"/>
      <c r="D40" s="1"/>
      <c r="E40" s="1"/>
      <c r="F40" s="1"/>
      <c r="G40" s="1"/>
      <c r="H40" s="1"/>
    </row>
    <row r="41" spans="1:8" x14ac:dyDescent="0.2">
      <c r="A41" s="1"/>
      <c r="B41" s="1"/>
      <c r="C41" s="1"/>
      <c r="D41" s="1"/>
      <c r="E41" s="1"/>
      <c r="F41" s="1"/>
      <c r="G41" s="1"/>
      <c r="H41" s="1"/>
    </row>
    <row r="42" spans="1:8" x14ac:dyDescent="0.2">
      <c r="A42" s="1"/>
      <c r="B42" s="1"/>
      <c r="C42" s="1"/>
      <c r="D42" s="1"/>
      <c r="E42" s="1"/>
      <c r="F42" s="1"/>
      <c r="G42" s="1"/>
      <c r="H42" s="1"/>
    </row>
    <row r="43" spans="1:8" x14ac:dyDescent="0.2">
      <c r="A43" s="1"/>
      <c r="B43" s="1"/>
      <c r="C43" s="1"/>
      <c r="D43" s="1"/>
      <c r="E43" s="1"/>
      <c r="F43" s="1"/>
      <c r="G43" s="1"/>
      <c r="H43" s="1"/>
    </row>
    <row r="44" spans="1:8" x14ac:dyDescent="0.2">
      <c r="A44" s="1"/>
      <c r="B44" s="1"/>
      <c r="C44" s="1"/>
      <c r="D44" s="1"/>
      <c r="E44" s="1"/>
      <c r="F44" s="1"/>
      <c r="G44" s="1"/>
      <c r="H44" s="1"/>
    </row>
    <row r="45" spans="1:8" x14ac:dyDescent="0.2">
      <c r="A45" s="1"/>
      <c r="B45" s="1"/>
      <c r="C45" s="1"/>
      <c r="D45" s="1"/>
      <c r="E45" s="1"/>
      <c r="F45" s="1"/>
      <c r="G45" s="1"/>
      <c r="H45" s="1"/>
    </row>
    <row r="46" spans="1:8" x14ac:dyDescent="0.2">
      <c r="A46" s="1"/>
      <c r="B46" s="1"/>
      <c r="C46" s="1"/>
      <c r="D46" s="1"/>
      <c r="E46" s="1"/>
      <c r="F46" s="1"/>
      <c r="G46" s="1"/>
      <c r="H46" s="1"/>
    </row>
    <row r="47" spans="1:8" x14ac:dyDescent="0.2">
      <c r="A47" s="1"/>
      <c r="B47" s="1"/>
      <c r="C47" s="1"/>
      <c r="D47" s="1"/>
      <c r="E47" s="1"/>
      <c r="F47" s="1"/>
      <c r="G47" s="1"/>
      <c r="H47" s="1"/>
    </row>
    <row r="48" spans="1:8" x14ac:dyDescent="0.2">
      <c r="A48" s="1"/>
      <c r="B48" s="1"/>
      <c r="C48" s="1"/>
      <c r="D48" s="1"/>
      <c r="E48" s="1"/>
      <c r="F48" s="1"/>
      <c r="G48" s="1"/>
      <c r="H48" s="1"/>
    </row>
    <row r="49" spans="1:8" x14ac:dyDescent="0.2">
      <c r="A49" s="1"/>
      <c r="B49" s="1"/>
      <c r="C49" s="1"/>
      <c r="D49" s="1"/>
      <c r="E49" s="1"/>
      <c r="F49" s="1"/>
      <c r="G49" s="1"/>
      <c r="H49" s="1"/>
    </row>
    <row r="50" spans="1:8" x14ac:dyDescent="0.2">
      <c r="A50" s="1"/>
      <c r="B50" s="1"/>
      <c r="C50" s="1"/>
      <c r="D50" s="1"/>
      <c r="E50" s="1"/>
      <c r="F50" s="1"/>
      <c r="G50" s="1"/>
      <c r="H50" s="1"/>
    </row>
    <row r="51" spans="1:8" x14ac:dyDescent="0.2">
      <c r="A51" s="1"/>
      <c r="B51" s="1"/>
      <c r="C51" s="1"/>
      <c r="D51" s="1"/>
      <c r="E51" s="1"/>
      <c r="F51" s="1"/>
      <c r="G51" s="1"/>
      <c r="H51" s="1"/>
    </row>
    <row r="52" spans="1:8" x14ac:dyDescent="0.2">
      <c r="A52" s="1"/>
      <c r="B52" s="1"/>
      <c r="C52" s="1"/>
      <c r="D52" s="1"/>
      <c r="E52" s="1"/>
      <c r="F52" s="1"/>
      <c r="G52" s="1"/>
      <c r="H52" s="1"/>
    </row>
    <row r="53" spans="1:8" x14ac:dyDescent="0.2">
      <c r="A53" s="1"/>
      <c r="B53" s="1"/>
      <c r="C53" s="1"/>
      <c r="D53" s="1"/>
      <c r="E53" s="1"/>
      <c r="F53" s="1"/>
      <c r="G53" s="1"/>
      <c r="H53" s="1"/>
    </row>
    <row r="54" spans="1:8" x14ac:dyDescent="0.2">
      <c r="A54" s="1"/>
      <c r="B54" s="1"/>
      <c r="C54" s="1"/>
      <c r="D54" s="1"/>
      <c r="E54" s="1"/>
      <c r="F54" s="1"/>
      <c r="G54" s="1"/>
      <c r="H54" s="1"/>
    </row>
    <row r="55" spans="1:8" x14ac:dyDescent="0.2">
      <c r="A55" s="1"/>
      <c r="B55" s="1"/>
      <c r="C55" s="1"/>
      <c r="D55" s="1"/>
      <c r="E55" s="1"/>
      <c r="F55" s="1"/>
      <c r="G55" s="1"/>
      <c r="H55" s="1"/>
    </row>
    <row r="56" spans="1:8" x14ac:dyDescent="0.2">
      <c r="A56" s="1"/>
      <c r="B56" s="1"/>
      <c r="C56" s="1"/>
      <c r="D56" s="1"/>
      <c r="E56" s="1"/>
      <c r="F56" s="1"/>
      <c r="G56" s="1"/>
      <c r="H56" s="1"/>
    </row>
    <row r="57" spans="1:8" x14ac:dyDescent="0.2">
      <c r="A57" s="1"/>
      <c r="B57" s="1"/>
      <c r="C57" s="1"/>
      <c r="D57" s="1"/>
      <c r="E57" s="1"/>
      <c r="F57" s="1"/>
      <c r="G57" s="1"/>
      <c r="H57" s="1"/>
    </row>
    <row r="58" spans="1:8" x14ac:dyDescent="0.2">
      <c r="A58" s="1"/>
      <c r="B58" s="1"/>
      <c r="C58" s="1"/>
      <c r="D58" s="1"/>
      <c r="E58" s="1"/>
      <c r="F58" s="1"/>
      <c r="G58" s="1"/>
      <c r="H58" s="1"/>
    </row>
    <row r="59" spans="1:8" x14ac:dyDescent="0.2">
      <c r="A59" s="1"/>
      <c r="B59" s="1"/>
      <c r="C59" s="1"/>
      <c r="D59" s="1"/>
      <c r="E59" s="1"/>
      <c r="F59" s="1"/>
      <c r="G59" s="1"/>
      <c r="H59" s="1"/>
    </row>
    <row r="60" spans="1:8" x14ac:dyDescent="0.2">
      <c r="A60" s="1"/>
      <c r="B60" s="1"/>
      <c r="C60" s="1"/>
      <c r="D60" s="1"/>
      <c r="E60" s="1"/>
      <c r="F60" s="1"/>
      <c r="G60" s="1"/>
      <c r="H60" s="1"/>
    </row>
    <row r="61" spans="1:8" x14ac:dyDescent="0.2">
      <c r="A61" s="1"/>
      <c r="B61" s="1"/>
      <c r="C61" s="1"/>
      <c r="D61" s="1"/>
      <c r="E61" s="1"/>
      <c r="F61" s="1"/>
      <c r="G61" s="1"/>
      <c r="H61" s="1"/>
    </row>
    <row r="62" spans="1:8" x14ac:dyDescent="0.2">
      <c r="A62" s="1"/>
      <c r="B62" s="1"/>
      <c r="C62" s="1"/>
      <c r="D62" s="1"/>
      <c r="E62" s="1"/>
      <c r="F62" s="1"/>
      <c r="G62" s="1"/>
      <c r="H62" s="1"/>
    </row>
    <row r="63" spans="1:8" x14ac:dyDescent="0.2">
      <c r="A63" s="1"/>
      <c r="B63" s="1"/>
      <c r="C63" s="1"/>
      <c r="D63" s="1"/>
      <c r="E63" s="1"/>
      <c r="F63" s="1"/>
      <c r="G63" s="1"/>
      <c r="H63" s="1"/>
    </row>
    <row r="64" spans="1:8" x14ac:dyDescent="0.2">
      <c r="A64" s="1"/>
      <c r="B64" s="1"/>
      <c r="C64" s="1"/>
      <c r="D64" s="1"/>
      <c r="E64" s="1"/>
      <c r="F64" s="1"/>
      <c r="G64" s="1"/>
      <c r="H64" s="1"/>
    </row>
    <row r="65" spans="1:8" x14ac:dyDescent="0.2">
      <c r="A65" s="1"/>
      <c r="B65" s="1"/>
      <c r="C65" s="1"/>
      <c r="D65" s="1"/>
      <c r="E65" s="1"/>
      <c r="F65" s="1"/>
      <c r="G65" s="1"/>
      <c r="H65" s="1"/>
    </row>
    <row r="66" spans="1:8" x14ac:dyDescent="0.2">
      <c r="A66" s="1"/>
      <c r="B66" s="1"/>
      <c r="C66" s="1"/>
      <c r="D66" s="1"/>
      <c r="E66" s="1"/>
      <c r="F66" s="1"/>
      <c r="G66" s="1"/>
      <c r="H66" s="1"/>
    </row>
    <row r="67" spans="1:8" x14ac:dyDescent="0.2">
      <c r="A67" s="1"/>
      <c r="B67" s="1"/>
      <c r="C67" s="1"/>
      <c r="D67" s="1"/>
      <c r="E67" s="1"/>
      <c r="F67" s="1"/>
      <c r="G67" s="1"/>
      <c r="H67" s="1"/>
    </row>
    <row r="68" spans="1:8" x14ac:dyDescent="0.2">
      <c r="A68" s="1"/>
      <c r="B68" s="1"/>
      <c r="C68" s="1"/>
      <c r="D68" s="1"/>
      <c r="E68" s="1"/>
      <c r="F68" s="1"/>
      <c r="G68" s="1"/>
      <c r="H68" s="1"/>
    </row>
    <row r="69" spans="1:8" x14ac:dyDescent="0.2">
      <c r="A69" s="1"/>
      <c r="B69" s="1"/>
      <c r="C69" s="1"/>
      <c r="D69" s="1"/>
      <c r="E69" s="1"/>
      <c r="F69" s="1"/>
      <c r="G69" s="1"/>
      <c r="H69" s="1"/>
    </row>
    <row r="70" spans="1:8" x14ac:dyDescent="0.2">
      <c r="A70" s="1"/>
      <c r="B70" s="1"/>
      <c r="C70" s="1"/>
      <c r="D70" s="1"/>
      <c r="E70" s="1"/>
      <c r="F70" s="1"/>
      <c r="G70" s="1"/>
      <c r="H70" s="1"/>
    </row>
    <row r="71" spans="1:8" x14ac:dyDescent="0.2">
      <c r="A71" s="1"/>
      <c r="B71" s="1"/>
      <c r="C71" s="1"/>
      <c r="D71" s="1"/>
      <c r="E71" s="1"/>
      <c r="F71" s="1"/>
      <c r="G71" s="1"/>
      <c r="H71" s="1"/>
    </row>
    <row r="72" spans="1:8" x14ac:dyDescent="0.2">
      <c r="A72" s="1"/>
      <c r="B72" s="1"/>
      <c r="C72" s="1"/>
      <c r="D72" s="1"/>
      <c r="E72" s="1"/>
      <c r="F72" s="1"/>
      <c r="G72" s="1"/>
      <c r="H72" s="1"/>
    </row>
    <row r="73" spans="1:8" x14ac:dyDescent="0.2">
      <c r="A73" s="1"/>
      <c r="B73" s="1"/>
      <c r="C73" s="1"/>
      <c r="D73" s="1"/>
      <c r="E73" s="1"/>
      <c r="F73" s="1"/>
      <c r="G73" s="1"/>
      <c r="H73" s="1"/>
    </row>
    <row r="74" spans="1:8" x14ac:dyDescent="0.2">
      <c r="A74" s="1"/>
      <c r="B74" s="1"/>
      <c r="C74" s="1"/>
      <c r="D74" s="1"/>
      <c r="E74" s="1"/>
      <c r="F74" s="1"/>
      <c r="G74" s="1"/>
      <c r="H74" s="1"/>
    </row>
    <row r="75" spans="1:8" x14ac:dyDescent="0.2">
      <c r="A75" s="1"/>
      <c r="B75" s="1"/>
      <c r="C75" s="1"/>
      <c r="D75" s="1"/>
      <c r="E75" s="1"/>
      <c r="F75" s="1"/>
      <c r="G75" s="1"/>
      <c r="H75" s="1"/>
    </row>
    <row r="76" spans="1:8" x14ac:dyDescent="0.2">
      <c r="A76" s="1"/>
      <c r="B76" s="1"/>
      <c r="C76" s="1"/>
      <c r="D76" s="1"/>
      <c r="E76" s="1"/>
      <c r="F76" s="1"/>
      <c r="G76" s="1"/>
      <c r="H76" s="1"/>
    </row>
    <row r="77" spans="1:8" x14ac:dyDescent="0.2">
      <c r="A77" s="1"/>
      <c r="B77" s="1"/>
      <c r="C77" s="1"/>
      <c r="D77" s="1"/>
      <c r="E77" s="1"/>
      <c r="F77" s="1"/>
      <c r="G77" s="1"/>
      <c r="H77" s="1"/>
    </row>
    <row r="78" spans="1:8" x14ac:dyDescent="0.2">
      <c r="A78" s="1"/>
      <c r="B78" s="1"/>
      <c r="C78" s="1"/>
      <c r="D78" s="1"/>
      <c r="E78" s="1"/>
      <c r="F78" s="1"/>
      <c r="G78" s="1"/>
      <c r="H78" s="1"/>
    </row>
    <row r="79" spans="1:8" x14ac:dyDescent="0.2">
      <c r="A79" s="1"/>
      <c r="B79" s="1"/>
      <c r="C79" s="1"/>
      <c r="D79" s="1"/>
      <c r="E79" s="1"/>
      <c r="F79" s="1"/>
      <c r="G79" s="1"/>
      <c r="H79" s="1"/>
    </row>
    <row r="80" spans="1:8" x14ac:dyDescent="0.2">
      <c r="A80" s="1"/>
      <c r="B80" s="1"/>
      <c r="C80" s="1"/>
      <c r="D80" s="1"/>
      <c r="E80" s="1"/>
      <c r="F80" s="1"/>
      <c r="G80" s="1"/>
      <c r="H80" s="1"/>
    </row>
    <row r="81" spans="1:8" x14ac:dyDescent="0.2">
      <c r="A81" s="1"/>
      <c r="B81" s="1"/>
      <c r="C81" s="1"/>
      <c r="D81" s="1"/>
      <c r="E81" s="1"/>
      <c r="F81" s="1"/>
      <c r="G81" s="1"/>
      <c r="H81" s="1"/>
    </row>
    <row r="82" spans="1:8" x14ac:dyDescent="0.2">
      <c r="A82" s="1"/>
      <c r="B82" s="1"/>
      <c r="C82" s="1"/>
      <c r="D82" s="1"/>
      <c r="E82" s="1"/>
      <c r="F82" s="1"/>
      <c r="G82" s="1"/>
      <c r="H82" s="1"/>
    </row>
    <row r="83" spans="1:8" x14ac:dyDescent="0.2">
      <c r="A83" s="1"/>
      <c r="B83" s="1"/>
      <c r="C83" s="1"/>
      <c r="D83" s="1"/>
      <c r="E83" s="1"/>
      <c r="F83" s="1"/>
      <c r="G83" s="1"/>
      <c r="H83" s="1"/>
    </row>
    <row r="84" spans="1:8" x14ac:dyDescent="0.2">
      <c r="A84" s="1"/>
      <c r="B84" s="1"/>
      <c r="C84" s="1"/>
      <c r="D84" s="1"/>
      <c r="E84" s="1"/>
      <c r="F84" s="1"/>
      <c r="G84" s="1"/>
      <c r="H84" s="1"/>
    </row>
    <row r="85" spans="1:8" x14ac:dyDescent="0.2">
      <c r="A85" s="1"/>
      <c r="B85" s="1"/>
      <c r="C85" s="1"/>
      <c r="D85" s="1"/>
      <c r="E85" s="1"/>
      <c r="F85" s="1"/>
      <c r="G85" s="1"/>
      <c r="H85" s="1"/>
    </row>
    <row r="86" spans="1:8" x14ac:dyDescent="0.2">
      <c r="A86" s="1"/>
      <c r="B86" s="1"/>
      <c r="C86" s="1"/>
      <c r="D86" s="1"/>
      <c r="E86" s="1"/>
      <c r="F86" s="1"/>
      <c r="G86" s="1"/>
      <c r="H86" s="1"/>
    </row>
    <row r="87" spans="1:8" x14ac:dyDescent="0.2">
      <c r="A87" s="1"/>
      <c r="B87" s="1"/>
      <c r="C87" s="1"/>
      <c r="D87" s="1"/>
      <c r="E87" s="1"/>
      <c r="F87" s="1"/>
      <c r="G87" s="1"/>
      <c r="H87" s="1"/>
    </row>
    <row r="88" spans="1:8" x14ac:dyDescent="0.2">
      <c r="A88" s="1"/>
      <c r="B88" s="1"/>
      <c r="C88" s="1"/>
      <c r="D88" s="1"/>
      <c r="E88" s="1"/>
      <c r="F88" s="1"/>
      <c r="G88" s="1"/>
      <c r="H88" s="1"/>
    </row>
    <row r="89" spans="1:8" x14ac:dyDescent="0.2">
      <c r="A89" s="1"/>
      <c r="B89" s="1"/>
      <c r="C89" s="1"/>
      <c r="D89" s="1"/>
      <c r="E89" s="1"/>
      <c r="F89" s="1"/>
      <c r="G89" s="1"/>
      <c r="H89" s="1"/>
    </row>
    <row r="90" spans="1:8" x14ac:dyDescent="0.2">
      <c r="A90" s="11" t="s">
        <v>1</v>
      </c>
      <c r="B90" s="12"/>
      <c r="C90" s="12"/>
      <c r="D90" s="13"/>
      <c r="E90" s="8"/>
      <c r="F90" s="8"/>
      <c r="G90" s="8"/>
      <c r="H90" s="8"/>
    </row>
    <row r="91" spans="1:8" x14ac:dyDescent="0.2">
      <c r="A91" s="14" t="s">
        <v>15</v>
      </c>
      <c r="B91" s="15"/>
      <c r="C91" s="15"/>
      <c r="D91" s="16"/>
      <c r="E91" s="8"/>
      <c r="F91" s="8"/>
      <c r="G91" s="8"/>
      <c r="H91" s="8"/>
    </row>
    <row r="92" spans="1:8" x14ac:dyDescent="0.2">
      <c r="A92" s="17" t="s">
        <v>62</v>
      </c>
      <c r="B92" s="18"/>
      <c r="C92" s="18"/>
      <c r="D92" s="19"/>
      <c r="E92" s="8"/>
      <c r="F92" s="8"/>
      <c r="G92" s="8"/>
      <c r="H92" s="8"/>
    </row>
    <row r="93" spans="1:8" x14ac:dyDescent="0.2">
      <c r="A93" s="20"/>
      <c r="B93" s="21"/>
      <c r="C93" s="22"/>
      <c r="D93" s="23"/>
      <c r="E93" s="8"/>
      <c r="F93" s="8" t="s">
        <v>34</v>
      </c>
      <c r="G93" s="8"/>
      <c r="H93" s="8"/>
    </row>
    <row r="94" spans="1:8" ht="15.75" x14ac:dyDescent="0.25">
      <c r="A94" s="24" t="s">
        <v>2</v>
      </c>
      <c r="B94" s="25" t="str">
        <f>[1]Charters!B97</f>
        <v>Leadership Learning Academy</v>
      </c>
      <c r="C94" s="26"/>
      <c r="D94" s="27"/>
      <c r="E94" s="8"/>
      <c r="F94" s="8"/>
      <c r="G94" s="8"/>
      <c r="H94" s="8"/>
    </row>
    <row r="95" spans="1:8" x14ac:dyDescent="0.2">
      <c r="A95" s="24"/>
      <c r="B95" s="28"/>
      <c r="C95" s="26"/>
      <c r="D95" s="27"/>
      <c r="E95" s="8"/>
      <c r="F95" s="8"/>
      <c r="G95" s="8"/>
      <c r="H95" s="8"/>
    </row>
    <row r="96" spans="1:8" x14ac:dyDescent="0.2">
      <c r="A96" s="29" t="s">
        <v>0</v>
      </c>
      <c r="B96" s="30">
        <f>[1]Charters!$E$6</f>
        <v>3184</v>
      </c>
      <c r="C96" s="26"/>
      <c r="D96" s="31"/>
      <c r="E96" s="8"/>
      <c r="F96" s="8"/>
      <c r="G96" s="8"/>
      <c r="H96" s="8"/>
    </row>
    <row r="97" spans="1:8" x14ac:dyDescent="0.2">
      <c r="A97" s="32"/>
      <c r="B97" s="6"/>
      <c r="C97" s="33"/>
      <c r="D97" s="34" t="s">
        <v>3</v>
      </c>
      <c r="E97" s="8"/>
      <c r="F97" s="8"/>
      <c r="G97" s="8"/>
      <c r="H97" s="8"/>
    </row>
    <row r="98" spans="1:8" x14ac:dyDescent="0.2">
      <c r="A98" s="29" t="s">
        <v>19</v>
      </c>
      <c r="B98" s="35" t="str">
        <f>[1]Charters!A97</f>
        <v>3I</v>
      </c>
      <c r="C98" s="36" t="s">
        <v>4</v>
      </c>
      <c r="D98" s="37" t="s">
        <v>5</v>
      </c>
      <c r="E98" s="8"/>
      <c r="F98" s="8"/>
      <c r="G98" s="8"/>
      <c r="H98" s="8"/>
    </row>
    <row r="99" spans="1:8" x14ac:dyDescent="0.2">
      <c r="A99" s="38" t="s">
        <v>6</v>
      </c>
      <c r="B99" s="39"/>
      <c r="C99" s="40"/>
      <c r="D99" s="41"/>
      <c r="E99" s="8"/>
      <c r="F99" s="8"/>
      <c r="G99" s="8"/>
      <c r="H99" s="8"/>
    </row>
    <row r="100" spans="1:8" x14ac:dyDescent="0.2">
      <c r="A100" s="38" t="s">
        <v>7</v>
      </c>
      <c r="B100" s="39"/>
      <c r="C100" s="40"/>
      <c r="D100" s="41"/>
      <c r="E100" s="8"/>
      <c r="F100" s="42" t="s">
        <v>23</v>
      </c>
      <c r="G100" s="8"/>
      <c r="H100" s="42" t="s">
        <v>26</v>
      </c>
    </row>
    <row r="101" spans="1:8" x14ac:dyDescent="0.2">
      <c r="A101" s="20" t="s">
        <v>8</v>
      </c>
      <c r="B101" s="43"/>
      <c r="C101" s="44">
        <f>[1]Charters!C557</f>
        <v>453.25599999999997</v>
      </c>
      <c r="D101" s="45">
        <f>[1]Charters!E557</f>
        <v>1443168.34</v>
      </c>
      <c r="E101" s="8"/>
      <c r="F101" s="42">
        <f>[1]Charters!E712</f>
        <v>1502699.03</v>
      </c>
      <c r="G101" s="8"/>
      <c r="H101" s="42">
        <f>[2]Charters!E251</f>
        <v>1855825.23</v>
      </c>
    </row>
    <row r="102" spans="1:8" x14ac:dyDescent="0.2">
      <c r="A102" s="20" t="s">
        <v>14</v>
      </c>
      <c r="B102" s="43"/>
      <c r="C102" s="44">
        <f>[1]Charters!F557</f>
        <v>18.696999999999999</v>
      </c>
      <c r="D102" s="45">
        <f>[1]Charters!H557</f>
        <v>59530.69</v>
      </c>
      <c r="E102" s="8"/>
      <c r="F102" s="42">
        <f>SUM(D101:D103)</f>
        <v>1502699.03</v>
      </c>
      <c r="G102" s="8"/>
      <c r="H102" s="42">
        <f>D114</f>
        <v>1855825.23</v>
      </c>
    </row>
    <row r="103" spans="1:8" x14ac:dyDescent="0.2">
      <c r="A103" s="20" t="s">
        <v>32</v>
      </c>
      <c r="B103" s="43"/>
      <c r="C103" s="44">
        <f>[1]Charters!C250</f>
        <v>0</v>
      </c>
      <c r="D103" s="45">
        <f>[1]Charters!E250</f>
        <v>0</v>
      </c>
      <c r="E103" s="8"/>
      <c r="F103" s="42">
        <f>+F101-F102</f>
        <v>0</v>
      </c>
      <c r="G103" s="8"/>
      <c r="H103" s="42">
        <f>+H101-H102</f>
        <v>0</v>
      </c>
    </row>
    <row r="104" spans="1:8" x14ac:dyDescent="0.2">
      <c r="A104" s="38" t="s">
        <v>9</v>
      </c>
      <c r="B104" s="39"/>
      <c r="C104" s="46"/>
      <c r="D104" s="47"/>
      <c r="E104" s="8"/>
      <c r="F104" s="8"/>
      <c r="G104" s="8"/>
      <c r="H104" s="8"/>
    </row>
    <row r="105" spans="1:8" x14ac:dyDescent="0.2">
      <c r="A105" s="20" t="s">
        <v>10</v>
      </c>
      <c r="B105" s="43"/>
      <c r="C105" s="40">
        <f>[3]Charters!C96</f>
        <v>59.124000000000002</v>
      </c>
      <c r="D105" s="41">
        <f>[3]Charters!E96</f>
        <v>188251.26</v>
      </c>
      <c r="E105" s="8"/>
      <c r="F105" s="42" t="s">
        <v>24</v>
      </c>
      <c r="G105" s="8"/>
      <c r="H105" s="8"/>
    </row>
    <row r="106" spans="1:8" x14ac:dyDescent="0.2">
      <c r="A106" s="48" t="s">
        <v>11</v>
      </c>
      <c r="B106" s="43"/>
      <c r="C106" s="40">
        <f>[3]Charters!F96</f>
        <v>1.96</v>
      </c>
      <c r="D106" s="49">
        <f>[3]Charters!H96</f>
        <v>6240.64</v>
      </c>
      <c r="E106" s="8"/>
      <c r="F106" s="42">
        <f>[3]Charters!N408</f>
        <v>201701.11</v>
      </c>
      <c r="G106" s="8"/>
      <c r="H106" s="8"/>
    </row>
    <row r="107" spans="1:8" x14ac:dyDescent="0.2">
      <c r="A107" s="48" t="s">
        <v>12</v>
      </c>
      <c r="B107" s="43"/>
      <c r="C107" s="40">
        <f>[3]Charters!C251</f>
        <v>0</v>
      </c>
      <c r="D107" s="41">
        <f>[3]Charters!E251</f>
        <v>0</v>
      </c>
      <c r="E107" s="8"/>
      <c r="F107" s="42">
        <f>SUM(D105:D111)</f>
        <v>201701.11</v>
      </c>
      <c r="G107" s="8"/>
      <c r="H107" s="8"/>
    </row>
    <row r="108" spans="1:8" x14ac:dyDescent="0.2">
      <c r="A108" s="20" t="s">
        <v>13</v>
      </c>
      <c r="B108" s="43"/>
      <c r="C108" s="40">
        <f>[3]Charters!F251</f>
        <v>0.70899999999999996</v>
      </c>
      <c r="D108" s="41">
        <f>[3]Charters!H251</f>
        <v>2259</v>
      </c>
      <c r="E108" s="8"/>
      <c r="F108" s="42">
        <f>+F106-F107</f>
        <v>0</v>
      </c>
      <c r="G108" s="8"/>
      <c r="H108" s="8"/>
    </row>
    <row r="109" spans="1:8" x14ac:dyDescent="0.2">
      <c r="A109" s="48" t="s">
        <v>54</v>
      </c>
      <c r="B109" s="43"/>
      <c r="C109" s="40">
        <f>[3]Charters!C408</f>
        <v>1.5549999999999999</v>
      </c>
      <c r="D109" s="41">
        <f>[3]Charters!E408</f>
        <v>4950.21</v>
      </c>
      <c r="E109" s="8"/>
      <c r="F109" s="8"/>
      <c r="G109" s="8"/>
      <c r="H109" s="8"/>
    </row>
    <row r="110" spans="1:8" x14ac:dyDescent="0.2">
      <c r="A110" s="48" t="s">
        <v>55</v>
      </c>
      <c r="B110" s="43"/>
      <c r="C110" s="40">
        <f>[3]Charters!F408</f>
        <v>0</v>
      </c>
      <c r="D110" s="41">
        <f>[3]Charters!H408</f>
        <v>0</v>
      </c>
      <c r="E110" s="8"/>
      <c r="F110" s="42" t="s">
        <v>25</v>
      </c>
      <c r="G110" s="8"/>
      <c r="H110" s="8"/>
    </row>
    <row r="111" spans="1:8" x14ac:dyDescent="0.2">
      <c r="A111" s="48" t="s">
        <v>56</v>
      </c>
      <c r="B111" s="43"/>
      <c r="C111" s="40">
        <f>[3]Charters!I408</f>
        <v>0</v>
      </c>
      <c r="D111" s="41">
        <f>[3]Charters!K408</f>
        <v>0</v>
      </c>
      <c r="E111" s="8"/>
      <c r="F111" s="42">
        <f>[2]Charters!H97</f>
        <v>353126.2</v>
      </c>
      <c r="G111" s="8"/>
      <c r="H111" s="8"/>
    </row>
    <row r="112" spans="1:8" x14ac:dyDescent="0.2">
      <c r="A112" s="20" t="s">
        <v>49</v>
      </c>
      <c r="B112" s="43"/>
      <c r="C112" s="40">
        <f>[3]Charters!C564</f>
        <v>0</v>
      </c>
      <c r="D112" s="41">
        <f>[3]Charters!E564</f>
        <v>0</v>
      </c>
      <c r="E112" s="8"/>
      <c r="F112" s="42">
        <f>SUM(D105:D113)</f>
        <v>353126.2</v>
      </c>
      <c r="G112" s="8"/>
      <c r="H112" s="8"/>
    </row>
    <row r="113" spans="1:8" x14ac:dyDescent="0.2">
      <c r="A113" s="20" t="s">
        <v>50</v>
      </c>
      <c r="B113" s="43"/>
      <c r="C113" s="40">
        <f>[2]Charters!C97</f>
        <v>47.558</v>
      </c>
      <c r="D113" s="41">
        <f>[2]Charters!E97</f>
        <v>151425.09</v>
      </c>
      <c r="E113" s="8"/>
      <c r="F113" s="42">
        <f>+F111-F112</f>
        <v>0</v>
      </c>
      <c r="G113" s="8"/>
      <c r="H113" s="8"/>
    </row>
    <row r="114" spans="1:8" x14ac:dyDescent="0.2">
      <c r="A114" s="50"/>
      <c r="B114" s="51" t="s">
        <v>16</v>
      </c>
      <c r="C114" s="52">
        <f>SUM(C101:C113)</f>
        <v>582.85900000000004</v>
      </c>
      <c r="D114" s="53">
        <f>SUM(D101:D113)</f>
        <v>1855825.23</v>
      </c>
      <c r="E114" s="8"/>
      <c r="F114" s="8"/>
      <c r="G114" s="8"/>
      <c r="H114" s="8"/>
    </row>
    <row r="115" spans="1:8" x14ac:dyDescent="0.2">
      <c r="A115" s="54" t="s">
        <v>17</v>
      </c>
      <c r="B115" s="39"/>
      <c r="C115" s="55"/>
      <c r="D115" s="47"/>
      <c r="E115" s="8"/>
      <c r="F115" s="8"/>
      <c r="G115" s="8"/>
      <c r="H115" s="42" t="s">
        <v>29</v>
      </c>
    </row>
    <row r="116" spans="1:8" x14ac:dyDescent="0.2">
      <c r="A116" s="20" t="s">
        <v>33</v>
      </c>
      <c r="B116" s="43"/>
      <c r="C116" s="56"/>
      <c r="D116" s="57">
        <f>[4]Charters!C97</f>
        <v>5379.05</v>
      </c>
      <c r="E116" s="8"/>
      <c r="F116" s="8"/>
      <c r="G116" s="8"/>
      <c r="H116" s="42">
        <f>[4]Charters!F1037</f>
        <v>3208279.65</v>
      </c>
    </row>
    <row r="117" spans="1:8" x14ac:dyDescent="0.2">
      <c r="A117" s="58" t="s">
        <v>35</v>
      </c>
      <c r="B117" s="43"/>
      <c r="C117" s="56"/>
      <c r="D117" s="41">
        <f>+[4]Charters!F418</f>
        <v>2181.52</v>
      </c>
      <c r="E117" s="8"/>
      <c r="F117" s="8"/>
      <c r="G117" s="8"/>
      <c r="H117" s="42">
        <f>SUM(D114:D133)</f>
        <v>3208279.65</v>
      </c>
    </row>
    <row r="118" spans="1:8" x14ac:dyDescent="0.2">
      <c r="A118" s="59" t="s">
        <v>36</v>
      </c>
      <c r="B118" s="43"/>
      <c r="C118" s="56"/>
      <c r="D118" s="41">
        <f>[4]Charters!E257</f>
        <v>22229</v>
      </c>
      <c r="E118" s="8"/>
      <c r="F118" s="8"/>
      <c r="G118" s="8"/>
      <c r="H118" s="42">
        <f>+H116-H117</f>
        <v>0</v>
      </c>
    </row>
    <row r="119" spans="1:8" x14ac:dyDescent="0.2">
      <c r="A119" s="59" t="s">
        <v>52</v>
      </c>
      <c r="B119" s="43"/>
      <c r="C119" s="56"/>
      <c r="D119" s="41">
        <f>[4]Charters!G418</f>
        <v>0</v>
      </c>
      <c r="E119" s="8"/>
      <c r="F119" s="42" t="s">
        <v>27</v>
      </c>
      <c r="G119" s="8"/>
      <c r="H119" s="42"/>
    </row>
    <row r="120" spans="1:8" x14ac:dyDescent="0.2">
      <c r="A120" s="20" t="s">
        <v>37</v>
      </c>
      <c r="B120" s="43"/>
      <c r="C120" s="56"/>
      <c r="D120" s="41">
        <f>[4]Charters!E574</f>
        <v>39894</v>
      </c>
      <c r="E120" s="8"/>
      <c r="F120" s="42">
        <f>[4]Charters!E257</f>
        <v>22229</v>
      </c>
      <c r="G120" s="8"/>
      <c r="H120" s="8"/>
    </row>
    <row r="121" spans="1:8" x14ac:dyDescent="0.2">
      <c r="A121" s="20" t="s">
        <v>38</v>
      </c>
      <c r="B121" s="43"/>
      <c r="C121" s="56"/>
      <c r="D121" s="41">
        <f>[4]Charters!F574</f>
        <v>0</v>
      </c>
      <c r="E121" s="8"/>
      <c r="F121" s="42">
        <f>SUM(D118:D118)</f>
        <v>22229</v>
      </c>
      <c r="G121" s="8"/>
      <c r="H121" s="8"/>
    </row>
    <row r="122" spans="1:8" x14ac:dyDescent="0.2">
      <c r="A122" s="59" t="s">
        <v>40</v>
      </c>
      <c r="B122" s="43"/>
      <c r="C122" s="56"/>
      <c r="D122" s="41">
        <f>[4]Charters!G574</f>
        <v>0</v>
      </c>
      <c r="E122" s="8"/>
      <c r="F122" s="42">
        <f>+F120-F121</f>
        <v>0</v>
      </c>
      <c r="G122" s="8"/>
      <c r="H122" s="8"/>
    </row>
    <row r="123" spans="1:8" x14ac:dyDescent="0.2">
      <c r="A123" s="20" t="s">
        <v>41</v>
      </c>
      <c r="B123" s="43"/>
      <c r="C123" s="56"/>
      <c r="D123" s="41">
        <f>[4]Charters!C728</f>
        <v>1066533</v>
      </c>
      <c r="E123" s="8"/>
      <c r="F123" s="42" t="s">
        <v>28</v>
      </c>
      <c r="G123" s="8"/>
      <c r="H123" s="8"/>
    </row>
    <row r="124" spans="1:8" x14ac:dyDescent="0.2">
      <c r="A124" s="20" t="s">
        <v>42</v>
      </c>
      <c r="B124" s="43"/>
      <c r="C124" s="56"/>
      <c r="D124" s="41">
        <f>[4]Charters!D728</f>
        <v>117827.84</v>
      </c>
      <c r="E124" s="8"/>
      <c r="F124" s="42">
        <f>[4]Charters!D574</f>
        <v>24410.52</v>
      </c>
      <c r="G124" s="8"/>
      <c r="H124" s="8"/>
    </row>
    <row r="125" spans="1:8" x14ac:dyDescent="0.2">
      <c r="A125" s="20" t="s">
        <v>44</v>
      </c>
      <c r="B125" s="43"/>
      <c r="C125" s="56"/>
      <c r="D125" s="41">
        <f>[4]Charters!E728</f>
        <v>53300</v>
      </c>
      <c r="E125" s="8"/>
      <c r="F125" s="42">
        <f>SUM(D117:D119)</f>
        <v>24410.52</v>
      </c>
      <c r="G125" s="8"/>
      <c r="H125" s="8"/>
    </row>
    <row r="126" spans="1:8" x14ac:dyDescent="0.2">
      <c r="A126" s="59" t="s">
        <v>43</v>
      </c>
      <c r="B126" s="43"/>
      <c r="C126" s="56"/>
      <c r="D126" s="41">
        <f>[4]Charters!F728</f>
        <v>18027.689999999999</v>
      </c>
      <c r="E126" s="8"/>
      <c r="F126" s="42">
        <f>+F124-F125</f>
        <v>0</v>
      </c>
      <c r="G126" s="8"/>
      <c r="H126" s="8"/>
    </row>
    <row r="127" spans="1:8" x14ac:dyDescent="0.2">
      <c r="A127" s="59" t="s">
        <v>45</v>
      </c>
      <c r="B127" s="43"/>
      <c r="C127" s="56"/>
      <c r="D127" s="41">
        <f>[4]Charters!C574</f>
        <v>0</v>
      </c>
      <c r="E127" s="8"/>
      <c r="F127" s="8"/>
      <c r="G127" s="8"/>
      <c r="H127" s="8"/>
    </row>
    <row r="128" spans="1:8" x14ac:dyDescent="0.2">
      <c r="A128" s="59" t="s">
        <v>46</v>
      </c>
      <c r="B128" s="43"/>
      <c r="C128" s="56"/>
      <c r="D128" s="41">
        <f>[4]Charters!C884</f>
        <v>0</v>
      </c>
      <c r="E128" s="42"/>
      <c r="F128" s="42"/>
      <c r="G128" s="42"/>
      <c r="H128" s="42" t="s">
        <v>31</v>
      </c>
    </row>
    <row r="129" spans="1:8" x14ac:dyDescent="0.2">
      <c r="A129" s="59" t="s">
        <v>51</v>
      </c>
      <c r="B129" s="43"/>
      <c r="C129" s="56"/>
      <c r="D129" s="60">
        <f>[4]Charters!D884</f>
        <v>758.34</v>
      </c>
      <c r="E129" s="42"/>
      <c r="F129" s="42"/>
      <c r="G129" s="42"/>
      <c r="H129" s="42">
        <f>[4]Charters!D1343</f>
        <v>3218587.95</v>
      </c>
    </row>
    <row r="130" spans="1:8" x14ac:dyDescent="0.2">
      <c r="A130" s="20" t="s">
        <v>47</v>
      </c>
      <c r="B130" s="43"/>
      <c r="C130" s="56"/>
      <c r="D130" s="60">
        <f>[4]Charters!E884</f>
        <v>0</v>
      </c>
      <c r="E130" s="42"/>
      <c r="F130" s="42"/>
      <c r="G130" s="42"/>
      <c r="H130" s="42">
        <f>D139</f>
        <v>3218587.95</v>
      </c>
    </row>
    <row r="131" spans="1:8" x14ac:dyDescent="0.2">
      <c r="A131" s="20" t="s">
        <v>57</v>
      </c>
      <c r="B131" s="43"/>
      <c r="C131" s="56"/>
      <c r="D131" s="60">
        <f>[4]Charters!C1037</f>
        <v>0</v>
      </c>
      <c r="E131" s="42"/>
      <c r="F131" s="42"/>
      <c r="G131" s="42"/>
      <c r="H131" s="42">
        <f>+H129-H130</f>
        <v>0</v>
      </c>
    </row>
    <row r="132" spans="1:8" x14ac:dyDescent="0.2">
      <c r="A132" s="59" t="s">
        <v>53</v>
      </c>
      <c r="B132" s="43"/>
      <c r="C132" s="56"/>
      <c r="D132" s="60">
        <f>[4]Charters!D1037</f>
        <v>0</v>
      </c>
      <c r="E132" s="42"/>
      <c r="F132" s="42" t="s">
        <v>30</v>
      </c>
      <c r="G132" s="42"/>
      <c r="H132" s="42"/>
    </row>
    <row r="133" spans="1:8" x14ac:dyDescent="0.2">
      <c r="A133" s="59" t="s">
        <v>59</v>
      </c>
      <c r="B133" s="43"/>
      <c r="C133" s="56"/>
      <c r="D133" s="60">
        <f>[4]Charters!E1037</f>
        <v>26323.98</v>
      </c>
      <c r="E133" s="42"/>
      <c r="F133" s="42"/>
      <c r="G133" s="42"/>
      <c r="H133" s="42"/>
    </row>
    <row r="134" spans="1:8" x14ac:dyDescent="0.2">
      <c r="A134" s="38" t="s">
        <v>18</v>
      </c>
      <c r="B134" s="61"/>
      <c r="C134" s="62"/>
      <c r="D134" s="87"/>
      <c r="E134" s="42"/>
      <c r="F134" s="42">
        <f>[4]Charters!C1343</f>
        <v>10308.299999999999</v>
      </c>
      <c r="G134" s="42"/>
      <c r="H134" s="42"/>
    </row>
    <row r="135" spans="1:8" x14ac:dyDescent="0.2">
      <c r="A135" s="59" t="s">
        <v>39</v>
      </c>
      <c r="B135" s="43"/>
      <c r="C135" s="56"/>
      <c r="D135" s="41">
        <f>[4]Charters!C1190</f>
        <v>4207.4799999999996</v>
      </c>
      <c r="E135" s="42"/>
      <c r="F135" s="42">
        <f>SUM(D135:D138)</f>
        <v>10308.299999999999</v>
      </c>
      <c r="G135" s="42"/>
      <c r="H135" s="42"/>
    </row>
    <row r="136" spans="1:8" x14ac:dyDescent="0.2">
      <c r="A136" s="59" t="s">
        <v>48</v>
      </c>
      <c r="B136" s="43"/>
      <c r="C136" s="56"/>
      <c r="D136" s="41">
        <f>[4]Charters!D1190</f>
        <v>0</v>
      </c>
      <c r="E136" s="42"/>
      <c r="F136" s="42">
        <f>+F134-F135</f>
        <v>0</v>
      </c>
      <c r="G136" s="42"/>
      <c r="H136" s="42"/>
    </row>
    <row r="137" spans="1:8" x14ac:dyDescent="0.2">
      <c r="A137" s="59" t="s">
        <v>60</v>
      </c>
      <c r="B137" s="43"/>
      <c r="C137" s="56"/>
      <c r="D137" s="41">
        <f>[4]Charters!E1190</f>
        <v>0</v>
      </c>
      <c r="E137" s="42"/>
      <c r="F137" s="42"/>
      <c r="G137" s="42"/>
      <c r="H137" s="42"/>
    </row>
    <row r="138" spans="1:8" x14ac:dyDescent="0.2">
      <c r="A138" s="59" t="s">
        <v>61</v>
      </c>
      <c r="B138" s="43"/>
      <c r="C138" s="56"/>
      <c r="D138" s="41">
        <f>[4]Charters!F1190</f>
        <v>6100.82</v>
      </c>
      <c r="E138" s="42"/>
      <c r="F138" s="42"/>
      <c r="G138" s="42"/>
      <c r="H138" s="42"/>
    </row>
    <row r="139" spans="1:8" ht="13.5" thickBot="1" x14ac:dyDescent="0.25">
      <c r="A139" s="64"/>
      <c r="B139" s="65"/>
      <c r="C139" s="66"/>
      <c r="D139" s="67">
        <f>SUM(D114:D138)</f>
        <v>3218587.95</v>
      </c>
      <c r="E139" s="42"/>
      <c r="F139" s="42"/>
      <c r="G139" s="42"/>
      <c r="H139" s="42"/>
    </row>
    <row r="140" spans="1:8" ht="13.5" thickTop="1" x14ac:dyDescent="0.2">
      <c r="A140" s="68"/>
      <c r="B140" s="43"/>
      <c r="C140" s="56"/>
      <c r="D140" s="86"/>
      <c r="E140" s="42"/>
      <c r="F140" s="42"/>
      <c r="G140" s="42"/>
      <c r="H140" s="42"/>
    </row>
    <row r="141" spans="1:8" x14ac:dyDescent="0.2">
      <c r="A141" s="38" t="s">
        <v>20</v>
      </c>
      <c r="B141" s="39"/>
      <c r="C141" s="70"/>
      <c r="D141" s="71" t="s">
        <v>21</v>
      </c>
      <c r="E141" s="42"/>
      <c r="F141" s="42"/>
      <c r="G141" s="42"/>
      <c r="H141" s="42"/>
    </row>
    <row r="142" spans="1:8" x14ac:dyDescent="0.2">
      <c r="A142" s="72" t="s">
        <v>22</v>
      </c>
      <c r="B142" s="73"/>
      <c r="C142" s="74"/>
      <c r="D142" s="41">
        <f>[5]Charters!C96</f>
        <v>1283.6500000000001</v>
      </c>
      <c r="E142" s="42"/>
      <c r="F142" s="42"/>
      <c r="G142" s="42"/>
      <c r="H142" s="42"/>
    </row>
    <row r="143" spans="1:8" x14ac:dyDescent="0.2">
      <c r="A143" s="75"/>
      <c r="B143" s="61"/>
      <c r="C143" s="76"/>
      <c r="D143" s="77">
        <f>SUM(D142:D142)</f>
        <v>1283.6500000000001</v>
      </c>
      <c r="E143" s="42"/>
      <c r="F143" s="42"/>
      <c r="G143" s="42"/>
      <c r="H143" s="42"/>
    </row>
    <row r="144" spans="1:8" x14ac:dyDescent="0.2">
      <c r="A144" s="78" t="s">
        <v>58</v>
      </c>
      <c r="B144" s="79"/>
      <c r="C144" s="80"/>
      <c r="D144" s="77">
        <f>D143+D139</f>
        <v>3219871.6</v>
      </c>
      <c r="E144" s="42"/>
      <c r="F144" s="42"/>
      <c r="G144" s="42"/>
      <c r="H144" s="42"/>
    </row>
    <row r="145" spans="1:8" x14ac:dyDescent="0.2">
      <c r="A145" s="84"/>
      <c r="B145" s="84"/>
      <c r="C145" s="85"/>
      <c r="D145" s="81"/>
      <c r="E145" s="42"/>
      <c r="F145" s="42"/>
      <c r="G145" s="42"/>
      <c r="H145" s="42"/>
    </row>
    <row r="146" spans="1:8" x14ac:dyDescent="0.2">
      <c r="A146" s="84"/>
      <c r="B146" s="84"/>
      <c r="C146" s="85"/>
      <c r="D146" s="81">
        <f>[5]Charters!E252</f>
        <v>3219871.6</v>
      </c>
      <c r="E146" s="42"/>
      <c r="F146" s="42"/>
      <c r="G146" s="42"/>
      <c r="H146" s="42"/>
    </row>
    <row r="147" spans="1:8" x14ac:dyDescent="0.2">
      <c r="A147" s="84"/>
      <c r="B147" s="84"/>
      <c r="C147" s="85"/>
      <c r="D147" s="81">
        <f>D144</f>
        <v>3219871.6</v>
      </c>
      <c r="E147" s="42"/>
      <c r="F147" s="42"/>
      <c r="G147" s="42"/>
      <c r="H147" s="42"/>
    </row>
    <row r="148" spans="1:8" x14ac:dyDescent="0.2">
      <c r="C148" s="83"/>
      <c r="D148" s="42">
        <f>D146-D147</f>
        <v>0</v>
      </c>
      <c r="E148" s="42"/>
      <c r="F148" s="42"/>
      <c r="G148" s="42"/>
      <c r="H148" s="42"/>
    </row>
  </sheetData>
  <mergeCells count="4">
    <mergeCell ref="A144:C144"/>
    <mergeCell ref="A92:D92"/>
    <mergeCell ref="A91:D91"/>
    <mergeCell ref="A90:D90"/>
  </mergeCells>
  <printOptions horizontalCentered="1" verticalCentered="1"/>
  <pageMargins left="0.5" right="0.5" top="0.5" bottom="0.5" header="0.25" footer="0.25"/>
  <pageSetup orientation="portrait" r:id="rId1"/>
  <headerFooter alignWithMargins="0">
    <oddHeader>&amp;R&amp;8Current as of: &amp;D</oddHeader>
    <oddFooter>&amp;L&amp;8USOE, School Finance</oddFooter>
  </headerFooter>
  <picture r:id="rId2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500-000000000000}">
  <sheetPr>
    <pageSetUpPr fitToPage="1"/>
  </sheetPr>
  <dimension ref="A1:H149"/>
  <sheetViews>
    <sheetView topLeftCell="A94" workbookViewId="0">
      <selection activeCell="C12" sqref="C12"/>
    </sheetView>
  </sheetViews>
  <sheetFormatPr defaultColWidth="9.140625" defaultRowHeight="12.75" x14ac:dyDescent="0.2"/>
  <cols>
    <col min="1" max="1" width="32.42578125" style="82" customWidth="1"/>
    <col min="2" max="2" width="16.140625" style="82" customWidth="1"/>
    <col min="3" max="4" width="14.85546875" style="82" customWidth="1"/>
    <col min="5" max="5" width="9.140625" style="82"/>
    <col min="6" max="6" width="20.140625" style="82" customWidth="1"/>
    <col min="7" max="7" width="9.140625" style="82"/>
    <col min="8" max="8" width="19.42578125" style="82" customWidth="1"/>
    <col min="9" max="16384" width="9.140625" style="82"/>
  </cols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"/>
      <c r="B3" s="1"/>
      <c r="C3" s="1"/>
      <c r="D3" s="1"/>
      <c r="E3" s="1"/>
      <c r="F3" s="1"/>
      <c r="G3" s="1"/>
      <c r="H3" s="1"/>
    </row>
    <row r="4" spans="1:8" x14ac:dyDescent="0.2">
      <c r="A4" s="1"/>
      <c r="B4" s="1"/>
      <c r="C4" s="1"/>
      <c r="D4" s="1"/>
      <c r="E4" s="1"/>
      <c r="F4" s="1"/>
      <c r="G4" s="1"/>
      <c r="H4" s="1"/>
    </row>
    <row r="5" spans="1:8" x14ac:dyDescent="0.2">
      <c r="A5" s="1"/>
      <c r="B5" s="1"/>
      <c r="C5" s="1"/>
      <c r="D5" s="1"/>
      <c r="E5" s="1"/>
      <c r="F5" s="1"/>
      <c r="G5" s="1"/>
      <c r="H5" s="1"/>
    </row>
    <row r="6" spans="1:8" x14ac:dyDescent="0.2">
      <c r="A6" s="1"/>
      <c r="B6" s="1"/>
      <c r="C6" s="1"/>
      <c r="D6" s="1"/>
      <c r="E6" s="1"/>
      <c r="F6" s="1"/>
      <c r="G6" s="1"/>
      <c r="H6" s="1"/>
    </row>
    <row r="7" spans="1:8" x14ac:dyDescent="0.2">
      <c r="A7" s="1"/>
      <c r="B7" s="1"/>
      <c r="C7" s="1"/>
      <c r="D7" s="1"/>
      <c r="E7" s="1"/>
      <c r="F7" s="1"/>
      <c r="G7" s="1"/>
      <c r="H7" s="1"/>
    </row>
    <row r="8" spans="1:8" x14ac:dyDescent="0.2">
      <c r="A8" s="1"/>
      <c r="B8" s="1"/>
      <c r="C8" s="1"/>
      <c r="D8" s="1"/>
      <c r="E8" s="1"/>
      <c r="F8" s="1"/>
      <c r="G8" s="1"/>
      <c r="H8" s="1"/>
    </row>
    <row r="9" spans="1:8" x14ac:dyDescent="0.2">
      <c r="A9" s="1"/>
      <c r="B9" s="1"/>
      <c r="C9" s="1"/>
      <c r="D9" s="1"/>
      <c r="E9" s="1"/>
      <c r="F9" s="1"/>
      <c r="G9" s="1"/>
      <c r="H9" s="1"/>
    </row>
    <row r="10" spans="1:8" x14ac:dyDescent="0.2">
      <c r="A10" s="1"/>
      <c r="B10" s="1"/>
      <c r="C10" s="1"/>
      <c r="D10" s="1"/>
      <c r="E10" s="1"/>
      <c r="F10" s="1"/>
      <c r="G10" s="1"/>
      <c r="H10" s="1"/>
    </row>
    <row r="11" spans="1:8" x14ac:dyDescent="0.2">
      <c r="A11" s="1"/>
      <c r="B11" s="1"/>
      <c r="C11" s="1"/>
      <c r="D11" s="1"/>
      <c r="E11" s="1"/>
      <c r="F11" s="1"/>
      <c r="G11" s="1"/>
      <c r="H11" s="1"/>
    </row>
    <row r="12" spans="1:8" x14ac:dyDescent="0.2">
      <c r="A12" s="1"/>
      <c r="B12" s="1"/>
      <c r="C12" s="1"/>
      <c r="D12" s="1"/>
      <c r="E12" s="1"/>
      <c r="F12" s="1"/>
      <c r="G12" s="1"/>
      <c r="H12" s="1"/>
    </row>
    <row r="13" spans="1:8" x14ac:dyDescent="0.2">
      <c r="A13" s="1"/>
      <c r="B13" s="1"/>
      <c r="C13" s="1"/>
      <c r="D13" s="1"/>
      <c r="E13" s="1"/>
      <c r="F13" s="1"/>
      <c r="G13" s="1"/>
      <c r="H13" s="1"/>
    </row>
    <row r="14" spans="1:8" x14ac:dyDescent="0.2">
      <c r="A14" s="1"/>
      <c r="B14" s="1"/>
      <c r="C14" s="1"/>
      <c r="D14" s="1"/>
      <c r="E14" s="1"/>
      <c r="F14" s="1"/>
      <c r="G14" s="1"/>
      <c r="H14" s="1"/>
    </row>
    <row r="15" spans="1:8" x14ac:dyDescent="0.2">
      <c r="A15" s="1"/>
      <c r="B15" s="1"/>
      <c r="C15" s="1"/>
      <c r="D15" s="1"/>
      <c r="E15" s="1"/>
      <c r="F15" s="1"/>
      <c r="G15" s="1"/>
      <c r="H15" s="1"/>
    </row>
    <row r="16" spans="1:8" x14ac:dyDescent="0.2">
      <c r="A16" s="1"/>
      <c r="B16" s="1"/>
      <c r="C16" s="1"/>
      <c r="D16" s="1"/>
      <c r="E16" s="1"/>
      <c r="F16" s="1"/>
      <c r="G16" s="1"/>
      <c r="H16" s="1"/>
    </row>
    <row r="17" spans="1:8" x14ac:dyDescent="0.2">
      <c r="A17" s="1"/>
      <c r="B17" s="1"/>
      <c r="C17" s="1"/>
      <c r="D17" s="1"/>
      <c r="E17" s="1"/>
      <c r="F17" s="1"/>
      <c r="G17" s="1"/>
      <c r="H17" s="1"/>
    </row>
    <row r="18" spans="1:8" x14ac:dyDescent="0.2">
      <c r="A18" s="1"/>
      <c r="B18" s="1"/>
      <c r="C18" s="1"/>
      <c r="D18" s="1"/>
      <c r="E18" s="1"/>
      <c r="F18" s="1"/>
      <c r="G18" s="1"/>
      <c r="H18" s="1"/>
    </row>
    <row r="19" spans="1:8" x14ac:dyDescent="0.2">
      <c r="A19" s="1"/>
      <c r="B19" s="1"/>
      <c r="C19" s="1"/>
      <c r="D19" s="1"/>
      <c r="E19" s="1"/>
      <c r="F19" s="1"/>
      <c r="G19" s="1"/>
      <c r="H19" s="1"/>
    </row>
    <row r="20" spans="1:8" x14ac:dyDescent="0.2">
      <c r="A20" s="1"/>
      <c r="B20" s="1"/>
      <c r="C20" s="1"/>
      <c r="D20" s="1"/>
      <c r="E20" s="1"/>
      <c r="F20" s="1"/>
      <c r="G20" s="1"/>
      <c r="H20" s="1"/>
    </row>
    <row r="21" spans="1:8" x14ac:dyDescent="0.2">
      <c r="A21" s="1"/>
      <c r="B21" s="1"/>
      <c r="C21" s="1"/>
      <c r="D21" s="1"/>
      <c r="E21" s="1"/>
      <c r="F21" s="1"/>
      <c r="G21" s="1"/>
      <c r="H21" s="1"/>
    </row>
    <row r="22" spans="1:8" x14ac:dyDescent="0.2">
      <c r="A22" s="1"/>
      <c r="B22" s="1"/>
      <c r="C22" s="1"/>
      <c r="D22" s="4"/>
      <c r="E22" s="1"/>
      <c r="F22" s="1"/>
      <c r="G22" s="1"/>
      <c r="H22" s="1"/>
    </row>
    <row r="23" spans="1:8" x14ac:dyDescent="0.2">
      <c r="A23" s="1"/>
      <c r="B23" s="1"/>
      <c r="C23" s="1"/>
      <c r="D23" s="1"/>
      <c r="E23" s="1"/>
      <c r="F23" s="1"/>
      <c r="G23" s="1"/>
      <c r="H23" s="1"/>
    </row>
    <row r="24" spans="1:8" x14ac:dyDescent="0.2">
      <c r="A24" s="1"/>
      <c r="B24" s="1"/>
      <c r="C24" s="1"/>
      <c r="D24" s="1"/>
      <c r="E24" s="1"/>
      <c r="F24" s="1"/>
      <c r="G24" s="1"/>
      <c r="H24" s="1"/>
    </row>
    <row r="25" spans="1:8" x14ac:dyDescent="0.2">
      <c r="A25" s="1"/>
      <c r="B25" s="1"/>
      <c r="C25" s="1"/>
      <c r="D25" s="1"/>
      <c r="E25" s="1"/>
      <c r="F25" s="1"/>
      <c r="G25" s="1"/>
      <c r="H25" s="1"/>
    </row>
    <row r="26" spans="1:8" x14ac:dyDescent="0.2">
      <c r="A26" s="1"/>
      <c r="B26" s="1"/>
      <c r="C26" s="1"/>
      <c r="D26" s="1"/>
      <c r="E26" s="1"/>
      <c r="F26" s="1"/>
      <c r="G26" s="1"/>
      <c r="H26" s="1"/>
    </row>
    <row r="27" spans="1:8" x14ac:dyDescent="0.2">
      <c r="A27" s="1"/>
      <c r="B27" s="1"/>
      <c r="C27" s="1"/>
      <c r="D27" s="1"/>
      <c r="E27" s="1"/>
      <c r="F27" s="1"/>
      <c r="G27" s="1"/>
      <c r="H27" s="1"/>
    </row>
    <row r="28" spans="1:8" x14ac:dyDescent="0.2">
      <c r="A28" s="1"/>
      <c r="B28" s="1"/>
      <c r="C28" s="1"/>
      <c r="D28" s="1"/>
      <c r="E28" s="1"/>
      <c r="F28" s="1"/>
      <c r="G28" s="1"/>
      <c r="H28" s="1"/>
    </row>
    <row r="29" spans="1:8" x14ac:dyDescent="0.2">
      <c r="A29" s="1"/>
      <c r="B29" s="1"/>
      <c r="C29" s="1"/>
      <c r="D29" s="1"/>
      <c r="E29" s="1"/>
      <c r="F29" s="1"/>
      <c r="G29" s="1"/>
      <c r="H29" s="1"/>
    </row>
    <row r="30" spans="1:8" x14ac:dyDescent="0.2">
      <c r="A30" s="1"/>
      <c r="B30" s="1"/>
      <c r="C30" s="1"/>
      <c r="D30" s="1"/>
      <c r="E30" s="1"/>
      <c r="F30" s="1"/>
      <c r="G30" s="1"/>
      <c r="H30" s="1"/>
    </row>
    <row r="31" spans="1:8" x14ac:dyDescent="0.2">
      <c r="A31" s="1"/>
      <c r="B31" s="1"/>
      <c r="C31" s="1"/>
      <c r="D31" s="1"/>
      <c r="E31" s="1"/>
      <c r="F31" s="1"/>
      <c r="G31" s="1"/>
      <c r="H31" s="1"/>
    </row>
    <row r="32" spans="1:8" x14ac:dyDescent="0.2">
      <c r="A32" s="1"/>
      <c r="B32" s="1"/>
      <c r="C32" s="1"/>
      <c r="D32" s="1"/>
      <c r="E32" s="1"/>
      <c r="F32" s="1"/>
      <c r="G32" s="1"/>
      <c r="H32" s="1"/>
    </row>
    <row r="33" spans="1:8" x14ac:dyDescent="0.2">
      <c r="A33" s="1"/>
      <c r="B33" s="1"/>
      <c r="C33" s="1"/>
      <c r="D33" s="1"/>
      <c r="E33" s="1"/>
      <c r="F33" s="1"/>
      <c r="G33" s="1"/>
      <c r="H33" s="1"/>
    </row>
    <row r="34" spans="1:8" x14ac:dyDescent="0.2">
      <c r="A34" s="1"/>
      <c r="B34" s="1"/>
      <c r="C34" s="1"/>
      <c r="D34" s="1"/>
      <c r="E34" s="1"/>
      <c r="F34" s="1"/>
      <c r="G34" s="1"/>
      <c r="H34" s="1"/>
    </row>
    <row r="35" spans="1:8" x14ac:dyDescent="0.2">
      <c r="A35" s="1"/>
      <c r="B35" s="1"/>
      <c r="C35" s="1"/>
      <c r="D35" s="1"/>
      <c r="E35" s="1"/>
      <c r="F35" s="1"/>
      <c r="G35" s="1"/>
      <c r="H35" s="1"/>
    </row>
    <row r="36" spans="1:8" x14ac:dyDescent="0.2">
      <c r="A36" s="1"/>
      <c r="B36" s="1"/>
      <c r="C36" s="1"/>
      <c r="D36" s="1"/>
      <c r="E36" s="1"/>
      <c r="F36" s="1"/>
      <c r="G36" s="1"/>
      <c r="H36" s="1"/>
    </row>
    <row r="37" spans="1:8" x14ac:dyDescent="0.2">
      <c r="A37" s="1"/>
      <c r="B37" s="1"/>
      <c r="C37" s="1"/>
      <c r="D37" s="1"/>
      <c r="E37" s="1"/>
      <c r="F37" s="1"/>
      <c r="G37" s="1"/>
      <c r="H37" s="1"/>
    </row>
    <row r="38" spans="1:8" x14ac:dyDescent="0.2">
      <c r="A38" s="1"/>
      <c r="B38" s="1"/>
      <c r="C38" s="1"/>
      <c r="D38" s="1"/>
      <c r="E38" s="1"/>
      <c r="F38" s="1"/>
      <c r="G38" s="1"/>
      <c r="H38" s="1"/>
    </row>
    <row r="39" spans="1:8" x14ac:dyDescent="0.2">
      <c r="A39" s="1"/>
      <c r="B39" s="1"/>
      <c r="C39" s="1"/>
      <c r="D39" s="1"/>
      <c r="E39" s="1"/>
      <c r="F39" s="1"/>
      <c r="G39" s="1"/>
      <c r="H39" s="1"/>
    </row>
    <row r="40" spans="1:8" x14ac:dyDescent="0.2">
      <c r="A40" s="1"/>
      <c r="B40" s="1"/>
      <c r="C40" s="1"/>
      <c r="D40" s="1"/>
      <c r="E40" s="1"/>
      <c r="F40" s="1"/>
      <c r="G40" s="1"/>
      <c r="H40" s="1"/>
    </row>
    <row r="41" spans="1:8" x14ac:dyDescent="0.2">
      <c r="A41" s="1"/>
      <c r="B41" s="1"/>
      <c r="C41" s="1"/>
      <c r="D41" s="1"/>
      <c r="E41" s="1"/>
      <c r="F41" s="1"/>
      <c r="G41" s="1"/>
      <c r="H41" s="1"/>
    </row>
    <row r="42" spans="1:8" x14ac:dyDescent="0.2">
      <c r="A42" s="1"/>
      <c r="B42" s="1"/>
      <c r="C42" s="1"/>
      <c r="D42" s="1"/>
      <c r="E42" s="1"/>
      <c r="F42" s="1"/>
      <c r="G42" s="1"/>
      <c r="H42" s="1"/>
    </row>
    <row r="43" spans="1:8" x14ac:dyDescent="0.2">
      <c r="A43" s="1"/>
      <c r="B43" s="1"/>
      <c r="C43" s="1"/>
      <c r="D43" s="1"/>
      <c r="E43" s="1"/>
      <c r="F43" s="1"/>
      <c r="G43" s="1"/>
      <c r="H43" s="1"/>
    </row>
    <row r="44" spans="1:8" x14ac:dyDescent="0.2">
      <c r="A44" s="1"/>
      <c r="B44" s="1"/>
      <c r="C44" s="1"/>
      <c r="D44" s="1"/>
      <c r="E44" s="1"/>
      <c r="F44" s="1"/>
      <c r="G44" s="1"/>
      <c r="H44" s="1"/>
    </row>
    <row r="45" spans="1:8" x14ac:dyDescent="0.2">
      <c r="A45" s="1"/>
      <c r="B45" s="1"/>
      <c r="C45" s="1"/>
      <c r="D45" s="1"/>
      <c r="E45" s="1"/>
      <c r="F45" s="1"/>
      <c r="G45" s="1"/>
      <c r="H45" s="1"/>
    </row>
    <row r="46" spans="1:8" x14ac:dyDescent="0.2">
      <c r="A46" s="1"/>
      <c r="B46" s="1"/>
      <c r="C46" s="1"/>
      <c r="D46" s="1"/>
      <c r="E46" s="1"/>
      <c r="F46" s="1"/>
      <c r="G46" s="1"/>
      <c r="H46" s="1"/>
    </row>
    <row r="47" spans="1:8" x14ac:dyDescent="0.2">
      <c r="A47" s="1"/>
      <c r="B47" s="1"/>
      <c r="C47" s="1"/>
      <c r="D47" s="1"/>
      <c r="E47" s="1"/>
      <c r="F47" s="1"/>
      <c r="G47" s="1"/>
      <c r="H47" s="1"/>
    </row>
    <row r="48" spans="1:8" x14ac:dyDescent="0.2">
      <c r="A48" s="1"/>
      <c r="B48" s="1"/>
      <c r="C48" s="1"/>
      <c r="D48" s="1"/>
      <c r="E48" s="1"/>
      <c r="F48" s="1"/>
      <c r="G48" s="1"/>
      <c r="H48" s="1"/>
    </row>
    <row r="49" spans="1:8" x14ac:dyDescent="0.2">
      <c r="A49" s="1"/>
      <c r="B49" s="1"/>
      <c r="C49" s="1"/>
      <c r="D49" s="1"/>
      <c r="E49" s="1"/>
      <c r="F49" s="1"/>
      <c r="G49" s="1"/>
      <c r="H49" s="1"/>
    </row>
    <row r="50" spans="1:8" x14ac:dyDescent="0.2">
      <c r="A50" s="1"/>
      <c r="B50" s="1"/>
      <c r="C50" s="1"/>
      <c r="D50" s="1"/>
      <c r="E50" s="1"/>
      <c r="F50" s="1"/>
      <c r="G50" s="1"/>
      <c r="H50" s="1"/>
    </row>
    <row r="51" spans="1:8" x14ac:dyDescent="0.2">
      <c r="A51" s="1"/>
      <c r="B51" s="1"/>
      <c r="C51" s="1"/>
      <c r="D51" s="1"/>
      <c r="E51" s="1"/>
      <c r="F51" s="1"/>
      <c r="G51" s="1"/>
      <c r="H51" s="1"/>
    </row>
    <row r="52" spans="1:8" x14ac:dyDescent="0.2">
      <c r="A52" s="1"/>
      <c r="B52" s="1"/>
      <c r="C52" s="1"/>
      <c r="D52" s="1"/>
      <c r="E52" s="1"/>
      <c r="F52" s="1"/>
      <c r="G52" s="1"/>
      <c r="H52" s="1"/>
    </row>
    <row r="53" spans="1:8" x14ac:dyDescent="0.2">
      <c r="A53" s="1"/>
      <c r="B53" s="1"/>
      <c r="C53" s="1"/>
      <c r="D53" s="1"/>
      <c r="E53" s="1"/>
      <c r="F53" s="1"/>
      <c r="G53" s="1"/>
      <c r="H53" s="1"/>
    </row>
    <row r="54" spans="1:8" x14ac:dyDescent="0.2">
      <c r="A54" s="1"/>
      <c r="B54" s="1"/>
      <c r="C54" s="1"/>
      <c r="D54" s="1"/>
      <c r="E54" s="1"/>
      <c r="F54" s="1"/>
      <c r="G54" s="1"/>
      <c r="H54" s="1"/>
    </row>
    <row r="55" spans="1:8" x14ac:dyDescent="0.2">
      <c r="A55" s="1"/>
      <c r="B55" s="1"/>
      <c r="C55" s="1"/>
      <c r="D55" s="1"/>
      <c r="E55" s="1"/>
      <c r="F55" s="1"/>
      <c r="G55" s="1"/>
      <c r="H55" s="1"/>
    </row>
    <row r="56" spans="1:8" x14ac:dyDescent="0.2">
      <c r="A56" s="1"/>
      <c r="B56" s="1"/>
      <c r="C56" s="1"/>
      <c r="D56" s="1"/>
      <c r="E56" s="1"/>
      <c r="F56" s="1"/>
      <c r="G56" s="1"/>
      <c r="H56" s="1"/>
    </row>
    <row r="57" spans="1:8" x14ac:dyDescent="0.2">
      <c r="A57" s="1"/>
      <c r="B57" s="1"/>
      <c r="C57" s="1"/>
      <c r="D57" s="1"/>
      <c r="E57" s="1"/>
      <c r="F57" s="1"/>
      <c r="G57" s="1"/>
      <c r="H57" s="1"/>
    </row>
    <row r="58" spans="1:8" x14ac:dyDescent="0.2">
      <c r="A58" s="1"/>
      <c r="B58" s="1"/>
      <c r="C58" s="1"/>
      <c r="D58" s="1"/>
      <c r="E58" s="1"/>
      <c r="F58" s="1"/>
      <c r="G58" s="1"/>
      <c r="H58" s="1"/>
    </row>
    <row r="59" spans="1:8" x14ac:dyDescent="0.2">
      <c r="A59" s="1"/>
      <c r="B59" s="1"/>
      <c r="C59" s="1"/>
      <c r="D59" s="1"/>
      <c r="E59" s="1"/>
      <c r="F59" s="1"/>
      <c r="G59" s="1"/>
      <c r="H59" s="1"/>
    </row>
    <row r="60" spans="1:8" x14ac:dyDescent="0.2">
      <c r="A60" s="1"/>
      <c r="B60" s="1"/>
      <c r="C60" s="1"/>
      <c r="D60" s="1"/>
      <c r="E60" s="1"/>
      <c r="F60" s="1"/>
      <c r="G60" s="1"/>
      <c r="H60" s="1"/>
    </row>
    <row r="61" spans="1:8" x14ac:dyDescent="0.2">
      <c r="A61" s="1"/>
      <c r="B61" s="1"/>
      <c r="C61" s="1"/>
      <c r="D61" s="1"/>
      <c r="E61" s="1"/>
      <c r="F61" s="1"/>
      <c r="G61" s="1"/>
      <c r="H61" s="1"/>
    </row>
    <row r="62" spans="1:8" x14ac:dyDescent="0.2">
      <c r="A62" s="1"/>
      <c r="B62" s="1"/>
      <c r="C62" s="1"/>
      <c r="D62" s="1"/>
      <c r="E62" s="1"/>
      <c r="F62" s="1"/>
      <c r="G62" s="1"/>
      <c r="H62" s="1"/>
    </row>
    <row r="63" spans="1:8" x14ac:dyDescent="0.2">
      <c r="A63" s="1"/>
      <c r="B63" s="1"/>
      <c r="C63" s="1"/>
      <c r="D63" s="1"/>
      <c r="E63" s="1"/>
      <c r="F63" s="1"/>
      <c r="G63" s="1"/>
      <c r="H63" s="1"/>
    </row>
    <row r="64" spans="1:8" x14ac:dyDescent="0.2">
      <c r="A64" s="1"/>
      <c r="B64" s="1"/>
      <c r="C64" s="1"/>
      <c r="D64" s="1"/>
      <c r="E64" s="1"/>
      <c r="F64" s="1"/>
      <c r="G64" s="1"/>
      <c r="H64" s="1"/>
    </row>
    <row r="65" spans="1:8" x14ac:dyDescent="0.2">
      <c r="A65" s="1"/>
      <c r="B65" s="1"/>
      <c r="C65" s="1"/>
      <c r="D65" s="1"/>
      <c r="E65" s="1"/>
      <c r="F65" s="1"/>
      <c r="G65" s="1"/>
      <c r="H65" s="1"/>
    </row>
    <row r="66" spans="1:8" x14ac:dyDescent="0.2">
      <c r="A66" s="1"/>
      <c r="B66" s="1"/>
      <c r="C66" s="1"/>
      <c r="D66" s="1"/>
      <c r="E66" s="1"/>
      <c r="F66" s="1"/>
      <c r="G66" s="1"/>
      <c r="H66" s="1"/>
    </row>
    <row r="67" spans="1:8" x14ac:dyDescent="0.2">
      <c r="A67" s="1"/>
      <c r="B67" s="1"/>
      <c r="C67" s="1"/>
      <c r="D67" s="1"/>
      <c r="E67" s="1"/>
      <c r="F67" s="1"/>
      <c r="G67" s="1"/>
      <c r="H67" s="1"/>
    </row>
    <row r="68" spans="1:8" x14ac:dyDescent="0.2">
      <c r="A68" s="1"/>
      <c r="B68" s="1"/>
      <c r="C68" s="1"/>
      <c r="D68" s="1"/>
      <c r="E68" s="1"/>
      <c r="F68" s="1"/>
      <c r="G68" s="1"/>
      <c r="H68" s="1"/>
    </row>
    <row r="69" spans="1:8" x14ac:dyDescent="0.2">
      <c r="A69" s="1"/>
      <c r="B69" s="1"/>
      <c r="C69" s="1"/>
      <c r="D69" s="1"/>
      <c r="E69" s="1"/>
      <c r="F69" s="1"/>
      <c r="G69" s="1"/>
      <c r="H69" s="1"/>
    </row>
    <row r="70" spans="1:8" x14ac:dyDescent="0.2">
      <c r="A70" s="1"/>
      <c r="B70" s="1"/>
      <c r="C70" s="1"/>
      <c r="D70" s="1"/>
      <c r="E70" s="1"/>
      <c r="F70" s="1"/>
      <c r="G70" s="1"/>
      <c r="H70" s="1"/>
    </row>
    <row r="71" spans="1:8" x14ac:dyDescent="0.2">
      <c r="A71" s="1"/>
      <c r="B71" s="1"/>
      <c r="C71" s="1"/>
      <c r="D71" s="1"/>
      <c r="E71" s="1"/>
      <c r="F71" s="1"/>
      <c r="G71" s="1"/>
      <c r="H71" s="1"/>
    </row>
    <row r="72" spans="1:8" x14ac:dyDescent="0.2">
      <c r="A72" s="1"/>
      <c r="B72" s="1"/>
      <c r="C72" s="1"/>
      <c r="D72" s="1"/>
      <c r="E72" s="1"/>
      <c r="F72" s="1"/>
      <c r="G72" s="1"/>
      <c r="H72" s="1"/>
    </row>
    <row r="73" spans="1:8" x14ac:dyDescent="0.2">
      <c r="A73" s="1"/>
      <c r="B73" s="1"/>
      <c r="C73" s="1"/>
      <c r="D73" s="1"/>
      <c r="E73" s="1"/>
      <c r="F73" s="1"/>
      <c r="G73" s="1"/>
      <c r="H73" s="1"/>
    </row>
    <row r="74" spans="1:8" x14ac:dyDescent="0.2">
      <c r="A74" s="1"/>
      <c r="B74" s="1"/>
      <c r="C74" s="1"/>
      <c r="D74" s="1"/>
      <c r="E74" s="1"/>
      <c r="F74" s="1"/>
      <c r="G74" s="1"/>
      <c r="H74" s="1"/>
    </row>
    <row r="75" spans="1:8" x14ac:dyDescent="0.2">
      <c r="A75" s="1"/>
      <c r="B75" s="1"/>
      <c r="C75" s="1"/>
      <c r="D75" s="1"/>
      <c r="E75" s="1"/>
      <c r="F75" s="1"/>
      <c r="G75" s="1"/>
      <c r="H75" s="1"/>
    </row>
    <row r="76" spans="1:8" x14ac:dyDescent="0.2">
      <c r="A76" s="1"/>
      <c r="B76" s="1"/>
      <c r="C76" s="1"/>
      <c r="D76" s="1"/>
      <c r="E76" s="1"/>
      <c r="F76" s="1"/>
      <c r="G76" s="1"/>
      <c r="H76" s="1"/>
    </row>
    <row r="77" spans="1:8" x14ac:dyDescent="0.2">
      <c r="A77" s="1"/>
      <c r="B77" s="1"/>
      <c r="C77" s="1"/>
      <c r="D77" s="1"/>
      <c r="E77" s="1"/>
      <c r="F77" s="1"/>
      <c r="G77" s="1"/>
      <c r="H77" s="1"/>
    </row>
    <row r="78" spans="1:8" x14ac:dyDescent="0.2">
      <c r="A78" s="1"/>
      <c r="B78" s="1"/>
      <c r="C78" s="1"/>
      <c r="D78" s="1"/>
      <c r="E78" s="1"/>
      <c r="F78" s="1"/>
      <c r="G78" s="1"/>
      <c r="H78" s="1"/>
    </row>
    <row r="79" spans="1:8" x14ac:dyDescent="0.2">
      <c r="A79" s="1"/>
      <c r="B79" s="1"/>
      <c r="C79" s="1"/>
      <c r="D79" s="1"/>
      <c r="E79" s="1"/>
      <c r="F79" s="1"/>
      <c r="G79" s="1"/>
      <c r="H79" s="1"/>
    </row>
    <row r="80" spans="1:8" x14ac:dyDescent="0.2">
      <c r="A80" s="1"/>
      <c r="B80" s="1"/>
      <c r="C80" s="1"/>
      <c r="D80" s="1"/>
      <c r="E80" s="1"/>
      <c r="F80" s="1"/>
      <c r="G80" s="1"/>
      <c r="H80" s="1"/>
    </row>
    <row r="81" spans="1:8" x14ac:dyDescent="0.2">
      <c r="A81" s="1"/>
      <c r="B81" s="1"/>
      <c r="C81" s="1"/>
      <c r="D81" s="1"/>
      <c r="E81" s="1"/>
      <c r="F81" s="1"/>
      <c r="G81" s="1"/>
      <c r="H81" s="1"/>
    </row>
    <row r="82" spans="1:8" x14ac:dyDescent="0.2">
      <c r="A82" s="1"/>
      <c r="B82" s="1"/>
      <c r="C82" s="1"/>
      <c r="D82" s="1"/>
      <c r="E82" s="1"/>
      <c r="F82" s="1"/>
      <c r="G82" s="1"/>
      <c r="H82" s="1"/>
    </row>
    <row r="83" spans="1:8" x14ac:dyDescent="0.2">
      <c r="A83" s="1"/>
      <c r="B83" s="1"/>
      <c r="C83" s="1"/>
      <c r="D83" s="1"/>
      <c r="E83" s="1"/>
      <c r="F83" s="1"/>
      <c r="G83" s="1"/>
      <c r="H83" s="1"/>
    </row>
    <row r="84" spans="1:8" x14ac:dyDescent="0.2">
      <c r="A84" s="1"/>
      <c r="B84" s="1"/>
      <c r="C84" s="1"/>
      <c r="D84" s="1"/>
      <c r="E84" s="1"/>
      <c r="F84" s="1"/>
      <c r="G84" s="1"/>
      <c r="H84" s="1"/>
    </row>
    <row r="85" spans="1:8" x14ac:dyDescent="0.2">
      <c r="A85" s="1"/>
      <c r="B85" s="1"/>
      <c r="C85" s="1"/>
      <c r="D85" s="1"/>
      <c r="E85" s="1"/>
      <c r="F85" s="1"/>
      <c r="G85" s="1"/>
      <c r="H85" s="1"/>
    </row>
    <row r="86" spans="1:8" x14ac:dyDescent="0.2">
      <c r="A86" s="1"/>
      <c r="B86" s="1"/>
      <c r="C86" s="1"/>
      <c r="D86" s="1"/>
      <c r="E86" s="1"/>
      <c r="F86" s="1"/>
      <c r="G86" s="1"/>
      <c r="H86" s="1"/>
    </row>
    <row r="87" spans="1:8" x14ac:dyDescent="0.2">
      <c r="A87" s="1"/>
      <c r="B87" s="1"/>
      <c r="C87" s="1"/>
      <c r="D87" s="1"/>
      <c r="E87" s="1"/>
      <c r="F87" s="1"/>
      <c r="G87" s="1"/>
      <c r="H87" s="1"/>
    </row>
    <row r="88" spans="1:8" x14ac:dyDescent="0.2">
      <c r="A88" s="1"/>
      <c r="B88" s="1"/>
      <c r="C88" s="1"/>
      <c r="D88" s="1"/>
      <c r="E88" s="1"/>
      <c r="F88" s="1"/>
      <c r="G88" s="1"/>
      <c r="H88" s="1"/>
    </row>
    <row r="89" spans="1:8" x14ac:dyDescent="0.2">
      <c r="A89" s="1"/>
      <c r="B89" s="1"/>
      <c r="C89" s="1"/>
      <c r="D89" s="1"/>
      <c r="E89" s="1"/>
      <c r="F89" s="1"/>
      <c r="G89" s="1"/>
      <c r="H89" s="1"/>
    </row>
    <row r="90" spans="1:8" x14ac:dyDescent="0.2">
      <c r="A90" s="1"/>
      <c r="B90" s="1"/>
      <c r="C90" s="1"/>
      <c r="D90" s="1"/>
      <c r="E90" s="1"/>
      <c r="F90" s="1"/>
      <c r="G90" s="1"/>
      <c r="H90" s="1"/>
    </row>
    <row r="91" spans="1:8" x14ac:dyDescent="0.2">
      <c r="A91" s="11" t="s">
        <v>1</v>
      </c>
      <c r="B91" s="12"/>
      <c r="C91" s="12"/>
      <c r="D91" s="13"/>
      <c r="E91" s="8"/>
      <c r="F91" s="8"/>
      <c r="G91" s="8"/>
      <c r="H91" s="8"/>
    </row>
    <row r="92" spans="1:8" x14ac:dyDescent="0.2">
      <c r="A92" s="14" t="s">
        <v>15</v>
      </c>
      <c r="B92" s="15"/>
      <c r="C92" s="15"/>
      <c r="D92" s="16"/>
      <c r="E92" s="8"/>
      <c r="F92" s="8"/>
      <c r="G92" s="8"/>
      <c r="H92" s="8"/>
    </row>
    <row r="93" spans="1:8" x14ac:dyDescent="0.2">
      <c r="A93" s="17" t="s">
        <v>62</v>
      </c>
      <c r="B93" s="18"/>
      <c r="C93" s="18"/>
      <c r="D93" s="19"/>
      <c r="E93" s="8"/>
      <c r="F93" s="8"/>
      <c r="G93" s="8"/>
      <c r="H93" s="8"/>
    </row>
    <row r="94" spans="1:8" x14ac:dyDescent="0.2">
      <c r="A94" s="20"/>
      <c r="B94" s="21"/>
      <c r="C94" s="22"/>
      <c r="D94" s="23"/>
      <c r="E94" s="8"/>
      <c r="F94" s="8" t="s">
        <v>34</v>
      </c>
      <c r="G94" s="8"/>
      <c r="H94" s="8"/>
    </row>
    <row r="95" spans="1:8" ht="15.75" x14ac:dyDescent="0.25">
      <c r="A95" s="24" t="s">
        <v>2</v>
      </c>
      <c r="B95" s="25" t="str">
        <f>[1]Charters!B98</f>
        <v>Mana Academy Charter School</v>
      </c>
      <c r="C95" s="26"/>
      <c r="D95" s="27"/>
      <c r="E95" s="8"/>
      <c r="F95" s="8"/>
      <c r="G95" s="8"/>
      <c r="H95" s="8"/>
    </row>
    <row r="96" spans="1:8" x14ac:dyDescent="0.2">
      <c r="A96" s="24"/>
      <c r="B96" s="28"/>
      <c r="C96" s="26"/>
      <c r="D96" s="27"/>
      <c r="E96" s="8"/>
      <c r="F96" s="8"/>
      <c r="G96" s="8"/>
      <c r="H96" s="8"/>
    </row>
    <row r="97" spans="1:8" x14ac:dyDescent="0.2">
      <c r="A97" s="29" t="s">
        <v>0</v>
      </c>
      <c r="B97" s="30">
        <f>[1]Charters!$E$6</f>
        <v>3184</v>
      </c>
      <c r="C97" s="26"/>
      <c r="D97" s="31"/>
      <c r="E97" s="8"/>
      <c r="F97" s="8"/>
      <c r="G97" s="8"/>
      <c r="H97" s="8"/>
    </row>
    <row r="98" spans="1:8" x14ac:dyDescent="0.2">
      <c r="A98" s="32"/>
      <c r="B98" s="6"/>
      <c r="C98" s="33"/>
      <c r="D98" s="34" t="s">
        <v>3</v>
      </c>
      <c r="E98" s="8"/>
      <c r="F98" s="8"/>
      <c r="G98" s="8"/>
      <c r="H98" s="8"/>
    </row>
    <row r="99" spans="1:8" x14ac:dyDescent="0.2">
      <c r="A99" s="29" t="s">
        <v>19</v>
      </c>
      <c r="B99" s="35" t="str">
        <f>[1]Charters!A98</f>
        <v>4I</v>
      </c>
      <c r="C99" s="36" t="s">
        <v>4</v>
      </c>
      <c r="D99" s="37" t="s">
        <v>5</v>
      </c>
      <c r="E99" s="8"/>
      <c r="F99" s="8"/>
      <c r="G99" s="8"/>
      <c r="H99" s="8"/>
    </row>
    <row r="100" spans="1:8" x14ac:dyDescent="0.2">
      <c r="A100" s="38" t="s">
        <v>6</v>
      </c>
      <c r="B100" s="39"/>
      <c r="C100" s="40"/>
      <c r="D100" s="41"/>
      <c r="E100" s="8"/>
      <c r="F100" s="8"/>
      <c r="G100" s="8"/>
      <c r="H100" s="8"/>
    </row>
    <row r="101" spans="1:8" x14ac:dyDescent="0.2">
      <c r="A101" s="38" t="s">
        <v>7</v>
      </c>
      <c r="B101" s="39"/>
      <c r="C101" s="40"/>
      <c r="D101" s="41"/>
      <c r="E101" s="8"/>
      <c r="F101" s="42" t="s">
        <v>23</v>
      </c>
      <c r="G101" s="8"/>
      <c r="H101" s="42" t="s">
        <v>26</v>
      </c>
    </row>
    <row r="102" spans="1:8" x14ac:dyDescent="0.2">
      <c r="A102" s="20" t="s">
        <v>8</v>
      </c>
      <c r="B102" s="43"/>
      <c r="C102" s="44">
        <f>[1]Charters!C558</f>
        <v>372.25</v>
      </c>
      <c r="D102" s="45">
        <f>[1]Charters!E558</f>
        <v>1185245.06</v>
      </c>
      <c r="E102" s="8"/>
      <c r="F102" s="42">
        <f>[1]Charters!E713</f>
        <v>1204738.79</v>
      </c>
      <c r="G102" s="8"/>
      <c r="H102" s="42">
        <f>[2]Charters!E252</f>
        <v>1488412.6</v>
      </c>
    </row>
    <row r="103" spans="1:8" x14ac:dyDescent="0.2">
      <c r="A103" s="20" t="s">
        <v>14</v>
      </c>
      <c r="B103" s="43"/>
      <c r="C103" s="44">
        <f>[1]Charters!F558</f>
        <v>6.1219999999999999</v>
      </c>
      <c r="D103" s="45">
        <f>[1]Charters!H558</f>
        <v>19493.73</v>
      </c>
      <c r="E103" s="8"/>
      <c r="F103" s="42">
        <f>SUM(D102:D104)</f>
        <v>1204738.79</v>
      </c>
      <c r="G103" s="8"/>
      <c r="H103" s="42">
        <f>D115</f>
        <v>1488412.6</v>
      </c>
    </row>
    <row r="104" spans="1:8" x14ac:dyDescent="0.2">
      <c r="A104" s="20" t="s">
        <v>32</v>
      </c>
      <c r="B104" s="43"/>
      <c r="C104" s="44">
        <f>[1]Charters!C251</f>
        <v>0</v>
      </c>
      <c r="D104" s="45">
        <f>[1]Charters!E251</f>
        <v>0</v>
      </c>
      <c r="E104" s="8"/>
      <c r="F104" s="42">
        <f>+F102-F103</f>
        <v>0</v>
      </c>
      <c r="G104" s="8"/>
      <c r="H104" s="42">
        <f>+H102-H103</f>
        <v>0</v>
      </c>
    </row>
    <row r="105" spans="1:8" x14ac:dyDescent="0.2">
      <c r="A105" s="38" t="s">
        <v>9</v>
      </c>
      <c r="B105" s="39"/>
      <c r="C105" s="46"/>
      <c r="D105" s="47"/>
      <c r="E105" s="8"/>
      <c r="F105" s="8"/>
      <c r="G105" s="8"/>
      <c r="H105" s="8"/>
    </row>
    <row r="106" spans="1:8" x14ac:dyDescent="0.2">
      <c r="A106" s="20" t="s">
        <v>10</v>
      </c>
      <c r="B106" s="43"/>
      <c r="C106" s="40">
        <f>[3]Charters!C97</f>
        <v>51.723999999999997</v>
      </c>
      <c r="D106" s="41">
        <f>[3]Charters!E97</f>
        <v>164690.20000000001</v>
      </c>
      <c r="E106" s="8"/>
      <c r="F106" s="42" t="s">
        <v>24</v>
      </c>
      <c r="G106" s="8"/>
      <c r="H106" s="8"/>
    </row>
    <row r="107" spans="1:8" x14ac:dyDescent="0.2">
      <c r="A107" s="48" t="s">
        <v>11</v>
      </c>
      <c r="B107" s="43"/>
      <c r="C107" s="40">
        <f>[3]Charters!F97</f>
        <v>2.08</v>
      </c>
      <c r="D107" s="49">
        <f>[3]Charters!H97</f>
        <v>6622.72</v>
      </c>
      <c r="E107" s="8"/>
      <c r="F107" s="42">
        <f>[3]Charters!N409</f>
        <v>176497.04</v>
      </c>
      <c r="G107" s="8"/>
      <c r="H107" s="8"/>
    </row>
    <row r="108" spans="1:8" x14ac:dyDescent="0.2">
      <c r="A108" s="48" t="s">
        <v>12</v>
      </c>
      <c r="B108" s="43"/>
      <c r="C108" s="40">
        <f>[3]Charters!C252</f>
        <v>0</v>
      </c>
      <c r="D108" s="41">
        <f>[3]Charters!E252</f>
        <v>0</v>
      </c>
      <c r="E108" s="8"/>
      <c r="F108" s="42">
        <f>SUM(D106:D112)</f>
        <v>176497.04</v>
      </c>
      <c r="G108" s="8"/>
      <c r="H108" s="8"/>
    </row>
    <row r="109" spans="1:8" x14ac:dyDescent="0.2">
      <c r="A109" s="20" t="s">
        <v>13</v>
      </c>
      <c r="B109" s="43"/>
      <c r="C109" s="40">
        <f>[3]Charters!F252</f>
        <v>0.70899999999999996</v>
      </c>
      <c r="D109" s="41">
        <f>[3]Charters!H252</f>
        <v>2259</v>
      </c>
      <c r="E109" s="8"/>
      <c r="F109" s="42">
        <f>+F107-F108</f>
        <v>0</v>
      </c>
      <c r="G109" s="8"/>
      <c r="H109" s="8"/>
    </row>
    <row r="110" spans="1:8" x14ac:dyDescent="0.2">
      <c r="A110" s="48" t="s">
        <v>54</v>
      </c>
      <c r="B110" s="43"/>
      <c r="C110" s="40">
        <f>[3]Charters!C409</f>
        <v>0.91900000000000004</v>
      </c>
      <c r="D110" s="41">
        <f>[3]Charters!E409</f>
        <v>2925.12</v>
      </c>
      <c r="E110" s="8"/>
      <c r="F110" s="8"/>
      <c r="G110" s="8"/>
      <c r="H110" s="8"/>
    </row>
    <row r="111" spans="1:8" x14ac:dyDescent="0.2">
      <c r="A111" s="48" t="s">
        <v>55</v>
      </c>
      <c r="B111" s="43"/>
      <c r="C111" s="40">
        <f>[3]Charters!F409</f>
        <v>0</v>
      </c>
      <c r="D111" s="41">
        <f>[3]Charters!H409</f>
        <v>0</v>
      </c>
      <c r="E111" s="8"/>
      <c r="F111" s="42" t="s">
        <v>25</v>
      </c>
      <c r="G111" s="8"/>
      <c r="H111" s="8"/>
    </row>
    <row r="112" spans="1:8" x14ac:dyDescent="0.2">
      <c r="A112" s="48" t="s">
        <v>56</v>
      </c>
      <c r="B112" s="43"/>
      <c r="C112" s="40">
        <f>[3]Charters!I409</f>
        <v>0</v>
      </c>
      <c r="D112" s="41">
        <f>[3]Charters!K409</f>
        <v>0</v>
      </c>
      <c r="E112" s="8"/>
      <c r="F112" s="42">
        <f>[2]Charters!H98</f>
        <v>283673.81</v>
      </c>
      <c r="G112" s="8"/>
      <c r="H112" s="8"/>
    </row>
    <row r="113" spans="1:8" x14ac:dyDescent="0.2">
      <c r="A113" s="20" t="s">
        <v>49</v>
      </c>
      <c r="B113" s="43"/>
      <c r="C113" s="40">
        <f>[3]Charters!C565</f>
        <v>0</v>
      </c>
      <c r="D113" s="41">
        <f>[3]Charters!E565</f>
        <v>0</v>
      </c>
      <c r="E113" s="8"/>
      <c r="F113" s="42">
        <f>SUM(D106:D114)</f>
        <v>283673.81</v>
      </c>
      <c r="G113" s="8"/>
      <c r="H113" s="8"/>
    </row>
    <row r="114" spans="1:8" x14ac:dyDescent="0.2">
      <c r="A114" s="20" t="s">
        <v>50</v>
      </c>
      <c r="B114" s="43"/>
      <c r="C114" s="40">
        <f>[2]Charters!C98</f>
        <v>33.661000000000001</v>
      </c>
      <c r="D114" s="41">
        <f>[2]Charters!E98</f>
        <v>107176.77</v>
      </c>
      <c r="E114" s="8"/>
      <c r="F114" s="42">
        <f>+F112-F113</f>
        <v>0</v>
      </c>
      <c r="G114" s="8"/>
      <c r="H114" s="8"/>
    </row>
    <row r="115" spans="1:8" x14ac:dyDescent="0.2">
      <c r="A115" s="50"/>
      <c r="B115" s="51" t="s">
        <v>16</v>
      </c>
      <c r="C115" s="52">
        <f>SUM(C102:C114)</f>
        <v>467.46499999999997</v>
      </c>
      <c r="D115" s="53">
        <f>SUM(D102:D114)</f>
        <v>1488412.6</v>
      </c>
      <c r="E115" s="8"/>
      <c r="F115" s="8"/>
      <c r="G115" s="8"/>
      <c r="H115" s="8"/>
    </row>
    <row r="116" spans="1:8" x14ac:dyDescent="0.2">
      <c r="A116" s="54" t="s">
        <v>17</v>
      </c>
      <c r="B116" s="39"/>
      <c r="C116" s="55"/>
      <c r="D116" s="47"/>
      <c r="E116" s="8"/>
      <c r="F116" s="8"/>
      <c r="G116" s="8"/>
      <c r="H116" s="42" t="s">
        <v>29</v>
      </c>
    </row>
    <row r="117" spans="1:8" x14ac:dyDescent="0.2">
      <c r="A117" s="20" t="s">
        <v>33</v>
      </c>
      <c r="B117" s="43"/>
      <c r="C117" s="56"/>
      <c r="D117" s="57">
        <f>[4]Charters!C98</f>
        <v>4314.12</v>
      </c>
      <c r="E117" s="8"/>
      <c r="F117" s="8"/>
      <c r="G117" s="8"/>
      <c r="H117" s="42">
        <f>[4]Charters!F1038</f>
        <v>2524869.7999999998</v>
      </c>
    </row>
    <row r="118" spans="1:8" x14ac:dyDescent="0.2">
      <c r="A118" s="58" t="s">
        <v>35</v>
      </c>
      <c r="B118" s="43"/>
      <c r="C118" s="56"/>
      <c r="D118" s="41">
        <f>+[4]Charters!F419</f>
        <v>1791.63</v>
      </c>
      <c r="E118" s="8"/>
      <c r="F118" s="8"/>
      <c r="G118" s="8"/>
      <c r="H118" s="42">
        <f>SUM(D115:D134)</f>
        <v>2524869.7999999998</v>
      </c>
    </row>
    <row r="119" spans="1:8" x14ac:dyDescent="0.2">
      <c r="A119" s="59" t="s">
        <v>36</v>
      </c>
      <c r="B119" s="43"/>
      <c r="C119" s="56"/>
      <c r="D119" s="41">
        <f>[4]Charters!E258</f>
        <v>76041</v>
      </c>
      <c r="E119" s="8"/>
      <c r="F119" s="8"/>
      <c r="G119" s="8"/>
      <c r="H119" s="42">
        <f>+H117-H118</f>
        <v>0</v>
      </c>
    </row>
    <row r="120" spans="1:8" x14ac:dyDescent="0.2">
      <c r="A120" s="59" t="s">
        <v>52</v>
      </c>
      <c r="B120" s="43"/>
      <c r="C120" s="56"/>
      <c r="D120" s="41">
        <f>[4]Charters!G419</f>
        <v>0</v>
      </c>
      <c r="E120" s="8"/>
      <c r="F120" s="42" t="s">
        <v>27</v>
      </c>
      <c r="G120" s="8"/>
      <c r="H120" s="42"/>
    </row>
    <row r="121" spans="1:8" x14ac:dyDescent="0.2">
      <c r="A121" s="20" t="s">
        <v>37</v>
      </c>
      <c r="B121" s="43"/>
      <c r="C121" s="56"/>
      <c r="D121" s="41">
        <f>[4]Charters!E575</f>
        <v>32745</v>
      </c>
      <c r="E121" s="8"/>
      <c r="F121" s="42">
        <f>[4]Charters!E258</f>
        <v>76041</v>
      </c>
      <c r="G121" s="8"/>
      <c r="H121" s="8"/>
    </row>
    <row r="122" spans="1:8" x14ac:dyDescent="0.2">
      <c r="A122" s="20" t="s">
        <v>38</v>
      </c>
      <c r="B122" s="43"/>
      <c r="C122" s="56"/>
      <c r="D122" s="41">
        <f>[4]Charters!F575</f>
        <v>0</v>
      </c>
      <c r="E122" s="8"/>
      <c r="F122" s="42">
        <f>SUM(D119:D119)</f>
        <v>76041</v>
      </c>
      <c r="G122" s="8"/>
      <c r="H122" s="8"/>
    </row>
    <row r="123" spans="1:8" x14ac:dyDescent="0.2">
      <c r="A123" s="59" t="s">
        <v>40</v>
      </c>
      <c r="B123" s="43"/>
      <c r="C123" s="56"/>
      <c r="D123" s="41">
        <f>[4]Charters!G575</f>
        <v>0</v>
      </c>
      <c r="E123" s="8"/>
      <c r="F123" s="42">
        <f>+F121-F122</f>
        <v>0</v>
      </c>
      <c r="G123" s="8"/>
      <c r="H123" s="8"/>
    </row>
    <row r="124" spans="1:8" x14ac:dyDescent="0.2">
      <c r="A124" s="20" t="s">
        <v>41</v>
      </c>
      <c r="B124" s="43"/>
      <c r="C124" s="56"/>
      <c r="D124" s="41">
        <f>[4]Charters!C729</f>
        <v>800400</v>
      </c>
      <c r="E124" s="8"/>
      <c r="F124" s="42" t="s">
        <v>28</v>
      </c>
      <c r="G124" s="8"/>
      <c r="H124" s="8"/>
    </row>
    <row r="125" spans="1:8" x14ac:dyDescent="0.2">
      <c r="A125" s="20" t="s">
        <v>42</v>
      </c>
      <c r="B125" s="43"/>
      <c r="C125" s="56"/>
      <c r="D125" s="41">
        <f>[4]Charters!D729</f>
        <v>41717.760000000002</v>
      </c>
      <c r="E125" s="8"/>
      <c r="F125" s="42">
        <f>[4]Charters!D575</f>
        <v>97832.63</v>
      </c>
      <c r="G125" s="8"/>
      <c r="H125" s="8"/>
    </row>
    <row r="126" spans="1:8" x14ac:dyDescent="0.2">
      <c r="A126" s="20" t="s">
        <v>44</v>
      </c>
      <c r="B126" s="43"/>
      <c r="C126" s="56"/>
      <c r="D126" s="41">
        <f>[4]Charters!E729</f>
        <v>40000</v>
      </c>
      <c r="E126" s="8"/>
      <c r="F126" s="42">
        <f>SUM(D118:D120)</f>
        <v>77832.63</v>
      </c>
      <c r="G126" s="8"/>
      <c r="H126" s="8"/>
    </row>
    <row r="127" spans="1:8" x14ac:dyDescent="0.2">
      <c r="A127" s="59" t="s">
        <v>43</v>
      </c>
      <c r="B127" s="43"/>
      <c r="C127" s="56"/>
      <c r="D127" s="41">
        <f>[4]Charters!F729</f>
        <v>18802.16</v>
      </c>
      <c r="E127" s="8"/>
      <c r="F127" s="42">
        <f>+F125-F126</f>
        <v>20000</v>
      </c>
      <c r="G127" s="8"/>
      <c r="H127" s="8"/>
    </row>
    <row r="128" spans="1:8" x14ac:dyDescent="0.2">
      <c r="A128" s="59" t="s">
        <v>45</v>
      </c>
      <c r="B128" s="43"/>
      <c r="C128" s="56"/>
      <c r="D128" s="41">
        <f>[4]Charters!C575</f>
        <v>20000</v>
      </c>
      <c r="E128" s="8"/>
      <c r="F128" s="8"/>
      <c r="G128" s="8"/>
      <c r="H128" s="8"/>
    </row>
    <row r="129" spans="1:8" x14ac:dyDescent="0.2">
      <c r="A129" s="59" t="s">
        <v>46</v>
      </c>
      <c r="B129" s="43"/>
      <c r="C129" s="56"/>
      <c r="D129" s="41">
        <f>[4]Charters!C885</f>
        <v>0</v>
      </c>
      <c r="E129" s="42"/>
      <c r="F129" s="42"/>
      <c r="G129" s="42"/>
      <c r="H129" s="42" t="s">
        <v>31</v>
      </c>
    </row>
    <row r="130" spans="1:8" x14ac:dyDescent="0.2">
      <c r="A130" s="59" t="s">
        <v>51</v>
      </c>
      <c r="B130" s="43"/>
      <c r="C130" s="56"/>
      <c r="D130" s="60">
        <f>[4]Charters!D885</f>
        <v>645.53</v>
      </c>
      <c r="E130" s="42"/>
      <c r="F130" s="42"/>
      <c r="G130" s="42"/>
      <c r="H130" s="42">
        <f>[4]Charters!D1344</f>
        <v>2526472.65</v>
      </c>
    </row>
    <row r="131" spans="1:8" x14ac:dyDescent="0.2">
      <c r="A131" s="20" t="s">
        <v>47</v>
      </c>
      <c r="B131" s="43"/>
      <c r="C131" s="56"/>
      <c r="D131" s="60">
        <f>[4]Charters!E885</f>
        <v>0</v>
      </c>
      <c r="E131" s="42"/>
      <c r="F131" s="42"/>
      <c r="G131" s="42"/>
      <c r="H131" s="42">
        <f>D140</f>
        <v>2526472.65</v>
      </c>
    </row>
    <row r="132" spans="1:8" x14ac:dyDescent="0.2">
      <c r="A132" s="20" t="s">
        <v>57</v>
      </c>
      <c r="B132" s="43"/>
      <c r="C132" s="56"/>
      <c r="D132" s="60">
        <f>[4]Charters!C1038</f>
        <v>0</v>
      </c>
      <c r="E132" s="42"/>
      <c r="F132" s="42"/>
      <c r="G132" s="42"/>
      <c r="H132" s="42">
        <f>+H130-H131</f>
        <v>0</v>
      </c>
    </row>
    <row r="133" spans="1:8" x14ac:dyDescent="0.2">
      <c r="A133" s="59" t="s">
        <v>53</v>
      </c>
      <c r="B133" s="43"/>
      <c r="C133" s="56"/>
      <c r="D133" s="60">
        <f>[4]Charters!D1038</f>
        <v>0</v>
      </c>
      <c r="E133" s="42"/>
      <c r="F133" s="42" t="s">
        <v>30</v>
      </c>
      <c r="G133" s="42"/>
      <c r="H133" s="42"/>
    </row>
    <row r="134" spans="1:8" x14ac:dyDescent="0.2">
      <c r="A134" s="59" t="s">
        <v>59</v>
      </c>
      <c r="B134" s="43"/>
      <c r="C134" s="56"/>
      <c r="D134" s="60">
        <f>[4]Charters!E1038</f>
        <v>0</v>
      </c>
      <c r="E134" s="42"/>
      <c r="F134" s="42"/>
      <c r="G134" s="42"/>
      <c r="H134" s="42"/>
    </row>
    <row r="135" spans="1:8" x14ac:dyDescent="0.2">
      <c r="A135" s="38" t="s">
        <v>18</v>
      </c>
      <c r="B135" s="61"/>
      <c r="C135" s="62"/>
      <c r="D135" s="87"/>
      <c r="E135" s="42"/>
      <c r="F135" s="42">
        <f>[4]Charters!C1344</f>
        <v>1602.85</v>
      </c>
      <c r="G135" s="42"/>
      <c r="H135" s="42"/>
    </row>
    <row r="136" spans="1:8" x14ac:dyDescent="0.2">
      <c r="A136" s="59" t="s">
        <v>39</v>
      </c>
      <c r="B136" s="43"/>
      <c r="C136" s="56"/>
      <c r="D136" s="41">
        <f>[4]Charters!C1191</f>
        <v>1602.85</v>
      </c>
      <c r="E136" s="42"/>
      <c r="F136" s="42">
        <f>SUM(D136:D139)</f>
        <v>1602.85</v>
      </c>
      <c r="G136" s="42"/>
      <c r="H136" s="42"/>
    </row>
    <row r="137" spans="1:8" x14ac:dyDescent="0.2">
      <c r="A137" s="59" t="s">
        <v>48</v>
      </c>
      <c r="B137" s="43"/>
      <c r="C137" s="56"/>
      <c r="D137" s="41">
        <f>[4]Charters!D1191</f>
        <v>0</v>
      </c>
      <c r="E137" s="42"/>
      <c r="F137" s="42">
        <f>+F135-F136</f>
        <v>0</v>
      </c>
      <c r="G137" s="42"/>
      <c r="H137" s="42"/>
    </row>
    <row r="138" spans="1:8" x14ac:dyDescent="0.2">
      <c r="A138" s="59" t="s">
        <v>60</v>
      </c>
      <c r="B138" s="43"/>
      <c r="C138" s="56"/>
      <c r="D138" s="41">
        <f>[4]Charters!E1191</f>
        <v>0</v>
      </c>
      <c r="E138" s="42"/>
      <c r="F138" s="42"/>
      <c r="G138" s="42"/>
      <c r="H138" s="42"/>
    </row>
    <row r="139" spans="1:8" x14ac:dyDescent="0.2">
      <c r="A139" s="59" t="s">
        <v>61</v>
      </c>
      <c r="B139" s="43"/>
      <c r="C139" s="56"/>
      <c r="D139" s="41">
        <f>[4]Charters!F1191</f>
        <v>0</v>
      </c>
      <c r="E139" s="42"/>
      <c r="F139" s="42"/>
      <c r="G139" s="42"/>
      <c r="H139" s="42"/>
    </row>
    <row r="140" spans="1:8" ht="13.5" thickBot="1" x14ac:dyDescent="0.25">
      <c r="A140" s="64"/>
      <c r="B140" s="65"/>
      <c r="C140" s="66"/>
      <c r="D140" s="67">
        <f>SUM(D115:D139)</f>
        <v>2526472.65</v>
      </c>
      <c r="E140" s="42"/>
      <c r="F140" s="42"/>
      <c r="G140" s="42"/>
      <c r="H140" s="42"/>
    </row>
    <row r="141" spans="1:8" ht="13.5" thickTop="1" x14ac:dyDescent="0.2">
      <c r="A141" s="68"/>
      <c r="B141" s="43"/>
      <c r="C141" s="56"/>
      <c r="D141" s="86"/>
      <c r="E141" s="42"/>
      <c r="F141" s="42"/>
      <c r="G141" s="42"/>
      <c r="H141" s="42"/>
    </row>
    <row r="142" spans="1:8" x14ac:dyDescent="0.2">
      <c r="A142" s="38" t="s">
        <v>20</v>
      </c>
      <c r="B142" s="39"/>
      <c r="C142" s="70"/>
      <c r="D142" s="71" t="s">
        <v>21</v>
      </c>
      <c r="E142" s="42"/>
      <c r="F142" s="42"/>
      <c r="G142" s="42"/>
      <c r="H142" s="42"/>
    </row>
    <row r="143" spans="1:8" x14ac:dyDescent="0.2">
      <c r="A143" s="72" t="s">
        <v>22</v>
      </c>
      <c r="B143" s="73"/>
      <c r="C143" s="74"/>
      <c r="D143" s="41">
        <f>[5]Charters!C97</f>
        <v>1071.3900000000001</v>
      </c>
      <c r="E143" s="42"/>
      <c r="F143" s="42"/>
      <c r="G143" s="42"/>
      <c r="H143" s="42"/>
    </row>
    <row r="144" spans="1:8" x14ac:dyDescent="0.2">
      <c r="A144" s="75"/>
      <c r="B144" s="61"/>
      <c r="C144" s="76"/>
      <c r="D144" s="77">
        <f>SUM(D143:D143)</f>
        <v>1071.3900000000001</v>
      </c>
      <c r="E144" s="42"/>
      <c r="F144" s="42"/>
      <c r="G144" s="42"/>
      <c r="H144" s="42"/>
    </row>
    <row r="145" spans="1:8" x14ac:dyDescent="0.2">
      <c r="A145" s="78" t="s">
        <v>58</v>
      </c>
      <c r="B145" s="79"/>
      <c r="C145" s="80"/>
      <c r="D145" s="77">
        <f>D144+D140</f>
        <v>2527544.04</v>
      </c>
      <c r="E145" s="42"/>
      <c r="F145" s="42"/>
      <c r="G145" s="42"/>
      <c r="H145" s="42"/>
    </row>
    <row r="146" spans="1:8" x14ac:dyDescent="0.2">
      <c r="A146" s="84"/>
      <c r="B146" s="84"/>
      <c r="C146" s="85"/>
      <c r="D146" s="81"/>
      <c r="E146" s="42"/>
      <c r="F146" s="42"/>
      <c r="G146" s="42"/>
      <c r="H146" s="42"/>
    </row>
    <row r="147" spans="1:8" x14ac:dyDescent="0.2">
      <c r="A147" s="84"/>
      <c r="B147" s="84"/>
      <c r="C147" s="85"/>
      <c r="D147" s="81">
        <f>[5]Charters!E253</f>
        <v>2527544.04</v>
      </c>
      <c r="E147" s="42"/>
      <c r="F147" s="42"/>
      <c r="G147" s="42"/>
      <c r="H147" s="42"/>
    </row>
    <row r="148" spans="1:8" x14ac:dyDescent="0.2">
      <c r="A148" s="84"/>
      <c r="B148" s="84"/>
      <c r="C148" s="85"/>
      <c r="D148" s="81">
        <f>D145</f>
        <v>2527544.04</v>
      </c>
      <c r="E148" s="42"/>
      <c r="F148" s="42"/>
      <c r="G148" s="42"/>
      <c r="H148" s="42"/>
    </row>
    <row r="149" spans="1:8" x14ac:dyDescent="0.2">
      <c r="C149" s="83"/>
      <c r="D149" s="42">
        <f>D147-D148</f>
        <v>0</v>
      </c>
      <c r="E149" s="42"/>
      <c r="F149" s="42"/>
      <c r="G149" s="42"/>
      <c r="H149" s="42"/>
    </row>
  </sheetData>
  <mergeCells count="4">
    <mergeCell ref="A145:C145"/>
    <mergeCell ref="A93:D93"/>
    <mergeCell ref="A92:D92"/>
    <mergeCell ref="A91:D91"/>
  </mergeCells>
  <printOptions horizontalCentered="1" verticalCentered="1"/>
  <pageMargins left="0.5" right="0.5" top="0.5" bottom="0.5" header="0.25" footer="0.25"/>
  <pageSetup orientation="portrait" r:id="rId1"/>
  <headerFooter alignWithMargins="0">
    <oddHeader>&amp;R&amp;8Current as of: &amp;D</oddHeader>
    <oddFooter>&amp;L&amp;8USOE, School Finance</oddFooter>
  </headerFooter>
  <picture r:id="rId2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600-000000000000}">
  <sheetPr>
    <pageSetUpPr fitToPage="1"/>
  </sheetPr>
  <dimension ref="A1:H150"/>
  <sheetViews>
    <sheetView topLeftCell="A89" workbookViewId="0">
      <selection activeCell="C12" sqref="C12"/>
    </sheetView>
  </sheetViews>
  <sheetFormatPr defaultColWidth="9.140625" defaultRowHeight="12.75" x14ac:dyDescent="0.2"/>
  <cols>
    <col min="1" max="1" width="32.5703125" style="82" customWidth="1"/>
    <col min="2" max="2" width="16.28515625" style="82" customWidth="1"/>
    <col min="3" max="4" width="14.85546875" style="82" customWidth="1"/>
    <col min="5" max="5" width="9.140625" style="82"/>
    <col min="6" max="6" width="17.85546875" style="82" customWidth="1"/>
    <col min="7" max="7" width="9.140625" style="82"/>
    <col min="8" max="8" width="17.42578125" style="82" customWidth="1"/>
    <col min="9" max="16384" width="9.140625" style="82"/>
  </cols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"/>
      <c r="B3" s="1"/>
      <c r="C3" s="1"/>
      <c r="D3" s="1"/>
      <c r="E3" s="1"/>
      <c r="F3" s="1"/>
      <c r="G3" s="1"/>
      <c r="H3" s="1"/>
    </row>
    <row r="4" spans="1:8" x14ac:dyDescent="0.2">
      <c r="A4" s="1"/>
      <c r="B4" s="1"/>
      <c r="C4" s="1"/>
      <c r="D4" s="1"/>
      <c r="E4" s="1"/>
      <c r="F4" s="1"/>
      <c r="G4" s="1"/>
      <c r="H4" s="1"/>
    </row>
    <row r="5" spans="1:8" x14ac:dyDescent="0.2">
      <c r="A5" s="1"/>
      <c r="B5" s="1"/>
      <c r="C5" s="1"/>
      <c r="D5" s="1"/>
      <c r="E5" s="1"/>
      <c r="F5" s="1"/>
      <c r="G5" s="1"/>
      <c r="H5" s="1"/>
    </row>
    <row r="6" spans="1:8" x14ac:dyDescent="0.2">
      <c r="A6" s="1"/>
      <c r="B6" s="1"/>
      <c r="C6" s="1"/>
      <c r="D6" s="1"/>
      <c r="E6" s="1"/>
      <c r="F6" s="1"/>
      <c r="G6" s="1"/>
      <c r="H6" s="1"/>
    </row>
    <row r="7" spans="1:8" x14ac:dyDescent="0.2">
      <c r="A7" s="1"/>
      <c r="B7" s="1"/>
      <c r="C7" s="1"/>
      <c r="D7" s="1"/>
      <c r="E7" s="1"/>
      <c r="F7" s="1"/>
      <c r="G7" s="1"/>
      <c r="H7" s="1"/>
    </row>
    <row r="8" spans="1:8" x14ac:dyDescent="0.2">
      <c r="A8" s="1"/>
      <c r="B8" s="1"/>
      <c r="C8" s="1"/>
      <c r="D8" s="1"/>
      <c r="E8" s="1"/>
      <c r="F8" s="1"/>
      <c r="G8" s="1"/>
      <c r="H8" s="1"/>
    </row>
    <row r="9" spans="1:8" x14ac:dyDescent="0.2">
      <c r="A9" s="1"/>
      <c r="B9" s="1"/>
      <c r="C9" s="1"/>
      <c r="D9" s="1"/>
      <c r="E9" s="1"/>
      <c r="F9" s="1"/>
      <c r="G9" s="1"/>
      <c r="H9" s="1"/>
    </row>
    <row r="10" spans="1:8" x14ac:dyDescent="0.2">
      <c r="A10" s="1"/>
      <c r="B10" s="1"/>
      <c r="C10" s="1"/>
      <c r="D10" s="1"/>
      <c r="E10" s="1"/>
      <c r="F10" s="1"/>
      <c r="G10" s="1"/>
      <c r="H10" s="1"/>
    </row>
    <row r="11" spans="1:8" x14ac:dyDescent="0.2">
      <c r="A11" s="1"/>
      <c r="B11" s="1"/>
      <c r="C11" s="1"/>
      <c r="D11" s="1"/>
      <c r="E11" s="1"/>
      <c r="F11" s="1"/>
      <c r="G11" s="1"/>
      <c r="H11" s="1"/>
    </row>
    <row r="12" spans="1:8" x14ac:dyDescent="0.2">
      <c r="A12" s="1"/>
      <c r="B12" s="1"/>
      <c r="C12" s="1"/>
      <c r="D12" s="1"/>
      <c r="E12" s="1"/>
      <c r="F12" s="1"/>
      <c r="G12" s="1"/>
      <c r="H12" s="1"/>
    </row>
    <row r="13" spans="1:8" x14ac:dyDescent="0.2">
      <c r="A13" s="1"/>
      <c r="B13" s="1"/>
      <c r="C13" s="1"/>
      <c r="D13" s="1"/>
      <c r="E13" s="1"/>
      <c r="F13" s="1"/>
      <c r="G13" s="1"/>
      <c r="H13" s="1"/>
    </row>
    <row r="14" spans="1:8" x14ac:dyDescent="0.2">
      <c r="A14" s="1"/>
      <c r="B14" s="1"/>
      <c r="C14" s="1"/>
      <c r="D14" s="1"/>
      <c r="E14" s="1"/>
      <c r="F14" s="1"/>
      <c r="G14" s="1"/>
      <c r="H14" s="1"/>
    </row>
    <row r="15" spans="1:8" x14ac:dyDescent="0.2">
      <c r="A15" s="1"/>
      <c r="B15" s="1"/>
      <c r="C15" s="1"/>
      <c r="D15" s="1"/>
      <c r="E15" s="1"/>
      <c r="F15" s="1"/>
      <c r="G15" s="1"/>
      <c r="H15" s="1"/>
    </row>
    <row r="16" spans="1:8" x14ac:dyDescent="0.2">
      <c r="A16" s="1"/>
      <c r="B16" s="1"/>
      <c r="C16" s="1"/>
      <c r="D16" s="1"/>
      <c r="E16" s="1"/>
      <c r="F16" s="1"/>
      <c r="G16" s="1"/>
      <c r="H16" s="1"/>
    </row>
    <row r="17" spans="1:8" x14ac:dyDescent="0.2">
      <c r="A17" s="1"/>
      <c r="B17" s="1"/>
      <c r="C17" s="1"/>
      <c r="D17" s="1"/>
      <c r="E17" s="1"/>
      <c r="F17" s="1"/>
      <c r="G17" s="1"/>
      <c r="H17" s="1"/>
    </row>
    <row r="18" spans="1:8" x14ac:dyDescent="0.2">
      <c r="A18" s="1"/>
      <c r="B18" s="1"/>
      <c r="C18" s="1"/>
      <c r="D18" s="1"/>
      <c r="E18" s="1"/>
      <c r="F18" s="1"/>
      <c r="G18" s="1"/>
      <c r="H18" s="1"/>
    </row>
    <row r="19" spans="1:8" x14ac:dyDescent="0.2">
      <c r="A19" s="1"/>
      <c r="B19" s="1"/>
      <c r="C19" s="1"/>
      <c r="D19" s="1"/>
      <c r="E19" s="1"/>
      <c r="F19" s="1"/>
      <c r="G19" s="1"/>
      <c r="H19" s="1"/>
    </row>
    <row r="20" spans="1:8" x14ac:dyDescent="0.2">
      <c r="A20" s="1"/>
      <c r="B20" s="1"/>
      <c r="C20" s="1"/>
      <c r="D20" s="1"/>
      <c r="E20" s="1"/>
      <c r="F20" s="1"/>
      <c r="G20" s="1"/>
      <c r="H20" s="1"/>
    </row>
    <row r="21" spans="1:8" x14ac:dyDescent="0.2">
      <c r="A21" s="1"/>
      <c r="B21" s="1"/>
      <c r="C21" s="1"/>
      <c r="D21" s="1"/>
      <c r="E21" s="1"/>
      <c r="F21" s="1"/>
      <c r="G21" s="1"/>
      <c r="H21" s="1"/>
    </row>
    <row r="22" spans="1:8" x14ac:dyDescent="0.2">
      <c r="A22" s="1"/>
      <c r="B22" s="1"/>
      <c r="C22" s="1"/>
      <c r="D22" s="4"/>
      <c r="E22" s="1"/>
      <c r="F22" s="1"/>
      <c r="G22" s="1"/>
      <c r="H22" s="1"/>
    </row>
    <row r="23" spans="1:8" x14ac:dyDescent="0.2">
      <c r="A23" s="1"/>
      <c r="B23" s="1"/>
      <c r="C23" s="1"/>
      <c r="D23" s="1"/>
      <c r="E23" s="1"/>
      <c r="F23" s="1"/>
      <c r="G23" s="1"/>
      <c r="H23" s="1"/>
    </row>
    <row r="24" spans="1:8" x14ac:dyDescent="0.2">
      <c r="A24" s="1"/>
      <c r="B24" s="1"/>
      <c r="C24" s="1"/>
      <c r="D24" s="1"/>
      <c r="E24" s="1"/>
      <c r="F24" s="1"/>
      <c r="G24" s="1"/>
      <c r="H24" s="1"/>
    </row>
    <row r="25" spans="1:8" x14ac:dyDescent="0.2">
      <c r="A25" s="1"/>
      <c r="B25" s="1"/>
      <c r="C25" s="1"/>
      <c r="D25" s="1"/>
      <c r="E25" s="1"/>
      <c r="F25" s="1"/>
      <c r="G25" s="1"/>
      <c r="H25" s="1"/>
    </row>
    <row r="26" spans="1:8" x14ac:dyDescent="0.2">
      <c r="A26" s="1"/>
      <c r="B26" s="1"/>
      <c r="C26" s="1"/>
      <c r="D26" s="1"/>
      <c r="E26" s="1"/>
      <c r="F26" s="1"/>
      <c r="G26" s="1"/>
      <c r="H26" s="1"/>
    </row>
    <row r="27" spans="1:8" x14ac:dyDescent="0.2">
      <c r="A27" s="1"/>
      <c r="B27" s="1"/>
      <c r="C27" s="1"/>
      <c r="D27" s="1"/>
      <c r="E27" s="1"/>
      <c r="F27" s="1"/>
      <c r="G27" s="1"/>
      <c r="H27" s="1"/>
    </row>
    <row r="28" spans="1:8" x14ac:dyDescent="0.2">
      <c r="A28" s="1"/>
      <c r="B28" s="1"/>
      <c r="C28" s="1"/>
      <c r="D28" s="1"/>
      <c r="E28" s="1"/>
      <c r="F28" s="1"/>
      <c r="G28" s="1"/>
      <c r="H28" s="1"/>
    </row>
    <row r="29" spans="1:8" x14ac:dyDescent="0.2">
      <c r="A29" s="1"/>
      <c r="B29" s="1"/>
      <c r="C29" s="1"/>
      <c r="D29" s="1"/>
      <c r="E29" s="1"/>
      <c r="F29" s="1"/>
      <c r="G29" s="1"/>
      <c r="H29" s="1"/>
    </row>
    <row r="30" spans="1:8" x14ac:dyDescent="0.2">
      <c r="A30" s="1"/>
      <c r="B30" s="1"/>
      <c r="C30" s="1"/>
      <c r="D30" s="1"/>
      <c r="E30" s="1"/>
      <c r="F30" s="1"/>
      <c r="G30" s="1"/>
      <c r="H30" s="1"/>
    </row>
    <row r="31" spans="1:8" x14ac:dyDescent="0.2">
      <c r="A31" s="1"/>
      <c r="B31" s="1"/>
      <c r="C31" s="1"/>
      <c r="D31" s="1"/>
      <c r="E31" s="1"/>
      <c r="F31" s="1"/>
      <c r="G31" s="1"/>
      <c r="H31" s="1"/>
    </row>
    <row r="32" spans="1:8" x14ac:dyDescent="0.2">
      <c r="A32" s="1"/>
      <c r="B32" s="1"/>
      <c r="C32" s="1"/>
      <c r="D32" s="1"/>
      <c r="E32" s="1"/>
      <c r="F32" s="1"/>
      <c r="G32" s="1"/>
      <c r="H32" s="1"/>
    </row>
    <row r="33" spans="1:8" x14ac:dyDescent="0.2">
      <c r="A33" s="1"/>
      <c r="B33" s="1"/>
      <c r="C33" s="1"/>
      <c r="D33" s="1"/>
      <c r="E33" s="1"/>
      <c r="F33" s="1"/>
      <c r="G33" s="1"/>
      <c r="H33" s="1"/>
    </row>
    <row r="34" spans="1:8" x14ac:dyDescent="0.2">
      <c r="A34" s="1"/>
      <c r="B34" s="1"/>
      <c r="C34" s="1"/>
      <c r="D34" s="1"/>
      <c r="E34" s="1"/>
      <c r="F34" s="1"/>
      <c r="G34" s="1"/>
      <c r="H34" s="1"/>
    </row>
    <row r="35" spans="1:8" x14ac:dyDescent="0.2">
      <c r="A35" s="1"/>
      <c r="B35" s="1"/>
      <c r="C35" s="1"/>
      <c r="D35" s="1"/>
      <c r="E35" s="1"/>
      <c r="F35" s="1"/>
      <c r="G35" s="1"/>
      <c r="H35" s="1"/>
    </row>
    <row r="36" spans="1:8" x14ac:dyDescent="0.2">
      <c r="A36" s="1"/>
      <c r="B36" s="1"/>
      <c r="C36" s="1"/>
      <c r="D36" s="1"/>
      <c r="E36" s="1"/>
      <c r="F36" s="1"/>
      <c r="G36" s="1"/>
      <c r="H36" s="1"/>
    </row>
    <row r="37" spans="1:8" x14ac:dyDescent="0.2">
      <c r="A37" s="1"/>
      <c r="B37" s="1"/>
      <c r="C37" s="1"/>
      <c r="D37" s="1"/>
      <c r="E37" s="1"/>
      <c r="F37" s="1"/>
      <c r="G37" s="1"/>
      <c r="H37" s="1"/>
    </row>
    <row r="38" spans="1:8" x14ac:dyDescent="0.2">
      <c r="A38" s="1"/>
      <c r="B38" s="1"/>
      <c r="C38" s="1"/>
      <c r="D38" s="1"/>
      <c r="E38" s="1"/>
      <c r="F38" s="1"/>
      <c r="G38" s="1"/>
      <c r="H38" s="1"/>
    </row>
    <row r="39" spans="1:8" x14ac:dyDescent="0.2">
      <c r="A39" s="1"/>
      <c r="B39" s="1"/>
      <c r="C39" s="1"/>
      <c r="D39" s="1"/>
      <c r="E39" s="1"/>
      <c r="F39" s="1"/>
      <c r="G39" s="1"/>
      <c r="H39" s="1"/>
    </row>
    <row r="40" spans="1:8" x14ac:dyDescent="0.2">
      <c r="A40" s="1"/>
      <c r="B40" s="1"/>
      <c r="C40" s="1"/>
      <c r="D40" s="1"/>
      <c r="E40" s="1"/>
      <c r="F40" s="1"/>
      <c r="G40" s="1"/>
      <c r="H40" s="1"/>
    </row>
    <row r="41" spans="1:8" x14ac:dyDescent="0.2">
      <c r="A41" s="1"/>
      <c r="B41" s="1"/>
      <c r="C41" s="1"/>
      <c r="D41" s="1"/>
      <c r="E41" s="1"/>
      <c r="F41" s="1"/>
      <c r="G41" s="1"/>
      <c r="H41" s="1"/>
    </row>
    <row r="42" spans="1:8" x14ac:dyDescent="0.2">
      <c r="A42" s="1"/>
      <c r="B42" s="1"/>
      <c r="C42" s="1"/>
      <c r="D42" s="1"/>
      <c r="E42" s="1"/>
      <c r="F42" s="1"/>
      <c r="G42" s="1"/>
      <c r="H42" s="1"/>
    </row>
    <row r="43" spans="1:8" x14ac:dyDescent="0.2">
      <c r="A43" s="1"/>
      <c r="B43" s="1"/>
      <c r="C43" s="1"/>
      <c r="D43" s="1"/>
      <c r="E43" s="1"/>
      <c r="F43" s="1"/>
      <c r="G43" s="1"/>
      <c r="H43" s="1"/>
    </row>
    <row r="44" spans="1:8" x14ac:dyDescent="0.2">
      <c r="A44" s="1"/>
      <c r="B44" s="1"/>
      <c r="C44" s="1"/>
      <c r="D44" s="1"/>
      <c r="E44" s="1"/>
      <c r="F44" s="1"/>
      <c r="G44" s="1"/>
      <c r="H44" s="1"/>
    </row>
    <row r="45" spans="1:8" x14ac:dyDescent="0.2">
      <c r="A45" s="1"/>
      <c r="B45" s="1"/>
      <c r="C45" s="1"/>
      <c r="D45" s="1"/>
      <c r="E45" s="1"/>
      <c r="F45" s="1"/>
      <c r="G45" s="1"/>
      <c r="H45" s="1"/>
    </row>
    <row r="46" spans="1:8" x14ac:dyDescent="0.2">
      <c r="A46" s="1"/>
      <c r="B46" s="1"/>
      <c r="C46" s="1"/>
      <c r="D46" s="1"/>
      <c r="E46" s="1"/>
      <c r="F46" s="1"/>
      <c r="G46" s="1"/>
      <c r="H46" s="1"/>
    </row>
    <row r="47" spans="1:8" x14ac:dyDescent="0.2">
      <c r="A47" s="1"/>
      <c r="B47" s="1"/>
      <c r="C47" s="1"/>
      <c r="D47" s="1"/>
      <c r="E47" s="1"/>
      <c r="F47" s="1"/>
      <c r="G47" s="1"/>
      <c r="H47" s="1"/>
    </row>
    <row r="48" spans="1:8" x14ac:dyDescent="0.2">
      <c r="A48" s="1"/>
      <c r="B48" s="1"/>
      <c r="C48" s="1"/>
      <c r="D48" s="1"/>
      <c r="E48" s="1"/>
      <c r="F48" s="1"/>
      <c r="G48" s="1"/>
      <c r="H48" s="1"/>
    </row>
    <row r="49" spans="1:8" x14ac:dyDescent="0.2">
      <c r="A49" s="1"/>
      <c r="B49" s="1"/>
      <c r="C49" s="1"/>
      <c r="D49" s="1"/>
      <c r="E49" s="1"/>
      <c r="F49" s="1"/>
      <c r="G49" s="1"/>
      <c r="H49" s="1"/>
    </row>
    <row r="50" spans="1:8" x14ac:dyDescent="0.2">
      <c r="A50" s="1"/>
      <c r="B50" s="1"/>
      <c r="C50" s="1"/>
      <c r="D50" s="1"/>
      <c r="E50" s="1"/>
      <c r="F50" s="1"/>
      <c r="G50" s="1"/>
      <c r="H50" s="1"/>
    </row>
    <row r="51" spans="1:8" x14ac:dyDescent="0.2">
      <c r="A51" s="1"/>
      <c r="B51" s="1"/>
      <c r="C51" s="1"/>
      <c r="D51" s="1"/>
      <c r="E51" s="1"/>
      <c r="F51" s="1"/>
      <c r="G51" s="1"/>
      <c r="H51" s="1"/>
    </row>
    <row r="52" spans="1:8" x14ac:dyDescent="0.2">
      <c r="A52" s="1"/>
      <c r="B52" s="1"/>
      <c r="C52" s="1"/>
      <c r="D52" s="1"/>
      <c r="E52" s="1"/>
      <c r="F52" s="1"/>
      <c r="G52" s="1"/>
      <c r="H52" s="1"/>
    </row>
    <row r="53" spans="1:8" x14ac:dyDescent="0.2">
      <c r="A53" s="1"/>
      <c r="B53" s="1"/>
      <c r="C53" s="1"/>
      <c r="D53" s="1"/>
      <c r="E53" s="1"/>
      <c r="F53" s="1"/>
      <c r="G53" s="1"/>
      <c r="H53" s="1"/>
    </row>
    <row r="54" spans="1:8" x14ac:dyDescent="0.2">
      <c r="A54" s="1"/>
      <c r="B54" s="1"/>
      <c r="C54" s="1"/>
      <c r="D54" s="1"/>
      <c r="E54" s="1"/>
      <c r="F54" s="1"/>
      <c r="G54" s="1"/>
      <c r="H54" s="1"/>
    </row>
    <row r="55" spans="1:8" x14ac:dyDescent="0.2">
      <c r="A55" s="1"/>
      <c r="B55" s="1"/>
      <c r="C55" s="1"/>
      <c r="D55" s="1"/>
      <c r="E55" s="1"/>
      <c r="F55" s="1"/>
      <c r="G55" s="1"/>
      <c r="H55" s="1"/>
    </row>
    <row r="56" spans="1:8" x14ac:dyDescent="0.2">
      <c r="A56" s="1"/>
      <c r="B56" s="1"/>
      <c r="C56" s="1"/>
      <c r="D56" s="1"/>
      <c r="E56" s="1"/>
      <c r="F56" s="1"/>
      <c r="G56" s="1"/>
      <c r="H56" s="1"/>
    </row>
    <row r="57" spans="1:8" x14ac:dyDescent="0.2">
      <c r="A57" s="1"/>
      <c r="B57" s="1"/>
      <c r="C57" s="1"/>
      <c r="D57" s="1"/>
      <c r="E57" s="1"/>
      <c r="F57" s="1"/>
      <c r="G57" s="1"/>
      <c r="H57" s="1"/>
    </row>
    <row r="58" spans="1:8" x14ac:dyDescent="0.2">
      <c r="A58" s="1"/>
      <c r="B58" s="1"/>
      <c r="C58" s="1"/>
      <c r="D58" s="1"/>
      <c r="E58" s="1"/>
      <c r="F58" s="1"/>
      <c r="G58" s="1"/>
      <c r="H58" s="1"/>
    </row>
    <row r="59" spans="1:8" x14ac:dyDescent="0.2">
      <c r="A59" s="1"/>
      <c r="B59" s="1"/>
      <c r="C59" s="1"/>
      <c r="D59" s="1"/>
      <c r="E59" s="1"/>
      <c r="F59" s="1"/>
      <c r="G59" s="1"/>
      <c r="H59" s="1"/>
    </row>
    <row r="60" spans="1:8" x14ac:dyDescent="0.2">
      <c r="A60" s="1"/>
      <c r="B60" s="1"/>
      <c r="C60" s="1"/>
      <c r="D60" s="1"/>
      <c r="E60" s="1"/>
      <c r="F60" s="1"/>
      <c r="G60" s="1"/>
      <c r="H60" s="1"/>
    </row>
    <row r="61" spans="1:8" x14ac:dyDescent="0.2">
      <c r="A61" s="1"/>
      <c r="B61" s="1"/>
      <c r="C61" s="1"/>
      <c r="D61" s="1"/>
      <c r="E61" s="1"/>
      <c r="F61" s="1"/>
      <c r="G61" s="1"/>
      <c r="H61" s="1"/>
    </row>
    <row r="62" spans="1:8" x14ac:dyDescent="0.2">
      <c r="A62" s="1"/>
      <c r="B62" s="1"/>
      <c r="C62" s="1"/>
      <c r="D62" s="1"/>
      <c r="E62" s="1"/>
      <c r="F62" s="1"/>
      <c r="G62" s="1"/>
      <c r="H62" s="1"/>
    </row>
    <row r="63" spans="1:8" x14ac:dyDescent="0.2">
      <c r="A63" s="1"/>
      <c r="B63" s="1"/>
      <c r="C63" s="1"/>
      <c r="D63" s="1"/>
      <c r="E63" s="1"/>
      <c r="F63" s="1"/>
      <c r="G63" s="1"/>
      <c r="H63" s="1"/>
    </row>
    <row r="64" spans="1:8" x14ac:dyDescent="0.2">
      <c r="A64" s="1"/>
      <c r="B64" s="1"/>
      <c r="C64" s="1"/>
      <c r="D64" s="1"/>
      <c r="E64" s="1"/>
      <c r="F64" s="1"/>
      <c r="G64" s="1"/>
      <c r="H64" s="1"/>
    </row>
    <row r="65" spans="1:8" x14ac:dyDescent="0.2">
      <c r="A65" s="1"/>
      <c r="B65" s="1"/>
      <c r="C65" s="1"/>
      <c r="D65" s="1"/>
      <c r="E65" s="1"/>
      <c r="F65" s="1"/>
      <c r="G65" s="1"/>
      <c r="H65" s="1"/>
    </row>
    <row r="66" spans="1:8" x14ac:dyDescent="0.2">
      <c r="A66" s="1"/>
      <c r="B66" s="1"/>
      <c r="C66" s="1"/>
      <c r="D66" s="1"/>
      <c r="E66" s="1"/>
      <c r="F66" s="1"/>
      <c r="G66" s="1"/>
      <c r="H66" s="1"/>
    </row>
    <row r="67" spans="1:8" x14ac:dyDescent="0.2">
      <c r="A67" s="1"/>
      <c r="B67" s="1"/>
      <c r="C67" s="1"/>
      <c r="D67" s="1"/>
      <c r="E67" s="1"/>
      <c r="F67" s="1"/>
      <c r="G67" s="1"/>
      <c r="H67" s="1"/>
    </row>
    <row r="68" spans="1:8" x14ac:dyDescent="0.2">
      <c r="A68" s="1"/>
      <c r="B68" s="1"/>
      <c r="C68" s="1"/>
      <c r="D68" s="1"/>
      <c r="E68" s="1"/>
      <c r="F68" s="1"/>
      <c r="G68" s="1"/>
      <c r="H68" s="1"/>
    </row>
    <row r="69" spans="1:8" x14ac:dyDescent="0.2">
      <c r="A69" s="1"/>
      <c r="B69" s="1"/>
      <c r="C69" s="1"/>
      <c r="D69" s="1"/>
      <c r="E69" s="1"/>
      <c r="F69" s="1"/>
      <c r="G69" s="1"/>
      <c r="H69" s="1"/>
    </row>
    <row r="70" spans="1:8" x14ac:dyDescent="0.2">
      <c r="A70" s="1"/>
      <c r="B70" s="1"/>
      <c r="C70" s="1"/>
      <c r="D70" s="1"/>
      <c r="E70" s="1"/>
      <c r="F70" s="1"/>
      <c r="G70" s="1"/>
      <c r="H70" s="1"/>
    </row>
    <row r="71" spans="1:8" x14ac:dyDescent="0.2">
      <c r="A71" s="1"/>
      <c r="B71" s="1"/>
      <c r="C71" s="1"/>
      <c r="D71" s="1"/>
      <c r="E71" s="1"/>
      <c r="F71" s="1"/>
      <c r="G71" s="1"/>
      <c r="H71" s="1"/>
    </row>
    <row r="72" spans="1:8" x14ac:dyDescent="0.2">
      <c r="A72" s="1"/>
      <c r="B72" s="1"/>
      <c r="C72" s="1"/>
      <c r="D72" s="1"/>
      <c r="E72" s="1"/>
      <c r="F72" s="1"/>
      <c r="G72" s="1"/>
      <c r="H72" s="1"/>
    </row>
    <row r="73" spans="1:8" x14ac:dyDescent="0.2">
      <c r="A73" s="1"/>
      <c r="B73" s="1"/>
      <c r="C73" s="1"/>
      <c r="D73" s="1"/>
      <c r="E73" s="1"/>
      <c r="F73" s="1"/>
      <c r="G73" s="1"/>
      <c r="H73" s="1"/>
    </row>
    <row r="74" spans="1:8" x14ac:dyDescent="0.2">
      <c r="A74" s="1"/>
      <c r="B74" s="1"/>
      <c r="C74" s="1"/>
      <c r="D74" s="1"/>
      <c r="E74" s="1"/>
      <c r="F74" s="1"/>
      <c r="G74" s="1"/>
      <c r="H74" s="1"/>
    </row>
    <row r="75" spans="1:8" x14ac:dyDescent="0.2">
      <c r="A75" s="1"/>
      <c r="B75" s="1"/>
      <c r="C75" s="1"/>
      <c r="D75" s="1"/>
      <c r="E75" s="1"/>
      <c r="F75" s="1"/>
      <c r="G75" s="1"/>
      <c r="H75" s="1"/>
    </row>
    <row r="76" spans="1:8" x14ac:dyDescent="0.2">
      <c r="A76" s="1"/>
      <c r="B76" s="1"/>
      <c r="C76" s="1"/>
      <c r="D76" s="1"/>
      <c r="E76" s="1"/>
      <c r="F76" s="1"/>
      <c r="G76" s="1"/>
      <c r="H76" s="1"/>
    </row>
    <row r="77" spans="1:8" x14ac:dyDescent="0.2">
      <c r="A77" s="1"/>
      <c r="B77" s="1"/>
      <c r="C77" s="1"/>
      <c r="D77" s="1"/>
      <c r="E77" s="1"/>
      <c r="F77" s="1"/>
      <c r="G77" s="1"/>
      <c r="H77" s="1"/>
    </row>
    <row r="78" spans="1:8" x14ac:dyDescent="0.2">
      <c r="A78" s="1"/>
      <c r="B78" s="1"/>
      <c r="C78" s="1"/>
      <c r="D78" s="1"/>
      <c r="E78" s="1"/>
      <c r="F78" s="1"/>
      <c r="G78" s="1"/>
      <c r="H78" s="1"/>
    </row>
    <row r="79" spans="1:8" x14ac:dyDescent="0.2">
      <c r="A79" s="1"/>
      <c r="B79" s="1"/>
      <c r="C79" s="1"/>
      <c r="D79" s="1"/>
      <c r="E79" s="1"/>
      <c r="F79" s="1"/>
      <c r="G79" s="1"/>
      <c r="H79" s="1"/>
    </row>
    <row r="80" spans="1:8" x14ac:dyDescent="0.2">
      <c r="A80" s="1"/>
      <c r="B80" s="1"/>
      <c r="C80" s="1"/>
      <c r="D80" s="1"/>
      <c r="E80" s="1"/>
      <c r="F80" s="1"/>
      <c r="G80" s="1"/>
      <c r="H80" s="1"/>
    </row>
    <row r="81" spans="1:8" x14ac:dyDescent="0.2">
      <c r="A81" s="1"/>
      <c r="B81" s="1"/>
      <c r="C81" s="1"/>
      <c r="D81" s="1"/>
      <c r="E81" s="1"/>
      <c r="F81" s="1"/>
      <c r="G81" s="1"/>
      <c r="H81" s="1"/>
    </row>
    <row r="82" spans="1:8" x14ac:dyDescent="0.2">
      <c r="A82" s="1"/>
      <c r="B82" s="1"/>
      <c r="C82" s="1"/>
      <c r="D82" s="1"/>
      <c r="E82" s="1"/>
      <c r="F82" s="1"/>
      <c r="G82" s="1"/>
      <c r="H82" s="1"/>
    </row>
    <row r="83" spans="1:8" x14ac:dyDescent="0.2">
      <c r="A83" s="1"/>
      <c r="B83" s="1"/>
      <c r="C83" s="1"/>
      <c r="D83" s="1"/>
      <c r="E83" s="1"/>
      <c r="F83" s="1"/>
      <c r="G83" s="1"/>
      <c r="H83" s="1"/>
    </row>
    <row r="84" spans="1:8" x14ac:dyDescent="0.2">
      <c r="A84" s="1"/>
      <c r="B84" s="1"/>
      <c r="C84" s="1"/>
      <c r="D84" s="1"/>
      <c r="E84" s="1"/>
      <c r="F84" s="1"/>
      <c r="G84" s="1"/>
      <c r="H84" s="1"/>
    </row>
    <row r="85" spans="1:8" x14ac:dyDescent="0.2">
      <c r="A85" s="1"/>
      <c r="B85" s="1"/>
      <c r="C85" s="1"/>
      <c r="D85" s="1"/>
      <c r="E85" s="1"/>
      <c r="F85" s="1"/>
      <c r="G85" s="1"/>
      <c r="H85" s="1"/>
    </row>
    <row r="86" spans="1:8" x14ac:dyDescent="0.2">
      <c r="A86" s="1"/>
      <c r="B86" s="1"/>
      <c r="C86" s="1"/>
      <c r="D86" s="1"/>
      <c r="E86" s="1"/>
      <c r="F86" s="1"/>
      <c r="G86" s="1"/>
      <c r="H86" s="1"/>
    </row>
    <row r="87" spans="1:8" x14ac:dyDescent="0.2">
      <c r="A87" s="1"/>
      <c r="B87" s="1"/>
      <c r="C87" s="1"/>
      <c r="D87" s="1"/>
      <c r="E87" s="1"/>
      <c r="F87" s="1"/>
      <c r="G87" s="1"/>
      <c r="H87" s="1"/>
    </row>
    <row r="88" spans="1:8" x14ac:dyDescent="0.2">
      <c r="A88" s="1"/>
      <c r="B88" s="1"/>
      <c r="C88" s="1"/>
      <c r="D88" s="1"/>
      <c r="E88" s="1"/>
      <c r="F88" s="1"/>
      <c r="G88" s="1"/>
      <c r="H88" s="1"/>
    </row>
    <row r="89" spans="1:8" x14ac:dyDescent="0.2">
      <c r="A89" s="1"/>
      <c r="B89" s="1"/>
      <c r="C89" s="1"/>
      <c r="D89" s="1"/>
      <c r="E89" s="1"/>
      <c r="F89" s="1"/>
      <c r="G89" s="1"/>
      <c r="H89" s="1"/>
    </row>
    <row r="90" spans="1:8" x14ac:dyDescent="0.2">
      <c r="A90" s="1"/>
      <c r="B90" s="1"/>
      <c r="C90" s="1"/>
      <c r="D90" s="1"/>
      <c r="E90" s="1"/>
      <c r="F90" s="1"/>
      <c r="G90" s="1"/>
      <c r="H90" s="1"/>
    </row>
    <row r="91" spans="1:8" x14ac:dyDescent="0.2">
      <c r="A91" s="1"/>
      <c r="B91" s="1"/>
      <c r="C91" s="1"/>
      <c r="D91" s="1"/>
      <c r="E91" s="1"/>
      <c r="F91" s="1"/>
      <c r="G91" s="1"/>
      <c r="H91" s="1"/>
    </row>
    <row r="92" spans="1:8" x14ac:dyDescent="0.2">
      <c r="A92" s="11" t="s">
        <v>1</v>
      </c>
      <c r="B92" s="12"/>
      <c r="C92" s="12"/>
      <c r="D92" s="13"/>
      <c r="E92" s="8"/>
      <c r="F92" s="8"/>
      <c r="G92" s="8"/>
      <c r="H92" s="8"/>
    </row>
    <row r="93" spans="1:8" x14ac:dyDescent="0.2">
      <c r="A93" s="14" t="s">
        <v>15</v>
      </c>
      <c r="B93" s="15"/>
      <c r="C93" s="15"/>
      <c r="D93" s="16"/>
      <c r="E93" s="8"/>
      <c r="F93" s="8"/>
      <c r="G93" s="8"/>
      <c r="H93" s="8"/>
    </row>
    <row r="94" spans="1:8" x14ac:dyDescent="0.2">
      <c r="A94" s="17" t="s">
        <v>62</v>
      </c>
      <c r="B94" s="18"/>
      <c r="C94" s="18"/>
      <c r="D94" s="19"/>
      <c r="E94" s="8"/>
      <c r="F94" s="8"/>
      <c r="G94" s="8"/>
      <c r="H94" s="8"/>
    </row>
    <row r="95" spans="1:8" x14ac:dyDescent="0.2">
      <c r="A95" s="20"/>
      <c r="B95" s="21"/>
      <c r="C95" s="22"/>
      <c r="D95" s="23"/>
      <c r="E95" s="8"/>
      <c r="F95" s="8" t="s">
        <v>34</v>
      </c>
      <c r="G95" s="8"/>
      <c r="H95" s="8"/>
    </row>
    <row r="96" spans="1:8" ht="15.75" x14ac:dyDescent="0.25">
      <c r="A96" s="24" t="s">
        <v>2</v>
      </c>
      <c r="B96" s="25" t="str">
        <f>[1]Charters!B99</f>
        <v>Voyage Academy</v>
      </c>
      <c r="C96" s="26"/>
      <c r="D96" s="27"/>
      <c r="E96" s="8"/>
      <c r="F96" s="8"/>
      <c r="G96" s="8"/>
      <c r="H96" s="8"/>
    </row>
    <row r="97" spans="1:8" x14ac:dyDescent="0.2">
      <c r="A97" s="24"/>
      <c r="B97" s="28"/>
      <c r="C97" s="26"/>
      <c r="D97" s="27"/>
      <c r="E97" s="8"/>
      <c r="F97" s="8"/>
      <c r="G97" s="8"/>
      <c r="H97" s="8"/>
    </row>
    <row r="98" spans="1:8" x14ac:dyDescent="0.2">
      <c r="A98" s="29" t="s">
        <v>0</v>
      </c>
      <c r="B98" s="30">
        <f>[1]Charters!$E$6</f>
        <v>3184</v>
      </c>
      <c r="C98" s="26"/>
      <c r="D98" s="31"/>
      <c r="E98" s="8"/>
      <c r="F98" s="8"/>
      <c r="G98" s="8"/>
      <c r="H98" s="8"/>
    </row>
    <row r="99" spans="1:8" x14ac:dyDescent="0.2">
      <c r="A99" s="32"/>
      <c r="B99" s="6"/>
      <c r="C99" s="33"/>
      <c r="D99" s="34" t="s">
        <v>3</v>
      </c>
      <c r="E99" s="8"/>
      <c r="F99" s="8"/>
      <c r="G99" s="8"/>
      <c r="H99" s="8"/>
    </row>
    <row r="100" spans="1:8" x14ac:dyDescent="0.2">
      <c r="A100" s="29" t="s">
        <v>19</v>
      </c>
      <c r="B100" s="35" t="str">
        <f>[1]Charters!A99</f>
        <v>5I</v>
      </c>
      <c r="C100" s="36" t="s">
        <v>4</v>
      </c>
      <c r="D100" s="37" t="s">
        <v>5</v>
      </c>
      <c r="E100" s="8"/>
      <c r="F100" s="8"/>
      <c r="G100" s="8"/>
      <c r="H100" s="8"/>
    </row>
    <row r="101" spans="1:8" x14ac:dyDescent="0.2">
      <c r="A101" s="38" t="s">
        <v>6</v>
      </c>
      <c r="B101" s="39"/>
      <c r="C101" s="40"/>
      <c r="D101" s="41"/>
      <c r="E101" s="8"/>
      <c r="F101" s="8"/>
      <c r="G101" s="8"/>
      <c r="H101" s="8"/>
    </row>
    <row r="102" spans="1:8" x14ac:dyDescent="0.2">
      <c r="A102" s="38" t="s">
        <v>7</v>
      </c>
      <c r="B102" s="39"/>
      <c r="C102" s="40"/>
      <c r="D102" s="41"/>
      <c r="E102" s="8"/>
      <c r="F102" s="42" t="s">
        <v>23</v>
      </c>
      <c r="G102" s="8"/>
      <c r="H102" s="42" t="s">
        <v>26</v>
      </c>
    </row>
    <row r="103" spans="1:8" x14ac:dyDescent="0.2">
      <c r="A103" s="20" t="s">
        <v>8</v>
      </c>
      <c r="B103" s="43"/>
      <c r="C103" s="44">
        <f>[1]Charters!C559</f>
        <v>450.375</v>
      </c>
      <c r="D103" s="45">
        <f>[1]Charters!E559</f>
        <v>1433994</v>
      </c>
      <c r="E103" s="8"/>
      <c r="F103" s="42">
        <f>[1]Charters!E714</f>
        <v>1512211.2</v>
      </c>
      <c r="G103" s="8"/>
      <c r="H103" s="42">
        <f>[2]Charters!E253</f>
        <v>1841578.83</v>
      </c>
    </row>
    <row r="104" spans="1:8" x14ac:dyDescent="0.2">
      <c r="A104" s="20" t="s">
        <v>14</v>
      </c>
      <c r="B104" s="43"/>
      <c r="C104" s="44">
        <f>[1]Charters!F559</f>
        <v>24.565999999999999</v>
      </c>
      <c r="D104" s="45">
        <f>[1]Charters!H559</f>
        <v>78217.2</v>
      </c>
      <c r="E104" s="8"/>
      <c r="F104" s="42">
        <f>SUM(D103:D105)</f>
        <v>1512211.2</v>
      </c>
      <c r="G104" s="8"/>
      <c r="H104" s="42">
        <f>D116</f>
        <v>1841578.83</v>
      </c>
    </row>
    <row r="105" spans="1:8" x14ac:dyDescent="0.2">
      <c r="A105" s="20" t="s">
        <v>32</v>
      </c>
      <c r="B105" s="43"/>
      <c r="C105" s="44">
        <f>[1]Charters!C252</f>
        <v>0</v>
      </c>
      <c r="D105" s="45">
        <f>[1]Charters!E252</f>
        <v>0</v>
      </c>
      <c r="E105" s="8"/>
      <c r="F105" s="42">
        <f>+F103-F104</f>
        <v>0</v>
      </c>
      <c r="G105" s="8"/>
      <c r="H105" s="42">
        <f>+H103-H104</f>
        <v>0</v>
      </c>
    </row>
    <row r="106" spans="1:8" x14ac:dyDescent="0.2">
      <c r="A106" s="38" t="s">
        <v>9</v>
      </c>
      <c r="B106" s="39"/>
      <c r="C106" s="46"/>
      <c r="D106" s="47"/>
      <c r="E106" s="8"/>
      <c r="F106" s="8"/>
      <c r="G106" s="8"/>
      <c r="H106" s="8"/>
    </row>
    <row r="107" spans="1:8" x14ac:dyDescent="0.2">
      <c r="A107" s="20" t="s">
        <v>10</v>
      </c>
      <c r="B107" s="43"/>
      <c r="C107" s="40">
        <f>[3]Charters!C98</f>
        <v>54.658000000000001</v>
      </c>
      <c r="D107" s="41">
        <f>[3]Charters!E98</f>
        <v>174030.32</v>
      </c>
      <c r="E107" s="8"/>
      <c r="F107" s="42" t="s">
        <v>24</v>
      </c>
      <c r="G107" s="8"/>
      <c r="H107" s="8"/>
    </row>
    <row r="108" spans="1:8" x14ac:dyDescent="0.2">
      <c r="A108" s="48" t="s">
        <v>11</v>
      </c>
      <c r="B108" s="43"/>
      <c r="C108" s="40">
        <f>[3]Charters!F98</f>
        <v>0</v>
      </c>
      <c r="D108" s="49">
        <f>[3]Charters!H98</f>
        <v>0</v>
      </c>
      <c r="E108" s="8"/>
      <c r="F108" s="42">
        <f>[3]Charters!N410</f>
        <v>179964.47</v>
      </c>
      <c r="G108" s="8"/>
      <c r="H108" s="8"/>
    </row>
    <row r="109" spans="1:8" x14ac:dyDescent="0.2">
      <c r="A109" s="48" t="s">
        <v>12</v>
      </c>
      <c r="B109" s="43"/>
      <c r="C109" s="40">
        <f>[3]Charters!C253</f>
        <v>0</v>
      </c>
      <c r="D109" s="41">
        <f>[3]Charters!E253</f>
        <v>0</v>
      </c>
      <c r="E109" s="8"/>
      <c r="F109" s="42">
        <f>SUM(D107:D113)</f>
        <v>179964.47</v>
      </c>
      <c r="G109" s="8"/>
      <c r="H109" s="8"/>
    </row>
    <row r="110" spans="1:8" x14ac:dyDescent="0.2">
      <c r="A110" s="20" t="s">
        <v>13</v>
      </c>
      <c r="B110" s="43"/>
      <c r="C110" s="40">
        <f>[3]Charters!F253</f>
        <v>0.70899999999999996</v>
      </c>
      <c r="D110" s="41">
        <f>[3]Charters!H253</f>
        <v>2259</v>
      </c>
      <c r="E110" s="8"/>
      <c r="F110" s="42">
        <f>+F108-F109</f>
        <v>0</v>
      </c>
      <c r="G110" s="8"/>
      <c r="H110" s="8"/>
    </row>
    <row r="111" spans="1:8" x14ac:dyDescent="0.2">
      <c r="A111" s="48" t="s">
        <v>54</v>
      </c>
      <c r="B111" s="43"/>
      <c r="C111" s="40">
        <f>[3]Charters!C410</f>
        <v>1.1539999999999999</v>
      </c>
      <c r="D111" s="41">
        <f>[3]Charters!E410</f>
        <v>3675.15</v>
      </c>
      <c r="E111" s="8"/>
      <c r="F111" s="8"/>
      <c r="G111" s="8"/>
      <c r="H111" s="8"/>
    </row>
    <row r="112" spans="1:8" x14ac:dyDescent="0.2">
      <c r="A112" s="48" t="s">
        <v>55</v>
      </c>
      <c r="B112" s="43"/>
      <c r="C112" s="40">
        <f>[3]Charters!F410</f>
        <v>0</v>
      </c>
      <c r="D112" s="41">
        <f>[3]Charters!H410</f>
        <v>0</v>
      </c>
      <c r="E112" s="8"/>
      <c r="F112" s="42" t="s">
        <v>25</v>
      </c>
      <c r="G112" s="8"/>
      <c r="H112" s="8"/>
    </row>
    <row r="113" spans="1:8" x14ac:dyDescent="0.2">
      <c r="A113" s="48" t="s">
        <v>56</v>
      </c>
      <c r="B113" s="43"/>
      <c r="C113" s="40">
        <f>[3]Charters!I410</f>
        <v>0</v>
      </c>
      <c r="D113" s="41">
        <f>[3]Charters!K410</f>
        <v>0</v>
      </c>
      <c r="E113" s="8"/>
      <c r="F113" s="42">
        <f>[2]Charters!H99</f>
        <v>329367.63</v>
      </c>
      <c r="G113" s="8"/>
      <c r="H113" s="8"/>
    </row>
    <row r="114" spans="1:8" x14ac:dyDescent="0.2">
      <c r="A114" s="20" t="s">
        <v>49</v>
      </c>
      <c r="B114" s="43"/>
      <c r="C114" s="40">
        <f>[3]Charters!C566</f>
        <v>0</v>
      </c>
      <c r="D114" s="41">
        <f>[3]Charters!E566</f>
        <v>0</v>
      </c>
      <c r="E114" s="8"/>
      <c r="F114" s="42">
        <f>SUM(D107:D115)</f>
        <v>329367.63</v>
      </c>
      <c r="G114" s="8"/>
      <c r="H114" s="8"/>
    </row>
    <row r="115" spans="1:8" x14ac:dyDescent="0.2">
      <c r="A115" s="20" t="s">
        <v>50</v>
      </c>
      <c r="B115" s="43"/>
      <c r="C115" s="40">
        <f>[2]Charters!C99</f>
        <v>46.923000000000002</v>
      </c>
      <c r="D115" s="41">
        <f>[2]Charters!E99</f>
        <v>149403.16</v>
      </c>
      <c r="E115" s="8"/>
      <c r="F115" s="42">
        <f>+F113-F114</f>
        <v>0</v>
      </c>
      <c r="G115" s="8"/>
      <c r="H115" s="8"/>
    </row>
    <row r="116" spans="1:8" x14ac:dyDescent="0.2">
      <c r="A116" s="50"/>
      <c r="B116" s="51" t="s">
        <v>16</v>
      </c>
      <c r="C116" s="52">
        <f>SUM(C103:C115)</f>
        <v>578.38499999999999</v>
      </c>
      <c r="D116" s="53">
        <f>SUM(D103:D115)</f>
        <v>1841578.83</v>
      </c>
      <c r="E116" s="8"/>
      <c r="F116" s="8"/>
      <c r="G116" s="8"/>
      <c r="H116" s="8"/>
    </row>
    <row r="117" spans="1:8" x14ac:dyDescent="0.2">
      <c r="A117" s="54" t="s">
        <v>17</v>
      </c>
      <c r="B117" s="39"/>
      <c r="C117" s="55"/>
      <c r="D117" s="47"/>
      <c r="E117" s="8"/>
      <c r="F117" s="8"/>
      <c r="G117" s="8"/>
      <c r="H117" s="42" t="s">
        <v>29</v>
      </c>
    </row>
    <row r="118" spans="1:8" x14ac:dyDescent="0.2">
      <c r="A118" s="20" t="s">
        <v>33</v>
      </c>
      <c r="B118" s="43"/>
      <c r="C118" s="56"/>
      <c r="D118" s="57">
        <f>[4]Charters!C99</f>
        <v>5337.76</v>
      </c>
      <c r="E118" s="8"/>
      <c r="F118" s="8"/>
      <c r="G118" s="8"/>
      <c r="H118" s="42">
        <f>[4]Charters!F1039</f>
        <v>3141736.16</v>
      </c>
    </row>
    <row r="119" spans="1:8" x14ac:dyDescent="0.2">
      <c r="A119" s="58" t="s">
        <v>35</v>
      </c>
      <c r="B119" s="43"/>
      <c r="C119" s="56"/>
      <c r="D119" s="41">
        <f>+[4]Charters!F420</f>
        <v>2167.65</v>
      </c>
      <c r="E119" s="8"/>
      <c r="F119" s="8"/>
      <c r="G119" s="8"/>
      <c r="H119" s="42">
        <f>SUM(D116:D135)</f>
        <v>3141736.16</v>
      </c>
    </row>
    <row r="120" spans="1:8" x14ac:dyDescent="0.2">
      <c r="A120" s="59" t="s">
        <v>36</v>
      </c>
      <c r="B120" s="43"/>
      <c r="C120" s="56"/>
      <c r="D120" s="41">
        <f>[4]Charters!E259</f>
        <v>22787</v>
      </c>
      <c r="E120" s="8"/>
      <c r="F120" s="8"/>
      <c r="G120" s="8"/>
      <c r="H120" s="42">
        <f>+H118-H119</f>
        <v>0</v>
      </c>
    </row>
    <row r="121" spans="1:8" x14ac:dyDescent="0.2">
      <c r="A121" s="59" t="s">
        <v>52</v>
      </c>
      <c r="B121" s="43"/>
      <c r="C121" s="56"/>
      <c r="D121" s="41">
        <f>[4]Charters!G420</f>
        <v>0</v>
      </c>
      <c r="E121" s="8"/>
      <c r="F121" s="42" t="s">
        <v>27</v>
      </c>
      <c r="G121" s="8"/>
      <c r="H121" s="42"/>
    </row>
    <row r="122" spans="1:8" x14ac:dyDescent="0.2">
      <c r="A122" s="20" t="s">
        <v>37</v>
      </c>
      <c r="B122" s="43"/>
      <c r="C122" s="56"/>
      <c r="D122" s="41">
        <f>[4]Charters!E576</f>
        <v>38107</v>
      </c>
      <c r="E122" s="8"/>
      <c r="F122" s="42">
        <f>[4]Charters!E259</f>
        <v>22787</v>
      </c>
      <c r="G122" s="8"/>
      <c r="H122" s="8"/>
    </row>
    <row r="123" spans="1:8" x14ac:dyDescent="0.2">
      <c r="A123" s="20" t="s">
        <v>38</v>
      </c>
      <c r="B123" s="43"/>
      <c r="C123" s="56"/>
      <c r="D123" s="41">
        <f>[4]Charters!F576</f>
        <v>0</v>
      </c>
      <c r="E123" s="8"/>
      <c r="F123" s="42">
        <f>SUM(D120:D120)</f>
        <v>22787</v>
      </c>
      <c r="G123" s="8"/>
      <c r="H123" s="8"/>
    </row>
    <row r="124" spans="1:8" x14ac:dyDescent="0.2">
      <c r="A124" s="59" t="s">
        <v>40</v>
      </c>
      <c r="B124" s="43"/>
      <c r="C124" s="56"/>
      <c r="D124" s="41">
        <f>[4]Charters!G576</f>
        <v>0</v>
      </c>
      <c r="E124" s="8"/>
      <c r="F124" s="42">
        <f>+F122-F123</f>
        <v>0</v>
      </c>
      <c r="G124" s="8"/>
      <c r="H124" s="8"/>
    </row>
    <row r="125" spans="1:8" x14ac:dyDescent="0.2">
      <c r="A125" s="20" t="s">
        <v>41</v>
      </c>
      <c r="B125" s="43"/>
      <c r="C125" s="56"/>
      <c r="D125" s="41">
        <f>[4]Charters!C730</f>
        <v>1066533</v>
      </c>
      <c r="E125" s="8"/>
      <c r="F125" s="42" t="s">
        <v>28</v>
      </c>
      <c r="G125" s="8"/>
      <c r="H125" s="8"/>
    </row>
    <row r="126" spans="1:8" x14ac:dyDescent="0.2">
      <c r="A126" s="20" t="s">
        <v>42</v>
      </c>
      <c r="B126" s="43"/>
      <c r="C126" s="56"/>
      <c r="D126" s="41">
        <f>[4]Charters!D730</f>
        <v>94858.240000000005</v>
      </c>
      <c r="E126" s="8"/>
      <c r="F126" s="42">
        <f>[4]Charters!D576</f>
        <v>24954.65</v>
      </c>
      <c r="G126" s="8"/>
      <c r="H126" s="8"/>
    </row>
    <row r="127" spans="1:8" x14ac:dyDescent="0.2">
      <c r="A127" s="20" t="s">
        <v>44</v>
      </c>
      <c r="B127" s="43"/>
      <c r="C127" s="56"/>
      <c r="D127" s="41">
        <f>[4]Charters!E730</f>
        <v>53300</v>
      </c>
      <c r="E127" s="8"/>
      <c r="F127" s="42">
        <f>SUM(D119:D121)</f>
        <v>24954.65</v>
      </c>
      <c r="G127" s="8"/>
      <c r="H127" s="8"/>
    </row>
    <row r="128" spans="1:8" x14ac:dyDescent="0.2">
      <c r="A128" s="59" t="s">
        <v>43</v>
      </c>
      <c r="B128" s="43"/>
      <c r="C128" s="56"/>
      <c r="D128" s="41">
        <f>[4]Charters!F730</f>
        <v>16317.4</v>
      </c>
      <c r="E128" s="8"/>
      <c r="F128" s="42">
        <f>+F126-F127</f>
        <v>0</v>
      </c>
      <c r="G128" s="8"/>
      <c r="H128" s="8"/>
    </row>
    <row r="129" spans="1:8" x14ac:dyDescent="0.2">
      <c r="A129" s="59" t="s">
        <v>45</v>
      </c>
      <c r="B129" s="43"/>
      <c r="C129" s="56"/>
      <c r="D129" s="41">
        <f>[4]Charters!C576</f>
        <v>0</v>
      </c>
      <c r="E129" s="8"/>
      <c r="F129" s="8"/>
      <c r="G129" s="8"/>
      <c r="H129" s="8"/>
    </row>
    <row r="130" spans="1:8" x14ac:dyDescent="0.2">
      <c r="A130" s="59" t="s">
        <v>46</v>
      </c>
      <c r="B130" s="43"/>
      <c r="C130" s="56"/>
      <c r="D130" s="41">
        <f>[4]Charters!C886</f>
        <v>0</v>
      </c>
      <c r="E130" s="42"/>
      <c r="F130" s="42"/>
      <c r="G130" s="42"/>
      <c r="H130" s="42" t="s">
        <v>31</v>
      </c>
    </row>
    <row r="131" spans="1:8" x14ac:dyDescent="0.2">
      <c r="A131" s="59" t="s">
        <v>51</v>
      </c>
      <c r="B131" s="43"/>
      <c r="C131" s="56"/>
      <c r="D131" s="60">
        <f>[4]Charters!D886</f>
        <v>749.28</v>
      </c>
      <c r="E131" s="42"/>
      <c r="F131" s="42"/>
      <c r="G131" s="42"/>
      <c r="H131" s="42">
        <f>[4]Charters!D1345</f>
        <v>3145142.21</v>
      </c>
    </row>
    <row r="132" spans="1:8" x14ac:dyDescent="0.2">
      <c r="A132" s="20" t="s">
        <v>47</v>
      </c>
      <c r="B132" s="43"/>
      <c r="C132" s="56"/>
      <c r="D132" s="60">
        <f>[4]Charters!E886</f>
        <v>0</v>
      </c>
      <c r="E132" s="42"/>
      <c r="F132" s="42"/>
      <c r="G132" s="42"/>
      <c r="H132" s="42">
        <f>D141</f>
        <v>3145142.21</v>
      </c>
    </row>
    <row r="133" spans="1:8" x14ac:dyDescent="0.2">
      <c r="A133" s="20" t="s">
        <v>57</v>
      </c>
      <c r="B133" s="43"/>
      <c r="C133" s="56"/>
      <c r="D133" s="60">
        <f>[4]Charters!C1039</f>
        <v>0</v>
      </c>
      <c r="E133" s="42"/>
      <c r="F133" s="42"/>
      <c r="G133" s="42"/>
      <c r="H133" s="42">
        <f>+H131-H132</f>
        <v>0</v>
      </c>
    </row>
    <row r="134" spans="1:8" x14ac:dyDescent="0.2">
      <c r="A134" s="59" t="s">
        <v>53</v>
      </c>
      <c r="B134" s="43"/>
      <c r="C134" s="56"/>
      <c r="D134" s="60">
        <f>[4]Charters!D1039</f>
        <v>0</v>
      </c>
      <c r="E134" s="42"/>
      <c r="F134" s="42" t="s">
        <v>30</v>
      </c>
      <c r="G134" s="42"/>
      <c r="H134" s="42"/>
    </row>
    <row r="135" spans="1:8" x14ac:dyDescent="0.2">
      <c r="A135" s="59" t="s">
        <v>59</v>
      </c>
      <c r="B135" s="43"/>
      <c r="C135" s="56"/>
      <c r="D135" s="60">
        <f>[4]Charters!E1039</f>
        <v>0</v>
      </c>
      <c r="E135" s="42"/>
      <c r="F135" s="42"/>
      <c r="G135" s="42"/>
      <c r="H135" s="42"/>
    </row>
    <row r="136" spans="1:8" x14ac:dyDescent="0.2">
      <c r="A136" s="38" t="s">
        <v>18</v>
      </c>
      <c r="B136" s="61"/>
      <c r="C136" s="62"/>
      <c r="D136" s="87"/>
      <c r="E136" s="42"/>
      <c r="F136" s="42">
        <f>[4]Charters!C1345</f>
        <v>3406.05</v>
      </c>
      <c r="G136" s="42"/>
      <c r="H136" s="42"/>
    </row>
    <row r="137" spans="1:8" x14ac:dyDescent="0.2">
      <c r="A137" s="59" t="s">
        <v>39</v>
      </c>
      <c r="B137" s="43"/>
      <c r="C137" s="56"/>
      <c r="D137" s="41">
        <f>[4]Charters!C1192</f>
        <v>3406.05</v>
      </c>
      <c r="E137" s="42"/>
      <c r="F137" s="42">
        <f>SUM(D137:D140)</f>
        <v>3406.05</v>
      </c>
      <c r="G137" s="42"/>
      <c r="H137" s="42"/>
    </row>
    <row r="138" spans="1:8" x14ac:dyDescent="0.2">
      <c r="A138" s="59" t="s">
        <v>48</v>
      </c>
      <c r="B138" s="43"/>
      <c r="C138" s="56"/>
      <c r="D138" s="41">
        <f>[4]Charters!D1192</f>
        <v>0</v>
      </c>
      <c r="E138" s="42"/>
      <c r="F138" s="42">
        <f>+F136-F137</f>
        <v>0</v>
      </c>
      <c r="G138" s="42"/>
      <c r="H138" s="42"/>
    </row>
    <row r="139" spans="1:8" x14ac:dyDescent="0.2">
      <c r="A139" s="59" t="s">
        <v>60</v>
      </c>
      <c r="B139" s="43"/>
      <c r="C139" s="56"/>
      <c r="D139" s="41">
        <f>[4]Charters!E1192</f>
        <v>0</v>
      </c>
      <c r="E139" s="42"/>
      <c r="F139" s="42"/>
      <c r="G139" s="42"/>
      <c r="H139" s="42"/>
    </row>
    <row r="140" spans="1:8" x14ac:dyDescent="0.2">
      <c r="A140" s="59" t="s">
        <v>61</v>
      </c>
      <c r="B140" s="43"/>
      <c r="C140" s="56"/>
      <c r="D140" s="41">
        <f>[4]Charters!F1192</f>
        <v>0</v>
      </c>
      <c r="E140" s="42"/>
      <c r="F140" s="42"/>
      <c r="G140" s="42"/>
      <c r="H140" s="42"/>
    </row>
    <row r="141" spans="1:8" ht="13.5" thickBot="1" x14ac:dyDescent="0.25">
      <c r="A141" s="64"/>
      <c r="B141" s="65"/>
      <c r="C141" s="66"/>
      <c r="D141" s="67">
        <f>SUM(D116:D140)</f>
        <v>3145142.21</v>
      </c>
      <c r="E141" s="42"/>
      <c r="F141" s="42"/>
      <c r="G141" s="42"/>
      <c r="H141" s="42"/>
    </row>
    <row r="142" spans="1:8" ht="13.5" thickTop="1" x14ac:dyDescent="0.2">
      <c r="A142" s="68"/>
      <c r="B142" s="43"/>
      <c r="C142" s="56"/>
      <c r="D142" s="86"/>
      <c r="E142" s="42"/>
      <c r="F142" s="42"/>
      <c r="G142" s="42"/>
      <c r="H142" s="42"/>
    </row>
    <row r="143" spans="1:8" x14ac:dyDescent="0.2">
      <c r="A143" s="38" t="s">
        <v>20</v>
      </c>
      <c r="B143" s="39"/>
      <c r="C143" s="70"/>
      <c r="D143" s="71" t="s">
        <v>21</v>
      </c>
      <c r="E143" s="42"/>
      <c r="F143" s="42"/>
      <c r="G143" s="42"/>
      <c r="H143" s="42"/>
    </row>
    <row r="144" spans="1:8" x14ac:dyDescent="0.2">
      <c r="A144" s="72" t="s">
        <v>22</v>
      </c>
      <c r="B144" s="73"/>
      <c r="C144" s="74"/>
      <c r="D144" s="41">
        <f>[5]Charters!C98</f>
        <v>1230.5899999999999</v>
      </c>
      <c r="E144" s="42"/>
      <c r="F144" s="42"/>
      <c r="G144" s="42"/>
      <c r="H144" s="42"/>
    </row>
    <row r="145" spans="1:8" x14ac:dyDescent="0.2">
      <c r="A145" s="75"/>
      <c r="B145" s="61"/>
      <c r="C145" s="76"/>
      <c r="D145" s="77">
        <f>SUM(D144:D144)</f>
        <v>1230.5899999999999</v>
      </c>
      <c r="E145" s="42"/>
      <c r="F145" s="42"/>
      <c r="G145" s="42"/>
      <c r="H145" s="42"/>
    </row>
    <row r="146" spans="1:8" x14ac:dyDescent="0.2">
      <c r="A146" s="78" t="s">
        <v>58</v>
      </c>
      <c r="B146" s="79"/>
      <c r="C146" s="80"/>
      <c r="D146" s="77">
        <f>D145+D141</f>
        <v>3146372.8</v>
      </c>
      <c r="E146" s="42"/>
      <c r="F146" s="42"/>
      <c r="G146" s="42"/>
      <c r="H146" s="42"/>
    </row>
    <row r="147" spans="1:8" x14ac:dyDescent="0.2">
      <c r="A147" s="84"/>
      <c r="B147" s="84"/>
      <c r="C147" s="85"/>
      <c r="D147" s="81"/>
      <c r="E147" s="42"/>
      <c r="F147" s="42"/>
      <c r="G147" s="42"/>
      <c r="H147" s="42"/>
    </row>
    <row r="148" spans="1:8" x14ac:dyDescent="0.2">
      <c r="A148" s="84"/>
      <c r="B148" s="84"/>
      <c r="C148" s="85"/>
      <c r="D148" s="81">
        <f>[5]Charters!E254</f>
        <v>3146372.8</v>
      </c>
      <c r="E148" s="42"/>
      <c r="F148" s="42"/>
      <c r="G148" s="42"/>
      <c r="H148" s="42"/>
    </row>
    <row r="149" spans="1:8" x14ac:dyDescent="0.2">
      <c r="A149" s="84"/>
      <c r="B149" s="84"/>
      <c r="C149" s="85"/>
      <c r="D149" s="81">
        <f>D146</f>
        <v>3146372.8</v>
      </c>
      <c r="E149" s="42"/>
      <c r="F149" s="42"/>
      <c r="G149" s="42"/>
      <c r="H149" s="42"/>
    </row>
    <row r="150" spans="1:8" x14ac:dyDescent="0.2">
      <c r="C150" s="83"/>
      <c r="D150" s="42">
        <f>D148-D149</f>
        <v>0</v>
      </c>
      <c r="E150" s="42"/>
      <c r="F150" s="42"/>
      <c r="G150" s="42"/>
      <c r="H150" s="42"/>
    </row>
  </sheetData>
  <mergeCells count="4">
    <mergeCell ref="A146:C146"/>
    <mergeCell ref="A94:D94"/>
    <mergeCell ref="A93:D93"/>
    <mergeCell ref="A92:D92"/>
  </mergeCells>
  <printOptions horizontalCentered="1" verticalCentered="1"/>
  <pageMargins left="0.5" right="0.5" top="0.5" bottom="0.5" header="0.25" footer="0.25"/>
  <pageSetup orientation="portrait" r:id="rId1"/>
  <headerFooter alignWithMargins="0">
    <oddHeader>&amp;R&amp;8Current as of: &amp;D</oddHeader>
    <oddFooter>&amp;L&amp;8USOE, School Finance</oddFooter>
  </headerFooter>
  <picture r:id="rId2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700-000000000000}">
  <sheetPr>
    <pageSetUpPr fitToPage="1"/>
  </sheetPr>
  <dimension ref="A1:H151"/>
  <sheetViews>
    <sheetView topLeftCell="A91" workbookViewId="0">
      <selection activeCell="C12" sqref="C12"/>
    </sheetView>
  </sheetViews>
  <sheetFormatPr defaultColWidth="9.140625" defaultRowHeight="12.75" x14ac:dyDescent="0.2"/>
  <cols>
    <col min="1" max="1" width="32.28515625" style="82" customWidth="1"/>
    <col min="2" max="2" width="16.42578125" style="82" customWidth="1"/>
    <col min="3" max="4" width="15.28515625" style="82" customWidth="1"/>
    <col min="5" max="5" width="9.140625" style="82"/>
    <col min="6" max="6" width="19.42578125" style="82" customWidth="1"/>
    <col min="7" max="7" width="9.140625" style="82"/>
    <col min="8" max="8" width="18" style="82" customWidth="1"/>
    <col min="9" max="16384" width="9.140625" style="82"/>
  </cols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"/>
      <c r="B3" s="1"/>
      <c r="C3" s="1"/>
      <c r="D3" s="1"/>
      <c r="E3" s="1"/>
      <c r="F3" s="1"/>
      <c r="G3" s="1"/>
      <c r="H3" s="1"/>
    </row>
    <row r="4" spans="1:8" x14ac:dyDescent="0.2">
      <c r="A4" s="1"/>
      <c r="B4" s="1"/>
      <c r="C4" s="1"/>
      <c r="D4" s="1"/>
      <c r="E4" s="1"/>
      <c r="F4" s="1"/>
      <c r="G4" s="1"/>
      <c r="H4" s="1"/>
    </row>
    <row r="5" spans="1:8" x14ac:dyDescent="0.2">
      <c r="A5" s="1"/>
      <c r="B5" s="1"/>
      <c r="C5" s="1"/>
      <c r="D5" s="1"/>
      <c r="E5" s="1"/>
      <c r="F5" s="1"/>
      <c r="G5" s="1"/>
      <c r="H5" s="1"/>
    </row>
    <row r="6" spans="1:8" x14ac:dyDescent="0.2">
      <c r="A6" s="1"/>
      <c r="B6" s="1"/>
      <c r="C6" s="1"/>
      <c r="D6" s="1"/>
      <c r="E6" s="1"/>
      <c r="F6" s="1"/>
      <c r="G6" s="1"/>
      <c r="H6" s="1"/>
    </row>
    <row r="7" spans="1:8" x14ac:dyDescent="0.2">
      <c r="A7" s="1"/>
      <c r="B7" s="1"/>
      <c r="C7" s="1"/>
      <c r="D7" s="1"/>
      <c r="E7" s="1"/>
      <c r="F7" s="1"/>
      <c r="G7" s="1"/>
      <c r="H7" s="1"/>
    </row>
    <row r="8" spans="1:8" x14ac:dyDescent="0.2">
      <c r="A8" s="1"/>
      <c r="B8" s="1"/>
      <c r="C8" s="1"/>
      <c r="D8" s="1"/>
      <c r="E8" s="1"/>
      <c r="F8" s="1"/>
      <c r="G8" s="1"/>
      <c r="H8" s="1"/>
    </row>
    <row r="9" spans="1:8" x14ac:dyDescent="0.2">
      <c r="A9" s="1"/>
      <c r="B9" s="1"/>
      <c r="C9" s="1"/>
      <c r="D9" s="1"/>
      <c r="E9" s="1"/>
      <c r="F9" s="1"/>
      <c r="G9" s="1"/>
      <c r="H9" s="1"/>
    </row>
    <row r="10" spans="1:8" x14ac:dyDescent="0.2">
      <c r="A10" s="1"/>
      <c r="B10" s="1"/>
      <c r="C10" s="1"/>
      <c r="D10" s="1"/>
      <c r="E10" s="1"/>
      <c r="F10" s="1"/>
      <c r="G10" s="1"/>
      <c r="H10" s="1"/>
    </row>
    <row r="11" spans="1:8" x14ac:dyDescent="0.2">
      <c r="A11" s="1"/>
      <c r="B11" s="1"/>
      <c r="C11" s="1"/>
      <c r="D11" s="1"/>
      <c r="E11" s="1"/>
      <c r="F11" s="1"/>
      <c r="G11" s="1"/>
      <c r="H11" s="1"/>
    </row>
    <row r="12" spans="1:8" x14ac:dyDescent="0.2">
      <c r="A12" s="1"/>
      <c r="B12" s="1"/>
      <c r="C12" s="1"/>
      <c r="D12" s="1"/>
      <c r="E12" s="1"/>
      <c r="F12" s="1"/>
      <c r="G12" s="1"/>
      <c r="H12" s="1"/>
    </row>
    <row r="13" spans="1:8" x14ac:dyDescent="0.2">
      <c r="A13" s="1"/>
      <c r="B13" s="1"/>
      <c r="C13" s="1"/>
      <c r="D13" s="1"/>
      <c r="E13" s="1"/>
      <c r="F13" s="1"/>
      <c r="G13" s="1"/>
      <c r="H13" s="1"/>
    </row>
    <row r="14" spans="1:8" x14ac:dyDescent="0.2">
      <c r="A14" s="1"/>
      <c r="B14" s="1"/>
      <c r="C14" s="1"/>
      <c r="D14" s="1"/>
      <c r="E14" s="1"/>
      <c r="F14" s="1"/>
      <c r="G14" s="1"/>
      <c r="H14" s="1"/>
    </row>
    <row r="15" spans="1:8" x14ac:dyDescent="0.2">
      <c r="A15" s="1"/>
      <c r="B15" s="1"/>
      <c r="C15" s="1"/>
      <c r="D15" s="1"/>
      <c r="E15" s="1"/>
      <c r="F15" s="1"/>
      <c r="G15" s="1"/>
      <c r="H15" s="1"/>
    </row>
    <row r="16" spans="1:8" x14ac:dyDescent="0.2">
      <c r="A16" s="1"/>
      <c r="B16" s="1"/>
      <c r="C16" s="1"/>
      <c r="D16" s="1"/>
      <c r="E16" s="1"/>
      <c r="F16" s="1"/>
      <c r="G16" s="1"/>
      <c r="H16" s="1"/>
    </row>
    <row r="17" spans="1:8" x14ac:dyDescent="0.2">
      <c r="A17" s="1"/>
      <c r="B17" s="1"/>
      <c r="C17" s="1"/>
      <c r="D17" s="1"/>
      <c r="E17" s="1"/>
      <c r="F17" s="1"/>
      <c r="G17" s="1"/>
      <c r="H17" s="1"/>
    </row>
    <row r="18" spans="1:8" x14ac:dyDescent="0.2">
      <c r="A18" s="1"/>
      <c r="B18" s="1"/>
      <c r="C18" s="1"/>
      <c r="D18" s="1"/>
      <c r="E18" s="1"/>
      <c r="F18" s="1"/>
      <c r="G18" s="1"/>
      <c r="H18" s="1"/>
    </row>
    <row r="19" spans="1:8" x14ac:dyDescent="0.2">
      <c r="A19" s="1"/>
      <c r="B19" s="1"/>
      <c r="C19" s="1"/>
      <c r="D19" s="1"/>
      <c r="E19" s="1"/>
      <c r="F19" s="1"/>
      <c r="G19" s="1"/>
      <c r="H19" s="1"/>
    </row>
    <row r="20" spans="1:8" x14ac:dyDescent="0.2">
      <c r="A20" s="1"/>
      <c r="B20" s="1"/>
      <c r="C20" s="1"/>
      <c r="D20" s="1"/>
      <c r="E20" s="1"/>
      <c r="F20" s="1"/>
      <c r="G20" s="1"/>
      <c r="H20" s="1"/>
    </row>
    <row r="21" spans="1:8" x14ac:dyDescent="0.2">
      <c r="A21" s="1"/>
      <c r="B21" s="1"/>
      <c r="C21" s="1"/>
      <c r="D21" s="1"/>
      <c r="E21" s="1"/>
      <c r="F21" s="1"/>
      <c r="G21" s="1"/>
      <c r="H21" s="1"/>
    </row>
    <row r="22" spans="1:8" x14ac:dyDescent="0.2">
      <c r="A22" s="1"/>
      <c r="B22" s="1"/>
      <c r="C22" s="1"/>
      <c r="D22" s="4"/>
      <c r="E22" s="1"/>
      <c r="F22" s="1"/>
      <c r="G22" s="1"/>
      <c r="H22" s="1"/>
    </row>
    <row r="23" spans="1:8" x14ac:dyDescent="0.2">
      <c r="A23" s="1"/>
      <c r="B23" s="1"/>
      <c r="C23" s="1"/>
      <c r="D23" s="1"/>
      <c r="E23" s="1"/>
      <c r="F23" s="1"/>
      <c r="G23" s="1"/>
      <c r="H23" s="1"/>
    </row>
    <row r="24" spans="1:8" x14ac:dyDescent="0.2">
      <c r="A24" s="1"/>
      <c r="B24" s="1"/>
      <c r="C24" s="1"/>
      <c r="D24" s="1"/>
      <c r="E24" s="1"/>
      <c r="F24" s="1"/>
      <c r="G24" s="1"/>
      <c r="H24" s="1"/>
    </row>
    <row r="25" spans="1:8" x14ac:dyDescent="0.2">
      <c r="A25" s="1"/>
      <c r="B25" s="1"/>
      <c r="C25" s="1"/>
      <c r="D25" s="1"/>
      <c r="E25" s="1"/>
      <c r="F25" s="1"/>
      <c r="G25" s="1"/>
      <c r="H25" s="1"/>
    </row>
    <row r="26" spans="1:8" x14ac:dyDescent="0.2">
      <c r="A26" s="1"/>
      <c r="B26" s="1"/>
      <c r="C26" s="1"/>
      <c r="D26" s="1"/>
      <c r="E26" s="1"/>
      <c r="F26" s="1"/>
      <c r="G26" s="1"/>
      <c r="H26" s="1"/>
    </row>
    <row r="27" spans="1:8" x14ac:dyDescent="0.2">
      <c r="A27" s="1"/>
      <c r="B27" s="1"/>
      <c r="C27" s="1"/>
      <c r="D27" s="1"/>
      <c r="E27" s="1"/>
      <c r="F27" s="1"/>
      <c r="G27" s="1"/>
      <c r="H27" s="1"/>
    </row>
    <row r="28" spans="1:8" x14ac:dyDescent="0.2">
      <c r="A28" s="1"/>
      <c r="B28" s="1"/>
      <c r="C28" s="1"/>
      <c r="D28" s="1"/>
      <c r="E28" s="1"/>
      <c r="F28" s="1"/>
      <c r="G28" s="1"/>
      <c r="H28" s="1"/>
    </row>
    <row r="29" spans="1:8" x14ac:dyDescent="0.2">
      <c r="A29" s="1"/>
      <c r="B29" s="1"/>
      <c r="C29" s="1"/>
      <c r="D29" s="1"/>
      <c r="E29" s="1"/>
      <c r="F29" s="1"/>
      <c r="G29" s="1"/>
      <c r="H29" s="1"/>
    </row>
    <row r="30" spans="1:8" x14ac:dyDescent="0.2">
      <c r="A30" s="1"/>
      <c r="B30" s="1"/>
      <c r="C30" s="1"/>
      <c r="D30" s="1"/>
      <c r="E30" s="1"/>
      <c r="F30" s="1"/>
      <c r="G30" s="1"/>
      <c r="H30" s="1"/>
    </row>
    <row r="31" spans="1:8" x14ac:dyDescent="0.2">
      <c r="A31" s="1"/>
      <c r="B31" s="1"/>
      <c r="C31" s="1"/>
      <c r="D31" s="1"/>
      <c r="E31" s="1"/>
      <c r="F31" s="1"/>
      <c r="G31" s="1"/>
      <c r="H31" s="1"/>
    </row>
    <row r="32" spans="1:8" x14ac:dyDescent="0.2">
      <c r="A32" s="1"/>
      <c r="B32" s="1"/>
      <c r="C32" s="1"/>
      <c r="D32" s="1"/>
      <c r="E32" s="1"/>
      <c r="F32" s="1"/>
      <c r="G32" s="1"/>
      <c r="H32" s="1"/>
    </row>
    <row r="33" spans="1:8" x14ac:dyDescent="0.2">
      <c r="A33" s="1"/>
      <c r="B33" s="1"/>
      <c r="C33" s="1"/>
      <c r="D33" s="1"/>
      <c r="E33" s="1"/>
      <c r="F33" s="1"/>
      <c r="G33" s="1"/>
      <c r="H33" s="1"/>
    </row>
    <row r="34" spans="1:8" x14ac:dyDescent="0.2">
      <c r="A34" s="1"/>
      <c r="B34" s="1"/>
      <c r="C34" s="1"/>
      <c r="D34" s="1"/>
      <c r="E34" s="1"/>
      <c r="F34" s="1"/>
      <c r="G34" s="1"/>
      <c r="H34" s="1"/>
    </row>
    <row r="35" spans="1:8" x14ac:dyDescent="0.2">
      <c r="A35" s="1"/>
      <c r="B35" s="1"/>
      <c r="C35" s="1"/>
      <c r="D35" s="1"/>
      <c r="E35" s="1"/>
      <c r="F35" s="1"/>
      <c r="G35" s="1"/>
      <c r="H35" s="1"/>
    </row>
    <row r="36" spans="1:8" x14ac:dyDescent="0.2">
      <c r="A36" s="1"/>
      <c r="B36" s="1"/>
      <c r="C36" s="1"/>
      <c r="D36" s="1"/>
      <c r="E36" s="1"/>
      <c r="F36" s="1"/>
      <c r="G36" s="1"/>
      <c r="H36" s="1"/>
    </row>
    <row r="37" spans="1:8" x14ac:dyDescent="0.2">
      <c r="A37" s="1"/>
      <c r="B37" s="1"/>
      <c r="C37" s="1"/>
      <c r="D37" s="1"/>
      <c r="E37" s="1"/>
      <c r="F37" s="1"/>
      <c r="G37" s="1"/>
      <c r="H37" s="1"/>
    </row>
    <row r="38" spans="1:8" x14ac:dyDescent="0.2">
      <c r="A38" s="1"/>
      <c r="B38" s="1"/>
      <c r="C38" s="1"/>
      <c r="D38" s="1"/>
      <c r="E38" s="1"/>
      <c r="F38" s="1"/>
      <c r="G38" s="1"/>
      <c r="H38" s="1"/>
    </row>
    <row r="39" spans="1:8" x14ac:dyDescent="0.2">
      <c r="A39" s="1"/>
      <c r="B39" s="1"/>
      <c r="C39" s="1"/>
      <c r="D39" s="1"/>
      <c r="E39" s="1"/>
      <c r="F39" s="1"/>
      <c r="G39" s="1"/>
      <c r="H39" s="1"/>
    </row>
    <row r="40" spans="1:8" x14ac:dyDescent="0.2">
      <c r="A40" s="1"/>
      <c r="B40" s="1"/>
      <c r="C40" s="1"/>
      <c r="D40" s="1"/>
      <c r="E40" s="1"/>
      <c r="F40" s="1"/>
      <c r="G40" s="1"/>
      <c r="H40" s="1"/>
    </row>
    <row r="41" spans="1:8" x14ac:dyDescent="0.2">
      <c r="A41" s="1"/>
      <c r="B41" s="1"/>
      <c r="C41" s="1"/>
      <c r="D41" s="1"/>
      <c r="E41" s="1"/>
      <c r="F41" s="1"/>
      <c r="G41" s="1"/>
      <c r="H41" s="1"/>
    </row>
    <row r="42" spans="1:8" x14ac:dyDescent="0.2">
      <c r="A42" s="1"/>
      <c r="B42" s="1"/>
      <c r="C42" s="1"/>
      <c r="D42" s="1"/>
      <c r="E42" s="1"/>
      <c r="F42" s="1"/>
      <c r="G42" s="1"/>
      <c r="H42" s="1"/>
    </row>
    <row r="43" spans="1:8" x14ac:dyDescent="0.2">
      <c r="A43" s="1"/>
      <c r="B43" s="1"/>
      <c r="C43" s="1"/>
      <c r="D43" s="1"/>
      <c r="E43" s="1"/>
      <c r="F43" s="1"/>
      <c r="G43" s="1"/>
      <c r="H43" s="1"/>
    </row>
    <row r="44" spans="1:8" x14ac:dyDescent="0.2">
      <c r="A44" s="1"/>
      <c r="B44" s="1"/>
      <c r="C44" s="1"/>
      <c r="D44" s="1"/>
      <c r="E44" s="1"/>
      <c r="F44" s="1"/>
      <c r="G44" s="1"/>
      <c r="H44" s="1"/>
    </row>
    <row r="45" spans="1:8" x14ac:dyDescent="0.2">
      <c r="A45" s="1"/>
      <c r="B45" s="1"/>
      <c r="C45" s="1"/>
      <c r="D45" s="1"/>
      <c r="E45" s="1"/>
      <c r="F45" s="1"/>
      <c r="G45" s="1"/>
      <c r="H45" s="1"/>
    </row>
    <row r="46" spans="1:8" x14ac:dyDescent="0.2">
      <c r="A46" s="1"/>
      <c r="B46" s="1"/>
      <c r="C46" s="1"/>
      <c r="D46" s="1"/>
      <c r="E46" s="1"/>
      <c r="F46" s="1"/>
      <c r="G46" s="1"/>
      <c r="H46" s="1"/>
    </row>
    <row r="47" spans="1:8" x14ac:dyDescent="0.2">
      <c r="A47" s="1"/>
      <c r="B47" s="1"/>
      <c r="C47" s="1"/>
      <c r="D47" s="1"/>
      <c r="E47" s="1"/>
      <c r="F47" s="1"/>
      <c r="G47" s="1"/>
      <c r="H47" s="1"/>
    </row>
    <row r="48" spans="1:8" x14ac:dyDescent="0.2">
      <c r="A48" s="1"/>
      <c r="B48" s="1"/>
      <c r="C48" s="1"/>
      <c r="D48" s="1"/>
      <c r="E48" s="1"/>
      <c r="F48" s="1"/>
      <c r="G48" s="1"/>
      <c r="H48" s="1"/>
    </row>
    <row r="49" spans="1:8" x14ac:dyDescent="0.2">
      <c r="A49" s="1"/>
      <c r="B49" s="1"/>
      <c r="C49" s="1"/>
      <c r="D49" s="1"/>
      <c r="E49" s="1"/>
      <c r="F49" s="1"/>
      <c r="G49" s="1"/>
      <c r="H49" s="1"/>
    </row>
    <row r="50" spans="1:8" x14ac:dyDescent="0.2">
      <c r="A50" s="1"/>
      <c r="B50" s="1"/>
      <c r="C50" s="1"/>
      <c r="D50" s="1"/>
      <c r="E50" s="1"/>
      <c r="F50" s="1"/>
      <c r="G50" s="1"/>
      <c r="H50" s="1"/>
    </row>
    <row r="51" spans="1:8" x14ac:dyDescent="0.2">
      <c r="A51" s="1"/>
      <c r="B51" s="1"/>
      <c r="C51" s="1"/>
      <c r="D51" s="1"/>
      <c r="E51" s="1"/>
      <c r="F51" s="1"/>
      <c r="G51" s="1"/>
      <c r="H51" s="1"/>
    </row>
    <row r="52" spans="1:8" x14ac:dyDescent="0.2">
      <c r="A52" s="1"/>
      <c r="B52" s="1"/>
      <c r="C52" s="1"/>
      <c r="D52" s="1"/>
      <c r="E52" s="1"/>
      <c r="F52" s="1"/>
      <c r="G52" s="1"/>
      <c r="H52" s="1"/>
    </row>
    <row r="53" spans="1:8" x14ac:dyDescent="0.2">
      <c r="A53" s="1"/>
      <c r="B53" s="1"/>
      <c r="C53" s="1"/>
      <c r="D53" s="1"/>
      <c r="E53" s="1"/>
      <c r="F53" s="1"/>
      <c r="G53" s="1"/>
      <c r="H53" s="1"/>
    </row>
    <row r="54" spans="1:8" x14ac:dyDescent="0.2">
      <c r="A54" s="1"/>
      <c r="B54" s="1"/>
      <c r="C54" s="1"/>
      <c r="D54" s="1"/>
      <c r="E54" s="1"/>
      <c r="F54" s="1"/>
      <c r="G54" s="1"/>
      <c r="H54" s="1"/>
    </row>
    <row r="55" spans="1:8" x14ac:dyDescent="0.2">
      <c r="A55" s="1"/>
      <c r="B55" s="1"/>
      <c r="C55" s="1"/>
      <c r="D55" s="1"/>
      <c r="E55" s="1"/>
      <c r="F55" s="1"/>
      <c r="G55" s="1"/>
      <c r="H55" s="1"/>
    </row>
    <row r="56" spans="1:8" x14ac:dyDescent="0.2">
      <c r="A56" s="1"/>
      <c r="B56" s="1"/>
      <c r="C56" s="1"/>
      <c r="D56" s="1"/>
      <c r="E56" s="1"/>
      <c r="F56" s="1"/>
      <c r="G56" s="1"/>
      <c r="H56" s="1"/>
    </row>
    <row r="57" spans="1:8" x14ac:dyDescent="0.2">
      <c r="A57" s="1"/>
      <c r="B57" s="1"/>
      <c r="C57" s="1"/>
      <c r="D57" s="1"/>
      <c r="E57" s="1"/>
      <c r="F57" s="1"/>
      <c r="G57" s="1"/>
      <c r="H57" s="1"/>
    </row>
    <row r="58" spans="1:8" x14ac:dyDescent="0.2">
      <c r="A58" s="1"/>
      <c r="B58" s="1"/>
      <c r="C58" s="1"/>
      <c r="D58" s="1"/>
      <c r="E58" s="1"/>
      <c r="F58" s="1"/>
      <c r="G58" s="1"/>
      <c r="H58" s="1"/>
    </row>
    <row r="59" spans="1:8" x14ac:dyDescent="0.2">
      <c r="A59" s="1"/>
      <c r="B59" s="1"/>
      <c r="C59" s="1"/>
      <c r="D59" s="1"/>
      <c r="E59" s="1"/>
      <c r="F59" s="1"/>
      <c r="G59" s="1"/>
      <c r="H59" s="1"/>
    </row>
    <row r="60" spans="1:8" x14ac:dyDescent="0.2">
      <c r="A60" s="1"/>
      <c r="B60" s="1"/>
      <c r="C60" s="1"/>
      <c r="D60" s="1"/>
      <c r="E60" s="1"/>
      <c r="F60" s="1"/>
      <c r="G60" s="1"/>
      <c r="H60" s="1"/>
    </row>
    <row r="61" spans="1:8" x14ac:dyDescent="0.2">
      <c r="A61" s="1"/>
      <c r="B61" s="1"/>
      <c r="C61" s="1"/>
      <c r="D61" s="1"/>
      <c r="E61" s="1"/>
      <c r="F61" s="1"/>
      <c r="G61" s="1"/>
      <c r="H61" s="1"/>
    </row>
    <row r="62" spans="1:8" x14ac:dyDescent="0.2">
      <c r="A62" s="1"/>
      <c r="B62" s="1"/>
      <c r="C62" s="1"/>
      <c r="D62" s="1"/>
      <c r="E62" s="1"/>
      <c r="F62" s="1"/>
      <c r="G62" s="1"/>
      <c r="H62" s="1"/>
    </row>
    <row r="63" spans="1:8" x14ac:dyDescent="0.2">
      <c r="A63" s="1"/>
      <c r="B63" s="1"/>
      <c r="C63" s="1"/>
      <c r="D63" s="1"/>
      <c r="E63" s="1"/>
      <c r="F63" s="1"/>
      <c r="G63" s="1"/>
      <c r="H63" s="1"/>
    </row>
    <row r="64" spans="1:8" x14ac:dyDescent="0.2">
      <c r="A64" s="1"/>
      <c r="B64" s="1"/>
      <c r="C64" s="1"/>
      <c r="D64" s="1"/>
      <c r="E64" s="1"/>
      <c r="F64" s="1"/>
      <c r="G64" s="1"/>
      <c r="H64" s="1"/>
    </row>
    <row r="65" spans="1:8" x14ac:dyDescent="0.2">
      <c r="A65" s="1"/>
      <c r="B65" s="1"/>
      <c r="C65" s="1"/>
      <c r="D65" s="1"/>
      <c r="E65" s="1"/>
      <c r="F65" s="1"/>
      <c r="G65" s="1"/>
      <c r="H65" s="1"/>
    </row>
    <row r="66" spans="1:8" x14ac:dyDescent="0.2">
      <c r="A66" s="1"/>
      <c r="B66" s="1"/>
      <c r="C66" s="1"/>
      <c r="D66" s="1"/>
      <c r="E66" s="1"/>
      <c r="F66" s="1"/>
      <c r="G66" s="1"/>
      <c r="H66" s="1"/>
    </row>
    <row r="67" spans="1:8" x14ac:dyDescent="0.2">
      <c r="A67" s="1"/>
      <c r="B67" s="1"/>
      <c r="C67" s="1"/>
      <c r="D67" s="1"/>
      <c r="E67" s="1"/>
      <c r="F67" s="1"/>
      <c r="G67" s="1"/>
      <c r="H67" s="1"/>
    </row>
    <row r="68" spans="1:8" x14ac:dyDescent="0.2">
      <c r="A68" s="1"/>
      <c r="B68" s="1"/>
      <c r="C68" s="1"/>
      <c r="D68" s="1"/>
      <c r="E68" s="1"/>
      <c r="F68" s="1"/>
      <c r="G68" s="1"/>
      <c r="H68" s="1"/>
    </row>
    <row r="69" spans="1:8" x14ac:dyDescent="0.2">
      <c r="A69" s="1"/>
      <c r="B69" s="1"/>
      <c r="C69" s="1"/>
      <c r="D69" s="1"/>
      <c r="E69" s="1"/>
      <c r="F69" s="1"/>
      <c r="G69" s="1"/>
      <c r="H69" s="1"/>
    </row>
    <row r="70" spans="1:8" x14ac:dyDescent="0.2">
      <c r="A70" s="1"/>
      <c r="B70" s="1"/>
      <c r="C70" s="1"/>
      <c r="D70" s="1"/>
      <c r="E70" s="1"/>
      <c r="F70" s="1"/>
      <c r="G70" s="1"/>
      <c r="H70" s="1"/>
    </row>
    <row r="71" spans="1:8" x14ac:dyDescent="0.2">
      <c r="A71" s="1"/>
      <c r="B71" s="1"/>
      <c r="C71" s="1"/>
      <c r="D71" s="1"/>
      <c r="E71" s="1"/>
      <c r="F71" s="1"/>
      <c r="G71" s="1"/>
      <c r="H71" s="1"/>
    </row>
    <row r="72" spans="1:8" x14ac:dyDescent="0.2">
      <c r="A72" s="1"/>
      <c r="B72" s="1"/>
      <c r="C72" s="1"/>
      <c r="D72" s="1"/>
      <c r="E72" s="1"/>
      <c r="F72" s="1"/>
      <c r="G72" s="1"/>
      <c r="H72" s="1"/>
    </row>
    <row r="73" spans="1:8" x14ac:dyDescent="0.2">
      <c r="A73" s="1"/>
      <c r="B73" s="1"/>
      <c r="C73" s="1"/>
      <c r="D73" s="1"/>
      <c r="E73" s="1"/>
      <c r="F73" s="1"/>
      <c r="G73" s="1"/>
      <c r="H73" s="1"/>
    </row>
    <row r="74" spans="1:8" x14ac:dyDescent="0.2">
      <c r="A74" s="1"/>
      <c r="B74" s="1"/>
      <c r="C74" s="1"/>
      <c r="D74" s="1"/>
      <c r="E74" s="1"/>
      <c r="F74" s="1"/>
      <c r="G74" s="1"/>
      <c r="H74" s="1"/>
    </row>
    <row r="75" spans="1:8" x14ac:dyDescent="0.2">
      <c r="A75" s="1"/>
      <c r="B75" s="1"/>
      <c r="C75" s="1"/>
      <c r="D75" s="1"/>
      <c r="E75" s="1"/>
      <c r="F75" s="1"/>
      <c r="G75" s="1"/>
      <c r="H75" s="1"/>
    </row>
    <row r="76" spans="1:8" x14ac:dyDescent="0.2">
      <c r="A76" s="1"/>
      <c r="B76" s="1"/>
      <c r="C76" s="1"/>
      <c r="D76" s="1"/>
      <c r="E76" s="1"/>
      <c r="F76" s="1"/>
      <c r="G76" s="1"/>
      <c r="H76" s="1"/>
    </row>
    <row r="77" spans="1:8" x14ac:dyDescent="0.2">
      <c r="A77" s="1"/>
      <c r="B77" s="1"/>
      <c r="C77" s="1"/>
      <c r="D77" s="1"/>
      <c r="E77" s="1"/>
      <c r="F77" s="1"/>
      <c r="G77" s="1"/>
      <c r="H77" s="1"/>
    </row>
    <row r="78" spans="1:8" x14ac:dyDescent="0.2">
      <c r="A78" s="1"/>
      <c r="B78" s="1"/>
      <c r="C78" s="1"/>
      <c r="D78" s="1"/>
      <c r="E78" s="1"/>
      <c r="F78" s="1"/>
      <c r="G78" s="1"/>
      <c r="H78" s="1"/>
    </row>
    <row r="79" spans="1:8" x14ac:dyDescent="0.2">
      <c r="A79" s="1"/>
      <c r="B79" s="1"/>
      <c r="C79" s="1"/>
      <c r="D79" s="1"/>
      <c r="E79" s="1"/>
      <c r="F79" s="1"/>
      <c r="G79" s="1"/>
      <c r="H79" s="1"/>
    </row>
    <row r="80" spans="1:8" x14ac:dyDescent="0.2">
      <c r="A80" s="1"/>
      <c r="B80" s="1"/>
      <c r="C80" s="1"/>
      <c r="D80" s="1"/>
      <c r="E80" s="1"/>
      <c r="F80" s="1"/>
      <c r="G80" s="1"/>
      <c r="H80" s="1"/>
    </row>
    <row r="81" spans="1:8" x14ac:dyDescent="0.2">
      <c r="A81" s="1"/>
      <c r="B81" s="1"/>
      <c r="C81" s="1"/>
      <c r="D81" s="1"/>
      <c r="E81" s="1"/>
      <c r="F81" s="1"/>
      <c r="G81" s="1"/>
      <c r="H81" s="1"/>
    </row>
    <row r="82" spans="1:8" x14ac:dyDescent="0.2">
      <c r="A82" s="1"/>
      <c r="B82" s="1"/>
      <c r="C82" s="1"/>
      <c r="D82" s="1"/>
      <c r="E82" s="1"/>
      <c r="F82" s="1"/>
      <c r="G82" s="1"/>
      <c r="H82" s="1"/>
    </row>
    <row r="83" spans="1:8" x14ac:dyDescent="0.2">
      <c r="A83" s="1"/>
      <c r="B83" s="1"/>
      <c r="C83" s="1"/>
      <c r="D83" s="1"/>
      <c r="E83" s="1"/>
      <c r="F83" s="1"/>
      <c r="G83" s="1"/>
      <c r="H83" s="1"/>
    </row>
    <row r="84" spans="1:8" x14ac:dyDescent="0.2">
      <c r="A84" s="1"/>
      <c r="B84" s="1"/>
      <c r="C84" s="1"/>
      <c r="D84" s="1"/>
      <c r="E84" s="1"/>
      <c r="F84" s="1"/>
      <c r="G84" s="1"/>
      <c r="H84" s="1"/>
    </row>
    <row r="85" spans="1:8" x14ac:dyDescent="0.2">
      <c r="A85" s="1"/>
      <c r="B85" s="1"/>
      <c r="C85" s="1"/>
      <c r="D85" s="1"/>
      <c r="E85" s="1"/>
      <c r="F85" s="1"/>
      <c r="G85" s="1"/>
      <c r="H85" s="1"/>
    </row>
    <row r="86" spans="1:8" x14ac:dyDescent="0.2">
      <c r="A86" s="1"/>
      <c r="B86" s="1"/>
      <c r="C86" s="1"/>
      <c r="D86" s="1"/>
      <c r="E86" s="1"/>
      <c r="F86" s="1"/>
      <c r="G86" s="1"/>
      <c r="H86" s="1"/>
    </row>
    <row r="87" spans="1:8" x14ac:dyDescent="0.2">
      <c r="A87" s="1"/>
      <c r="B87" s="1"/>
      <c r="C87" s="1"/>
      <c r="D87" s="1"/>
      <c r="E87" s="1"/>
      <c r="F87" s="1"/>
      <c r="G87" s="1"/>
      <c r="H87" s="1"/>
    </row>
    <row r="88" spans="1:8" x14ac:dyDescent="0.2">
      <c r="A88" s="1"/>
      <c r="B88" s="1"/>
      <c r="C88" s="1"/>
      <c r="D88" s="1"/>
      <c r="E88" s="1"/>
      <c r="F88" s="1"/>
      <c r="G88" s="1"/>
      <c r="H88" s="1"/>
    </row>
    <row r="89" spans="1:8" x14ac:dyDescent="0.2">
      <c r="A89" s="1"/>
      <c r="B89" s="1"/>
      <c r="C89" s="1"/>
      <c r="D89" s="1"/>
      <c r="E89" s="1"/>
      <c r="F89" s="1"/>
      <c r="G89" s="1"/>
      <c r="H89" s="1"/>
    </row>
    <row r="90" spans="1:8" x14ac:dyDescent="0.2">
      <c r="A90" s="1"/>
      <c r="B90" s="1"/>
      <c r="C90" s="1"/>
      <c r="D90" s="1"/>
      <c r="E90" s="1"/>
      <c r="F90" s="1"/>
      <c r="G90" s="1"/>
      <c r="H90" s="1"/>
    </row>
    <row r="91" spans="1:8" x14ac:dyDescent="0.2">
      <c r="A91" s="1"/>
      <c r="B91" s="1"/>
      <c r="C91" s="1"/>
      <c r="D91" s="1"/>
      <c r="E91" s="1"/>
      <c r="F91" s="1"/>
      <c r="G91" s="1"/>
      <c r="H91" s="1"/>
    </row>
    <row r="92" spans="1:8" x14ac:dyDescent="0.2">
      <c r="A92" s="1"/>
      <c r="B92" s="1"/>
      <c r="C92" s="1"/>
      <c r="D92" s="1"/>
      <c r="E92" s="1"/>
      <c r="F92" s="1"/>
      <c r="G92" s="1"/>
      <c r="H92" s="1"/>
    </row>
    <row r="93" spans="1:8" x14ac:dyDescent="0.2">
      <c r="A93" s="11" t="s">
        <v>1</v>
      </c>
      <c r="B93" s="12"/>
      <c r="C93" s="12"/>
      <c r="D93" s="13"/>
      <c r="E93" s="8"/>
      <c r="F93" s="8"/>
      <c r="G93" s="8"/>
      <c r="H93" s="8"/>
    </row>
    <row r="94" spans="1:8" x14ac:dyDescent="0.2">
      <c r="A94" s="14" t="s">
        <v>15</v>
      </c>
      <c r="B94" s="15"/>
      <c r="C94" s="15"/>
      <c r="D94" s="16"/>
      <c r="E94" s="8"/>
      <c r="F94" s="8"/>
      <c r="G94" s="8"/>
      <c r="H94" s="8"/>
    </row>
    <row r="95" spans="1:8" x14ac:dyDescent="0.2">
      <c r="A95" s="17" t="s">
        <v>62</v>
      </c>
      <c r="B95" s="18"/>
      <c r="C95" s="18"/>
      <c r="D95" s="19"/>
      <c r="E95" s="8"/>
      <c r="F95" s="8"/>
      <c r="G95" s="8"/>
      <c r="H95" s="8"/>
    </row>
    <row r="96" spans="1:8" x14ac:dyDescent="0.2">
      <c r="A96" s="20"/>
      <c r="B96" s="21"/>
      <c r="C96" s="22"/>
      <c r="D96" s="23"/>
      <c r="E96" s="8"/>
      <c r="F96" s="8" t="s">
        <v>34</v>
      </c>
      <c r="G96" s="8"/>
      <c r="H96" s="8"/>
    </row>
    <row r="97" spans="1:8" ht="15.75" x14ac:dyDescent="0.25">
      <c r="A97" s="24" t="s">
        <v>2</v>
      </c>
      <c r="B97" s="25" t="str">
        <f>[1]Charters!B100</f>
        <v>Weber State Univ Charter Acad</v>
      </c>
      <c r="C97" s="26"/>
      <c r="D97" s="27"/>
      <c r="E97" s="8"/>
      <c r="F97" s="8"/>
      <c r="G97" s="8"/>
      <c r="H97" s="8"/>
    </row>
    <row r="98" spans="1:8" x14ac:dyDescent="0.2">
      <c r="A98" s="24"/>
      <c r="B98" s="28"/>
      <c r="C98" s="26"/>
      <c r="D98" s="27"/>
      <c r="E98" s="8"/>
      <c r="F98" s="8"/>
      <c r="G98" s="8"/>
      <c r="H98" s="8"/>
    </row>
    <row r="99" spans="1:8" x14ac:dyDescent="0.2">
      <c r="A99" s="29" t="s">
        <v>0</v>
      </c>
      <c r="B99" s="30">
        <f>[1]Charters!$E$6</f>
        <v>3184</v>
      </c>
      <c r="C99" s="26"/>
      <c r="D99" s="31"/>
      <c r="E99" s="8"/>
      <c r="F99" s="8"/>
      <c r="G99" s="8"/>
      <c r="H99" s="8"/>
    </row>
    <row r="100" spans="1:8" x14ac:dyDescent="0.2">
      <c r="A100" s="32"/>
      <c r="B100" s="6"/>
      <c r="C100" s="33"/>
      <c r="D100" s="34" t="s">
        <v>3</v>
      </c>
      <c r="E100" s="8"/>
      <c r="F100" s="8"/>
      <c r="G100" s="8"/>
      <c r="H100" s="8"/>
    </row>
    <row r="101" spans="1:8" x14ac:dyDescent="0.2">
      <c r="A101" s="29" t="s">
        <v>19</v>
      </c>
      <c r="B101" s="35" t="str">
        <f>[1]Charters!A100</f>
        <v>7I</v>
      </c>
      <c r="C101" s="36" t="s">
        <v>4</v>
      </c>
      <c r="D101" s="37" t="s">
        <v>5</v>
      </c>
      <c r="E101" s="8"/>
      <c r="F101" s="8"/>
      <c r="G101" s="8"/>
      <c r="H101" s="8"/>
    </row>
    <row r="102" spans="1:8" x14ac:dyDescent="0.2">
      <c r="A102" s="38" t="s">
        <v>6</v>
      </c>
      <c r="B102" s="39"/>
      <c r="C102" s="40"/>
      <c r="D102" s="41"/>
      <c r="E102" s="8"/>
      <c r="F102" s="8"/>
      <c r="G102" s="8"/>
      <c r="H102" s="8"/>
    </row>
    <row r="103" spans="1:8" x14ac:dyDescent="0.2">
      <c r="A103" s="38" t="s">
        <v>7</v>
      </c>
      <c r="B103" s="39"/>
      <c r="C103" s="40"/>
      <c r="D103" s="41"/>
      <c r="E103" s="8"/>
      <c r="F103" s="42" t="s">
        <v>23</v>
      </c>
      <c r="G103" s="8"/>
      <c r="H103" s="42" t="s">
        <v>26</v>
      </c>
    </row>
    <row r="104" spans="1:8" x14ac:dyDescent="0.2">
      <c r="A104" s="20" t="s">
        <v>8</v>
      </c>
      <c r="B104" s="43"/>
      <c r="C104" s="44">
        <f>[1]Charters!C560</f>
        <v>18.986999999999998</v>
      </c>
      <c r="D104" s="45">
        <f>[1]Charters!E560</f>
        <v>60454.78</v>
      </c>
      <c r="E104" s="8"/>
      <c r="F104" s="42">
        <f>[1]Charters!E715</f>
        <v>66500.259999999995</v>
      </c>
      <c r="G104" s="8"/>
      <c r="H104" s="42">
        <f>[2]Charters!E254</f>
        <v>92265.73</v>
      </c>
    </row>
    <row r="105" spans="1:8" x14ac:dyDescent="0.2">
      <c r="A105" s="20" t="s">
        <v>14</v>
      </c>
      <c r="B105" s="43"/>
      <c r="C105" s="44">
        <f>[1]Charters!F560</f>
        <v>1.899</v>
      </c>
      <c r="D105" s="45">
        <f>[1]Charters!H560</f>
        <v>6045.48</v>
      </c>
      <c r="E105" s="8"/>
      <c r="F105" s="42">
        <f>SUM(D104:D106)</f>
        <v>66500.259999999995</v>
      </c>
      <c r="G105" s="8"/>
      <c r="H105" s="42">
        <f>D117</f>
        <v>92265.73</v>
      </c>
    </row>
    <row r="106" spans="1:8" x14ac:dyDescent="0.2">
      <c r="A106" s="20" t="s">
        <v>32</v>
      </c>
      <c r="B106" s="43"/>
      <c r="C106" s="44">
        <f>[1]Charters!C253</f>
        <v>0</v>
      </c>
      <c r="D106" s="45">
        <f>[1]Charters!E253</f>
        <v>0</v>
      </c>
      <c r="E106" s="8"/>
      <c r="F106" s="42">
        <f>+F104-F105</f>
        <v>0</v>
      </c>
      <c r="G106" s="8"/>
      <c r="H106" s="42">
        <f>+H104-H105</f>
        <v>0</v>
      </c>
    </row>
    <row r="107" spans="1:8" x14ac:dyDescent="0.2">
      <c r="A107" s="38" t="s">
        <v>9</v>
      </c>
      <c r="B107" s="39"/>
      <c r="C107" s="46"/>
      <c r="D107" s="47"/>
      <c r="E107" s="8"/>
      <c r="F107" s="8"/>
      <c r="G107" s="8"/>
      <c r="H107" s="8"/>
    </row>
    <row r="108" spans="1:8" x14ac:dyDescent="0.2">
      <c r="A108" s="20" t="s">
        <v>10</v>
      </c>
      <c r="B108" s="43"/>
      <c r="C108" s="40">
        <f>[3]Charters!C99</f>
        <v>4.22</v>
      </c>
      <c r="D108" s="41">
        <f>[3]Charters!E99</f>
        <v>13436.48</v>
      </c>
      <c r="E108" s="8"/>
      <c r="F108" s="42" t="s">
        <v>24</v>
      </c>
      <c r="G108" s="8"/>
      <c r="H108" s="8"/>
    </row>
    <row r="109" spans="1:8" x14ac:dyDescent="0.2">
      <c r="A109" s="48" t="s">
        <v>11</v>
      </c>
      <c r="B109" s="43"/>
      <c r="C109" s="40">
        <f>[3]Charters!F99</f>
        <v>0</v>
      </c>
      <c r="D109" s="49">
        <f>[3]Charters!H99</f>
        <v>0</v>
      </c>
      <c r="E109" s="8"/>
      <c r="F109" s="42">
        <f>[3]Charters!N411</f>
        <v>15995.49</v>
      </c>
      <c r="G109" s="8"/>
      <c r="H109" s="8"/>
    </row>
    <row r="110" spans="1:8" x14ac:dyDescent="0.2">
      <c r="A110" s="48" t="s">
        <v>12</v>
      </c>
      <c r="B110" s="43"/>
      <c r="C110" s="40">
        <f>[3]Charters!C254</f>
        <v>0</v>
      </c>
      <c r="D110" s="41">
        <f>[3]Charters!E254</f>
        <v>0</v>
      </c>
      <c r="E110" s="8"/>
      <c r="F110" s="42">
        <f>SUM(D108:D114)</f>
        <v>15995.49</v>
      </c>
      <c r="G110" s="8"/>
      <c r="H110" s="8"/>
    </row>
    <row r="111" spans="1:8" x14ac:dyDescent="0.2">
      <c r="A111" s="20" t="s">
        <v>13</v>
      </c>
      <c r="B111" s="43"/>
      <c r="C111" s="40">
        <f>[3]Charters!F254</f>
        <v>0.70899999999999996</v>
      </c>
      <c r="D111" s="41">
        <f>[3]Charters!H254</f>
        <v>2259</v>
      </c>
      <c r="E111" s="8"/>
      <c r="F111" s="42">
        <f>+F109-F110</f>
        <v>0</v>
      </c>
      <c r="G111" s="8"/>
      <c r="H111" s="8"/>
    </row>
    <row r="112" spans="1:8" x14ac:dyDescent="0.2">
      <c r="A112" s="48" t="s">
        <v>54</v>
      </c>
      <c r="B112" s="43"/>
      <c r="C112" s="40">
        <f>[3]Charters!C411</f>
        <v>9.4E-2</v>
      </c>
      <c r="D112" s="41">
        <f>[3]Charters!E411</f>
        <v>300.01</v>
      </c>
      <c r="E112" s="8"/>
      <c r="F112" s="8"/>
      <c r="G112" s="8"/>
      <c r="H112" s="8"/>
    </row>
    <row r="113" spans="1:8" x14ac:dyDescent="0.2">
      <c r="A113" s="48" t="s">
        <v>55</v>
      </c>
      <c r="B113" s="43"/>
      <c r="C113" s="40">
        <f>[3]Charters!F411</f>
        <v>0</v>
      </c>
      <c r="D113" s="41">
        <f>[3]Charters!H411</f>
        <v>0</v>
      </c>
      <c r="E113" s="8"/>
      <c r="F113" s="42" t="s">
        <v>25</v>
      </c>
      <c r="G113" s="8"/>
      <c r="H113" s="8"/>
    </row>
    <row r="114" spans="1:8" x14ac:dyDescent="0.2">
      <c r="A114" s="48" t="s">
        <v>56</v>
      </c>
      <c r="B114" s="43"/>
      <c r="C114" s="40">
        <f>[3]Charters!I411</f>
        <v>0</v>
      </c>
      <c r="D114" s="41">
        <f>[3]Charters!K411</f>
        <v>0</v>
      </c>
      <c r="E114" s="8"/>
      <c r="F114" s="42">
        <f>[2]Charters!H100</f>
        <v>25765.47</v>
      </c>
      <c r="G114" s="8"/>
      <c r="H114" s="8"/>
    </row>
    <row r="115" spans="1:8" x14ac:dyDescent="0.2">
      <c r="A115" s="20" t="s">
        <v>49</v>
      </c>
      <c r="B115" s="43"/>
      <c r="C115" s="40">
        <f>[3]Charters!C567</f>
        <v>0</v>
      </c>
      <c r="D115" s="41">
        <f>[3]Charters!E567</f>
        <v>0</v>
      </c>
      <c r="E115" s="8"/>
      <c r="F115" s="42">
        <f>SUM(D108:D116)</f>
        <v>25765.47</v>
      </c>
      <c r="G115" s="8"/>
      <c r="H115" s="8"/>
    </row>
    <row r="116" spans="1:8" x14ac:dyDescent="0.2">
      <c r="A116" s="20" t="s">
        <v>50</v>
      </c>
      <c r="B116" s="43"/>
      <c r="C116" s="40">
        <f>[2]Charters!C100</f>
        <v>3.0680000000000001</v>
      </c>
      <c r="D116" s="41">
        <f>[2]Charters!E100</f>
        <v>9769.98</v>
      </c>
      <c r="E116" s="8"/>
      <c r="F116" s="42">
        <f>+F114-F115</f>
        <v>0</v>
      </c>
      <c r="G116" s="8"/>
      <c r="H116" s="8"/>
    </row>
    <row r="117" spans="1:8" x14ac:dyDescent="0.2">
      <c r="A117" s="50"/>
      <c r="B117" s="51" t="s">
        <v>16</v>
      </c>
      <c r="C117" s="52">
        <f>SUM(C104:C116)</f>
        <v>28.977</v>
      </c>
      <c r="D117" s="53">
        <f>SUM(D104:D116)</f>
        <v>92265.73</v>
      </c>
      <c r="E117" s="8"/>
      <c r="F117" s="8"/>
      <c r="G117" s="8"/>
      <c r="H117" s="8"/>
    </row>
    <row r="118" spans="1:8" x14ac:dyDescent="0.2">
      <c r="A118" s="54" t="s">
        <v>17</v>
      </c>
      <c r="B118" s="39"/>
      <c r="C118" s="55"/>
      <c r="D118" s="47"/>
      <c r="E118" s="8"/>
      <c r="F118" s="8"/>
      <c r="G118" s="8"/>
      <c r="H118" s="42" t="s">
        <v>29</v>
      </c>
    </row>
    <row r="119" spans="1:8" x14ac:dyDescent="0.2">
      <c r="A119" s="20" t="s">
        <v>33</v>
      </c>
      <c r="B119" s="43"/>
      <c r="C119" s="56"/>
      <c r="D119" s="57">
        <f>[4]Charters!C100</f>
        <v>267.43</v>
      </c>
      <c r="E119" s="8"/>
      <c r="F119" s="8"/>
      <c r="G119" s="8"/>
      <c r="H119" s="42">
        <f>[4]Charters!F1040</f>
        <v>205627.41</v>
      </c>
    </row>
    <row r="120" spans="1:8" x14ac:dyDescent="0.2">
      <c r="A120" s="58" t="s">
        <v>35</v>
      </c>
      <c r="B120" s="43"/>
      <c r="C120" s="56"/>
      <c r="D120" s="41">
        <f>+[4]Charters!F421</f>
        <v>91.38</v>
      </c>
      <c r="E120" s="8"/>
      <c r="F120" s="8"/>
      <c r="G120" s="8"/>
      <c r="H120" s="42">
        <f>SUM(D117:D136)</f>
        <v>205627.41</v>
      </c>
    </row>
    <row r="121" spans="1:8" x14ac:dyDescent="0.2">
      <c r="A121" s="59" t="s">
        <v>36</v>
      </c>
      <c r="B121" s="43"/>
      <c r="C121" s="56"/>
      <c r="D121" s="41">
        <f>[4]Charters!E260</f>
        <v>7417</v>
      </c>
      <c r="E121" s="8"/>
      <c r="F121" s="8"/>
      <c r="G121" s="8"/>
      <c r="H121" s="42">
        <f>+H119-H120</f>
        <v>0</v>
      </c>
    </row>
    <row r="122" spans="1:8" x14ac:dyDescent="0.2">
      <c r="A122" s="59" t="s">
        <v>52</v>
      </c>
      <c r="B122" s="43"/>
      <c r="C122" s="56"/>
      <c r="D122" s="41">
        <f>[4]Charters!G421</f>
        <v>0</v>
      </c>
      <c r="E122" s="8"/>
      <c r="F122" s="42" t="s">
        <v>27</v>
      </c>
      <c r="G122" s="8"/>
      <c r="H122" s="42"/>
    </row>
    <row r="123" spans="1:8" x14ac:dyDescent="0.2">
      <c r="A123" s="20" t="s">
        <v>37</v>
      </c>
      <c r="B123" s="43"/>
      <c r="C123" s="56"/>
      <c r="D123" s="41">
        <f>[4]Charters!E577</f>
        <v>20996</v>
      </c>
      <c r="E123" s="8"/>
      <c r="F123" s="42">
        <f>[4]Charters!E260</f>
        <v>7417</v>
      </c>
      <c r="G123" s="8"/>
      <c r="H123" s="8"/>
    </row>
    <row r="124" spans="1:8" x14ac:dyDescent="0.2">
      <c r="A124" s="20" t="s">
        <v>38</v>
      </c>
      <c r="B124" s="43"/>
      <c r="C124" s="56"/>
      <c r="D124" s="41">
        <f>[4]Charters!F577</f>
        <v>0</v>
      </c>
      <c r="E124" s="8"/>
      <c r="F124" s="42">
        <f>SUM(D121:D121)</f>
        <v>7417</v>
      </c>
      <c r="G124" s="8"/>
      <c r="H124" s="8"/>
    </row>
    <row r="125" spans="1:8" x14ac:dyDescent="0.2">
      <c r="A125" s="59" t="s">
        <v>40</v>
      </c>
      <c r="B125" s="43"/>
      <c r="C125" s="56"/>
      <c r="D125" s="41">
        <f>[4]Charters!G577</f>
        <v>0</v>
      </c>
      <c r="E125" s="8"/>
      <c r="F125" s="42">
        <f>+F123-F124</f>
        <v>0</v>
      </c>
      <c r="G125" s="8"/>
      <c r="H125" s="8"/>
    </row>
    <row r="126" spans="1:8" x14ac:dyDescent="0.2">
      <c r="A126" s="20" t="s">
        <v>41</v>
      </c>
      <c r="B126" s="43"/>
      <c r="C126" s="56"/>
      <c r="D126" s="41">
        <f>[4]Charters!C731</f>
        <v>74037</v>
      </c>
      <c r="E126" s="8"/>
      <c r="F126" s="42" t="s">
        <v>28</v>
      </c>
      <c r="G126" s="8"/>
      <c r="H126" s="8"/>
    </row>
    <row r="127" spans="1:8" x14ac:dyDescent="0.2">
      <c r="A127" s="20" t="s">
        <v>42</v>
      </c>
      <c r="B127" s="43"/>
      <c r="C127" s="56"/>
      <c r="D127" s="41">
        <f>[4]Charters!D731</f>
        <v>5990.72</v>
      </c>
      <c r="E127" s="8"/>
      <c r="F127" s="42">
        <f>[4]Charters!D577</f>
        <v>7508.38</v>
      </c>
      <c r="G127" s="8"/>
      <c r="H127" s="8"/>
    </row>
    <row r="128" spans="1:8" x14ac:dyDescent="0.2">
      <c r="A128" s="20" t="s">
        <v>44</v>
      </c>
      <c r="B128" s="43"/>
      <c r="C128" s="56"/>
      <c r="D128" s="41">
        <f>[4]Charters!E731</f>
        <v>3700</v>
      </c>
      <c r="E128" s="8"/>
      <c r="F128" s="42">
        <f>SUM(D120:D122)</f>
        <v>7508.38</v>
      </c>
      <c r="G128" s="8"/>
      <c r="H128" s="8"/>
    </row>
    <row r="129" spans="1:8" x14ac:dyDescent="0.2">
      <c r="A129" s="59" t="s">
        <v>43</v>
      </c>
      <c r="B129" s="43"/>
      <c r="C129" s="56"/>
      <c r="D129" s="41">
        <f>[4]Charters!F731</f>
        <v>612.47</v>
      </c>
      <c r="E129" s="8"/>
      <c r="F129" s="42">
        <f>+F127-F128</f>
        <v>0</v>
      </c>
      <c r="G129" s="8"/>
      <c r="H129" s="8"/>
    </row>
    <row r="130" spans="1:8" x14ac:dyDescent="0.2">
      <c r="A130" s="59" t="s">
        <v>45</v>
      </c>
      <c r="B130" s="43"/>
      <c r="C130" s="56"/>
      <c r="D130" s="41">
        <f>[4]Charters!C577</f>
        <v>0</v>
      </c>
      <c r="E130" s="8"/>
      <c r="F130" s="8"/>
      <c r="G130" s="8"/>
      <c r="H130" s="8"/>
    </row>
    <row r="131" spans="1:8" x14ac:dyDescent="0.2">
      <c r="A131" s="59" t="s">
        <v>46</v>
      </c>
      <c r="B131" s="43"/>
      <c r="C131" s="56"/>
      <c r="D131" s="41">
        <f>[4]Charters!C887</f>
        <v>0</v>
      </c>
      <c r="E131" s="42"/>
      <c r="F131" s="42"/>
      <c r="G131" s="42"/>
      <c r="H131" s="42" t="s">
        <v>31</v>
      </c>
    </row>
    <row r="132" spans="1:8" x14ac:dyDescent="0.2">
      <c r="A132" s="59" t="s">
        <v>51</v>
      </c>
      <c r="B132" s="43"/>
      <c r="C132" s="56"/>
      <c r="D132" s="60">
        <f>[4]Charters!D887</f>
        <v>249.68</v>
      </c>
      <c r="E132" s="42"/>
      <c r="F132" s="42"/>
      <c r="G132" s="42"/>
      <c r="H132" s="42">
        <f>[4]Charters!D1346</f>
        <v>205827.77</v>
      </c>
    </row>
    <row r="133" spans="1:8" x14ac:dyDescent="0.2">
      <c r="A133" s="20" t="s">
        <v>47</v>
      </c>
      <c r="B133" s="43"/>
      <c r="C133" s="56"/>
      <c r="D133" s="60">
        <f>[4]Charters!E887</f>
        <v>0</v>
      </c>
      <c r="E133" s="42"/>
      <c r="F133" s="42"/>
      <c r="G133" s="42"/>
      <c r="H133" s="42">
        <f>D142</f>
        <v>205827.77</v>
      </c>
    </row>
    <row r="134" spans="1:8" x14ac:dyDescent="0.2">
      <c r="A134" s="20" t="s">
        <v>57</v>
      </c>
      <c r="B134" s="43"/>
      <c r="C134" s="56"/>
      <c r="D134" s="60">
        <f>[4]Charters!C1040</f>
        <v>0</v>
      </c>
      <c r="E134" s="42"/>
      <c r="F134" s="42"/>
      <c r="G134" s="42"/>
      <c r="H134" s="42">
        <f>+H132-H133</f>
        <v>0</v>
      </c>
    </row>
    <row r="135" spans="1:8" x14ac:dyDescent="0.2">
      <c r="A135" s="59" t="s">
        <v>53</v>
      </c>
      <c r="B135" s="43"/>
      <c r="C135" s="56"/>
      <c r="D135" s="60">
        <f>[4]Charters!D1040</f>
        <v>0</v>
      </c>
      <c r="E135" s="42"/>
      <c r="F135" s="42" t="s">
        <v>30</v>
      </c>
      <c r="G135" s="42"/>
      <c r="H135" s="42"/>
    </row>
    <row r="136" spans="1:8" x14ac:dyDescent="0.2">
      <c r="A136" s="59" t="s">
        <v>59</v>
      </c>
      <c r="B136" s="43"/>
      <c r="C136" s="56"/>
      <c r="D136" s="60">
        <f>[4]Charters!E1040</f>
        <v>0</v>
      </c>
      <c r="E136" s="42"/>
      <c r="F136" s="42"/>
      <c r="G136" s="42"/>
      <c r="H136" s="42"/>
    </row>
    <row r="137" spans="1:8" x14ac:dyDescent="0.2">
      <c r="A137" s="38" t="s">
        <v>18</v>
      </c>
      <c r="B137" s="61"/>
      <c r="C137" s="62"/>
      <c r="D137" s="87"/>
      <c r="E137" s="42"/>
      <c r="F137" s="42">
        <f>[4]Charters!C1346</f>
        <v>200.36</v>
      </c>
      <c r="G137" s="42"/>
      <c r="H137" s="42"/>
    </row>
    <row r="138" spans="1:8" x14ac:dyDescent="0.2">
      <c r="A138" s="59" t="s">
        <v>39</v>
      </c>
      <c r="B138" s="43"/>
      <c r="C138" s="56"/>
      <c r="D138" s="41">
        <f>[4]Charters!C1193</f>
        <v>200.36</v>
      </c>
      <c r="E138" s="42"/>
      <c r="F138" s="42">
        <f>SUM(D138:D141)</f>
        <v>200.36</v>
      </c>
      <c r="G138" s="42"/>
      <c r="H138" s="42"/>
    </row>
    <row r="139" spans="1:8" x14ac:dyDescent="0.2">
      <c r="A139" s="59" t="s">
        <v>48</v>
      </c>
      <c r="B139" s="43"/>
      <c r="C139" s="56"/>
      <c r="D139" s="41">
        <f>[4]Charters!D1193</f>
        <v>0</v>
      </c>
      <c r="E139" s="42"/>
      <c r="F139" s="42">
        <f>+F137-F138</f>
        <v>0</v>
      </c>
      <c r="G139" s="42"/>
      <c r="H139" s="42"/>
    </row>
    <row r="140" spans="1:8" x14ac:dyDescent="0.2">
      <c r="A140" s="59" t="s">
        <v>60</v>
      </c>
      <c r="B140" s="43"/>
      <c r="C140" s="56"/>
      <c r="D140" s="41">
        <f>[4]Charters!E1193</f>
        <v>0</v>
      </c>
      <c r="E140" s="42"/>
      <c r="F140" s="42"/>
      <c r="G140" s="42"/>
      <c r="H140" s="42"/>
    </row>
    <row r="141" spans="1:8" x14ac:dyDescent="0.2">
      <c r="A141" s="59" t="s">
        <v>61</v>
      </c>
      <c r="B141" s="43"/>
      <c r="C141" s="56"/>
      <c r="D141" s="41">
        <f>[4]Charters!F1193</f>
        <v>0</v>
      </c>
      <c r="E141" s="42"/>
      <c r="F141" s="42"/>
      <c r="G141" s="42"/>
      <c r="H141" s="42"/>
    </row>
    <row r="142" spans="1:8" ht="13.5" thickBot="1" x14ac:dyDescent="0.25">
      <c r="A142" s="64"/>
      <c r="B142" s="65"/>
      <c r="C142" s="66"/>
      <c r="D142" s="67">
        <f>SUM(D117:D141)</f>
        <v>205827.77</v>
      </c>
      <c r="E142" s="42"/>
      <c r="F142" s="42"/>
      <c r="G142" s="42"/>
      <c r="H142" s="42"/>
    </row>
    <row r="143" spans="1:8" ht="13.5" thickTop="1" x14ac:dyDescent="0.2">
      <c r="A143" s="68"/>
      <c r="B143" s="43"/>
      <c r="C143" s="56"/>
      <c r="D143" s="86"/>
      <c r="E143" s="42"/>
      <c r="F143" s="42"/>
      <c r="G143" s="42"/>
      <c r="H143" s="42"/>
    </row>
    <row r="144" spans="1:8" x14ac:dyDescent="0.2">
      <c r="A144" s="38" t="s">
        <v>20</v>
      </c>
      <c r="B144" s="39"/>
      <c r="C144" s="70"/>
      <c r="D144" s="71" t="s">
        <v>21</v>
      </c>
      <c r="E144" s="42"/>
      <c r="F144" s="42"/>
      <c r="G144" s="42"/>
      <c r="H144" s="42"/>
    </row>
    <row r="145" spans="1:8" x14ac:dyDescent="0.2">
      <c r="A145" s="72" t="s">
        <v>22</v>
      </c>
      <c r="B145" s="73"/>
      <c r="C145" s="74"/>
      <c r="D145" s="41">
        <f>[5]Charters!C99</f>
        <v>175.63</v>
      </c>
      <c r="E145" s="42"/>
      <c r="F145" s="42"/>
      <c r="G145" s="42"/>
      <c r="H145" s="42"/>
    </row>
    <row r="146" spans="1:8" x14ac:dyDescent="0.2">
      <c r="A146" s="75"/>
      <c r="B146" s="61"/>
      <c r="C146" s="76"/>
      <c r="D146" s="77">
        <f>SUM(D145:D145)</f>
        <v>175.63</v>
      </c>
      <c r="E146" s="42"/>
      <c r="F146" s="42"/>
      <c r="G146" s="42"/>
      <c r="H146" s="42"/>
    </row>
    <row r="147" spans="1:8" x14ac:dyDescent="0.2">
      <c r="A147" s="78" t="s">
        <v>58</v>
      </c>
      <c r="B147" s="79"/>
      <c r="C147" s="80"/>
      <c r="D147" s="77">
        <f>D146+D142</f>
        <v>206003.4</v>
      </c>
      <c r="E147" s="42"/>
      <c r="F147" s="42"/>
      <c r="G147" s="42"/>
      <c r="H147" s="42"/>
    </row>
    <row r="148" spans="1:8" x14ac:dyDescent="0.2">
      <c r="A148" s="84"/>
      <c r="B148" s="84"/>
      <c r="C148" s="85"/>
      <c r="D148" s="81"/>
      <c r="E148" s="42"/>
      <c r="F148" s="42"/>
      <c r="G148" s="42"/>
      <c r="H148" s="42"/>
    </row>
    <row r="149" spans="1:8" x14ac:dyDescent="0.2">
      <c r="A149" s="84"/>
      <c r="B149" s="84"/>
      <c r="C149" s="85"/>
      <c r="D149" s="81">
        <f>[5]Charters!E255</f>
        <v>206003.4</v>
      </c>
      <c r="E149" s="42"/>
      <c r="F149" s="42"/>
      <c r="G149" s="42"/>
      <c r="H149" s="42"/>
    </row>
    <row r="150" spans="1:8" x14ac:dyDescent="0.2">
      <c r="A150" s="84"/>
      <c r="B150" s="84"/>
      <c r="C150" s="85"/>
      <c r="D150" s="81">
        <f>D147</f>
        <v>206003.4</v>
      </c>
      <c r="E150" s="42"/>
      <c r="F150" s="42"/>
      <c r="G150" s="42"/>
      <c r="H150" s="42"/>
    </row>
    <row r="151" spans="1:8" x14ac:dyDescent="0.2">
      <c r="C151" s="83"/>
      <c r="D151" s="42">
        <f>D149-D150</f>
        <v>0</v>
      </c>
      <c r="E151" s="42"/>
      <c r="F151" s="42"/>
      <c r="G151" s="42"/>
      <c r="H151" s="42"/>
    </row>
  </sheetData>
  <mergeCells count="4">
    <mergeCell ref="A147:C147"/>
    <mergeCell ref="A94:D94"/>
    <mergeCell ref="A95:D95"/>
    <mergeCell ref="A93:D93"/>
  </mergeCells>
  <printOptions horizontalCentered="1" verticalCentered="1"/>
  <pageMargins left="0.5" right="0.5" top="0.5" bottom="0.5" header="0.25" footer="0.25"/>
  <pageSetup orientation="portrait" r:id="rId1"/>
  <headerFooter alignWithMargins="0">
    <oddHeader>&amp;R&amp;8Current as of: &amp;D</oddHeader>
    <oddFooter>&amp;L&amp;8USOE, School Finance</oddFooter>
  </headerFooter>
  <picture r:id="rId2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800-000000000000}">
  <sheetPr>
    <tabColor theme="0" tint="-0.14999847407452621"/>
    <pageSetUpPr fitToPage="1"/>
  </sheetPr>
  <dimension ref="A1:H152"/>
  <sheetViews>
    <sheetView topLeftCell="A89" workbookViewId="0">
      <selection activeCell="C12" sqref="C12"/>
    </sheetView>
  </sheetViews>
  <sheetFormatPr defaultColWidth="9.140625" defaultRowHeight="12.75" x14ac:dyDescent="0.2"/>
  <cols>
    <col min="1" max="1" width="31.85546875" style="82" customWidth="1"/>
    <col min="2" max="2" width="16.140625" style="82" customWidth="1"/>
    <col min="3" max="4" width="15.28515625" style="82" customWidth="1"/>
    <col min="5" max="5" width="9.140625" style="82"/>
    <col min="6" max="6" width="19.28515625" style="82" customWidth="1"/>
    <col min="7" max="7" width="9.140625" style="82"/>
    <col min="8" max="8" width="17" style="82" customWidth="1"/>
    <col min="9" max="16384" width="9.140625" style="82"/>
  </cols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"/>
      <c r="B3" s="1"/>
      <c r="C3" s="1"/>
      <c r="D3" s="1"/>
      <c r="E3" s="1"/>
      <c r="F3" s="1"/>
      <c r="G3" s="1"/>
      <c r="H3" s="1"/>
    </row>
    <row r="4" spans="1:8" x14ac:dyDescent="0.2">
      <c r="A4" s="1"/>
      <c r="B4" s="1"/>
      <c r="C4" s="1"/>
      <c r="D4" s="1"/>
      <c r="E4" s="1"/>
      <c r="F4" s="1"/>
      <c r="G4" s="1"/>
      <c r="H4" s="1"/>
    </row>
    <row r="5" spans="1:8" x14ac:dyDescent="0.2">
      <c r="A5" s="1"/>
      <c r="B5" s="1"/>
      <c r="C5" s="1"/>
      <c r="D5" s="1"/>
      <c r="E5" s="1"/>
      <c r="F5" s="1"/>
      <c r="G5" s="1"/>
      <c r="H5" s="1"/>
    </row>
    <row r="6" spans="1:8" x14ac:dyDescent="0.2">
      <c r="A6" s="1"/>
      <c r="B6" s="1"/>
      <c r="C6" s="1"/>
      <c r="D6" s="1"/>
      <c r="E6" s="1"/>
      <c r="F6" s="1"/>
      <c r="G6" s="1"/>
      <c r="H6" s="1"/>
    </row>
    <row r="7" spans="1:8" x14ac:dyDescent="0.2">
      <c r="A7" s="1"/>
      <c r="B7" s="1"/>
      <c r="C7" s="1"/>
      <c r="D7" s="1"/>
      <c r="E7" s="1"/>
      <c r="F7" s="1"/>
      <c r="G7" s="1"/>
      <c r="H7" s="1"/>
    </row>
    <row r="8" spans="1:8" x14ac:dyDescent="0.2">
      <c r="A8" s="1"/>
      <c r="B8" s="1"/>
      <c r="C8" s="1"/>
      <c r="D8" s="1"/>
      <c r="E8" s="1"/>
      <c r="F8" s="1"/>
      <c r="G8" s="1"/>
      <c r="H8" s="1"/>
    </row>
    <row r="9" spans="1:8" x14ac:dyDescent="0.2">
      <c r="A9" s="1"/>
      <c r="B9" s="1"/>
      <c r="C9" s="1"/>
      <c r="D9" s="1"/>
      <c r="E9" s="1"/>
      <c r="F9" s="1"/>
      <c r="G9" s="1"/>
      <c r="H9" s="1"/>
    </row>
    <row r="10" spans="1:8" x14ac:dyDescent="0.2">
      <c r="A10" s="1"/>
      <c r="B10" s="1"/>
      <c r="C10" s="1"/>
      <c r="D10" s="1"/>
      <c r="E10" s="1"/>
      <c r="F10" s="1"/>
      <c r="G10" s="1"/>
      <c r="H10" s="1"/>
    </row>
    <row r="11" spans="1:8" x14ac:dyDescent="0.2">
      <c r="A11" s="1"/>
      <c r="B11" s="1"/>
      <c r="C11" s="1"/>
      <c r="D11" s="1"/>
      <c r="E11" s="1"/>
      <c r="F11" s="1"/>
      <c r="G11" s="1"/>
      <c r="H11" s="1"/>
    </row>
    <row r="12" spans="1:8" x14ac:dyDescent="0.2">
      <c r="A12" s="1"/>
      <c r="B12" s="1"/>
      <c r="C12" s="1"/>
      <c r="D12" s="1"/>
      <c r="E12" s="1"/>
      <c r="F12" s="1"/>
      <c r="G12" s="1"/>
      <c r="H12" s="1"/>
    </row>
    <row r="13" spans="1:8" x14ac:dyDescent="0.2">
      <c r="A13" s="1"/>
      <c r="B13" s="1"/>
      <c r="C13" s="1"/>
      <c r="D13" s="1"/>
      <c r="E13" s="1"/>
      <c r="F13" s="1"/>
      <c r="G13" s="1"/>
      <c r="H13" s="1"/>
    </row>
    <row r="14" spans="1:8" x14ac:dyDescent="0.2">
      <c r="A14" s="1"/>
      <c r="B14" s="1"/>
      <c r="C14" s="1"/>
      <c r="D14" s="1"/>
      <c r="E14" s="1"/>
      <c r="F14" s="1"/>
      <c r="G14" s="1"/>
      <c r="H14" s="1"/>
    </row>
    <row r="15" spans="1:8" x14ac:dyDescent="0.2">
      <c r="A15" s="1"/>
      <c r="B15" s="1"/>
      <c r="C15" s="1"/>
      <c r="D15" s="1"/>
      <c r="E15" s="1"/>
      <c r="F15" s="1"/>
      <c r="G15" s="1"/>
      <c r="H15" s="1"/>
    </row>
    <row r="16" spans="1:8" x14ac:dyDescent="0.2">
      <c r="A16" s="1"/>
      <c r="B16" s="1"/>
      <c r="C16" s="1"/>
      <c r="D16" s="1"/>
      <c r="E16" s="1"/>
      <c r="F16" s="1"/>
      <c r="G16" s="1"/>
      <c r="H16" s="1"/>
    </row>
    <row r="17" spans="1:8" x14ac:dyDescent="0.2">
      <c r="A17" s="1"/>
      <c r="B17" s="1"/>
      <c r="C17" s="1"/>
      <c r="D17" s="1"/>
      <c r="E17" s="1"/>
      <c r="F17" s="1"/>
      <c r="G17" s="1"/>
      <c r="H17" s="1"/>
    </row>
    <row r="18" spans="1:8" x14ac:dyDescent="0.2">
      <c r="A18" s="1"/>
      <c r="B18" s="1"/>
      <c r="C18" s="1"/>
      <c r="D18" s="1"/>
      <c r="E18" s="1"/>
      <c r="F18" s="1"/>
      <c r="G18" s="1"/>
      <c r="H18" s="1"/>
    </row>
    <row r="19" spans="1:8" x14ac:dyDescent="0.2">
      <c r="A19" s="1"/>
      <c r="B19" s="1"/>
      <c r="C19" s="1"/>
      <c r="D19" s="1"/>
      <c r="E19" s="1"/>
      <c r="F19" s="1"/>
      <c r="G19" s="1"/>
      <c r="H19" s="1"/>
    </row>
    <row r="20" spans="1:8" x14ac:dyDescent="0.2">
      <c r="A20" s="1"/>
      <c r="B20" s="1"/>
      <c r="C20" s="1"/>
      <c r="D20" s="1"/>
      <c r="E20" s="1"/>
      <c r="F20" s="1"/>
      <c r="G20" s="1"/>
      <c r="H20" s="1"/>
    </row>
    <row r="21" spans="1:8" x14ac:dyDescent="0.2">
      <c r="A21" s="1"/>
      <c r="B21" s="1"/>
      <c r="C21" s="1"/>
      <c r="D21" s="1"/>
      <c r="E21" s="1"/>
      <c r="F21" s="1"/>
      <c r="G21" s="1"/>
      <c r="H21" s="1"/>
    </row>
    <row r="22" spans="1:8" x14ac:dyDescent="0.2">
      <c r="A22" s="1"/>
      <c r="B22" s="1"/>
      <c r="C22" s="1"/>
      <c r="D22" s="4"/>
      <c r="E22" s="1"/>
      <c r="F22" s="1"/>
      <c r="G22" s="1"/>
      <c r="H22" s="1"/>
    </row>
    <row r="23" spans="1:8" x14ac:dyDescent="0.2">
      <c r="A23" s="1"/>
      <c r="B23" s="1"/>
      <c r="C23" s="1"/>
      <c r="D23" s="1"/>
      <c r="E23" s="1"/>
      <c r="F23" s="1"/>
      <c r="G23" s="1"/>
      <c r="H23" s="1"/>
    </row>
    <row r="24" spans="1:8" x14ac:dyDescent="0.2">
      <c r="A24" s="1"/>
      <c r="B24" s="1"/>
      <c r="C24" s="1"/>
      <c r="D24" s="1"/>
      <c r="E24" s="1"/>
      <c r="F24" s="1"/>
      <c r="G24" s="1"/>
      <c r="H24" s="1"/>
    </row>
    <row r="25" spans="1:8" x14ac:dyDescent="0.2">
      <c r="A25" s="1"/>
      <c r="B25" s="1"/>
      <c r="C25" s="1"/>
      <c r="D25" s="1"/>
      <c r="E25" s="1"/>
      <c r="F25" s="1"/>
      <c r="G25" s="1"/>
      <c r="H25" s="1"/>
    </row>
    <row r="26" spans="1:8" x14ac:dyDescent="0.2">
      <c r="A26" s="1"/>
      <c r="B26" s="1"/>
      <c r="C26" s="1"/>
      <c r="D26" s="1"/>
      <c r="E26" s="1"/>
      <c r="F26" s="1"/>
      <c r="G26" s="1"/>
      <c r="H26" s="1"/>
    </row>
    <row r="27" spans="1:8" x14ac:dyDescent="0.2">
      <c r="A27" s="1"/>
      <c r="B27" s="1"/>
      <c r="C27" s="1"/>
      <c r="D27" s="1"/>
      <c r="E27" s="1"/>
      <c r="F27" s="1"/>
      <c r="G27" s="1"/>
      <c r="H27" s="1"/>
    </row>
    <row r="28" spans="1:8" x14ac:dyDescent="0.2">
      <c r="A28" s="1"/>
      <c r="B28" s="1"/>
      <c r="C28" s="1"/>
      <c r="D28" s="1"/>
      <c r="E28" s="1"/>
      <c r="F28" s="1"/>
      <c r="G28" s="1"/>
      <c r="H28" s="1"/>
    </row>
    <row r="29" spans="1:8" x14ac:dyDescent="0.2">
      <c r="A29" s="1"/>
      <c r="B29" s="1"/>
      <c r="C29" s="1"/>
      <c r="D29" s="1"/>
      <c r="E29" s="1"/>
      <c r="F29" s="1"/>
      <c r="G29" s="1"/>
      <c r="H29" s="1"/>
    </row>
    <row r="30" spans="1:8" x14ac:dyDescent="0.2">
      <c r="A30" s="1"/>
      <c r="B30" s="1"/>
      <c r="C30" s="1"/>
      <c r="D30" s="1"/>
      <c r="E30" s="1"/>
      <c r="F30" s="1"/>
      <c r="G30" s="1"/>
      <c r="H30" s="1"/>
    </row>
    <row r="31" spans="1:8" x14ac:dyDescent="0.2">
      <c r="A31" s="1"/>
      <c r="B31" s="1"/>
      <c r="C31" s="1"/>
      <c r="D31" s="1"/>
      <c r="E31" s="1"/>
      <c r="F31" s="1"/>
      <c r="G31" s="1"/>
      <c r="H31" s="1"/>
    </row>
    <row r="32" spans="1:8" x14ac:dyDescent="0.2">
      <c r="A32" s="1"/>
      <c r="B32" s="1"/>
      <c r="C32" s="1"/>
      <c r="D32" s="1"/>
      <c r="E32" s="1"/>
      <c r="F32" s="1"/>
      <c r="G32" s="1"/>
      <c r="H32" s="1"/>
    </row>
    <row r="33" spans="1:8" x14ac:dyDescent="0.2">
      <c r="A33" s="1"/>
      <c r="B33" s="1"/>
      <c r="C33" s="1"/>
      <c r="D33" s="1"/>
      <c r="E33" s="1"/>
      <c r="F33" s="1"/>
      <c r="G33" s="1"/>
      <c r="H33" s="1"/>
    </row>
    <row r="34" spans="1:8" x14ac:dyDescent="0.2">
      <c r="A34" s="1"/>
      <c r="B34" s="1"/>
      <c r="C34" s="1"/>
      <c r="D34" s="1"/>
      <c r="E34" s="1"/>
      <c r="F34" s="1"/>
      <c r="G34" s="1"/>
      <c r="H34" s="1"/>
    </row>
    <row r="35" spans="1:8" x14ac:dyDescent="0.2">
      <c r="A35" s="1"/>
      <c r="B35" s="1"/>
      <c r="C35" s="1"/>
      <c r="D35" s="1"/>
      <c r="E35" s="1"/>
      <c r="F35" s="1"/>
      <c r="G35" s="1"/>
      <c r="H35" s="1"/>
    </row>
    <row r="36" spans="1:8" x14ac:dyDescent="0.2">
      <c r="A36" s="1"/>
      <c r="B36" s="1"/>
      <c r="C36" s="1"/>
      <c r="D36" s="1"/>
      <c r="E36" s="1"/>
      <c r="F36" s="1"/>
      <c r="G36" s="1"/>
      <c r="H36" s="1"/>
    </row>
    <row r="37" spans="1:8" x14ac:dyDescent="0.2">
      <c r="A37" s="1"/>
      <c r="B37" s="1"/>
      <c r="C37" s="1"/>
      <c r="D37" s="1"/>
      <c r="E37" s="1"/>
      <c r="F37" s="1"/>
      <c r="G37" s="1"/>
      <c r="H37" s="1"/>
    </row>
    <row r="38" spans="1:8" x14ac:dyDescent="0.2">
      <c r="A38" s="1"/>
      <c r="B38" s="1"/>
      <c r="C38" s="1"/>
      <c r="D38" s="1"/>
      <c r="E38" s="1"/>
      <c r="F38" s="1"/>
      <c r="G38" s="1"/>
      <c r="H38" s="1"/>
    </row>
    <row r="39" spans="1:8" x14ac:dyDescent="0.2">
      <c r="A39" s="1"/>
      <c r="B39" s="1"/>
      <c r="C39" s="1"/>
      <c r="D39" s="1"/>
      <c r="E39" s="1"/>
      <c r="F39" s="1"/>
      <c r="G39" s="1"/>
      <c r="H39" s="1"/>
    </row>
    <row r="40" spans="1:8" x14ac:dyDescent="0.2">
      <c r="A40" s="1"/>
      <c r="B40" s="1"/>
      <c r="C40" s="1"/>
      <c r="D40" s="1"/>
      <c r="E40" s="1"/>
      <c r="F40" s="1"/>
      <c r="G40" s="1"/>
      <c r="H40" s="1"/>
    </row>
    <row r="41" spans="1:8" x14ac:dyDescent="0.2">
      <c r="A41" s="1"/>
      <c r="B41" s="1"/>
      <c r="C41" s="1"/>
      <c r="D41" s="1"/>
      <c r="E41" s="1"/>
      <c r="F41" s="1"/>
      <c r="G41" s="1"/>
      <c r="H41" s="1"/>
    </row>
    <row r="42" spans="1:8" x14ac:dyDescent="0.2">
      <c r="A42" s="1"/>
      <c r="B42" s="1"/>
      <c r="C42" s="1"/>
      <c r="D42" s="1"/>
      <c r="E42" s="1"/>
      <c r="F42" s="1"/>
      <c r="G42" s="1"/>
      <c r="H42" s="1"/>
    </row>
    <row r="43" spans="1:8" x14ac:dyDescent="0.2">
      <c r="A43" s="1"/>
      <c r="B43" s="1"/>
      <c r="C43" s="1"/>
      <c r="D43" s="1"/>
      <c r="E43" s="1"/>
      <c r="F43" s="1"/>
      <c r="G43" s="1"/>
      <c r="H43" s="1"/>
    </row>
    <row r="44" spans="1:8" x14ac:dyDescent="0.2">
      <c r="A44" s="1"/>
      <c r="B44" s="1"/>
      <c r="C44" s="1"/>
      <c r="D44" s="1"/>
      <c r="E44" s="1"/>
      <c r="F44" s="1"/>
      <c r="G44" s="1"/>
      <c r="H44" s="1"/>
    </row>
    <row r="45" spans="1:8" x14ac:dyDescent="0.2">
      <c r="A45" s="1"/>
      <c r="B45" s="1"/>
      <c r="C45" s="1"/>
      <c r="D45" s="1"/>
      <c r="E45" s="1"/>
      <c r="F45" s="1"/>
      <c r="G45" s="1"/>
      <c r="H45" s="1"/>
    </row>
    <row r="46" spans="1:8" x14ac:dyDescent="0.2">
      <c r="A46" s="1"/>
      <c r="B46" s="1"/>
      <c r="C46" s="1"/>
      <c r="D46" s="1"/>
      <c r="E46" s="1"/>
      <c r="F46" s="1"/>
      <c r="G46" s="1"/>
      <c r="H46" s="1"/>
    </row>
    <row r="47" spans="1:8" x14ac:dyDescent="0.2">
      <c r="A47" s="1"/>
      <c r="B47" s="1"/>
      <c r="C47" s="1"/>
      <c r="D47" s="1"/>
      <c r="E47" s="1"/>
      <c r="F47" s="1"/>
      <c r="G47" s="1"/>
      <c r="H47" s="1"/>
    </row>
    <row r="48" spans="1:8" x14ac:dyDescent="0.2">
      <c r="A48" s="1"/>
      <c r="B48" s="1"/>
      <c r="C48" s="1"/>
      <c r="D48" s="1"/>
      <c r="E48" s="1"/>
      <c r="F48" s="1"/>
      <c r="G48" s="1"/>
      <c r="H48" s="1"/>
    </row>
    <row r="49" spans="1:8" x14ac:dyDescent="0.2">
      <c r="A49" s="1"/>
      <c r="B49" s="1"/>
      <c r="C49" s="1"/>
      <c r="D49" s="1"/>
      <c r="E49" s="1"/>
      <c r="F49" s="1"/>
      <c r="G49" s="1"/>
      <c r="H49" s="1"/>
    </row>
    <row r="50" spans="1:8" x14ac:dyDescent="0.2">
      <c r="A50" s="1"/>
      <c r="B50" s="1"/>
      <c r="C50" s="1"/>
      <c r="D50" s="1"/>
      <c r="E50" s="1"/>
      <c r="F50" s="1"/>
      <c r="G50" s="1"/>
      <c r="H50" s="1"/>
    </row>
    <row r="51" spans="1:8" x14ac:dyDescent="0.2">
      <c r="A51" s="1"/>
      <c r="B51" s="1"/>
      <c r="C51" s="1"/>
      <c r="D51" s="1"/>
      <c r="E51" s="1"/>
      <c r="F51" s="1"/>
      <c r="G51" s="1"/>
      <c r="H51" s="1"/>
    </row>
    <row r="52" spans="1:8" x14ac:dyDescent="0.2">
      <c r="A52" s="1"/>
      <c r="B52" s="1"/>
      <c r="C52" s="1"/>
      <c r="D52" s="1"/>
      <c r="E52" s="1"/>
      <c r="F52" s="1"/>
      <c r="G52" s="1"/>
      <c r="H52" s="1"/>
    </row>
    <row r="53" spans="1:8" x14ac:dyDescent="0.2">
      <c r="A53" s="1"/>
      <c r="B53" s="1"/>
      <c r="C53" s="1"/>
      <c r="D53" s="1"/>
      <c r="E53" s="1"/>
      <c r="F53" s="1"/>
      <c r="G53" s="1"/>
      <c r="H53" s="1"/>
    </row>
    <row r="54" spans="1:8" x14ac:dyDescent="0.2">
      <c r="A54" s="1"/>
      <c r="B54" s="1"/>
      <c r="C54" s="1"/>
      <c r="D54" s="1"/>
      <c r="E54" s="1"/>
      <c r="F54" s="1"/>
      <c r="G54" s="1"/>
      <c r="H54" s="1"/>
    </row>
    <row r="55" spans="1:8" x14ac:dyDescent="0.2">
      <c r="A55" s="1"/>
      <c r="B55" s="1"/>
      <c r="C55" s="1"/>
      <c r="D55" s="1"/>
      <c r="E55" s="1"/>
      <c r="F55" s="1"/>
      <c r="G55" s="1"/>
      <c r="H55" s="1"/>
    </row>
    <row r="56" spans="1:8" x14ac:dyDescent="0.2">
      <c r="A56" s="1"/>
      <c r="B56" s="1"/>
      <c r="C56" s="1"/>
      <c r="D56" s="1"/>
      <c r="E56" s="1"/>
      <c r="F56" s="1"/>
      <c r="G56" s="1"/>
      <c r="H56" s="1"/>
    </row>
    <row r="57" spans="1:8" x14ac:dyDescent="0.2">
      <c r="A57" s="1"/>
      <c r="B57" s="1"/>
      <c r="C57" s="1"/>
      <c r="D57" s="1"/>
      <c r="E57" s="1"/>
      <c r="F57" s="1"/>
      <c r="G57" s="1"/>
      <c r="H57" s="1"/>
    </row>
    <row r="58" spans="1:8" x14ac:dyDescent="0.2">
      <c r="A58" s="1"/>
      <c r="B58" s="1"/>
      <c r="C58" s="1"/>
      <c r="D58" s="1"/>
      <c r="E58" s="1"/>
      <c r="F58" s="1"/>
      <c r="G58" s="1"/>
      <c r="H58" s="1"/>
    </row>
    <row r="59" spans="1:8" x14ac:dyDescent="0.2">
      <c r="A59" s="1"/>
      <c r="B59" s="1"/>
      <c r="C59" s="1"/>
      <c r="D59" s="1"/>
      <c r="E59" s="1"/>
      <c r="F59" s="1"/>
      <c r="G59" s="1"/>
      <c r="H59" s="1"/>
    </row>
    <row r="60" spans="1:8" x14ac:dyDescent="0.2">
      <c r="A60" s="1"/>
      <c r="B60" s="1"/>
      <c r="C60" s="1"/>
      <c r="D60" s="1"/>
      <c r="E60" s="1"/>
      <c r="F60" s="1"/>
      <c r="G60" s="1"/>
      <c r="H60" s="1"/>
    </row>
    <row r="61" spans="1:8" x14ac:dyDescent="0.2">
      <c r="A61" s="1"/>
      <c r="B61" s="1"/>
      <c r="C61" s="1"/>
      <c r="D61" s="1"/>
      <c r="E61" s="1"/>
      <c r="F61" s="1"/>
      <c r="G61" s="1"/>
      <c r="H61" s="1"/>
    </row>
    <row r="62" spans="1:8" x14ac:dyDescent="0.2">
      <c r="A62" s="1"/>
      <c r="B62" s="1"/>
      <c r="C62" s="1"/>
      <c r="D62" s="1"/>
      <c r="E62" s="1"/>
      <c r="F62" s="1"/>
      <c r="G62" s="1"/>
      <c r="H62" s="1"/>
    </row>
    <row r="63" spans="1:8" x14ac:dyDescent="0.2">
      <c r="A63" s="1"/>
      <c r="B63" s="1"/>
      <c r="C63" s="1"/>
      <c r="D63" s="1"/>
      <c r="E63" s="1"/>
      <c r="F63" s="1"/>
      <c r="G63" s="1"/>
      <c r="H63" s="1"/>
    </row>
    <row r="64" spans="1:8" x14ac:dyDescent="0.2">
      <c r="A64" s="1"/>
      <c r="B64" s="1"/>
      <c r="C64" s="1"/>
      <c r="D64" s="1"/>
      <c r="E64" s="1"/>
      <c r="F64" s="1"/>
      <c r="G64" s="1"/>
      <c r="H64" s="1"/>
    </row>
    <row r="65" spans="1:8" x14ac:dyDescent="0.2">
      <c r="A65" s="1"/>
      <c r="B65" s="1"/>
      <c r="C65" s="1"/>
      <c r="D65" s="1"/>
      <c r="E65" s="1"/>
      <c r="F65" s="1"/>
      <c r="G65" s="1"/>
      <c r="H65" s="1"/>
    </row>
    <row r="66" spans="1:8" x14ac:dyDescent="0.2">
      <c r="A66" s="1"/>
      <c r="B66" s="1"/>
      <c r="C66" s="1"/>
      <c r="D66" s="1"/>
      <c r="E66" s="1"/>
      <c r="F66" s="1"/>
      <c r="G66" s="1"/>
      <c r="H66" s="1"/>
    </row>
    <row r="67" spans="1:8" x14ac:dyDescent="0.2">
      <c r="A67" s="1"/>
      <c r="B67" s="1"/>
      <c r="C67" s="1"/>
      <c r="D67" s="1"/>
      <c r="E67" s="1"/>
      <c r="F67" s="1"/>
      <c r="G67" s="1"/>
      <c r="H67" s="1"/>
    </row>
    <row r="68" spans="1:8" x14ac:dyDescent="0.2">
      <c r="A68" s="1"/>
      <c r="B68" s="1"/>
      <c r="C68" s="1"/>
      <c r="D68" s="1"/>
      <c r="E68" s="1"/>
      <c r="F68" s="1"/>
      <c r="G68" s="1"/>
      <c r="H68" s="1"/>
    </row>
    <row r="69" spans="1:8" x14ac:dyDescent="0.2">
      <c r="A69" s="1"/>
      <c r="B69" s="1"/>
      <c r="C69" s="1"/>
      <c r="D69" s="1"/>
      <c r="E69" s="1"/>
      <c r="F69" s="1"/>
      <c r="G69" s="1"/>
      <c r="H69" s="1"/>
    </row>
    <row r="70" spans="1:8" x14ac:dyDescent="0.2">
      <c r="A70" s="1"/>
      <c r="B70" s="1"/>
      <c r="C70" s="1"/>
      <c r="D70" s="1"/>
      <c r="E70" s="1"/>
      <c r="F70" s="1"/>
      <c r="G70" s="1"/>
      <c r="H70" s="1"/>
    </row>
    <row r="71" spans="1:8" x14ac:dyDescent="0.2">
      <c r="A71" s="1"/>
      <c r="B71" s="1"/>
      <c r="C71" s="1"/>
      <c r="D71" s="1"/>
      <c r="E71" s="1"/>
      <c r="F71" s="1"/>
      <c r="G71" s="1"/>
      <c r="H71" s="1"/>
    </row>
    <row r="72" spans="1:8" x14ac:dyDescent="0.2">
      <c r="A72" s="1"/>
      <c r="B72" s="1"/>
      <c r="C72" s="1"/>
      <c r="D72" s="1"/>
      <c r="E72" s="1"/>
      <c r="F72" s="1"/>
      <c r="G72" s="1"/>
      <c r="H72" s="1"/>
    </row>
    <row r="73" spans="1:8" x14ac:dyDescent="0.2">
      <c r="A73" s="1"/>
      <c r="B73" s="1"/>
      <c r="C73" s="1"/>
      <c r="D73" s="1"/>
      <c r="E73" s="1"/>
      <c r="F73" s="1"/>
      <c r="G73" s="1"/>
      <c r="H73" s="1"/>
    </row>
    <row r="74" spans="1:8" x14ac:dyDescent="0.2">
      <c r="A74" s="1"/>
      <c r="B74" s="1"/>
      <c r="C74" s="1"/>
      <c r="D74" s="1"/>
      <c r="E74" s="1"/>
      <c r="F74" s="1"/>
      <c r="G74" s="1"/>
      <c r="H74" s="1"/>
    </row>
    <row r="75" spans="1:8" x14ac:dyDescent="0.2">
      <c r="A75" s="1"/>
      <c r="B75" s="1"/>
      <c r="C75" s="1"/>
      <c r="D75" s="1"/>
      <c r="E75" s="1"/>
      <c r="F75" s="1"/>
      <c r="G75" s="1"/>
      <c r="H75" s="1"/>
    </row>
    <row r="76" spans="1:8" x14ac:dyDescent="0.2">
      <c r="A76" s="1"/>
      <c r="B76" s="1"/>
      <c r="C76" s="1"/>
      <c r="D76" s="1"/>
      <c r="E76" s="1"/>
      <c r="F76" s="1"/>
      <c r="G76" s="1"/>
      <c r="H76" s="1"/>
    </row>
    <row r="77" spans="1:8" x14ac:dyDescent="0.2">
      <c r="A77" s="1"/>
      <c r="B77" s="1"/>
      <c r="C77" s="1"/>
      <c r="D77" s="1"/>
      <c r="E77" s="1"/>
      <c r="F77" s="1"/>
      <c r="G77" s="1"/>
      <c r="H77" s="1"/>
    </row>
    <row r="78" spans="1:8" x14ac:dyDescent="0.2">
      <c r="A78" s="1"/>
      <c r="B78" s="1"/>
      <c r="C78" s="1"/>
      <c r="D78" s="1"/>
      <c r="E78" s="1"/>
      <c r="F78" s="1"/>
      <c r="G78" s="1"/>
      <c r="H78" s="1"/>
    </row>
    <row r="79" spans="1:8" x14ac:dyDescent="0.2">
      <c r="A79" s="1"/>
      <c r="B79" s="1"/>
      <c r="C79" s="1"/>
      <c r="D79" s="1"/>
      <c r="E79" s="1"/>
      <c r="F79" s="1"/>
      <c r="G79" s="1"/>
      <c r="H79" s="1"/>
    </row>
    <row r="80" spans="1:8" x14ac:dyDescent="0.2">
      <c r="A80" s="1"/>
      <c r="B80" s="1"/>
      <c r="C80" s="1"/>
      <c r="D80" s="1"/>
      <c r="E80" s="1"/>
      <c r="F80" s="1"/>
      <c r="G80" s="1"/>
      <c r="H80" s="1"/>
    </row>
    <row r="81" spans="1:8" x14ac:dyDescent="0.2">
      <c r="A81" s="1"/>
      <c r="B81" s="1"/>
      <c r="C81" s="1"/>
      <c r="D81" s="1"/>
      <c r="E81" s="1"/>
      <c r="F81" s="1"/>
      <c r="G81" s="1"/>
      <c r="H81" s="1"/>
    </row>
    <row r="82" spans="1:8" x14ac:dyDescent="0.2">
      <c r="A82" s="1"/>
      <c r="B82" s="1"/>
      <c r="C82" s="1"/>
      <c r="D82" s="1"/>
      <c r="E82" s="1"/>
      <c r="F82" s="1"/>
      <c r="G82" s="1"/>
      <c r="H82" s="1"/>
    </row>
    <row r="83" spans="1:8" x14ac:dyDescent="0.2">
      <c r="A83" s="1"/>
      <c r="B83" s="1"/>
      <c r="C83" s="1"/>
      <c r="D83" s="1"/>
      <c r="E83" s="1"/>
      <c r="F83" s="1"/>
      <c r="G83" s="1"/>
      <c r="H83" s="1"/>
    </row>
    <row r="84" spans="1:8" x14ac:dyDescent="0.2">
      <c r="A84" s="1"/>
      <c r="B84" s="1"/>
      <c r="C84" s="1"/>
      <c r="D84" s="1"/>
      <c r="E84" s="1"/>
      <c r="F84" s="1"/>
      <c r="G84" s="1"/>
      <c r="H84" s="1"/>
    </row>
    <row r="85" spans="1:8" x14ac:dyDescent="0.2">
      <c r="A85" s="1"/>
      <c r="B85" s="1"/>
      <c r="C85" s="1"/>
      <c r="D85" s="1"/>
      <c r="E85" s="1"/>
      <c r="F85" s="1"/>
      <c r="G85" s="1"/>
      <c r="H85" s="1"/>
    </row>
    <row r="86" spans="1:8" x14ac:dyDescent="0.2">
      <c r="A86" s="1"/>
      <c r="B86" s="1"/>
      <c r="C86" s="1"/>
      <c r="D86" s="1"/>
      <c r="E86" s="1"/>
      <c r="F86" s="1"/>
      <c r="G86" s="1"/>
      <c r="H86" s="1"/>
    </row>
    <row r="87" spans="1:8" x14ac:dyDescent="0.2">
      <c r="A87" s="1"/>
      <c r="B87" s="1"/>
      <c r="C87" s="1"/>
      <c r="D87" s="1"/>
      <c r="E87" s="1"/>
      <c r="F87" s="1"/>
      <c r="G87" s="1"/>
      <c r="H87" s="1"/>
    </row>
    <row r="88" spans="1:8" x14ac:dyDescent="0.2">
      <c r="A88" s="1"/>
      <c r="B88" s="1"/>
      <c r="C88" s="1"/>
      <c r="D88" s="1"/>
      <c r="E88" s="1"/>
      <c r="F88" s="1"/>
      <c r="G88" s="1"/>
      <c r="H88" s="1"/>
    </row>
    <row r="89" spans="1:8" x14ac:dyDescent="0.2">
      <c r="A89" s="1"/>
      <c r="B89" s="1"/>
      <c r="C89" s="1"/>
      <c r="D89" s="1"/>
      <c r="E89" s="1"/>
      <c r="F89" s="1"/>
      <c r="G89" s="1"/>
      <c r="H89" s="1"/>
    </row>
    <row r="90" spans="1:8" x14ac:dyDescent="0.2">
      <c r="A90" s="1"/>
      <c r="B90" s="1"/>
      <c r="C90" s="1"/>
      <c r="D90" s="1"/>
      <c r="E90" s="1"/>
      <c r="F90" s="1"/>
      <c r="G90" s="1"/>
      <c r="H90" s="1"/>
    </row>
    <row r="91" spans="1:8" x14ac:dyDescent="0.2">
      <c r="A91" s="1"/>
      <c r="B91" s="1"/>
      <c r="C91" s="1"/>
      <c r="D91" s="1"/>
      <c r="E91" s="1"/>
      <c r="F91" s="1"/>
      <c r="G91" s="1"/>
      <c r="H91" s="1"/>
    </row>
    <row r="92" spans="1:8" x14ac:dyDescent="0.2">
      <c r="A92" s="1"/>
      <c r="B92" s="1"/>
      <c r="C92" s="1"/>
      <c r="D92" s="1"/>
      <c r="E92" s="1"/>
      <c r="F92" s="1"/>
      <c r="G92" s="1"/>
      <c r="H92" s="1"/>
    </row>
    <row r="93" spans="1:8" x14ac:dyDescent="0.2">
      <c r="A93" s="1"/>
      <c r="B93" s="1"/>
      <c r="C93" s="1"/>
      <c r="D93" s="1"/>
      <c r="E93" s="1"/>
      <c r="F93" s="1"/>
      <c r="G93" s="1"/>
      <c r="H93" s="1"/>
    </row>
    <row r="94" spans="1:8" x14ac:dyDescent="0.2">
      <c r="A94" s="11" t="s">
        <v>1</v>
      </c>
      <c r="B94" s="12"/>
      <c r="C94" s="12"/>
      <c r="D94" s="13"/>
      <c r="E94" s="8"/>
      <c r="F94" s="8"/>
      <c r="G94" s="8"/>
      <c r="H94" s="8"/>
    </row>
    <row r="95" spans="1:8" x14ac:dyDescent="0.2">
      <c r="A95" s="14" t="s">
        <v>15</v>
      </c>
      <c r="B95" s="15"/>
      <c r="C95" s="15"/>
      <c r="D95" s="16"/>
      <c r="E95" s="8"/>
      <c r="F95" s="8"/>
      <c r="G95" s="8"/>
      <c r="H95" s="8"/>
    </row>
    <row r="96" spans="1:8" x14ac:dyDescent="0.2">
      <c r="A96" s="17" t="s">
        <v>62</v>
      </c>
      <c r="B96" s="18"/>
      <c r="C96" s="18"/>
      <c r="D96" s="19"/>
      <c r="E96" s="8"/>
      <c r="F96" s="8"/>
      <c r="G96" s="8"/>
      <c r="H96" s="8"/>
    </row>
    <row r="97" spans="1:8" x14ac:dyDescent="0.2">
      <c r="A97" s="20"/>
      <c r="B97" s="21"/>
      <c r="C97" s="22"/>
      <c r="D97" s="23"/>
      <c r="E97" s="8"/>
      <c r="F97" s="8" t="s">
        <v>34</v>
      </c>
      <c r="G97" s="8"/>
      <c r="H97" s="8"/>
    </row>
    <row r="98" spans="1:8" ht="15.75" x14ac:dyDescent="0.25">
      <c r="A98" s="24" t="s">
        <v>2</v>
      </c>
      <c r="B98" s="25" t="str">
        <f>[1]Charters!B101</f>
        <v>Winter Sports School</v>
      </c>
      <c r="C98" s="26"/>
      <c r="D98" s="27"/>
      <c r="E98" s="8"/>
      <c r="F98" s="8"/>
      <c r="G98" s="8"/>
      <c r="H98" s="8"/>
    </row>
    <row r="99" spans="1:8" x14ac:dyDescent="0.2">
      <c r="A99" s="24"/>
      <c r="B99" s="28"/>
      <c r="C99" s="26"/>
      <c r="D99" s="27"/>
      <c r="E99" s="8"/>
      <c r="F99" s="8"/>
      <c r="G99" s="8"/>
      <c r="H99" s="8"/>
    </row>
    <row r="100" spans="1:8" x14ac:dyDescent="0.2">
      <c r="A100" s="29" t="s">
        <v>0</v>
      </c>
      <c r="B100" s="30">
        <f>[1]Charters!$E$6</f>
        <v>3184</v>
      </c>
      <c r="C100" s="26"/>
      <c r="D100" s="31"/>
      <c r="E100" s="8"/>
      <c r="F100" s="8"/>
      <c r="G100" s="8"/>
      <c r="H100" s="8"/>
    </row>
    <row r="101" spans="1:8" x14ac:dyDescent="0.2">
      <c r="A101" s="32"/>
      <c r="B101" s="6"/>
      <c r="C101" s="33"/>
      <c r="D101" s="34" t="s">
        <v>3</v>
      </c>
      <c r="E101" s="8"/>
      <c r="F101" s="8"/>
      <c r="G101" s="8"/>
      <c r="H101" s="8"/>
    </row>
    <row r="102" spans="1:8" x14ac:dyDescent="0.2">
      <c r="A102" s="29" t="s">
        <v>19</v>
      </c>
      <c r="B102" s="35" t="str">
        <f>[1]Charters!A101</f>
        <v>8I</v>
      </c>
      <c r="C102" s="36" t="s">
        <v>4</v>
      </c>
      <c r="D102" s="37" t="s">
        <v>5</v>
      </c>
      <c r="E102" s="8"/>
      <c r="F102" s="8"/>
      <c r="G102" s="8"/>
      <c r="H102" s="8"/>
    </row>
    <row r="103" spans="1:8" x14ac:dyDescent="0.2">
      <c r="A103" s="38" t="s">
        <v>6</v>
      </c>
      <c r="B103" s="39"/>
      <c r="C103" s="40"/>
      <c r="D103" s="41"/>
      <c r="E103" s="8"/>
      <c r="F103" s="8"/>
      <c r="G103" s="8"/>
      <c r="H103" s="8"/>
    </row>
    <row r="104" spans="1:8" x14ac:dyDescent="0.2">
      <c r="A104" s="38" t="s">
        <v>7</v>
      </c>
      <c r="B104" s="39"/>
      <c r="C104" s="40"/>
      <c r="D104" s="41"/>
      <c r="E104" s="8"/>
      <c r="F104" s="42" t="s">
        <v>23</v>
      </c>
      <c r="G104" s="8"/>
      <c r="H104" s="42" t="s">
        <v>26</v>
      </c>
    </row>
    <row r="105" spans="1:8" x14ac:dyDescent="0.2">
      <c r="A105" s="20" t="s">
        <v>8</v>
      </c>
      <c r="B105" s="43"/>
      <c r="C105" s="44">
        <f>[1]Charters!C561</f>
        <v>137.078</v>
      </c>
      <c r="D105" s="45">
        <f>[1]Charters!E561</f>
        <v>436457.11</v>
      </c>
      <c r="E105" s="8"/>
      <c r="F105" s="42">
        <f>[1]Charters!E716</f>
        <v>463677.19</v>
      </c>
      <c r="G105" s="8"/>
      <c r="H105" s="42">
        <f>[2]Charters!E255</f>
        <v>485040.19</v>
      </c>
    </row>
    <row r="106" spans="1:8" x14ac:dyDescent="0.2">
      <c r="A106" s="20" t="s">
        <v>14</v>
      </c>
      <c r="B106" s="43"/>
      <c r="C106" s="44">
        <f>[1]Charters!F561</f>
        <v>8.5489999999999995</v>
      </c>
      <c r="D106" s="45">
        <f>[1]Charters!H561</f>
        <v>27220.080000000002</v>
      </c>
      <c r="E106" s="8"/>
      <c r="F106" s="42">
        <f>SUM(D105:D107)</f>
        <v>463677.19</v>
      </c>
      <c r="G106" s="8"/>
      <c r="H106" s="42">
        <f>D118</f>
        <v>485040.19</v>
      </c>
    </row>
    <row r="107" spans="1:8" x14ac:dyDescent="0.2">
      <c r="A107" s="20" t="s">
        <v>32</v>
      </c>
      <c r="B107" s="43"/>
      <c r="C107" s="44">
        <f>[1]Charters!C254</f>
        <v>0</v>
      </c>
      <c r="D107" s="45">
        <f>[1]Charters!E254</f>
        <v>0</v>
      </c>
      <c r="E107" s="8"/>
      <c r="F107" s="42">
        <f>+F105-F106</f>
        <v>0</v>
      </c>
      <c r="G107" s="8"/>
      <c r="H107" s="42">
        <f>+H105-H106</f>
        <v>0</v>
      </c>
    </row>
    <row r="108" spans="1:8" x14ac:dyDescent="0.2">
      <c r="A108" s="38" t="s">
        <v>9</v>
      </c>
      <c r="B108" s="39"/>
      <c r="C108" s="46"/>
      <c r="D108" s="47"/>
      <c r="E108" s="8"/>
      <c r="F108" s="8"/>
      <c r="G108" s="8"/>
      <c r="H108" s="8"/>
    </row>
    <row r="109" spans="1:8" x14ac:dyDescent="0.2">
      <c r="A109" s="20" t="s">
        <v>10</v>
      </c>
      <c r="B109" s="43"/>
      <c r="C109" s="40">
        <f>[3]Charters!C100</f>
        <v>6</v>
      </c>
      <c r="D109" s="41">
        <f>[3]Charters!E100</f>
        <v>19104</v>
      </c>
      <c r="E109" s="8"/>
      <c r="F109" s="42" t="s">
        <v>24</v>
      </c>
      <c r="G109" s="8"/>
      <c r="H109" s="8"/>
    </row>
    <row r="110" spans="1:8" x14ac:dyDescent="0.2">
      <c r="A110" s="48" t="s">
        <v>11</v>
      </c>
      <c r="B110" s="43"/>
      <c r="C110" s="40">
        <f>[3]Charters!F100</f>
        <v>0</v>
      </c>
      <c r="D110" s="49">
        <f>[3]Charters!H100</f>
        <v>0</v>
      </c>
      <c r="E110" s="8"/>
      <c r="F110" s="42">
        <f>[3]Charters!N412</f>
        <v>21363</v>
      </c>
      <c r="G110" s="8"/>
      <c r="H110" s="8"/>
    </row>
    <row r="111" spans="1:8" x14ac:dyDescent="0.2">
      <c r="A111" s="48" t="s">
        <v>12</v>
      </c>
      <c r="B111" s="43"/>
      <c r="C111" s="40">
        <f>[3]Charters!C255</f>
        <v>0</v>
      </c>
      <c r="D111" s="41">
        <f>[3]Charters!E255</f>
        <v>0</v>
      </c>
      <c r="E111" s="8"/>
      <c r="F111" s="42">
        <f>SUM(D109:D115)</f>
        <v>21363</v>
      </c>
      <c r="G111" s="8"/>
      <c r="H111" s="8"/>
    </row>
    <row r="112" spans="1:8" x14ac:dyDescent="0.2">
      <c r="A112" s="20" t="s">
        <v>13</v>
      </c>
      <c r="B112" s="43"/>
      <c r="C112" s="40">
        <f>[3]Charters!F255</f>
        <v>0.70899999999999996</v>
      </c>
      <c r="D112" s="41">
        <f>[3]Charters!H255</f>
        <v>2259</v>
      </c>
      <c r="E112" s="8"/>
      <c r="F112" s="42">
        <f>+F110-F111</f>
        <v>0</v>
      </c>
      <c r="G112" s="8"/>
      <c r="H112" s="8"/>
    </row>
    <row r="113" spans="1:8" x14ac:dyDescent="0.2">
      <c r="A113" s="48" t="s">
        <v>54</v>
      </c>
      <c r="B113" s="43"/>
      <c r="C113" s="40">
        <f>[3]Charters!C412</f>
        <v>0</v>
      </c>
      <c r="D113" s="41">
        <f>[3]Charters!E412</f>
        <v>0</v>
      </c>
      <c r="E113" s="8"/>
      <c r="F113" s="8"/>
      <c r="G113" s="8"/>
      <c r="H113" s="8"/>
    </row>
    <row r="114" spans="1:8" x14ac:dyDescent="0.2">
      <c r="A114" s="48" t="s">
        <v>55</v>
      </c>
      <c r="B114" s="43"/>
      <c r="C114" s="40">
        <f>[3]Charters!F412</f>
        <v>0</v>
      </c>
      <c r="D114" s="41">
        <f>[3]Charters!H412</f>
        <v>0</v>
      </c>
      <c r="E114" s="8"/>
      <c r="F114" s="42" t="s">
        <v>25</v>
      </c>
      <c r="G114" s="8"/>
      <c r="H114" s="8"/>
    </row>
    <row r="115" spans="1:8" x14ac:dyDescent="0.2">
      <c r="A115" s="48" t="s">
        <v>56</v>
      </c>
      <c r="B115" s="43"/>
      <c r="C115" s="40">
        <f>[3]Charters!I412</f>
        <v>0</v>
      </c>
      <c r="D115" s="41">
        <f>[3]Charters!K412</f>
        <v>0</v>
      </c>
      <c r="E115" s="8"/>
      <c r="F115" s="42">
        <f>[2]Charters!H101</f>
        <v>21363</v>
      </c>
      <c r="G115" s="8"/>
      <c r="H115" s="8"/>
    </row>
    <row r="116" spans="1:8" x14ac:dyDescent="0.2">
      <c r="A116" s="20" t="s">
        <v>49</v>
      </c>
      <c r="B116" s="43"/>
      <c r="C116" s="40">
        <f>[3]Charters!C568</f>
        <v>0</v>
      </c>
      <c r="D116" s="41">
        <f>[3]Charters!E568</f>
        <v>0</v>
      </c>
      <c r="E116" s="8"/>
      <c r="F116" s="42">
        <f>SUM(D109:D117)</f>
        <v>21363</v>
      </c>
      <c r="G116" s="8"/>
      <c r="H116" s="8"/>
    </row>
    <row r="117" spans="1:8" x14ac:dyDescent="0.2">
      <c r="A117" s="20" t="s">
        <v>50</v>
      </c>
      <c r="B117" s="43"/>
      <c r="C117" s="40">
        <f>[2]Charters!C101</f>
        <v>0</v>
      </c>
      <c r="D117" s="41">
        <f>[2]Charters!E101</f>
        <v>0</v>
      </c>
      <c r="E117" s="8"/>
      <c r="F117" s="42">
        <f>+F115-F116</f>
        <v>0</v>
      </c>
      <c r="G117" s="8"/>
      <c r="H117" s="8"/>
    </row>
    <row r="118" spans="1:8" x14ac:dyDescent="0.2">
      <c r="A118" s="50"/>
      <c r="B118" s="51" t="s">
        <v>16</v>
      </c>
      <c r="C118" s="52">
        <f>SUM(C105:C117)</f>
        <v>152.33600000000001</v>
      </c>
      <c r="D118" s="53">
        <f>SUM(D105:D117)</f>
        <v>485040.19</v>
      </c>
      <c r="E118" s="8"/>
      <c r="F118" s="8"/>
      <c r="G118" s="8"/>
      <c r="H118" s="8"/>
    </row>
    <row r="119" spans="1:8" x14ac:dyDescent="0.2">
      <c r="A119" s="54" t="s">
        <v>17</v>
      </c>
      <c r="B119" s="39"/>
      <c r="C119" s="55"/>
      <c r="D119" s="47"/>
      <c r="E119" s="8"/>
      <c r="F119" s="8"/>
      <c r="G119" s="8"/>
      <c r="H119" s="42" t="s">
        <v>29</v>
      </c>
    </row>
    <row r="120" spans="1:8" x14ac:dyDescent="0.2">
      <c r="A120" s="20" t="s">
        <v>33</v>
      </c>
      <c r="B120" s="43"/>
      <c r="C120" s="56"/>
      <c r="D120" s="57">
        <f>[4]Charters!C101</f>
        <v>1405.87</v>
      </c>
      <c r="E120" s="8"/>
      <c r="F120" s="8"/>
      <c r="G120" s="8"/>
      <c r="H120" s="42">
        <f>[4]Charters!F1041</f>
        <v>783220.98</v>
      </c>
    </row>
    <row r="121" spans="1:8" x14ac:dyDescent="0.2">
      <c r="A121" s="58" t="s">
        <v>35</v>
      </c>
      <c r="B121" s="43"/>
      <c r="C121" s="56"/>
      <c r="D121" s="41">
        <f>+[4]Charters!F422</f>
        <v>659.76</v>
      </c>
      <c r="E121" s="8"/>
      <c r="F121" s="8"/>
      <c r="G121" s="8"/>
      <c r="H121" s="42">
        <f>SUM(D118:D137)</f>
        <v>783220.98</v>
      </c>
    </row>
    <row r="122" spans="1:8" x14ac:dyDescent="0.2">
      <c r="A122" s="59" t="s">
        <v>36</v>
      </c>
      <c r="B122" s="43"/>
      <c r="C122" s="56"/>
      <c r="D122" s="41">
        <f>[4]Charters!E261</f>
        <v>11830</v>
      </c>
      <c r="E122" s="8"/>
      <c r="F122" s="8"/>
      <c r="G122" s="8"/>
      <c r="H122" s="42">
        <f>+H120-H121</f>
        <v>0</v>
      </c>
    </row>
    <row r="123" spans="1:8" x14ac:dyDescent="0.2">
      <c r="A123" s="59" t="s">
        <v>52</v>
      </c>
      <c r="B123" s="43"/>
      <c r="C123" s="56"/>
      <c r="D123" s="41">
        <f>[4]Charters!G422</f>
        <v>0</v>
      </c>
      <c r="E123" s="8"/>
      <c r="F123" s="42" t="s">
        <v>27</v>
      </c>
      <c r="G123" s="8"/>
      <c r="H123" s="42"/>
    </row>
    <row r="124" spans="1:8" x14ac:dyDescent="0.2">
      <c r="A124" s="20" t="s">
        <v>37</v>
      </c>
      <c r="B124" s="43"/>
      <c r="C124" s="56"/>
      <c r="D124" s="41">
        <f>[4]Charters!E578</f>
        <v>20996</v>
      </c>
      <c r="E124" s="8"/>
      <c r="F124" s="42">
        <f>[4]Charters!E261</f>
        <v>11830</v>
      </c>
      <c r="G124" s="8"/>
      <c r="H124" s="8"/>
    </row>
    <row r="125" spans="1:8" x14ac:dyDescent="0.2">
      <c r="A125" s="20" t="s">
        <v>38</v>
      </c>
      <c r="B125" s="43"/>
      <c r="C125" s="56"/>
      <c r="D125" s="41">
        <f>[4]Charters!F578</f>
        <v>0</v>
      </c>
      <c r="E125" s="8"/>
      <c r="F125" s="42">
        <f>SUM(D122:D122)</f>
        <v>11830</v>
      </c>
      <c r="G125" s="8"/>
      <c r="H125" s="8"/>
    </row>
    <row r="126" spans="1:8" x14ac:dyDescent="0.2">
      <c r="A126" s="59" t="s">
        <v>40</v>
      </c>
      <c r="B126" s="43"/>
      <c r="C126" s="56"/>
      <c r="D126" s="41">
        <f>[4]Charters!G578</f>
        <v>0</v>
      </c>
      <c r="E126" s="8"/>
      <c r="F126" s="42">
        <f>+F124-F125</f>
        <v>0</v>
      </c>
      <c r="G126" s="8"/>
      <c r="H126" s="8"/>
    </row>
    <row r="127" spans="1:8" x14ac:dyDescent="0.2">
      <c r="A127" s="20" t="s">
        <v>41</v>
      </c>
      <c r="B127" s="43"/>
      <c r="C127" s="56"/>
      <c r="D127" s="41">
        <f>[4]Charters!C732</f>
        <v>226113</v>
      </c>
      <c r="E127" s="8"/>
      <c r="F127" s="42" t="s">
        <v>28</v>
      </c>
      <c r="G127" s="8"/>
      <c r="H127" s="8"/>
    </row>
    <row r="128" spans="1:8" x14ac:dyDescent="0.2">
      <c r="A128" s="20" t="s">
        <v>42</v>
      </c>
      <c r="B128" s="43"/>
      <c r="C128" s="56"/>
      <c r="D128" s="41">
        <f>[4]Charters!D732</f>
        <v>25552.13</v>
      </c>
      <c r="E128" s="8"/>
      <c r="F128" s="42">
        <f>[4]Charters!D578</f>
        <v>12489.76</v>
      </c>
      <c r="G128" s="8"/>
      <c r="H128" s="8"/>
    </row>
    <row r="129" spans="1:8" x14ac:dyDescent="0.2">
      <c r="A129" s="20" t="s">
        <v>44</v>
      </c>
      <c r="B129" s="43"/>
      <c r="C129" s="56"/>
      <c r="D129" s="41">
        <f>[4]Charters!E732</f>
        <v>11300</v>
      </c>
      <c r="E129" s="8"/>
      <c r="F129" s="42">
        <f>SUM(D121:D123)</f>
        <v>12489.76</v>
      </c>
      <c r="G129" s="8"/>
      <c r="H129" s="8"/>
    </row>
    <row r="130" spans="1:8" x14ac:dyDescent="0.2">
      <c r="A130" s="59" t="s">
        <v>43</v>
      </c>
      <c r="B130" s="43"/>
      <c r="C130" s="56"/>
      <c r="D130" s="41">
        <f>[4]Charters!F732</f>
        <v>0</v>
      </c>
      <c r="E130" s="8"/>
      <c r="F130" s="42">
        <f>+F128-F129</f>
        <v>0</v>
      </c>
      <c r="G130" s="8"/>
      <c r="H130" s="8"/>
    </row>
    <row r="131" spans="1:8" x14ac:dyDescent="0.2">
      <c r="A131" s="59" t="s">
        <v>45</v>
      </c>
      <c r="B131" s="43"/>
      <c r="C131" s="56"/>
      <c r="D131" s="41">
        <f>[4]Charters!C578</f>
        <v>0</v>
      </c>
      <c r="E131" s="8"/>
      <c r="F131" s="8"/>
      <c r="G131" s="8"/>
      <c r="H131" s="8"/>
    </row>
    <row r="132" spans="1:8" x14ac:dyDescent="0.2">
      <c r="A132" s="59" t="s">
        <v>46</v>
      </c>
      <c r="B132" s="43"/>
      <c r="C132" s="56"/>
      <c r="D132" s="41">
        <f>[4]Charters!C888</f>
        <v>0</v>
      </c>
      <c r="E132" s="42"/>
      <c r="F132" s="42"/>
      <c r="G132" s="42"/>
      <c r="H132" s="42" t="s">
        <v>31</v>
      </c>
    </row>
    <row r="133" spans="1:8" x14ac:dyDescent="0.2">
      <c r="A133" s="59" t="s">
        <v>51</v>
      </c>
      <c r="B133" s="43"/>
      <c r="C133" s="56"/>
      <c r="D133" s="60">
        <f>[4]Charters!D888</f>
        <v>324.02999999999997</v>
      </c>
      <c r="E133" s="42"/>
      <c r="F133" s="42"/>
      <c r="G133" s="42"/>
      <c r="H133" s="42">
        <f>[4]Charters!D1347</f>
        <v>784202.72</v>
      </c>
    </row>
    <row r="134" spans="1:8" x14ac:dyDescent="0.2">
      <c r="A134" s="20" t="s">
        <v>47</v>
      </c>
      <c r="B134" s="43"/>
      <c r="C134" s="56"/>
      <c r="D134" s="60">
        <f>[4]Charters!E888</f>
        <v>0</v>
      </c>
      <c r="E134" s="42"/>
      <c r="F134" s="42"/>
      <c r="G134" s="42"/>
      <c r="H134" s="42">
        <f>D143</f>
        <v>784202.72</v>
      </c>
    </row>
    <row r="135" spans="1:8" x14ac:dyDescent="0.2">
      <c r="A135" s="20" t="s">
        <v>57</v>
      </c>
      <c r="B135" s="43"/>
      <c r="C135" s="56"/>
      <c r="D135" s="60">
        <f>[4]Charters!C1041</f>
        <v>0</v>
      </c>
      <c r="E135" s="42"/>
      <c r="F135" s="42"/>
      <c r="G135" s="42"/>
      <c r="H135" s="42">
        <f>+H133-H134</f>
        <v>0</v>
      </c>
    </row>
    <row r="136" spans="1:8" x14ac:dyDescent="0.2">
      <c r="A136" s="59" t="s">
        <v>53</v>
      </c>
      <c r="B136" s="43"/>
      <c r="C136" s="56"/>
      <c r="D136" s="60">
        <f>[4]Charters!D1041</f>
        <v>0</v>
      </c>
      <c r="E136" s="42"/>
      <c r="F136" s="42" t="s">
        <v>30</v>
      </c>
      <c r="G136" s="42"/>
      <c r="H136" s="42"/>
    </row>
    <row r="137" spans="1:8" x14ac:dyDescent="0.2">
      <c r="A137" s="59" t="s">
        <v>59</v>
      </c>
      <c r="B137" s="43"/>
      <c r="C137" s="56"/>
      <c r="D137" s="60">
        <f>[4]Charters!E1041</f>
        <v>0</v>
      </c>
      <c r="E137" s="42"/>
      <c r="F137" s="42"/>
      <c r="G137" s="42"/>
      <c r="H137" s="42"/>
    </row>
    <row r="138" spans="1:8" x14ac:dyDescent="0.2">
      <c r="A138" s="38" t="s">
        <v>18</v>
      </c>
      <c r="B138" s="61"/>
      <c r="C138" s="62"/>
      <c r="D138" s="87"/>
      <c r="E138" s="42"/>
      <c r="F138" s="42">
        <f>[4]Charters!C1347</f>
        <v>981.74</v>
      </c>
      <c r="G138" s="42"/>
      <c r="H138" s="42"/>
    </row>
    <row r="139" spans="1:8" x14ac:dyDescent="0.2">
      <c r="A139" s="59" t="s">
        <v>39</v>
      </c>
      <c r="B139" s="43"/>
      <c r="C139" s="56"/>
      <c r="D139" s="41">
        <f>[4]Charters!C1194</f>
        <v>981.74</v>
      </c>
      <c r="E139" s="42"/>
      <c r="F139" s="42">
        <f>SUM(D139:D142)</f>
        <v>981.74</v>
      </c>
      <c r="G139" s="42"/>
      <c r="H139" s="42"/>
    </row>
    <row r="140" spans="1:8" x14ac:dyDescent="0.2">
      <c r="A140" s="59" t="s">
        <v>48</v>
      </c>
      <c r="B140" s="43"/>
      <c r="C140" s="56"/>
      <c r="D140" s="41">
        <f>[4]Charters!D1194</f>
        <v>0</v>
      </c>
      <c r="E140" s="42"/>
      <c r="F140" s="42">
        <f>+F138-F139</f>
        <v>0</v>
      </c>
      <c r="G140" s="42"/>
      <c r="H140" s="42"/>
    </row>
    <row r="141" spans="1:8" x14ac:dyDescent="0.2">
      <c r="A141" s="59" t="s">
        <v>60</v>
      </c>
      <c r="B141" s="43"/>
      <c r="C141" s="56"/>
      <c r="D141" s="41">
        <f>[4]Charters!E1194</f>
        <v>0</v>
      </c>
      <c r="E141" s="42"/>
      <c r="F141" s="42"/>
      <c r="G141" s="42"/>
      <c r="H141" s="42"/>
    </row>
    <row r="142" spans="1:8" x14ac:dyDescent="0.2">
      <c r="A142" s="59" t="s">
        <v>61</v>
      </c>
      <c r="B142" s="43"/>
      <c r="C142" s="56"/>
      <c r="D142" s="41">
        <f>[4]Charters!F1194</f>
        <v>0</v>
      </c>
      <c r="E142" s="42"/>
      <c r="F142" s="42"/>
      <c r="G142" s="42"/>
      <c r="H142" s="42"/>
    </row>
    <row r="143" spans="1:8" ht="13.5" thickBot="1" x14ac:dyDescent="0.25">
      <c r="A143" s="64"/>
      <c r="B143" s="65"/>
      <c r="C143" s="66"/>
      <c r="D143" s="67">
        <f>SUM(D118:D142)</f>
        <v>784202.72</v>
      </c>
      <c r="E143" s="42"/>
      <c r="F143" s="42"/>
      <c r="G143" s="42"/>
      <c r="H143" s="42"/>
    </row>
    <row r="144" spans="1:8" ht="13.5" thickTop="1" x14ac:dyDescent="0.2">
      <c r="A144" s="68"/>
      <c r="B144" s="43"/>
      <c r="C144" s="56"/>
      <c r="D144" s="86"/>
      <c r="E144" s="42"/>
      <c r="F144" s="42"/>
      <c r="G144" s="42"/>
      <c r="H144" s="42"/>
    </row>
    <row r="145" spans="1:8" x14ac:dyDescent="0.2">
      <c r="A145" s="38" t="s">
        <v>20</v>
      </c>
      <c r="B145" s="39"/>
      <c r="C145" s="70"/>
      <c r="D145" s="71" t="s">
        <v>21</v>
      </c>
      <c r="E145" s="42"/>
      <c r="F145" s="42"/>
      <c r="G145" s="42"/>
      <c r="H145" s="42"/>
    </row>
    <row r="146" spans="1:8" x14ac:dyDescent="0.2">
      <c r="A146" s="72" t="s">
        <v>22</v>
      </c>
      <c r="B146" s="73"/>
      <c r="C146" s="74"/>
      <c r="D146" s="41">
        <f>[5]Charters!C100</f>
        <v>324.20999999999998</v>
      </c>
      <c r="E146" s="42"/>
      <c r="F146" s="42"/>
      <c r="G146" s="42"/>
      <c r="H146" s="42"/>
    </row>
    <row r="147" spans="1:8" x14ac:dyDescent="0.2">
      <c r="A147" s="75"/>
      <c r="B147" s="61"/>
      <c r="C147" s="76"/>
      <c r="D147" s="77">
        <f>SUM(D146:D146)</f>
        <v>324.20999999999998</v>
      </c>
      <c r="E147" s="42"/>
      <c r="F147" s="42"/>
      <c r="G147" s="42"/>
      <c r="H147" s="42"/>
    </row>
    <row r="148" spans="1:8" x14ac:dyDescent="0.2">
      <c r="A148" s="78" t="s">
        <v>58</v>
      </c>
      <c r="B148" s="79"/>
      <c r="C148" s="80"/>
      <c r="D148" s="77">
        <f>D147+D143</f>
        <v>784526.93</v>
      </c>
      <c r="E148" s="42"/>
      <c r="F148" s="42"/>
      <c r="G148" s="42"/>
      <c r="H148" s="42"/>
    </row>
    <row r="149" spans="1:8" x14ac:dyDescent="0.2">
      <c r="A149" s="84"/>
      <c r="B149" s="84"/>
      <c r="C149" s="85"/>
      <c r="D149" s="81"/>
      <c r="E149" s="42"/>
      <c r="F149" s="42"/>
      <c r="G149" s="42"/>
      <c r="H149" s="42"/>
    </row>
    <row r="150" spans="1:8" x14ac:dyDescent="0.2">
      <c r="A150" s="84"/>
      <c r="B150" s="84"/>
      <c r="C150" s="85"/>
      <c r="D150" s="81">
        <f>[5]Charters!E256</f>
        <v>784526.93</v>
      </c>
      <c r="E150" s="42"/>
      <c r="F150" s="42"/>
      <c r="G150" s="42"/>
      <c r="H150" s="42"/>
    </row>
    <row r="151" spans="1:8" x14ac:dyDescent="0.2">
      <c r="A151" s="84"/>
      <c r="B151" s="84"/>
      <c r="C151" s="85"/>
      <c r="D151" s="81">
        <f>D148</f>
        <v>784526.93</v>
      </c>
      <c r="E151" s="42"/>
      <c r="F151" s="42"/>
      <c r="G151" s="42"/>
      <c r="H151" s="42"/>
    </row>
    <row r="152" spans="1:8" x14ac:dyDescent="0.2">
      <c r="C152" s="83"/>
      <c r="D152" s="42">
        <f>D150-D151</f>
        <v>0</v>
      </c>
      <c r="E152" s="42"/>
      <c r="F152" s="42"/>
      <c r="G152" s="42"/>
      <c r="H152" s="42"/>
    </row>
  </sheetData>
  <mergeCells count="4">
    <mergeCell ref="A148:C148"/>
    <mergeCell ref="A95:D95"/>
    <mergeCell ref="A96:D96"/>
    <mergeCell ref="A94:D94"/>
  </mergeCells>
  <printOptions horizontalCentered="1" verticalCentered="1"/>
  <pageMargins left="0.5" right="0.5" top="0.5" bottom="0.5" header="0.25" footer="0.25"/>
  <pageSetup orientation="portrait" r:id="rId1"/>
  <headerFooter alignWithMargins="0">
    <oddHeader>&amp;R&amp;8Current as of: &amp;D</oddHeader>
    <oddFooter>&amp;L&amp;8USOE, School Finance</oddFooter>
  </headerFooter>
  <picture r:id="rId2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900-000000000000}">
  <sheetPr>
    <pageSetUpPr fitToPage="1"/>
  </sheetPr>
  <dimension ref="A1:H153"/>
  <sheetViews>
    <sheetView topLeftCell="A94" workbookViewId="0">
      <selection activeCell="C12" sqref="C12"/>
    </sheetView>
  </sheetViews>
  <sheetFormatPr defaultColWidth="9.140625" defaultRowHeight="12.75" x14ac:dyDescent="0.2"/>
  <cols>
    <col min="1" max="1" width="32.28515625" style="82" customWidth="1"/>
    <col min="2" max="2" width="16.140625" style="82" customWidth="1"/>
    <col min="3" max="4" width="15.140625" style="82" customWidth="1"/>
    <col min="5" max="5" width="9.140625" style="82"/>
    <col min="6" max="6" width="18" style="82" customWidth="1"/>
    <col min="7" max="7" width="6.5703125" style="82" customWidth="1"/>
    <col min="8" max="8" width="12.85546875" style="82" customWidth="1"/>
    <col min="9" max="16384" width="9.140625" style="82"/>
  </cols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"/>
      <c r="B3" s="1"/>
      <c r="C3" s="1"/>
      <c r="D3" s="1"/>
      <c r="E3" s="1"/>
      <c r="F3" s="1"/>
      <c r="G3" s="1"/>
      <c r="H3" s="1"/>
    </row>
    <row r="4" spans="1:8" x14ac:dyDescent="0.2">
      <c r="A4" s="1"/>
      <c r="B4" s="1"/>
      <c r="C4" s="1"/>
      <c r="D4" s="1"/>
      <c r="E4" s="1"/>
      <c r="F4" s="1"/>
      <c r="G4" s="1"/>
      <c r="H4" s="1"/>
    </row>
    <row r="5" spans="1:8" x14ac:dyDescent="0.2">
      <c r="A5" s="1"/>
      <c r="B5" s="1"/>
      <c r="C5" s="1"/>
      <c r="D5" s="1"/>
      <c r="E5" s="1"/>
      <c r="F5" s="1"/>
      <c r="G5" s="1"/>
      <c r="H5" s="1"/>
    </row>
    <row r="6" spans="1:8" x14ac:dyDescent="0.2">
      <c r="A6" s="1"/>
      <c r="B6" s="1"/>
      <c r="C6" s="1"/>
      <c r="D6" s="1"/>
      <c r="E6" s="1"/>
      <c r="F6" s="1"/>
      <c r="G6" s="1"/>
      <c r="H6" s="1"/>
    </row>
    <row r="7" spans="1:8" x14ac:dyDescent="0.2">
      <c r="A7" s="1"/>
      <c r="B7" s="1"/>
      <c r="C7" s="1"/>
      <c r="D7" s="1"/>
      <c r="E7" s="1"/>
      <c r="F7" s="1"/>
      <c r="G7" s="1"/>
      <c r="H7" s="1"/>
    </row>
    <row r="8" spans="1:8" x14ac:dyDescent="0.2">
      <c r="A8" s="1"/>
      <c r="B8" s="1"/>
      <c r="C8" s="1"/>
      <c r="D8" s="1"/>
      <c r="E8" s="1"/>
      <c r="F8" s="1"/>
      <c r="G8" s="1"/>
      <c r="H8" s="1"/>
    </row>
    <row r="9" spans="1:8" x14ac:dyDescent="0.2">
      <c r="A9" s="1"/>
      <c r="B9" s="1"/>
      <c r="C9" s="1"/>
      <c r="D9" s="1"/>
      <c r="E9" s="1"/>
      <c r="F9" s="1"/>
      <c r="G9" s="1"/>
      <c r="H9" s="1"/>
    </row>
    <row r="10" spans="1:8" x14ac:dyDescent="0.2">
      <c r="A10" s="1"/>
      <c r="B10" s="1"/>
      <c r="C10" s="1"/>
      <c r="D10" s="1"/>
      <c r="E10" s="1"/>
      <c r="F10" s="1"/>
      <c r="G10" s="1"/>
      <c r="H10" s="1"/>
    </row>
    <row r="11" spans="1:8" x14ac:dyDescent="0.2">
      <c r="A11" s="1"/>
      <c r="B11" s="1"/>
      <c r="C11" s="1"/>
      <c r="D11" s="1"/>
      <c r="E11" s="1"/>
      <c r="F11" s="1"/>
      <c r="G11" s="1"/>
      <c r="H11" s="1"/>
    </row>
    <row r="12" spans="1:8" x14ac:dyDescent="0.2">
      <c r="A12" s="1"/>
      <c r="B12" s="1"/>
      <c r="C12" s="1"/>
      <c r="D12" s="1"/>
      <c r="E12" s="1"/>
      <c r="F12" s="1"/>
      <c r="G12" s="1"/>
      <c r="H12" s="1"/>
    </row>
    <row r="13" spans="1:8" x14ac:dyDescent="0.2">
      <c r="A13" s="1"/>
      <c r="B13" s="1"/>
      <c r="C13" s="1"/>
      <c r="D13" s="1"/>
      <c r="E13" s="1"/>
      <c r="F13" s="1"/>
      <c r="G13" s="1"/>
      <c r="H13" s="1"/>
    </row>
    <row r="14" spans="1:8" x14ac:dyDescent="0.2">
      <c r="A14" s="1"/>
      <c r="B14" s="1"/>
      <c r="C14" s="1"/>
      <c r="D14" s="1"/>
      <c r="E14" s="1"/>
      <c r="F14" s="1"/>
      <c r="G14" s="1"/>
      <c r="H14" s="1"/>
    </row>
    <row r="15" spans="1:8" x14ac:dyDescent="0.2">
      <c r="A15" s="1"/>
      <c r="B15" s="1"/>
      <c r="C15" s="1"/>
      <c r="D15" s="1"/>
      <c r="E15" s="1"/>
      <c r="F15" s="1"/>
      <c r="G15" s="1"/>
      <c r="H15" s="1"/>
    </row>
    <row r="16" spans="1:8" x14ac:dyDescent="0.2">
      <c r="A16" s="1"/>
      <c r="B16" s="1"/>
      <c r="C16" s="1"/>
      <c r="D16" s="1"/>
      <c r="E16" s="1"/>
      <c r="F16" s="1"/>
      <c r="G16" s="1"/>
      <c r="H16" s="1"/>
    </row>
    <row r="17" spans="1:8" x14ac:dyDescent="0.2">
      <c r="A17" s="1"/>
      <c r="B17" s="1"/>
      <c r="C17" s="1"/>
      <c r="D17" s="1"/>
      <c r="E17" s="1"/>
      <c r="F17" s="1"/>
      <c r="G17" s="1"/>
      <c r="H17" s="1"/>
    </row>
    <row r="18" spans="1:8" x14ac:dyDescent="0.2">
      <c r="A18" s="1"/>
      <c r="B18" s="1"/>
      <c r="C18" s="1"/>
      <c r="D18" s="1"/>
      <c r="E18" s="1"/>
      <c r="F18" s="1"/>
      <c r="G18" s="1"/>
      <c r="H18" s="1"/>
    </row>
    <row r="19" spans="1:8" x14ac:dyDescent="0.2">
      <c r="A19" s="1"/>
      <c r="B19" s="1"/>
      <c r="C19" s="1"/>
      <c r="D19" s="1"/>
      <c r="E19" s="1"/>
      <c r="F19" s="1"/>
      <c r="G19" s="1"/>
      <c r="H19" s="1"/>
    </row>
    <row r="20" spans="1:8" x14ac:dyDescent="0.2">
      <c r="A20" s="1"/>
      <c r="B20" s="1"/>
      <c r="C20" s="1"/>
      <c r="D20" s="1"/>
      <c r="E20" s="1"/>
      <c r="F20" s="1"/>
      <c r="G20" s="1"/>
      <c r="H20" s="1"/>
    </row>
    <row r="21" spans="1:8" x14ac:dyDescent="0.2">
      <c r="A21" s="1"/>
      <c r="B21" s="1"/>
      <c r="C21" s="1"/>
      <c r="D21" s="1"/>
      <c r="E21" s="1"/>
      <c r="F21" s="1"/>
      <c r="G21" s="1"/>
      <c r="H21" s="1"/>
    </row>
    <row r="22" spans="1:8" x14ac:dyDescent="0.2">
      <c r="A22" s="1"/>
      <c r="B22" s="1"/>
      <c r="C22" s="1"/>
      <c r="D22" s="4"/>
      <c r="E22" s="1"/>
      <c r="F22" s="1"/>
      <c r="G22" s="1"/>
      <c r="H22" s="1"/>
    </row>
    <row r="23" spans="1:8" x14ac:dyDescent="0.2">
      <c r="A23" s="1"/>
      <c r="B23" s="1"/>
      <c r="C23" s="1"/>
      <c r="D23" s="1"/>
      <c r="E23" s="1"/>
      <c r="F23" s="1"/>
      <c r="G23" s="1"/>
      <c r="H23" s="1"/>
    </row>
    <row r="24" spans="1:8" x14ac:dyDescent="0.2">
      <c r="A24" s="1"/>
      <c r="B24" s="1"/>
      <c r="C24" s="1"/>
      <c r="D24" s="1"/>
      <c r="E24" s="1"/>
      <c r="F24" s="1"/>
      <c r="G24" s="1"/>
      <c r="H24" s="1"/>
    </row>
    <row r="25" spans="1:8" x14ac:dyDescent="0.2">
      <c r="A25" s="1"/>
      <c r="B25" s="1"/>
      <c r="C25" s="1"/>
      <c r="D25" s="1"/>
      <c r="E25" s="1"/>
      <c r="F25" s="1"/>
      <c r="G25" s="1"/>
      <c r="H25" s="1"/>
    </row>
    <row r="26" spans="1:8" x14ac:dyDescent="0.2">
      <c r="A26" s="1"/>
      <c r="B26" s="1"/>
      <c r="C26" s="1"/>
      <c r="D26" s="1"/>
      <c r="E26" s="1"/>
      <c r="F26" s="1"/>
      <c r="G26" s="1"/>
      <c r="H26" s="1"/>
    </row>
    <row r="27" spans="1:8" x14ac:dyDescent="0.2">
      <c r="A27" s="1"/>
      <c r="B27" s="1"/>
      <c r="C27" s="1"/>
      <c r="D27" s="1"/>
      <c r="E27" s="1"/>
      <c r="F27" s="1"/>
      <c r="G27" s="1"/>
      <c r="H27" s="1"/>
    </row>
    <row r="28" spans="1:8" x14ac:dyDescent="0.2">
      <c r="A28" s="1"/>
      <c r="B28" s="1"/>
      <c r="C28" s="1"/>
      <c r="D28" s="1"/>
      <c r="E28" s="1"/>
      <c r="F28" s="1"/>
      <c r="G28" s="1"/>
      <c r="H28" s="1"/>
    </row>
    <row r="29" spans="1:8" x14ac:dyDescent="0.2">
      <c r="A29" s="1"/>
      <c r="B29" s="1"/>
      <c r="C29" s="1"/>
      <c r="D29" s="1"/>
      <c r="E29" s="1"/>
      <c r="F29" s="1"/>
      <c r="G29" s="1"/>
      <c r="H29" s="1"/>
    </row>
    <row r="30" spans="1:8" x14ac:dyDescent="0.2">
      <c r="A30" s="1"/>
      <c r="B30" s="1"/>
      <c r="C30" s="1"/>
      <c r="D30" s="1"/>
      <c r="E30" s="1"/>
      <c r="F30" s="1"/>
      <c r="G30" s="1"/>
      <c r="H30" s="1"/>
    </row>
    <row r="31" spans="1:8" x14ac:dyDescent="0.2">
      <c r="A31" s="1"/>
      <c r="B31" s="1"/>
      <c r="C31" s="1"/>
      <c r="D31" s="1"/>
      <c r="E31" s="1"/>
      <c r="F31" s="1"/>
      <c r="G31" s="1"/>
      <c r="H31" s="1"/>
    </row>
    <row r="32" spans="1:8" x14ac:dyDescent="0.2">
      <c r="A32" s="1"/>
      <c r="B32" s="1"/>
      <c r="C32" s="1"/>
      <c r="D32" s="1"/>
      <c r="E32" s="1"/>
      <c r="F32" s="1"/>
      <c r="G32" s="1"/>
      <c r="H32" s="1"/>
    </row>
    <row r="33" spans="1:8" x14ac:dyDescent="0.2">
      <c r="A33" s="1"/>
      <c r="B33" s="1"/>
      <c r="C33" s="1"/>
      <c r="D33" s="1"/>
      <c r="E33" s="1"/>
      <c r="F33" s="1"/>
      <c r="G33" s="1"/>
      <c r="H33" s="1"/>
    </row>
    <row r="34" spans="1:8" x14ac:dyDescent="0.2">
      <c r="A34" s="1"/>
      <c r="B34" s="1"/>
      <c r="C34" s="1"/>
      <c r="D34" s="1"/>
      <c r="E34" s="1"/>
      <c r="F34" s="1"/>
      <c r="G34" s="1"/>
      <c r="H34" s="1"/>
    </row>
    <row r="35" spans="1:8" x14ac:dyDescent="0.2">
      <c r="A35" s="1"/>
      <c r="B35" s="1"/>
      <c r="C35" s="1"/>
      <c r="D35" s="1"/>
      <c r="E35" s="1"/>
      <c r="F35" s="1"/>
      <c r="G35" s="1"/>
      <c r="H35" s="1"/>
    </row>
    <row r="36" spans="1:8" x14ac:dyDescent="0.2">
      <c r="A36" s="1"/>
      <c r="B36" s="1"/>
      <c r="C36" s="1"/>
      <c r="D36" s="1"/>
      <c r="E36" s="1"/>
      <c r="F36" s="1"/>
      <c r="G36" s="1"/>
      <c r="H36" s="1"/>
    </row>
    <row r="37" spans="1:8" x14ac:dyDescent="0.2">
      <c r="A37" s="1"/>
      <c r="B37" s="1"/>
      <c r="C37" s="1"/>
      <c r="D37" s="1"/>
      <c r="E37" s="1"/>
      <c r="F37" s="1"/>
      <c r="G37" s="1"/>
      <c r="H37" s="1"/>
    </row>
    <row r="38" spans="1:8" x14ac:dyDescent="0.2">
      <c r="A38" s="1"/>
      <c r="B38" s="1"/>
      <c r="C38" s="1"/>
      <c r="D38" s="1"/>
      <c r="E38" s="1"/>
      <c r="F38" s="1"/>
      <c r="G38" s="1"/>
      <c r="H38" s="1"/>
    </row>
    <row r="39" spans="1:8" x14ac:dyDescent="0.2">
      <c r="A39" s="1"/>
      <c r="B39" s="1"/>
      <c r="C39" s="1"/>
      <c r="D39" s="1"/>
      <c r="E39" s="1"/>
      <c r="F39" s="1"/>
      <c r="G39" s="1"/>
      <c r="H39" s="1"/>
    </row>
    <row r="40" spans="1:8" x14ac:dyDescent="0.2">
      <c r="A40" s="1"/>
      <c r="B40" s="1"/>
      <c r="C40" s="1"/>
      <c r="D40" s="1"/>
      <c r="E40" s="1"/>
      <c r="F40" s="1"/>
      <c r="G40" s="1"/>
      <c r="H40" s="1"/>
    </row>
    <row r="41" spans="1:8" x14ac:dyDescent="0.2">
      <c r="A41" s="1"/>
      <c r="B41" s="1"/>
      <c r="C41" s="1"/>
      <c r="D41" s="1"/>
      <c r="E41" s="1"/>
      <c r="F41" s="1"/>
      <c r="G41" s="1"/>
      <c r="H41" s="1"/>
    </row>
    <row r="42" spans="1:8" x14ac:dyDescent="0.2">
      <c r="A42" s="1"/>
      <c r="B42" s="1"/>
      <c r="C42" s="1"/>
      <c r="D42" s="1"/>
      <c r="E42" s="1"/>
      <c r="F42" s="1"/>
      <c r="G42" s="1"/>
      <c r="H42" s="1"/>
    </row>
    <row r="43" spans="1:8" x14ac:dyDescent="0.2">
      <c r="A43" s="1"/>
      <c r="B43" s="1"/>
      <c r="C43" s="1"/>
      <c r="D43" s="1"/>
      <c r="E43" s="1"/>
      <c r="F43" s="1"/>
      <c r="G43" s="1"/>
      <c r="H43" s="1"/>
    </row>
    <row r="44" spans="1:8" x14ac:dyDescent="0.2">
      <c r="A44" s="1"/>
      <c r="B44" s="1"/>
      <c r="C44" s="1"/>
      <c r="D44" s="1"/>
      <c r="E44" s="1"/>
      <c r="F44" s="1"/>
      <c r="G44" s="1"/>
      <c r="H44" s="1"/>
    </row>
    <row r="45" spans="1:8" x14ac:dyDescent="0.2">
      <c r="A45" s="1"/>
      <c r="B45" s="1"/>
      <c r="C45" s="1"/>
      <c r="D45" s="1"/>
      <c r="E45" s="1"/>
      <c r="F45" s="1"/>
      <c r="G45" s="1"/>
      <c r="H45" s="1"/>
    </row>
    <row r="46" spans="1:8" x14ac:dyDescent="0.2">
      <c r="A46" s="1"/>
      <c r="B46" s="1"/>
      <c r="C46" s="1"/>
      <c r="D46" s="1"/>
      <c r="E46" s="1"/>
      <c r="F46" s="1"/>
      <c r="G46" s="1"/>
      <c r="H46" s="1"/>
    </row>
    <row r="47" spans="1:8" x14ac:dyDescent="0.2">
      <c r="A47" s="1"/>
      <c r="B47" s="1"/>
      <c r="C47" s="1"/>
      <c r="D47" s="1"/>
      <c r="E47" s="1"/>
      <c r="F47" s="1"/>
      <c r="G47" s="1"/>
      <c r="H47" s="1"/>
    </row>
    <row r="48" spans="1:8" x14ac:dyDescent="0.2">
      <c r="A48" s="1"/>
      <c r="B48" s="1"/>
      <c r="C48" s="1"/>
      <c r="D48" s="1"/>
      <c r="E48" s="1"/>
      <c r="F48" s="1"/>
      <c r="G48" s="1"/>
      <c r="H48" s="1"/>
    </row>
    <row r="49" spans="1:8" x14ac:dyDescent="0.2">
      <c r="A49" s="1"/>
      <c r="B49" s="1"/>
      <c r="C49" s="1"/>
      <c r="D49" s="1"/>
      <c r="E49" s="1"/>
      <c r="F49" s="1"/>
      <c r="G49" s="1"/>
      <c r="H49" s="1"/>
    </row>
    <row r="50" spans="1:8" x14ac:dyDescent="0.2">
      <c r="A50" s="1"/>
      <c r="B50" s="1"/>
      <c r="C50" s="1"/>
      <c r="D50" s="1"/>
      <c r="E50" s="1"/>
      <c r="F50" s="1"/>
      <c r="G50" s="1"/>
      <c r="H50" s="1"/>
    </row>
    <row r="51" spans="1:8" x14ac:dyDescent="0.2">
      <c r="A51" s="1"/>
      <c r="B51" s="1"/>
      <c r="C51" s="1"/>
      <c r="D51" s="1"/>
      <c r="E51" s="1"/>
      <c r="F51" s="1"/>
      <c r="G51" s="1"/>
      <c r="H51" s="1"/>
    </row>
    <row r="52" spans="1:8" x14ac:dyDescent="0.2">
      <c r="A52" s="1"/>
      <c r="B52" s="1"/>
      <c r="C52" s="1"/>
      <c r="D52" s="1"/>
      <c r="E52" s="1"/>
      <c r="F52" s="1"/>
      <c r="G52" s="1"/>
      <c r="H52" s="1"/>
    </row>
    <row r="53" spans="1:8" x14ac:dyDescent="0.2">
      <c r="A53" s="1"/>
      <c r="B53" s="1"/>
      <c r="C53" s="1"/>
      <c r="D53" s="1"/>
      <c r="E53" s="1"/>
      <c r="F53" s="1"/>
      <c r="G53" s="1"/>
      <c r="H53" s="1"/>
    </row>
    <row r="54" spans="1:8" x14ac:dyDescent="0.2">
      <c r="A54" s="1"/>
      <c r="B54" s="1"/>
      <c r="C54" s="1"/>
      <c r="D54" s="1"/>
      <c r="E54" s="1"/>
      <c r="F54" s="1"/>
      <c r="G54" s="1"/>
      <c r="H54" s="1"/>
    </row>
    <row r="55" spans="1:8" x14ac:dyDescent="0.2">
      <c r="A55" s="1"/>
      <c r="B55" s="1"/>
      <c r="C55" s="1"/>
      <c r="D55" s="1"/>
      <c r="E55" s="1"/>
      <c r="F55" s="1"/>
      <c r="G55" s="1"/>
      <c r="H55" s="1"/>
    </row>
    <row r="56" spans="1:8" x14ac:dyDescent="0.2">
      <c r="A56" s="1"/>
      <c r="B56" s="1"/>
      <c r="C56" s="1"/>
      <c r="D56" s="1"/>
      <c r="E56" s="1"/>
      <c r="F56" s="1"/>
      <c r="G56" s="1"/>
      <c r="H56" s="1"/>
    </row>
    <row r="57" spans="1:8" x14ac:dyDescent="0.2">
      <c r="A57" s="1"/>
      <c r="B57" s="1"/>
      <c r="C57" s="1"/>
      <c r="D57" s="1"/>
      <c r="E57" s="1"/>
      <c r="F57" s="1"/>
      <c r="G57" s="1"/>
      <c r="H57" s="1"/>
    </row>
    <row r="58" spans="1:8" x14ac:dyDescent="0.2">
      <c r="A58" s="1"/>
      <c r="B58" s="1"/>
      <c r="C58" s="1"/>
      <c r="D58" s="1"/>
      <c r="E58" s="1"/>
      <c r="F58" s="1"/>
      <c r="G58" s="1"/>
      <c r="H58" s="1"/>
    </row>
    <row r="59" spans="1:8" x14ac:dyDescent="0.2">
      <c r="A59" s="1"/>
      <c r="B59" s="1"/>
      <c r="C59" s="1"/>
      <c r="D59" s="1"/>
      <c r="E59" s="1"/>
      <c r="F59" s="1"/>
      <c r="G59" s="1"/>
      <c r="H59" s="1"/>
    </row>
    <row r="60" spans="1:8" x14ac:dyDescent="0.2">
      <c r="A60" s="1"/>
      <c r="B60" s="1"/>
      <c r="C60" s="1"/>
      <c r="D60" s="1"/>
      <c r="E60" s="1"/>
      <c r="F60" s="1"/>
      <c r="G60" s="1"/>
      <c r="H60" s="1"/>
    </row>
    <row r="61" spans="1:8" x14ac:dyDescent="0.2">
      <c r="A61" s="1"/>
      <c r="B61" s="1"/>
      <c r="C61" s="1"/>
      <c r="D61" s="1"/>
      <c r="E61" s="1"/>
      <c r="F61" s="1"/>
      <c r="G61" s="1"/>
      <c r="H61" s="1"/>
    </row>
    <row r="62" spans="1:8" x14ac:dyDescent="0.2">
      <c r="A62" s="1"/>
      <c r="B62" s="1"/>
      <c r="C62" s="1"/>
      <c r="D62" s="1"/>
      <c r="E62" s="1"/>
      <c r="F62" s="1"/>
      <c r="G62" s="1"/>
      <c r="H62" s="1"/>
    </row>
    <row r="63" spans="1:8" x14ac:dyDescent="0.2">
      <c r="A63" s="1"/>
      <c r="B63" s="1"/>
      <c r="C63" s="1"/>
      <c r="D63" s="1"/>
      <c r="E63" s="1"/>
      <c r="F63" s="1"/>
      <c r="G63" s="1"/>
      <c r="H63" s="1"/>
    </row>
    <row r="64" spans="1:8" x14ac:dyDescent="0.2">
      <c r="A64" s="1"/>
      <c r="B64" s="1"/>
      <c r="C64" s="1"/>
      <c r="D64" s="1"/>
      <c r="E64" s="1"/>
      <c r="F64" s="1"/>
      <c r="G64" s="1"/>
      <c r="H64" s="1"/>
    </row>
    <row r="65" spans="1:8" x14ac:dyDescent="0.2">
      <c r="A65" s="1"/>
      <c r="B65" s="1"/>
      <c r="C65" s="1"/>
      <c r="D65" s="1"/>
      <c r="E65" s="1"/>
      <c r="F65" s="1"/>
      <c r="G65" s="1"/>
      <c r="H65" s="1"/>
    </row>
    <row r="66" spans="1:8" x14ac:dyDescent="0.2">
      <c r="A66" s="1"/>
      <c r="B66" s="1"/>
      <c r="C66" s="1"/>
      <c r="D66" s="1"/>
      <c r="E66" s="1"/>
      <c r="F66" s="1"/>
      <c r="G66" s="1"/>
      <c r="H66" s="1"/>
    </row>
    <row r="67" spans="1:8" x14ac:dyDescent="0.2">
      <c r="A67" s="1"/>
      <c r="B67" s="1"/>
      <c r="C67" s="1"/>
      <c r="D67" s="1"/>
      <c r="E67" s="1"/>
      <c r="F67" s="1"/>
      <c r="G67" s="1"/>
      <c r="H67" s="1"/>
    </row>
    <row r="68" spans="1:8" x14ac:dyDescent="0.2">
      <c r="A68" s="1"/>
      <c r="B68" s="1"/>
      <c r="C68" s="1"/>
      <c r="D68" s="1"/>
      <c r="E68" s="1"/>
      <c r="F68" s="1"/>
      <c r="G68" s="1"/>
      <c r="H68" s="1"/>
    </row>
    <row r="69" spans="1:8" x14ac:dyDescent="0.2">
      <c r="A69" s="1"/>
      <c r="B69" s="1"/>
      <c r="C69" s="1"/>
      <c r="D69" s="1"/>
      <c r="E69" s="1"/>
      <c r="F69" s="1"/>
      <c r="G69" s="1"/>
      <c r="H69" s="1"/>
    </row>
    <row r="70" spans="1:8" x14ac:dyDescent="0.2">
      <c r="A70" s="1"/>
      <c r="B70" s="1"/>
      <c r="C70" s="1"/>
      <c r="D70" s="1"/>
      <c r="E70" s="1"/>
      <c r="F70" s="1"/>
      <c r="G70" s="1"/>
      <c r="H70" s="1"/>
    </row>
    <row r="71" spans="1:8" x14ac:dyDescent="0.2">
      <c r="A71" s="1"/>
      <c r="B71" s="1"/>
      <c r="C71" s="1"/>
      <c r="D71" s="1"/>
      <c r="E71" s="1"/>
      <c r="F71" s="1"/>
      <c r="G71" s="1"/>
      <c r="H71" s="1"/>
    </row>
    <row r="72" spans="1:8" x14ac:dyDescent="0.2">
      <c r="A72" s="1"/>
      <c r="B72" s="1"/>
      <c r="C72" s="1"/>
      <c r="D72" s="1"/>
      <c r="E72" s="1"/>
      <c r="F72" s="1"/>
      <c r="G72" s="1"/>
      <c r="H72" s="1"/>
    </row>
    <row r="73" spans="1:8" x14ac:dyDescent="0.2">
      <c r="A73" s="1"/>
      <c r="B73" s="1"/>
      <c r="C73" s="1"/>
      <c r="D73" s="1"/>
      <c r="E73" s="1"/>
      <c r="F73" s="1"/>
      <c r="G73" s="1"/>
      <c r="H73" s="1"/>
    </row>
    <row r="74" spans="1:8" x14ac:dyDescent="0.2">
      <c r="A74" s="1"/>
      <c r="B74" s="1"/>
      <c r="C74" s="1"/>
      <c r="D74" s="1"/>
      <c r="E74" s="1"/>
      <c r="F74" s="1"/>
      <c r="G74" s="1"/>
      <c r="H74" s="1"/>
    </row>
    <row r="75" spans="1:8" x14ac:dyDescent="0.2">
      <c r="A75" s="1"/>
      <c r="B75" s="1"/>
      <c r="C75" s="1"/>
      <c r="D75" s="1"/>
      <c r="E75" s="1"/>
      <c r="F75" s="1"/>
      <c r="G75" s="1"/>
      <c r="H75" s="1"/>
    </row>
    <row r="76" spans="1:8" x14ac:dyDescent="0.2">
      <c r="A76" s="1"/>
      <c r="B76" s="1"/>
      <c r="C76" s="1"/>
      <c r="D76" s="1"/>
      <c r="E76" s="1"/>
      <c r="F76" s="1"/>
      <c r="G76" s="1"/>
      <c r="H76" s="1"/>
    </row>
    <row r="77" spans="1:8" x14ac:dyDescent="0.2">
      <c r="A77" s="1"/>
      <c r="B77" s="1"/>
      <c r="C77" s="1"/>
      <c r="D77" s="1"/>
      <c r="E77" s="1"/>
      <c r="F77" s="1"/>
      <c r="G77" s="1"/>
      <c r="H77" s="1"/>
    </row>
    <row r="78" spans="1:8" x14ac:dyDescent="0.2">
      <c r="A78" s="1"/>
      <c r="B78" s="1"/>
      <c r="C78" s="1"/>
      <c r="D78" s="1"/>
      <c r="E78" s="1"/>
      <c r="F78" s="1"/>
      <c r="G78" s="1"/>
      <c r="H78" s="1"/>
    </row>
    <row r="79" spans="1:8" x14ac:dyDescent="0.2">
      <c r="A79" s="1"/>
      <c r="B79" s="1"/>
      <c r="C79" s="1"/>
      <c r="D79" s="1"/>
      <c r="E79" s="1"/>
      <c r="F79" s="1"/>
      <c r="G79" s="1"/>
      <c r="H79" s="1"/>
    </row>
    <row r="80" spans="1:8" x14ac:dyDescent="0.2">
      <c r="A80" s="1"/>
      <c r="B80" s="1"/>
      <c r="C80" s="1"/>
      <c r="D80" s="1"/>
      <c r="E80" s="1"/>
      <c r="F80" s="1"/>
      <c r="G80" s="1"/>
      <c r="H80" s="1"/>
    </row>
    <row r="81" spans="1:8" x14ac:dyDescent="0.2">
      <c r="A81" s="1"/>
      <c r="B81" s="1"/>
      <c r="C81" s="1"/>
      <c r="D81" s="1"/>
      <c r="E81" s="1"/>
      <c r="F81" s="1"/>
      <c r="G81" s="1"/>
      <c r="H81" s="1"/>
    </row>
    <row r="82" spans="1:8" x14ac:dyDescent="0.2">
      <c r="A82" s="1"/>
      <c r="B82" s="1"/>
      <c r="C82" s="1"/>
      <c r="D82" s="1"/>
      <c r="E82" s="1"/>
      <c r="F82" s="1"/>
      <c r="G82" s="1"/>
      <c r="H82" s="1"/>
    </row>
    <row r="83" spans="1:8" x14ac:dyDescent="0.2">
      <c r="A83" s="1"/>
      <c r="B83" s="1"/>
      <c r="C83" s="1"/>
      <c r="D83" s="1"/>
      <c r="E83" s="1"/>
      <c r="F83" s="1"/>
      <c r="G83" s="1"/>
      <c r="H83" s="1"/>
    </row>
    <row r="84" spans="1:8" x14ac:dyDescent="0.2">
      <c r="A84" s="1"/>
      <c r="B84" s="1"/>
      <c r="C84" s="1"/>
      <c r="D84" s="1"/>
      <c r="E84" s="1"/>
      <c r="F84" s="1"/>
      <c r="G84" s="1"/>
      <c r="H84" s="1"/>
    </row>
    <row r="85" spans="1:8" x14ac:dyDescent="0.2">
      <c r="A85" s="1"/>
      <c r="B85" s="1"/>
      <c r="C85" s="1"/>
      <c r="D85" s="1"/>
      <c r="E85" s="1"/>
      <c r="F85" s="1"/>
      <c r="G85" s="1"/>
      <c r="H85" s="1"/>
    </row>
    <row r="86" spans="1:8" x14ac:dyDescent="0.2">
      <c r="A86" s="1"/>
      <c r="B86" s="1"/>
      <c r="C86" s="1"/>
      <c r="D86" s="1"/>
      <c r="E86" s="1"/>
      <c r="F86" s="1"/>
      <c r="G86" s="1"/>
      <c r="H86" s="1"/>
    </row>
    <row r="87" spans="1:8" x14ac:dyDescent="0.2">
      <c r="A87" s="1"/>
      <c r="B87" s="1"/>
      <c r="C87" s="1"/>
      <c r="D87" s="1"/>
      <c r="E87" s="1"/>
      <c r="F87" s="1"/>
      <c r="G87" s="1"/>
      <c r="H87" s="1"/>
    </row>
    <row r="88" spans="1:8" x14ac:dyDescent="0.2">
      <c r="A88" s="1"/>
      <c r="B88" s="1"/>
      <c r="C88" s="1"/>
      <c r="D88" s="1"/>
      <c r="E88" s="1"/>
      <c r="F88" s="1"/>
      <c r="G88" s="1"/>
      <c r="H88" s="1"/>
    </row>
    <row r="89" spans="1:8" x14ac:dyDescent="0.2">
      <c r="A89" s="1"/>
      <c r="B89" s="1"/>
      <c r="C89" s="1"/>
      <c r="D89" s="1"/>
      <c r="E89" s="1"/>
      <c r="F89" s="1"/>
      <c r="G89" s="1"/>
      <c r="H89" s="1"/>
    </row>
    <row r="90" spans="1:8" x14ac:dyDescent="0.2">
      <c r="A90" s="1"/>
      <c r="B90" s="1"/>
      <c r="C90" s="1"/>
      <c r="D90" s="1"/>
      <c r="E90" s="1"/>
      <c r="F90" s="1"/>
      <c r="G90" s="1"/>
      <c r="H90" s="1"/>
    </row>
    <row r="91" spans="1:8" x14ac:dyDescent="0.2">
      <c r="A91" s="1"/>
      <c r="B91" s="1"/>
      <c r="C91" s="1"/>
      <c r="D91" s="1"/>
      <c r="E91" s="1"/>
      <c r="F91" s="1"/>
      <c r="G91" s="1"/>
      <c r="H91" s="1"/>
    </row>
    <row r="92" spans="1:8" x14ac:dyDescent="0.2">
      <c r="A92" s="1"/>
      <c r="B92" s="1"/>
      <c r="C92" s="1"/>
      <c r="D92" s="1"/>
      <c r="E92" s="1"/>
      <c r="F92" s="1"/>
      <c r="G92" s="1"/>
      <c r="H92" s="1"/>
    </row>
    <row r="93" spans="1:8" x14ac:dyDescent="0.2">
      <c r="A93" s="1"/>
      <c r="B93" s="1"/>
      <c r="C93" s="1"/>
      <c r="D93" s="1"/>
      <c r="E93" s="1"/>
      <c r="F93" s="1"/>
      <c r="G93" s="1"/>
      <c r="H93" s="1"/>
    </row>
    <row r="94" spans="1:8" x14ac:dyDescent="0.2">
      <c r="A94" s="1"/>
      <c r="B94" s="1"/>
      <c r="C94" s="1"/>
      <c r="D94" s="1"/>
      <c r="E94" s="1"/>
      <c r="F94" s="1"/>
      <c r="G94" s="1"/>
      <c r="H94" s="1"/>
    </row>
    <row r="95" spans="1:8" x14ac:dyDescent="0.2">
      <c r="A95" s="11" t="s">
        <v>1</v>
      </c>
      <c r="B95" s="12"/>
      <c r="C95" s="12"/>
      <c r="D95" s="13"/>
      <c r="E95" s="8"/>
      <c r="F95" s="8"/>
      <c r="G95" s="8"/>
      <c r="H95" s="8"/>
    </row>
    <row r="96" spans="1:8" x14ac:dyDescent="0.2">
      <c r="A96" s="14" t="s">
        <v>15</v>
      </c>
      <c r="B96" s="15"/>
      <c r="C96" s="15"/>
      <c r="D96" s="16"/>
      <c r="E96" s="8"/>
      <c r="F96" s="8"/>
      <c r="G96" s="8"/>
      <c r="H96" s="8"/>
    </row>
    <row r="97" spans="1:8" x14ac:dyDescent="0.2">
      <c r="A97" s="17" t="s">
        <v>62</v>
      </c>
      <c r="B97" s="18"/>
      <c r="C97" s="18"/>
      <c r="D97" s="19"/>
      <c r="E97" s="8"/>
      <c r="F97" s="8"/>
      <c r="G97" s="8"/>
      <c r="H97" s="8"/>
    </row>
    <row r="98" spans="1:8" x14ac:dyDescent="0.2">
      <c r="A98" s="20"/>
      <c r="B98" s="21"/>
      <c r="C98" s="22"/>
      <c r="D98" s="23"/>
      <c r="E98" s="8"/>
      <c r="F98" s="8" t="s">
        <v>34</v>
      </c>
      <c r="G98" s="8"/>
      <c r="H98" s="8"/>
    </row>
    <row r="99" spans="1:8" ht="15.75" x14ac:dyDescent="0.25">
      <c r="A99" s="24" t="s">
        <v>2</v>
      </c>
      <c r="B99" s="25" t="str">
        <f>[1]Charters!B102</f>
        <v>Utah Career Path High</v>
      </c>
      <c r="C99" s="26"/>
      <c r="D99" s="27"/>
      <c r="E99" s="8"/>
      <c r="F99" s="8"/>
      <c r="G99" s="8"/>
      <c r="H99" s="8"/>
    </row>
    <row r="100" spans="1:8" x14ac:dyDescent="0.2">
      <c r="A100" s="24"/>
      <c r="B100" s="28"/>
      <c r="C100" s="26"/>
      <c r="D100" s="27"/>
      <c r="E100" s="8"/>
      <c r="F100" s="8"/>
      <c r="G100" s="8"/>
      <c r="H100" s="8"/>
    </row>
    <row r="101" spans="1:8" x14ac:dyDescent="0.2">
      <c r="A101" s="29" t="s">
        <v>0</v>
      </c>
      <c r="B101" s="30">
        <f>[1]Charters!$E$6</f>
        <v>3184</v>
      </c>
      <c r="C101" s="26"/>
      <c r="D101" s="31"/>
      <c r="E101" s="8"/>
      <c r="F101" s="8"/>
      <c r="G101" s="8"/>
      <c r="H101" s="8"/>
    </row>
    <row r="102" spans="1:8" x14ac:dyDescent="0.2">
      <c r="A102" s="32"/>
      <c r="B102" s="6"/>
      <c r="C102" s="33"/>
      <c r="D102" s="34" t="s">
        <v>3</v>
      </c>
      <c r="E102" s="8"/>
      <c r="F102" s="8"/>
      <c r="G102" s="8"/>
      <c r="H102" s="8"/>
    </row>
    <row r="103" spans="1:8" x14ac:dyDescent="0.2">
      <c r="A103" s="29" t="s">
        <v>19</v>
      </c>
      <c r="B103" s="35" t="str">
        <f>[1]Charters!A102</f>
        <v>9I</v>
      </c>
      <c r="C103" s="36" t="s">
        <v>4</v>
      </c>
      <c r="D103" s="37" t="s">
        <v>5</v>
      </c>
      <c r="E103" s="8"/>
      <c r="F103" s="8"/>
      <c r="G103" s="8"/>
      <c r="H103" s="8"/>
    </row>
    <row r="104" spans="1:8" x14ac:dyDescent="0.2">
      <c r="A104" s="38" t="s">
        <v>6</v>
      </c>
      <c r="B104" s="39"/>
      <c r="C104" s="40"/>
      <c r="D104" s="41"/>
      <c r="E104" s="8"/>
      <c r="F104" s="8"/>
      <c r="G104" s="8"/>
      <c r="H104" s="8"/>
    </row>
    <row r="105" spans="1:8" x14ac:dyDescent="0.2">
      <c r="A105" s="38" t="s">
        <v>7</v>
      </c>
      <c r="B105" s="39"/>
      <c r="C105" s="40"/>
      <c r="D105" s="41"/>
      <c r="E105" s="8"/>
      <c r="F105" s="42" t="s">
        <v>23</v>
      </c>
      <c r="G105" s="8"/>
      <c r="H105" s="42" t="s">
        <v>26</v>
      </c>
    </row>
    <row r="106" spans="1:8" x14ac:dyDescent="0.2">
      <c r="A106" s="20" t="s">
        <v>8</v>
      </c>
      <c r="B106" s="43"/>
      <c r="C106" s="44">
        <f>[1]Charters!C562</f>
        <v>200.21600000000001</v>
      </c>
      <c r="D106" s="45">
        <f>[1]Charters!E562</f>
        <v>637488.23</v>
      </c>
      <c r="E106" s="8"/>
      <c r="F106" s="42">
        <f>[1]Charters!E717</f>
        <v>665583.51</v>
      </c>
      <c r="G106" s="8"/>
      <c r="H106" s="42">
        <f>[2]Charters!E256</f>
        <v>824751.96</v>
      </c>
    </row>
    <row r="107" spans="1:8" x14ac:dyDescent="0.2">
      <c r="A107" s="20" t="s">
        <v>14</v>
      </c>
      <c r="B107" s="43"/>
      <c r="C107" s="44">
        <f>[1]Charters!F562</f>
        <v>8.8239999999999998</v>
      </c>
      <c r="D107" s="45">
        <f>[1]Charters!H562</f>
        <v>28095.279999999999</v>
      </c>
      <c r="E107" s="8"/>
      <c r="F107" s="42">
        <f>SUM(D106:D108)</f>
        <v>665583.51</v>
      </c>
      <c r="G107" s="8"/>
      <c r="H107" s="42">
        <f>D119</f>
        <v>824751.96</v>
      </c>
    </row>
    <row r="108" spans="1:8" x14ac:dyDescent="0.2">
      <c r="A108" s="20" t="s">
        <v>32</v>
      </c>
      <c r="B108" s="43"/>
      <c r="C108" s="44">
        <f>[1]Charters!C255</f>
        <v>0</v>
      </c>
      <c r="D108" s="45">
        <f>[1]Charters!E255</f>
        <v>0</v>
      </c>
      <c r="E108" s="8"/>
      <c r="F108" s="42">
        <f>+F106-F107</f>
        <v>0</v>
      </c>
      <c r="G108" s="8"/>
      <c r="H108" s="42">
        <f>+H106-H107</f>
        <v>0</v>
      </c>
    </row>
    <row r="109" spans="1:8" x14ac:dyDescent="0.2">
      <c r="A109" s="38" t="s">
        <v>9</v>
      </c>
      <c r="B109" s="39"/>
      <c r="C109" s="46"/>
      <c r="D109" s="47"/>
      <c r="E109" s="8"/>
      <c r="F109" s="8"/>
      <c r="G109" s="8"/>
      <c r="H109" s="8"/>
    </row>
    <row r="110" spans="1:8" x14ac:dyDescent="0.2">
      <c r="A110" s="20" t="s">
        <v>10</v>
      </c>
      <c r="B110" s="43"/>
      <c r="C110" s="40">
        <f>[3]Charters!C101</f>
        <v>45.527000000000001</v>
      </c>
      <c r="D110" s="41">
        <f>[3]Charters!E101</f>
        <v>144959.48000000001</v>
      </c>
      <c r="E110" s="8"/>
      <c r="F110" s="42" t="s">
        <v>24</v>
      </c>
      <c r="G110" s="8"/>
      <c r="H110" s="8"/>
    </row>
    <row r="111" spans="1:8" x14ac:dyDescent="0.2">
      <c r="A111" s="48" t="s">
        <v>11</v>
      </c>
      <c r="B111" s="43"/>
      <c r="C111" s="40">
        <f>[3]Charters!F101</f>
        <v>3.07</v>
      </c>
      <c r="D111" s="49">
        <f>[3]Charters!H101</f>
        <v>9774.8799999999992</v>
      </c>
      <c r="E111" s="8"/>
      <c r="F111" s="42">
        <f>[3]Charters!N413</f>
        <v>159168.45000000001</v>
      </c>
      <c r="G111" s="8"/>
      <c r="H111" s="8"/>
    </row>
    <row r="112" spans="1:8" x14ac:dyDescent="0.2">
      <c r="A112" s="48" t="s">
        <v>12</v>
      </c>
      <c r="B112" s="43"/>
      <c r="C112" s="40">
        <f>[3]Charters!C256</f>
        <v>0</v>
      </c>
      <c r="D112" s="41">
        <f>[3]Charters!E256</f>
        <v>0</v>
      </c>
      <c r="E112" s="8"/>
      <c r="F112" s="42">
        <f>SUM(D110:D116)</f>
        <v>159168.45000000001</v>
      </c>
      <c r="G112" s="8"/>
      <c r="H112" s="8"/>
    </row>
    <row r="113" spans="1:8" x14ac:dyDescent="0.2">
      <c r="A113" s="20" t="s">
        <v>13</v>
      </c>
      <c r="B113" s="43"/>
      <c r="C113" s="40">
        <f>[3]Charters!F256</f>
        <v>0.70899999999999996</v>
      </c>
      <c r="D113" s="41">
        <f>[3]Charters!H256</f>
        <v>2259</v>
      </c>
      <c r="E113" s="8"/>
      <c r="F113" s="42">
        <f>+F111-F112</f>
        <v>0</v>
      </c>
      <c r="G113" s="8"/>
      <c r="H113" s="8"/>
    </row>
    <row r="114" spans="1:8" x14ac:dyDescent="0.2">
      <c r="A114" s="48" t="s">
        <v>54</v>
      </c>
      <c r="B114" s="43"/>
      <c r="C114" s="40">
        <f>[3]Charters!C413</f>
        <v>0.68300000000000005</v>
      </c>
      <c r="D114" s="41">
        <f>[3]Charters!E413</f>
        <v>2175.09</v>
      </c>
      <c r="E114" s="8"/>
      <c r="F114" s="8"/>
      <c r="G114" s="8"/>
      <c r="H114" s="8"/>
    </row>
    <row r="115" spans="1:8" x14ac:dyDescent="0.2">
      <c r="A115" s="48" t="s">
        <v>55</v>
      </c>
      <c r="B115" s="43"/>
      <c r="C115" s="40">
        <f>[3]Charters!F413</f>
        <v>0</v>
      </c>
      <c r="D115" s="41">
        <f>[3]Charters!H413</f>
        <v>0</v>
      </c>
      <c r="E115" s="8"/>
      <c r="F115" s="42" t="s">
        <v>25</v>
      </c>
      <c r="G115" s="8"/>
      <c r="H115" s="8"/>
    </row>
    <row r="116" spans="1:8" x14ac:dyDescent="0.2">
      <c r="A116" s="48" t="s">
        <v>56</v>
      </c>
      <c r="B116" s="43"/>
      <c r="C116" s="40">
        <f>[3]Charters!I413</f>
        <v>0</v>
      </c>
      <c r="D116" s="41">
        <f>[3]Charters!K413</f>
        <v>0</v>
      </c>
      <c r="E116" s="8"/>
      <c r="F116" s="42">
        <f>[2]Charters!H102</f>
        <v>159168.45000000001</v>
      </c>
      <c r="G116" s="8"/>
      <c r="H116" s="8"/>
    </row>
    <row r="117" spans="1:8" x14ac:dyDescent="0.2">
      <c r="A117" s="20" t="s">
        <v>49</v>
      </c>
      <c r="B117" s="43"/>
      <c r="C117" s="40">
        <f>[3]Charters!C569</f>
        <v>0</v>
      </c>
      <c r="D117" s="41">
        <f>[3]Charters!E569</f>
        <v>0</v>
      </c>
      <c r="E117" s="8"/>
      <c r="F117" s="42">
        <f>SUM(D110:D118)</f>
        <v>159168.45000000001</v>
      </c>
      <c r="G117" s="8"/>
      <c r="H117" s="8"/>
    </row>
    <row r="118" spans="1:8" x14ac:dyDescent="0.2">
      <c r="A118" s="20" t="s">
        <v>50</v>
      </c>
      <c r="B118" s="43"/>
      <c r="C118" s="40">
        <f>[2]Charters!C102</f>
        <v>0</v>
      </c>
      <c r="D118" s="41">
        <f>[2]Charters!E102</f>
        <v>0</v>
      </c>
      <c r="E118" s="8"/>
      <c r="F118" s="42">
        <f>+F116-F117</f>
        <v>0</v>
      </c>
      <c r="G118" s="8"/>
      <c r="H118" s="8"/>
    </row>
    <row r="119" spans="1:8" x14ac:dyDescent="0.2">
      <c r="A119" s="50"/>
      <c r="B119" s="51" t="s">
        <v>16</v>
      </c>
      <c r="C119" s="52">
        <f>SUM(C106:C118)</f>
        <v>259.029</v>
      </c>
      <c r="D119" s="53">
        <f>SUM(D106:D118)</f>
        <v>824751.96</v>
      </c>
      <c r="E119" s="8"/>
      <c r="F119" s="8"/>
      <c r="G119" s="8"/>
      <c r="H119" s="8"/>
    </row>
    <row r="120" spans="1:8" x14ac:dyDescent="0.2">
      <c r="A120" s="54" t="s">
        <v>17</v>
      </c>
      <c r="B120" s="39"/>
      <c r="C120" s="55"/>
      <c r="D120" s="47"/>
      <c r="E120" s="8"/>
      <c r="F120" s="8"/>
      <c r="G120" s="8"/>
      <c r="H120" s="42" t="s">
        <v>29</v>
      </c>
    </row>
    <row r="121" spans="1:8" x14ac:dyDescent="0.2">
      <c r="A121" s="20" t="s">
        <v>33</v>
      </c>
      <c r="B121" s="43"/>
      <c r="C121" s="56"/>
      <c r="D121" s="57">
        <f>[4]Charters!C102</f>
        <v>2390.52</v>
      </c>
      <c r="E121" s="8"/>
      <c r="F121" s="8"/>
      <c r="G121" s="8"/>
      <c r="H121" s="42">
        <f>[4]Charters!F1042</f>
        <v>1267703.4099999999</v>
      </c>
    </row>
    <row r="122" spans="1:8" x14ac:dyDescent="0.2">
      <c r="A122" s="58" t="s">
        <v>35</v>
      </c>
      <c r="B122" s="43"/>
      <c r="C122" s="56"/>
      <c r="D122" s="41">
        <f>+[4]Charters!F423</f>
        <v>963.64</v>
      </c>
      <c r="E122" s="8"/>
      <c r="F122" s="8"/>
      <c r="G122" s="8"/>
      <c r="H122" s="42">
        <f>SUM(D119:D138)</f>
        <v>1267703.4099999999</v>
      </c>
    </row>
    <row r="123" spans="1:8" x14ac:dyDescent="0.2">
      <c r="A123" s="59" t="s">
        <v>36</v>
      </c>
      <c r="B123" s="43"/>
      <c r="C123" s="56"/>
      <c r="D123" s="41">
        <f>[4]Charters!E262</f>
        <v>11576</v>
      </c>
      <c r="E123" s="8"/>
      <c r="F123" s="8"/>
      <c r="G123" s="8"/>
      <c r="H123" s="42">
        <f>+H121-H122</f>
        <v>0</v>
      </c>
    </row>
    <row r="124" spans="1:8" x14ac:dyDescent="0.2">
      <c r="A124" s="59" t="s">
        <v>52</v>
      </c>
      <c r="B124" s="43"/>
      <c r="C124" s="56"/>
      <c r="D124" s="41">
        <f>[4]Charters!G423</f>
        <v>0</v>
      </c>
      <c r="E124" s="8"/>
      <c r="F124" s="42" t="s">
        <v>27</v>
      </c>
      <c r="G124" s="8"/>
      <c r="H124" s="42"/>
    </row>
    <row r="125" spans="1:8" x14ac:dyDescent="0.2">
      <c r="A125" s="20" t="s">
        <v>37</v>
      </c>
      <c r="B125" s="43"/>
      <c r="C125" s="56"/>
      <c r="D125" s="41">
        <f>[4]Charters!E579</f>
        <v>20996</v>
      </c>
      <c r="E125" s="8"/>
      <c r="F125" s="42">
        <f>[4]Charters!E262</f>
        <v>11576</v>
      </c>
      <c r="G125" s="8"/>
      <c r="H125" s="8"/>
    </row>
    <row r="126" spans="1:8" x14ac:dyDescent="0.2">
      <c r="A126" s="20" t="s">
        <v>38</v>
      </c>
      <c r="B126" s="43"/>
      <c r="C126" s="56"/>
      <c r="D126" s="41">
        <f>[4]Charters!F579</f>
        <v>0</v>
      </c>
      <c r="E126" s="8"/>
      <c r="F126" s="42">
        <f>SUM(D123:D123)</f>
        <v>11576</v>
      </c>
      <c r="G126" s="8"/>
      <c r="H126" s="8"/>
    </row>
    <row r="127" spans="1:8" x14ac:dyDescent="0.2">
      <c r="A127" s="59" t="s">
        <v>40</v>
      </c>
      <c r="B127" s="43"/>
      <c r="C127" s="56"/>
      <c r="D127" s="41">
        <f>[4]Charters!G579</f>
        <v>0</v>
      </c>
      <c r="E127" s="8"/>
      <c r="F127" s="42">
        <f>+F125-F126</f>
        <v>0</v>
      </c>
      <c r="G127" s="8"/>
      <c r="H127" s="8"/>
    </row>
    <row r="128" spans="1:8" x14ac:dyDescent="0.2">
      <c r="A128" s="20" t="s">
        <v>41</v>
      </c>
      <c r="B128" s="43"/>
      <c r="C128" s="56"/>
      <c r="D128" s="41">
        <f>[4]Charters!C733</f>
        <v>310155</v>
      </c>
      <c r="E128" s="8"/>
      <c r="F128" s="42" t="s">
        <v>28</v>
      </c>
      <c r="G128" s="8"/>
      <c r="H128" s="8"/>
    </row>
    <row r="129" spans="1:8" x14ac:dyDescent="0.2">
      <c r="A129" s="20" t="s">
        <v>42</v>
      </c>
      <c r="B129" s="43"/>
      <c r="C129" s="56"/>
      <c r="D129" s="41">
        <f>[4]Charters!D733</f>
        <v>36503.040000000001</v>
      </c>
      <c r="E129" s="8"/>
      <c r="F129" s="42">
        <f>[4]Charters!D579</f>
        <v>12539.64</v>
      </c>
      <c r="G129" s="8"/>
      <c r="H129" s="8"/>
    </row>
    <row r="130" spans="1:8" x14ac:dyDescent="0.2">
      <c r="A130" s="20" t="s">
        <v>44</v>
      </c>
      <c r="B130" s="43"/>
      <c r="C130" s="56"/>
      <c r="D130" s="41">
        <f>[4]Charters!E733</f>
        <v>15500</v>
      </c>
      <c r="E130" s="8"/>
      <c r="F130" s="42">
        <f>SUM(D122:D124)</f>
        <v>12539.64</v>
      </c>
      <c r="G130" s="8"/>
      <c r="H130" s="8"/>
    </row>
    <row r="131" spans="1:8" x14ac:dyDescent="0.2">
      <c r="A131" s="59" t="s">
        <v>43</v>
      </c>
      <c r="B131" s="43"/>
      <c r="C131" s="56"/>
      <c r="D131" s="41">
        <f>[4]Charters!F733</f>
        <v>0</v>
      </c>
      <c r="E131" s="8"/>
      <c r="F131" s="42">
        <f>+F129-F130</f>
        <v>0</v>
      </c>
      <c r="G131" s="8"/>
      <c r="H131" s="8"/>
    </row>
    <row r="132" spans="1:8" x14ac:dyDescent="0.2">
      <c r="A132" s="59" t="s">
        <v>45</v>
      </c>
      <c r="B132" s="43"/>
      <c r="C132" s="56"/>
      <c r="D132" s="41">
        <f>[4]Charters!C579</f>
        <v>0</v>
      </c>
      <c r="E132" s="8"/>
      <c r="F132" s="8"/>
      <c r="G132" s="8"/>
      <c r="H132" s="8"/>
    </row>
    <row r="133" spans="1:8" x14ac:dyDescent="0.2">
      <c r="A133" s="59" t="s">
        <v>46</v>
      </c>
      <c r="B133" s="43"/>
      <c r="C133" s="56"/>
      <c r="D133" s="41">
        <f>[4]Charters!C889</f>
        <v>0</v>
      </c>
      <c r="E133" s="42"/>
      <c r="F133" s="42"/>
      <c r="G133" s="42"/>
      <c r="H133" s="42" t="s">
        <v>31</v>
      </c>
    </row>
    <row r="134" spans="1:8" x14ac:dyDescent="0.2">
      <c r="A134" s="59" t="s">
        <v>51</v>
      </c>
      <c r="B134" s="43"/>
      <c r="C134" s="56"/>
      <c r="D134" s="60">
        <f>[4]Charters!D889</f>
        <v>386.21</v>
      </c>
      <c r="E134" s="42"/>
      <c r="F134" s="42"/>
      <c r="G134" s="42"/>
      <c r="H134" s="42">
        <f>[4]Charters!D1348</f>
        <v>1269005.72</v>
      </c>
    </row>
    <row r="135" spans="1:8" x14ac:dyDescent="0.2">
      <c r="A135" s="20" t="s">
        <v>47</v>
      </c>
      <c r="B135" s="43"/>
      <c r="C135" s="56"/>
      <c r="D135" s="60">
        <f>[4]Charters!E889</f>
        <v>0</v>
      </c>
      <c r="E135" s="42"/>
      <c r="F135" s="42"/>
      <c r="G135" s="42"/>
      <c r="H135" s="42">
        <f>D144</f>
        <v>1269005.72</v>
      </c>
    </row>
    <row r="136" spans="1:8" x14ac:dyDescent="0.2">
      <c r="A136" s="20" t="s">
        <v>57</v>
      </c>
      <c r="B136" s="43"/>
      <c r="C136" s="56"/>
      <c r="D136" s="60">
        <f>[4]Charters!C1042</f>
        <v>9481.0400000000009</v>
      </c>
      <c r="E136" s="42"/>
      <c r="F136" s="42"/>
      <c r="G136" s="42"/>
      <c r="H136" s="42">
        <f>+H134-H135</f>
        <v>0</v>
      </c>
    </row>
    <row r="137" spans="1:8" x14ac:dyDescent="0.2">
      <c r="A137" s="59" t="s">
        <v>53</v>
      </c>
      <c r="B137" s="43"/>
      <c r="C137" s="56"/>
      <c r="D137" s="60">
        <f>[4]Charters!D1042</f>
        <v>35000</v>
      </c>
      <c r="E137" s="42"/>
      <c r="F137" s="42" t="s">
        <v>30</v>
      </c>
      <c r="G137" s="42"/>
      <c r="H137" s="42"/>
    </row>
    <row r="138" spans="1:8" x14ac:dyDescent="0.2">
      <c r="A138" s="59" t="s">
        <v>59</v>
      </c>
      <c r="B138" s="43"/>
      <c r="C138" s="56"/>
      <c r="D138" s="60">
        <f>[4]Charters!E1042</f>
        <v>0</v>
      </c>
      <c r="E138" s="42"/>
      <c r="F138" s="42"/>
      <c r="G138" s="42"/>
      <c r="H138" s="42"/>
    </row>
    <row r="139" spans="1:8" x14ac:dyDescent="0.2">
      <c r="A139" s="38" t="s">
        <v>18</v>
      </c>
      <c r="B139" s="61"/>
      <c r="C139" s="62"/>
      <c r="D139" s="87"/>
      <c r="E139" s="42"/>
      <c r="F139" s="42">
        <f>[4]Charters!C1348</f>
        <v>1302.31</v>
      </c>
      <c r="G139" s="42"/>
      <c r="H139" s="42"/>
    </row>
    <row r="140" spans="1:8" x14ac:dyDescent="0.2">
      <c r="A140" s="59" t="s">
        <v>39</v>
      </c>
      <c r="B140" s="43"/>
      <c r="C140" s="56"/>
      <c r="D140" s="41">
        <f>[4]Charters!C1195</f>
        <v>1302.31</v>
      </c>
      <c r="E140" s="42"/>
      <c r="F140" s="42">
        <f>SUM(D140:D143)</f>
        <v>1302.31</v>
      </c>
      <c r="G140" s="42"/>
      <c r="H140" s="42"/>
    </row>
    <row r="141" spans="1:8" x14ac:dyDescent="0.2">
      <c r="A141" s="59" t="s">
        <v>48</v>
      </c>
      <c r="B141" s="43"/>
      <c r="C141" s="56"/>
      <c r="D141" s="41">
        <f>[4]Charters!D1195</f>
        <v>0</v>
      </c>
      <c r="E141" s="42"/>
      <c r="F141" s="42">
        <f>+F139-F140</f>
        <v>0</v>
      </c>
      <c r="G141" s="42"/>
      <c r="H141" s="42"/>
    </row>
    <row r="142" spans="1:8" x14ac:dyDescent="0.2">
      <c r="A142" s="59" t="s">
        <v>60</v>
      </c>
      <c r="B142" s="43"/>
      <c r="C142" s="56"/>
      <c r="D142" s="41">
        <f>[4]Charters!E1195</f>
        <v>0</v>
      </c>
      <c r="E142" s="42"/>
      <c r="F142" s="42"/>
      <c r="G142" s="42"/>
      <c r="H142" s="42"/>
    </row>
    <row r="143" spans="1:8" x14ac:dyDescent="0.2">
      <c r="A143" s="59" t="s">
        <v>61</v>
      </c>
      <c r="B143" s="43"/>
      <c r="C143" s="56"/>
      <c r="D143" s="41">
        <f>[4]Charters!F1195</f>
        <v>0</v>
      </c>
      <c r="E143" s="42"/>
      <c r="F143" s="42"/>
      <c r="G143" s="42"/>
      <c r="H143" s="42"/>
    </row>
    <row r="144" spans="1:8" ht="13.5" thickBot="1" x14ac:dyDescent="0.25">
      <c r="A144" s="64"/>
      <c r="B144" s="65"/>
      <c r="C144" s="66"/>
      <c r="D144" s="67">
        <f>SUM(D119:D143)</f>
        <v>1269005.72</v>
      </c>
      <c r="E144" s="42"/>
      <c r="F144" s="42"/>
      <c r="G144" s="42"/>
      <c r="H144" s="42"/>
    </row>
    <row r="145" spans="1:8" ht="13.5" thickTop="1" x14ac:dyDescent="0.2">
      <c r="A145" s="68"/>
      <c r="B145" s="43"/>
      <c r="C145" s="56"/>
      <c r="D145" s="86"/>
      <c r="E145" s="42"/>
      <c r="F145" s="42"/>
      <c r="G145" s="42"/>
      <c r="H145" s="42"/>
    </row>
    <row r="146" spans="1:8" x14ac:dyDescent="0.2">
      <c r="A146" s="38" t="s">
        <v>20</v>
      </c>
      <c r="B146" s="39"/>
      <c r="C146" s="70"/>
      <c r="D146" s="71" t="s">
        <v>21</v>
      </c>
      <c r="E146" s="42"/>
      <c r="F146" s="42"/>
      <c r="G146" s="42"/>
      <c r="H146" s="42"/>
    </row>
    <row r="147" spans="1:8" x14ac:dyDescent="0.2">
      <c r="A147" s="72" t="s">
        <v>22</v>
      </c>
      <c r="B147" s="73"/>
      <c r="C147" s="74"/>
      <c r="D147" s="41">
        <f>[5]Charters!C101</f>
        <v>481.29</v>
      </c>
      <c r="E147" s="42"/>
      <c r="F147" s="42"/>
      <c r="G147" s="42"/>
      <c r="H147" s="42"/>
    </row>
    <row r="148" spans="1:8" x14ac:dyDescent="0.2">
      <c r="A148" s="75"/>
      <c r="B148" s="61"/>
      <c r="C148" s="76"/>
      <c r="D148" s="77">
        <f>SUM(D147:D147)</f>
        <v>481.29</v>
      </c>
      <c r="E148" s="42"/>
      <c r="F148" s="42"/>
      <c r="G148" s="42"/>
      <c r="H148" s="42"/>
    </row>
    <row r="149" spans="1:8" x14ac:dyDescent="0.2">
      <c r="A149" s="78" t="s">
        <v>58</v>
      </c>
      <c r="B149" s="79"/>
      <c r="C149" s="80"/>
      <c r="D149" s="77">
        <f>D148+D144</f>
        <v>1269487.01</v>
      </c>
      <c r="E149" s="42"/>
      <c r="F149" s="42"/>
      <c r="G149" s="42"/>
      <c r="H149" s="42"/>
    </row>
    <row r="150" spans="1:8" x14ac:dyDescent="0.2">
      <c r="A150" s="84"/>
      <c r="B150" s="84"/>
      <c r="C150" s="85"/>
      <c r="D150" s="81"/>
      <c r="E150" s="42"/>
      <c r="F150" s="42"/>
      <c r="G150" s="42"/>
      <c r="H150" s="42"/>
    </row>
    <row r="151" spans="1:8" x14ac:dyDescent="0.2">
      <c r="A151" s="84"/>
      <c r="B151" s="84"/>
      <c r="C151" s="85"/>
      <c r="D151" s="81">
        <f>[5]Charters!E257</f>
        <v>1269487.01</v>
      </c>
      <c r="E151" s="42"/>
      <c r="F151" s="42"/>
      <c r="G151" s="42"/>
      <c r="H151" s="42"/>
    </row>
    <row r="152" spans="1:8" x14ac:dyDescent="0.2">
      <c r="A152" s="84"/>
      <c r="B152" s="84"/>
      <c r="C152" s="85"/>
      <c r="D152" s="81">
        <f>D149</f>
        <v>1269487.01</v>
      </c>
      <c r="E152" s="42"/>
      <c r="F152" s="42"/>
      <c r="G152" s="42"/>
      <c r="H152" s="42"/>
    </row>
    <row r="153" spans="1:8" x14ac:dyDescent="0.2">
      <c r="C153" s="83"/>
      <c r="D153" s="42">
        <f>D151-D152</f>
        <v>0</v>
      </c>
      <c r="E153" s="42"/>
      <c r="F153" s="42"/>
      <c r="G153" s="42"/>
      <c r="H153" s="42"/>
    </row>
  </sheetData>
  <mergeCells count="4">
    <mergeCell ref="A149:C149"/>
    <mergeCell ref="A96:D96"/>
    <mergeCell ref="A97:D97"/>
    <mergeCell ref="A95:D95"/>
  </mergeCells>
  <printOptions horizontalCentered="1" verticalCentered="1"/>
  <pageMargins left="0.5" right="0.5" top="0.5" bottom="0.5" header="0.25" footer="0.25"/>
  <pageSetup orientation="portrait" r:id="rId1"/>
  <headerFooter alignWithMargins="0">
    <oddHeader>&amp;R&amp;8Current as of: &amp;D</oddHeader>
    <oddFooter>&amp;L&amp;8USOE, School Finance</oddFooter>
  </headerFooter>
  <picture r:id="rId2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A00-000000000000}">
  <sheetPr>
    <pageSetUpPr fitToPage="1"/>
  </sheetPr>
  <dimension ref="A1:I157"/>
  <sheetViews>
    <sheetView topLeftCell="A95" workbookViewId="0">
      <selection activeCell="C12" sqref="C12"/>
    </sheetView>
  </sheetViews>
  <sheetFormatPr defaultRowHeight="12.75" x14ac:dyDescent="0.2"/>
  <cols>
    <col min="1" max="1" width="32.28515625" style="89" customWidth="1"/>
    <col min="2" max="2" width="16.28515625" style="89" customWidth="1"/>
    <col min="3" max="4" width="15" style="89" customWidth="1"/>
    <col min="5" max="5" width="9.140625" style="89"/>
    <col min="6" max="6" width="15.28515625" style="89" customWidth="1"/>
    <col min="7" max="7" width="9.140625" style="89"/>
    <col min="8" max="8" width="13.5703125" style="89" customWidth="1"/>
    <col min="9" max="16384" width="9.140625" style="89"/>
  </cols>
  <sheetData>
    <row r="1" spans="1:9" x14ac:dyDescent="0.2">
      <c r="A1" s="7"/>
      <c r="B1" s="7"/>
      <c r="C1" s="7"/>
      <c r="D1" s="7"/>
      <c r="E1" s="7"/>
      <c r="F1" s="7"/>
      <c r="G1" s="7"/>
      <c r="H1" s="7"/>
      <c r="I1" s="7"/>
    </row>
    <row r="2" spans="1:9" x14ac:dyDescent="0.2">
      <c r="A2" s="7"/>
      <c r="B2" s="7"/>
      <c r="C2" s="7"/>
      <c r="D2" s="7"/>
      <c r="E2" s="7"/>
      <c r="F2" s="7"/>
      <c r="G2" s="7"/>
      <c r="H2" s="7"/>
      <c r="I2" s="7"/>
    </row>
    <row r="3" spans="1:9" x14ac:dyDescent="0.2">
      <c r="A3" s="7"/>
      <c r="B3" s="7"/>
      <c r="C3" s="7"/>
      <c r="D3" s="7"/>
      <c r="E3" s="7"/>
      <c r="F3" s="7"/>
      <c r="G3" s="7"/>
      <c r="H3" s="7"/>
      <c r="I3" s="7"/>
    </row>
    <row r="4" spans="1:9" x14ac:dyDescent="0.2">
      <c r="A4" s="7"/>
      <c r="B4" s="7"/>
      <c r="C4" s="7"/>
      <c r="D4" s="7"/>
      <c r="E4" s="7"/>
      <c r="F4" s="7"/>
      <c r="G4" s="7"/>
      <c r="H4" s="7"/>
      <c r="I4" s="7"/>
    </row>
    <row r="5" spans="1:9" x14ac:dyDescent="0.2">
      <c r="A5" s="7"/>
      <c r="B5" s="7"/>
      <c r="C5" s="7"/>
      <c r="D5" s="7"/>
      <c r="E5" s="7"/>
      <c r="F5" s="7"/>
      <c r="G5" s="7"/>
      <c r="H5" s="7"/>
      <c r="I5" s="7"/>
    </row>
    <row r="6" spans="1:9" x14ac:dyDescent="0.2">
      <c r="A6" s="7"/>
      <c r="B6" s="7"/>
      <c r="C6" s="7"/>
      <c r="D6" s="7"/>
      <c r="E6" s="7"/>
      <c r="F6" s="7"/>
      <c r="G6" s="7"/>
      <c r="H6" s="7"/>
      <c r="I6" s="7"/>
    </row>
    <row r="7" spans="1:9" x14ac:dyDescent="0.2">
      <c r="A7" s="7"/>
      <c r="B7" s="7"/>
      <c r="C7" s="7"/>
      <c r="D7" s="7"/>
      <c r="E7" s="7"/>
      <c r="F7" s="7"/>
      <c r="G7" s="7"/>
      <c r="H7" s="7"/>
      <c r="I7" s="7"/>
    </row>
    <row r="8" spans="1:9" x14ac:dyDescent="0.2">
      <c r="A8" s="7"/>
      <c r="B8" s="7"/>
      <c r="C8" s="7"/>
      <c r="D8" s="7"/>
      <c r="E8" s="7"/>
      <c r="F8" s="7"/>
      <c r="G8" s="7"/>
      <c r="H8" s="7"/>
      <c r="I8" s="7"/>
    </row>
    <row r="9" spans="1:9" x14ac:dyDescent="0.2">
      <c r="A9" s="7"/>
      <c r="B9" s="7"/>
      <c r="C9" s="7"/>
      <c r="D9" s="7"/>
      <c r="E9" s="7"/>
      <c r="F9" s="7"/>
      <c r="G9" s="7"/>
      <c r="H9" s="7"/>
      <c r="I9" s="7"/>
    </row>
    <row r="10" spans="1:9" x14ac:dyDescent="0.2">
      <c r="A10" s="7"/>
      <c r="B10" s="7"/>
      <c r="C10" s="7"/>
      <c r="D10" s="7"/>
      <c r="E10" s="7"/>
      <c r="F10" s="7"/>
      <c r="G10" s="7"/>
      <c r="H10" s="7"/>
      <c r="I10" s="7"/>
    </row>
    <row r="11" spans="1:9" x14ac:dyDescent="0.2">
      <c r="A11" s="7"/>
      <c r="B11" s="7"/>
      <c r="C11" s="7"/>
      <c r="D11" s="7"/>
      <c r="E11" s="7"/>
      <c r="F11" s="7"/>
      <c r="G11" s="7"/>
      <c r="H11" s="7"/>
      <c r="I11" s="7"/>
    </row>
    <row r="12" spans="1:9" x14ac:dyDescent="0.2">
      <c r="A12" s="7"/>
      <c r="B12" s="7"/>
      <c r="C12" s="7"/>
      <c r="D12" s="7"/>
      <c r="E12" s="7"/>
      <c r="F12" s="7"/>
      <c r="G12" s="7"/>
      <c r="H12" s="7"/>
      <c r="I12" s="7"/>
    </row>
    <row r="13" spans="1:9" x14ac:dyDescent="0.2">
      <c r="A13" s="7"/>
      <c r="B13" s="7"/>
      <c r="C13" s="7"/>
      <c r="D13" s="7"/>
      <c r="E13" s="7"/>
      <c r="F13" s="7"/>
      <c r="G13" s="7"/>
      <c r="H13" s="7"/>
      <c r="I13" s="7"/>
    </row>
    <row r="14" spans="1:9" x14ac:dyDescent="0.2">
      <c r="A14" s="7"/>
      <c r="B14" s="7"/>
      <c r="C14" s="7"/>
      <c r="D14" s="7"/>
      <c r="E14" s="7"/>
      <c r="F14" s="7"/>
      <c r="G14" s="7"/>
      <c r="H14" s="7"/>
      <c r="I14" s="7"/>
    </row>
    <row r="15" spans="1:9" x14ac:dyDescent="0.2">
      <c r="A15" s="7"/>
      <c r="B15" s="7"/>
      <c r="C15" s="7"/>
      <c r="D15" s="7"/>
      <c r="E15" s="7"/>
      <c r="F15" s="7"/>
      <c r="G15" s="7"/>
      <c r="H15" s="7"/>
      <c r="I15" s="7"/>
    </row>
    <row r="16" spans="1:9" x14ac:dyDescent="0.2">
      <c r="A16" s="7"/>
      <c r="B16" s="7"/>
      <c r="C16" s="7"/>
      <c r="D16" s="7"/>
      <c r="E16" s="7"/>
      <c r="F16" s="7"/>
      <c r="G16" s="7"/>
      <c r="H16" s="7"/>
      <c r="I16" s="7"/>
    </row>
    <row r="17" spans="1:9" x14ac:dyDescent="0.2">
      <c r="A17" s="7"/>
      <c r="B17" s="7"/>
      <c r="C17" s="7"/>
      <c r="D17" s="7"/>
      <c r="E17" s="7"/>
      <c r="F17" s="7"/>
      <c r="G17" s="7"/>
      <c r="H17" s="7"/>
      <c r="I17" s="7"/>
    </row>
    <row r="18" spans="1:9" x14ac:dyDescent="0.2">
      <c r="A18" s="7"/>
      <c r="B18" s="7"/>
      <c r="C18" s="7"/>
      <c r="D18" s="7"/>
      <c r="E18" s="7"/>
      <c r="F18" s="7"/>
      <c r="G18" s="7"/>
      <c r="H18" s="7"/>
      <c r="I18" s="7"/>
    </row>
    <row r="19" spans="1:9" x14ac:dyDescent="0.2">
      <c r="A19" s="7"/>
      <c r="B19" s="7"/>
      <c r="C19" s="7"/>
      <c r="D19" s="7"/>
      <c r="E19" s="7"/>
      <c r="F19" s="7"/>
      <c r="G19" s="7"/>
      <c r="H19" s="7"/>
      <c r="I19" s="7"/>
    </row>
    <row r="20" spans="1:9" x14ac:dyDescent="0.2">
      <c r="A20" s="7"/>
      <c r="B20" s="7"/>
      <c r="C20" s="7"/>
      <c r="D20" s="7"/>
      <c r="E20" s="7"/>
      <c r="F20" s="7"/>
      <c r="G20" s="7"/>
      <c r="H20" s="7"/>
      <c r="I20" s="7"/>
    </row>
    <row r="21" spans="1:9" x14ac:dyDescent="0.2">
      <c r="A21" s="7"/>
      <c r="B21" s="7"/>
      <c r="C21" s="7"/>
      <c r="D21" s="7"/>
      <c r="E21" s="7"/>
      <c r="F21" s="7"/>
      <c r="G21" s="7"/>
      <c r="H21" s="7"/>
      <c r="I21" s="7"/>
    </row>
    <row r="22" spans="1:9" x14ac:dyDescent="0.2">
      <c r="A22" s="7"/>
      <c r="B22" s="7"/>
      <c r="C22" s="7"/>
      <c r="D22" s="4"/>
      <c r="E22" s="7"/>
      <c r="F22" s="7"/>
      <c r="G22" s="7"/>
      <c r="H22" s="7"/>
      <c r="I22" s="7"/>
    </row>
    <row r="23" spans="1:9" x14ac:dyDescent="0.2">
      <c r="A23" s="7"/>
      <c r="B23" s="7"/>
      <c r="C23" s="7"/>
      <c r="D23" s="7"/>
      <c r="E23" s="7"/>
      <c r="F23" s="7"/>
      <c r="G23" s="7"/>
      <c r="H23" s="7"/>
      <c r="I23" s="7"/>
    </row>
    <row r="24" spans="1:9" x14ac:dyDescent="0.2">
      <c r="A24" s="7"/>
      <c r="B24" s="7"/>
      <c r="C24" s="7"/>
      <c r="D24" s="7"/>
      <c r="E24" s="7"/>
      <c r="F24" s="7"/>
      <c r="G24" s="7"/>
      <c r="H24" s="7"/>
      <c r="I24" s="7"/>
    </row>
    <row r="25" spans="1:9" x14ac:dyDescent="0.2">
      <c r="A25" s="7"/>
      <c r="B25" s="7"/>
      <c r="C25" s="7"/>
      <c r="D25" s="7"/>
      <c r="E25" s="7"/>
      <c r="F25" s="7"/>
      <c r="G25" s="7"/>
      <c r="H25" s="7"/>
      <c r="I25" s="7"/>
    </row>
    <row r="26" spans="1:9" x14ac:dyDescent="0.2">
      <c r="A26" s="7"/>
      <c r="B26" s="7"/>
      <c r="C26" s="7"/>
      <c r="D26" s="7"/>
      <c r="E26" s="7"/>
      <c r="F26" s="7"/>
      <c r="G26" s="7"/>
      <c r="H26" s="7"/>
      <c r="I26" s="7"/>
    </row>
    <row r="27" spans="1:9" x14ac:dyDescent="0.2">
      <c r="A27" s="7"/>
      <c r="B27" s="7"/>
      <c r="C27" s="7"/>
      <c r="D27" s="7"/>
      <c r="E27" s="7"/>
      <c r="F27" s="7"/>
      <c r="G27" s="7"/>
      <c r="H27" s="7"/>
      <c r="I27" s="7"/>
    </row>
    <row r="28" spans="1:9" x14ac:dyDescent="0.2">
      <c r="A28" s="7"/>
      <c r="B28" s="7"/>
      <c r="C28" s="7"/>
      <c r="D28" s="7"/>
      <c r="E28" s="7"/>
      <c r="F28" s="7"/>
      <c r="G28" s="7"/>
      <c r="H28" s="7"/>
      <c r="I28" s="7"/>
    </row>
    <row r="29" spans="1:9" x14ac:dyDescent="0.2">
      <c r="A29" s="7"/>
      <c r="B29" s="7"/>
      <c r="C29" s="7"/>
      <c r="D29" s="7"/>
      <c r="E29" s="7"/>
      <c r="F29" s="7"/>
      <c r="G29" s="7"/>
      <c r="H29" s="7"/>
      <c r="I29" s="7"/>
    </row>
    <row r="30" spans="1:9" x14ac:dyDescent="0.2">
      <c r="A30" s="7"/>
      <c r="B30" s="7"/>
      <c r="C30" s="7"/>
      <c r="D30" s="7"/>
      <c r="E30" s="7"/>
      <c r="F30" s="7"/>
      <c r="G30" s="7"/>
      <c r="H30" s="7"/>
      <c r="I30" s="7"/>
    </row>
    <row r="31" spans="1:9" x14ac:dyDescent="0.2">
      <c r="A31" s="7"/>
      <c r="B31" s="7"/>
      <c r="C31" s="7"/>
      <c r="D31" s="7"/>
      <c r="E31" s="7"/>
      <c r="F31" s="7"/>
      <c r="G31" s="7"/>
      <c r="H31" s="7"/>
      <c r="I31" s="7"/>
    </row>
    <row r="32" spans="1:9" x14ac:dyDescent="0.2">
      <c r="A32" s="7"/>
      <c r="B32" s="7"/>
      <c r="C32" s="7"/>
      <c r="D32" s="7"/>
      <c r="E32" s="7"/>
      <c r="F32" s="7"/>
      <c r="G32" s="7"/>
      <c r="H32" s="7"/>
      <c r="I32" s="7"/>
    </row>
    <row r="33" spans="1:9" x14ac:dyDescent="0.2">
      <c r="A33" s="7"/>
      <c r="B33" s="7"/>
      <c r="C33" s="7"/>
      <c r="D33" s="7"/>
      <c r="E33" s="7"/>
      <c r="F33" s="7"/>
      <c r="G33" s="7"/>
      <c r="H33" s="7"/>
      <c r="I33" s="7"/>
    </row>
    <row r="34" spans="1:9" x14ac:dyDescent="0.2">
      <c r="A34" s="7"/>
      <c r="B34" s="7"/>
      <c r="C34" s="7"/>
      <c r="D34" s="7"/>
      <c r="E34" s="7"/>
      <c r="F34" s="7"/>
      <c r="G34" s="7"/>
      <c r="H34" s="7"/>
      <c r="I34" s="7"/>
    </row>
    <row r="35" spans="1:9" x14ac:dyDescent="0.2">
      <c r="A35" s="7"/>
      <c r="B35" s="7"/>
      <c r="C35" s="7"/>
      <c r="D35" s="7"/>
      <c r="E35" s="7"/>
      <c r="F35" s="7"/>
      <c r="G35" s="7"/>
      <c r="H35" s="7"/>
      <c r="I35" s="7"/>
    </row>
    <row r="36" spans="1:9" x14ac:dyDescent="0.2">
      <c r="A36" s="7"/>
      <c r="B36" s="7"/>
      <c r="C36" s="7"/>
      <c r="D36" s="7"/>
      <c r="E36" s="7"/>
      <c r="F36" s="7"/>
      <c r="G36" s="7"/>
      <c r="H36" s="7"/>
      <c r="I36" s="7"/>
    </row>
    <row r="37" spans="1:9" x14ac:dyDescent="0.2">
      <c r="A37" s="7"/>
      <c r="B37" s="7"/>
      <c r="C37" s="7"/>
      <c r="D37" s="7"/>
      <c r="E37" s="7"/>
      <c r="F37" s="7"/>
      <c r="G37" s="7"/>
      <c r="H37" s="7"/>
      <c r="I37" s="7"/>
    </row>
    <row r="38" spans="1:9" x14ac:dyDescent="0.2">
      <c r="A38" s="7"/>
      <c r="B38" s="7"/>
      <c r="C38" s="7"/>
      <c r="D38" s="7"/>
      <c r="E38" s="7"/>
      <c r="F38" s="7"/>
      <c r="G38" s="7"/>
      <c r="H38" s="7"/>
      <c r="I38" s="7"/>
    </row>
    <row r="39" spans="1:9" x14ac:dyDescent="0.2">
      <c r="A39" s="7"/>
      <c r="B39" s="7"/>
      <c r="C39" s="7"/>
      <c r="D39" s="7"/>
      <c r="E39" s="7"/>
      <c r="F39" s="7"/>
      <c r="G39" s="7"/>
      <c r="H39" s="7"/>
      <c r="I39" s="7"/>
    </row>
    <row r="40" spans="1:9" x14ac:dyDescent="0.2">
      <c r="A40" s="7"/>
      <c r="B40" s="7"/>
      <c r="C40" s="7"/>
      <c r="D40" s="7"/>
      <c r="E40" s="7"/>
      <c r="F40" s="7"/>
      <c r="G40" s="7"/>
      <c r="H40" s="7"/>
      <c r="I40" s="7"/>
    </row>
    <row r="41" spans="1:9" x14ac:dyDescent="0.2">
      <c r="A41" s="7"/>
      <c r="B41" s="7"/>
      <c r="C41" s="7"/>
      <c r="D41" s="7"/>
      <c r="E41" s="7"/>
      <c r="F41" s="7"/>
      <c r="G41" s="7"/>
      <c r="H41" s="7"/>
      <c r="I41" s="7"/>
    </row>
    <row r="42" spans="1:9" x14ac:dyDescent="0.2">
      <c r="A42" s="7"/>
      <c r="B42" s="7"/>
      <c r="C42" s="7"/>
      <c r="D42" s="7"/>
      <c r="E42" s="7"/>
      <c r="F42" s="7"/>
      <c r="G42" s="7"/>
      <c r="H42" s="7"/>
      <c r="I42" s="7"/>
    </row>
    <row r="43" spans="1:9" x14ac:dyDescent="0.2">
      <c r="A43" s="7"/>
      <c r="B43" s="7"/>
      <c r="C43" s="7"/>
      <c r="D43" s="7"/>
      <c r="E43" s="7"/>
      <c r="F43" s="7"/>
      <c r="G43" s="7"/>
      <c r="H43" s="7"/>
      <c r="I43" s="7"/>
    </row>
    <row r="44" spans="1:9" x14ac:dyDescent="0.2">
      <c r="A44" s="7"/>
      <c r="B44" s="7"/>
      <c r="C44" s="7"/>
      <c r="D44" s="7"/>
      <c r="E44" s="7"/>
      <c r="F44" s="7"/>
      <c r="G44" s="7"/>
      <c r="H44" s="7"/>
      <c r="I44" s="7"/>
    </row>
    <row r="45" spans="1:9" x14ac:dyDescent="0.2">
      <c r="A45" s="7"/>
      <c r="B45" s="7"/>
      <c r="C45" s="7"/>
      <c r="D45" s="7"/>
      <c r="E45" s="7"/>
      <c r="F45" s="7"/>
      <c r="G45" s="7"/>
      <c r="H45" s="7"/>
      <c r="I45" s="7"/>
    </row>
    <row r="46" spans="1:9" x14ac:dyDescent="0.2">
      <c r="A46" s="7"/>
      <c r="B46" s="7"/>
      <c r="C46" s="7"/>
      <c r="D46" s="7"/>
      <c r="E46" s="7"/>
      <c r="F46" s="7"/>
      <c r="G46" s="7"/>
      <c r="H46" s="7"/>
      <c r="I46" s="7"/>
    </row>
    <row r="47" spans="1:9" x14ac:dyDescent="0.2">
      <c r="A47" s="7"/>
      <c r="B47" s="7"/>
      <c r="C47" s="7"/>
      <c r="D47" s="7"/>
      <c r="E47" s="7"/>
      <c r="F47" s="7"/>
      <c r="G47" s="7"/>
      <c r="H47" s="7"/>
      <c r="I47" s="7"/>
    </row>
    <row r="48" spans="1:9" x14ac:dyDescent="0.2">
      <c r="A48" s="7"/>
      <c r="B48" s="7"/>
      <c r="C48" s="7"/>
      <c r="D48" s="7"/>
      <c r="E48" s="7"/>
      <c r="F48" s="7"/>
      <c r="G48" s="7"/>
      <c r="H48" s="7"/>
      <c r="I48" s="7"/>
    </row>
    <row r="49" spans="1:9" x14ac:dyDescent="0.2">
      <c r="A49" s="7"/>
      <c r="B49" s="7"/>
      <c r="C49" s="7"/>
      <c r="D49" s="7"/>
      <c r="E49" s="7"/>
      <c r="F49" s="7"/>
      <c r="G49" s="7"/>
      <c r="H49" s="7"/>
      <c r="I49" s="7"/>
    </row>
    <row r="50" spans="1:9" x14ac:dyDescent="0.2">
      <c r="A50" s="7"/>
      <c r="B50" s="7"/>
      <c r="C50" s="7"/>
      <c r="D50" s="7"/>
      <c r="E50" s="7"/>
      <c r="F50" s="7"/>
      <c r="G50" s="7"/>
      <c r="H50" s="7"/>
      <c r="I50" s="7"/>
    </row>
    <row r="51" spans="1:9" x14ac:dyDescent="0.2">
      <c r="A51" s="7"/>
      <c r="B51" s="7"/>
      <c r="C51" s="7"/>
      <c r="D51" s="7"/>
      <c r="E51" s="7"/>
      <c r="F51" s="7"/>
      <c r="G51" s="7"/>
      <c r="H51" s="7"/>
      <c r="I51" s="7"/>
    </row>
    <row r="52" spans="1:9" x14ac:dyDescent="0.2">
      <c r="A52" s="7"/>
      <c r="B52" s="7"/>
      <c r="C52" s="7"/>
      <c r="D52" s="7"/>
      <c r="E52" s="7"/>
      <c r="F52" s="7"/>
      <c r="G52" s="7"/>
      <c r="H52" s="7"/>
      <c r="I52" s="7"/>
    </row>
    <row r="53" spans="1:9" x14ac:dyDescent="0.2">
      <c r="A53" s="7"/>
      <c r="B53" s="7"/>
      <c r="C53" s="7"/>
      <c r="D53" s="7"/>
      <c r="E53" s="7"/>
      <c r="F53" s="7"/>
      <c r="G53" s="7"/>
      <c r="H53" s="7"/>
      <c r="I53" s="7"/>
    </row>
    <row r="54" spans="1:9" x14ac:dyDescent="0.2">
      <c r="A54" s="7"/>
      <c r="B54" s="7"/>
      <c r="C54" s="7"/>
      <c r="D54" s="7"/>
      <c r="E54" s="7"/>
      <c r="F54" s="7"/>
      <c r="G54" s="7"/>
      <c r="H54" s="7"/>
      <c r="I54" s="7"/>
    </row>
    <row r="55" spans="1:9" x14ac:dyDescent="0.2">
      <c r="A55" s="7"/>
      <c r="B55" s="7"/>
      <c r="C55" s="7"/>
      <c r="D55" s="7"/>
      <c r="E55" s="7"/>
      <c r="F55" s="7"/>
      <c r="G55" s="7"/>
      <c r="H55" s="7"/>
      <c r="I55" s="7"/>
    </row>
    <row r="56" spans="1:9" x14ac:dyDescent="0.2">
      <c r="A56" s="7"/>
      <c r="B56" s="7"/>
      <c r="C56" s="7"/>
      <c r="D56" s="7"/>
      <c r="E56" s="7"/>
      <c r="F56" s="7"/>
      <c r="G56" s="7"/>
      <c r="H56" s="7"/>
      <c r="I56" s="7"/>
    </row>
    <row r="57" spans="1:9" x14ac:dyDescent="0.2">
      <c r="A57" s="7"/>
      <c r="B57" s="7"/>
      <c r="C57" s="7"/>
      <c r="D57" s="7"/>
      <c r="E57" s="7"/>
      <c r="F57" s="7"/>
      <c r="G57" s="7"/>
      <c r="H57" s="7"/>
      <c r="I57" s="7"/>
    </row>
    <row r="58" spans="1:9" x14ac:dyDescent="0.2">
      <c r="A58" s="7"/>
      <c r="B58" s="7"/>
      <c r="C58" s="7"/>
      <c r="D58" s="7"/>
      <c r="E58" s="7"/>
      <c r="F58" s="7"/>
      <c r="G58" s="7"/>
      <c r="H58" s="7"/>
      <c r="I58" s="7"/>
    </row>
    <row r="59" spans="1:9" x14ac:dyDescent="0.2">
      <c r="A59" s="7"/>
      <c r="B59" s="7"/>
      <c r="C59" s="7"/>
      <c r="D59" s="7"/>
      <c r="E59" s="7"/>
      <c r="F59" s="7"/>
      <c r="G59" s="7"/>
      <c r="H59" s="7"/>
      <c r="I59" s="7"/>
    </row>
    <row r="60" spans="1:9" x14ac:dyDescent="0.2">
      <c r="A60" s="7"/>
      <c r="B60" s="7"/>
      <c r="C60" s="7"/>
      <c r="D60" s="7"/>
      <c r="E60" s="7"/>
      <c r="F60" s="7"/>
      <c r="G60" s="7"/>
      <c r="H60" s="7"/>
      <c r="I60" s="7"/>
    </row>
    <row r="61" spans="1:9" x14ac:dyDescent="0.2">
      <c r="A61" s="7"/>
      <c r="B61" s="7"/>
      <c r="C61" s="7"/>
      <c r="D61" s="7"/>
      <c r="E61" s="7"/>
      <c r="F61" s="7"/>
      <c r="G61" s="7"/>
      <c r="H61" s="7"/>
      <c r="I61" s="7"/>
    </row>
    <row r="62" spans="1:9" x14ac:dyDescent="0.2">
      <c r="A62" s="7"/>
      <c r="B62" s="7"/>
      <c r="C62" s="7"/>
      <c r="D62" s="7"/>
      <c r="E62" s="7"/>
      <c r="F62" s="7"/>
      <c r="G62" s="7"/>
      <c r="H62" s="7"/>
      <c r="I62" s="7"/>
    </row>
    <row r="63" spans="1:9" x14ac:dyDescent="0.2">
      <c r="A63" s="7"/>
      <c r="B63" s="7"/>
      <c r="C63" s="7"/>
      <c r="D63" s="7"/>
      <c r="E63" s="7"/>
      <c r="F63" s="7"/>
      <c r="G63" s="7"/>
      <c r="H63" s="7"/>
      <c r="I63" s="7"/>
    </row>
    <row r="64" spans="1:9" x14ac:dyDescent="0.2">
      <c r="A64" s="7"/>
      <c r="B64" s="7"/>
      <c r="C64" s="7"/>
      <c r="D64" s="7"/>
      <c r="E64" s="7"/>
      <c r="F64" s="7"/>
      <c r="G64" s="7"/>
      <c r="H64" s="7"/>
      <c r="I64" s="7"/>
    </row>
    <row r="65" spans="1:9" x14ac:dyDescent="0.2">
      <c r="A65" s="7"/>
      <c r="B65" s="7"/>
      <c r="C65" s="7"/>
      <c r="D65" s="7"/>
      <c r="E65" s="7"/>
      <c r="F65" s="7"/>
      <c r="G65" s="7"/>
      <c r="H65" s="7"/>
      <c r="I65" s="7"/>
    </row>
    <row r="66" spans="1:9" x14ac:dyDescent="0.2">
      <c r="A66" s="7"/>
      <c r="B66" s="7"/>
      <c r="C66" s="7"/>
      <c r="D66" s="7"/>
      <c r="E66" s="7"/>
      <c r="F66" s="7"/>
      <c r="G66" s="7"/>
      <c r="H66" s="7"/>
      <c r="I66" s="7"/>
    </row>
    <row r="67" spans="1:9" x14ac:dyDescent="0.2">
      <c r="A67" s="7"/>
      <c r="B67" s="7"/>
      <c r="C67" s="7"/>
      <c r="D67" s="7"/>
      <c r="E67" s="7"/>
      <c r="F67" s="7"/>
      <c r="G67" s="7"/>
      <c r="H67" s="7"/>
      <c r="I67" s="7"/>
    </row>
    <row r="68" spans="1:9" x14ac:dyDescent="0.2">
      <c r="A68" s="7"/>
      <c r="B68" s="7"/>
      <c r="C68" s="7"/>
      <c r="D68" s="7"/>
      <c r="E68" s="7"/>
      <c r="F68" s="7"/>
      <c r="G68" s="7"/>
      <c r="H68" s="7"/>
      <c r="I68" s="7"/>
    </row>
    <row r="69" spans="1:9" x14ac:dyDescent="0.2">
      <c r="A69" s="7"/>
      <c r="B69" s="7"/>
      <c r="C69" s="7"/>
      <c r="D69" s="7"/>
      <c r="E69" s="7"/>
      <c r="F69" s="7"/>
      <c r="G69" s="7"/>
      <c r="H69" s="7"/>
      <c r="I69" s="7"/>
    </row>
    <row r="70" spans="1:9" x14ac:dyDescent="0.2">
      <c r="A70" s="7"/>
      <c r="B70" s="7"/>
      <c r="C70" s="7"/>
      <c r="D70" s="7"/>
      <c r="E70" s="7"/>
      <c r="F70" s="7"/>
      <c r="G70" s="7"/>
      <c r="H70" s="7"/>
      <c r="I70" s="7"/>
    </row>
    <row r="71" spans="1:9" x14ac:dyDescent="0.2">
      <c r="A71" s="7"/>
      <c r="B71" s="7"/>
      <c r="C71" s="7"/>
      <c r="D71" s="7"/>
      <c r="E71" s="7"/>
      <c r="F71" s="7"/>
      <c r="G71" s="7"/>
      <c r="H71" s="7"/>
      <c r="I71" s="7"/>
    </row>
    <row r="72" spans="1:9" x14ac:dyDescent="0.2">
      <c r="A72" s="7"/>
      <c r="B72" s="7"/>
      <c r="C72" s="7"/>
      <c r="D72" s="7"/>
      <c r="E72" s="7"/>
      <c r="F72" s="7"/>
      <c r="G72" s="7"/>
      <c r="H72" s="7"/>
      <c r="I72" s="7"/>
    </row>
    <row r="73" spans="1:9" x14ac:dyDescent="0.2">
      <c r="A73" s="7"/>
      <c r="B73" s="7"/>
      <c r="C73" s="7"/>
      <c r="D73" s="7"/>
      <c r="E73" s="7"/>
      <c r="F73" s="7"/>
      <c r="G73" s="7"/>
      <c r="H73" s="7"/>
      <c r="I73" s="7"/>
    </row>
    <row r="74" spans="1:9" x14ac:dyDescent="0.2">
      <c r="A74" s="7"/>
      <c r="B74" s="7"/>
      <c r="C74" s="7"/>
      <c r="D74" s="7"/>
      <c r="E74" s="7"/>
      <c r="F74" s="7"/>
      <c r="G74" s="7"/>
      <c r="H74" s="7"/>
      <c r="I74" s="7"/>
    </row>
    <row r="75" spans="1:9" x14ac:dyDescent="0.2">
      <c r="A75" s="7"/>
      <c r="B75" s="7"/>
      <c r="C75" s="7"/>
      <c r="D75" s="7"/>
      <c r="E75" s="7"/>
      <c r="F75" s="7"/>
      <c r="G75" s="7"/>
      <c r="H75" s="7"/>
      <c r="I75" s="7"/>
    </row>
    <row r="76" spans="1:9" x14ac:dyDescent="0.2">
      <c r="A76" s="7"/>
      <c r="B76" s="7"/>
      <c r="C76" s="7"/>
      <c r="D76" s="7"/>
      <c r="E76" s="7"/>
      <c r="F76" s="7"/>
      <c r="G76" s="7"/>
      <c r="H76" s="7"/>
      <c r="I76" s="7"/>
    </row>
    <row r="77" spans="1:9" x14ac:dyDescent="0.2">
      <c r="A77" s="7"/>
      <c r="B77" s="7"/>
      <c r="C77" s="7"/>
      <c r="D77" s="7"/>
      <c r="E77" s="7"/>
      <c r="F77" s="7"/>
      <c r="G77" s="7"/>
      <c r="H77" s="7"/>
      <c r="I77" s="7"/>
    </row>
    <row r="78" spans="1:9" x14ac:dyDescent="0.2">
      <c r="A78" s="7"/>
      <c r="B78" s="7"/>
      <c r="C78" s="7"/>
      <c r="D78" s="7"/>
      <c r="E78" s="7"/>
      <c r="F78" s="7"/>
      <c r="G78" s="7"/>
      <c r="H78" s="7"/>
      <c r="I78" s="7"/>
    </row>
    <row r="79" spans="1:9" x14ac:dyDescent="0.2">
      <c r="A79" s="7"/>
      <c r="B79" s="7"/>
      <c r="C79" s="7"/>
      <c r="D79" s="7"/>
      <c r="E79" s="7"/>
      <c r="F79" s="7"/>
      <c r="G79" s="7"/>
      <c r="H79" s="7"/>
      <c r="I79" s="7"/>
    </row>
    <row r="80" spans="1:9" x14ac:dyDescent="0.2">
      <c r="A80" s="7"/>
      <c r="B80" s="7"/>
      <c r="C80" s="7"/>
      <c r="D80" s="7"/>
      <c r="E80" s="7"/>
      <c r="F80" s="7"/>
      <c r="G80" s="7"/>
      <c r="H80" s="7"/>
      <c r="I80" s="7"/>
    </row>
    <row r="81" spans="1:9" x14ac:dyDescent="0.2">
      <c r="A81" s="7"/>
      <c r="B81" s="7"/>
      <c r="C81" s="7"/>
      <c r="D81" s="7"/>
      <c r="E81" s="7"/>
      <c r="F81" s="7"/>
      <c r="G81" s="7"/>
      <c r="H81" s="7"/>
      <c r="I81" s="7"/>
    </row>
    <row r="82" spans="1:9" x14ac:dyDescent="0.2">
      <c r="A82" s="7"/>
      <c r="B82" s="7"/>
      <c r="C82" s="7"/>
      <c r="D82" s="7"/>
      <c r="E82" s="7"/>
      <c r="F82" s="7"/>
      <c r="G82" s="7"/>
      <c r="H82" s="7"/>
      <c r="I82" s="7"/>
    </row>
    <row r="83" spans="1:9" x14ac:dyDescent="0.2">
      <c r="A83" s="7"/>
      <c r="B83" s="7"/>
      <c r="C83" s="7"/>
      <c r="D83" s="7"/>
      <c r="E83" s="7"/>
      <c r="F83" s="7"/>
      <c r="G83" s="7"/>
      <c r="H83" s="7"/>
      <c r="I83" s="7"/>
    </row>
    <row r="84" spans="1:9" x14ac:dyDescent="0.2">
      <c r="A84" s="7"/>
      <c r="B84" s="7"/>
      <c r="C84" s="7"/>
      <c r="D84" s="7"/>
      <c r="E84" s="7"/>
      <c r="F84" s="7"/>
      <c r="G84" s="7"/>
      <c r="H84" s="7"/>
      <c r="I84" s="7"/>
    </row>
    <row r="85" spans="1:9" x14ac:dyDescent="0.2">
      <c r="A85" s="7"/>
      <c r="B85" s="7"/>
      <c r="C85" s="7"/>
      <c r="D85" s="7"/>
      <c r="E85" s="7"/>
      <c r="F85" s="7"/>
      <c r="G85" s="7"/>
      <c r="H85" s="7"/>
      <c r="I85" s="7"/>
    </row>
    <row r="86" spans="1:9" x14ac:dyDescent="0.2">
      <c r="A86" s="7"/>
      <c r="B86" s="7"/>
      <c r="C86" s="7"/>
      <c r="D86" s="7"/>
      <c r="E86" s="7"/>
      <c r="F86" s="7"/>
      <c r="G86" s="7"/>
      <c r="H86" s="7"/>
      <c r="I86" s="7"/>
    </row>
    <row r="87" spans="1:9" x14ac:dyDescent="0.2">
      <c r="A87" s="7"/>
      <c r="B87" s="7"/>
      <c r="C87" s="7"/>
      <c r="D87" s="7"/>
      <c r="E87" s="7"/>
      <c r="F87" s="7"/>
      <c r="G87" s="7"/>
      <c r="H87" s="7"/>
      <c r="I87" s="7"/>
    </row>
    <row r="88" spans="1:9" x14ac:dyDescent="0.2">
      <c r="A88" s="7"/>
      <c r="B88" s="7"/>
      <c r="C88" s="7"/>
      <c r="D88" s="7"/>
      <c r="E88" s="7"/>
      <c r="F88" s="7"/>
      <c r="G88" s="7"/>
      <c r="H88" s="7"/>
      <c r="I88" s="7"/>
    </row>
    <row r="89" spans="1:9" x14ac:dyDescent="0.2">
      <c r="A89" s="7"/>
      <c r="B89" s="7"/>
      <c r="C89" s="7"/>
      <c r="D89" s="7"/>
      <c r="E89" s="7"/>
      <c r="F89" s="7"/>
      <c r="G89" s="7"/>
      <c r="H89" s="7"/>
      <c r="I89" s="7"/>
    </row>
    <row r="90" spans="1:9" x14ac:dyDescent="0.2">
      <c r="A90" s="7"/>
      <c r="B90" s="7"/>
      <c r="C90" s="7"/>
      <c r="D90" s="7"/>
      <c r="E90" s="7"/>
      <c r="F90" s="7"/>
      <c r="G90" s="7"/>
      <c r="H90" s="7"/>
      <c r="I90" s="7"/>
    </row>
    <row r="91" spans="1:9" x14ac:dyDescent="0.2">
      <c r="A91" s="7"/>
      <c r="B91" s="7"/>
      <c r="C91" s="7"/>
      <c r="D91" s="7"/>
      <c r="E91" s="7"/>
      <c r="F91" s="7"/>
      <c r="G91" s="7"/>
      <c r="H91" s="7"/>
      <c r="I91" s="7"/>
    </row>
    <row r="92" spans="1:9" x14ac:dyDescent="0.2">
      <c r="A92" s="7"/>
      <c r="B92" s="7"/>
      <c r="C92" s="7"/>
      <c r="D92" s="7"/>
      <c r="E92" s="7"/>
      <c r="F92" s="7"/>
      <c r="G92" s="7"/>
      <c r="H92" s="7"/>
      <c r="I92" s="7"/>
    </row>
    <row r="93" spans="1:9" x14ac:dyDescent="0.2">
      <c r="A93" s="7"/>
      <c r="B93" s="7"/>
      <c r="C93" s="7"/>
      <c r="D93" s="7"/>
      <c r="E93" s="7"/>
      <c r="F93" s="7"/>
      <c r="G93" s="7"/>
      <c r="H93" s="7"/>
      <c r="I93" s="7"/>
    </row>
    <row r="94" spans="1:9" x14ac:dyDescent="0.2">
      <c r="A94" s="7"/>
      <c r="B94" s="7"/>
      <c r="C94" s="7"/>
      <c r="D94" s="7"/>
      <c r="E94" s="7"/>
      <c r="F94" s="7"/>
      <c r="G94" s="7"/>
      <c r="H94" s="7"/>
      <c r="I94" s="7"/>
    </row>
    <row r="95" spans="1:9" x14ac:dyDescent="0.2">
      <c r="A95" s="7"/>
      <c r="B95" s="7"/>
      <c r="C95" s="7"/>
      <c r="D95" s="7"/>
      <c r="E95" s="7"/>
      <c r="F95" s="7"/>
      <c r="G95" s="7"/>
      <c r="H95" s="7"/>
      <c r="I95" s="7"/>
    </row>
    <row r="96" spans="1:9" x14ac:dyDescent="0.2">
      <c r="A96" s="7"/>
      <c r="B96" s="7"/>
      <c r="C96" s="7"/>
      <c r="D96" s="7"/>
      <c r="E96" s="7"/>
      <c r="F96" s="7"/>
      <c r="G96" s="7"/>
      <c r="H96" s="7"/>
      <c r="I96" s="7"/>
    </row>
    <row r="97" spans="1:9" x14ac:dyDescent="0.2">
      <c r="A97" s="7"/>
      <c r="B97" s="7"/>
      <c r="C97" s="7"/>
      <c r="D97" s="7"/>
      <c r="E97" s="7"/>
      <c r="F97" s="7"/>
      <c r="G97" s="7"/>
      <c r="H97" s="7"/>
      <c r="I97" s="7"/>
    </row>
    <row r="98" spans="1:9" x14ac:dyDescent="0.2">
      <c r="A98" s="7"/>
      <c r="B98" s="7"/>
      <c r="C98" s="7"/>
      <c r="D98" s="7"/>
      <c r="E98" s="7"/>
      <c r="F98" s="7"/>
      <c r="G98" s="7"/>
      <c r="H98" s="7"/>
      <c r="I98" s="7"/>
    </row>
    <row r="99" spans="1:9" x14ac:dyDescent="0.2">
      <c r="A99" s="11" t="s">
        <v>1</v>
      </c>
      <c r="B99" s="12"/>
      <c r="C99" s="12"/>
      <c r="D99" s="13"/>
      <c r="E99" s="8"/>
      <c r="F99" s="8"/>
      <c r="G99" s="8"/>
      <c r="H99" s="8"/>
      <c r="I99" s="1"/>
    </row>
    <row r="100" spans="1:9" x14ac:dyDescent="0.2">
      <c r="A100" s="14" t="s">
        <v>15</v>
      </c>
      <c r="B100" s="15"/>
      <c r="C100" s="15"/>
      <c r="D100" s="16"/>
      <c r="E100" s="8"/>
      <c r="F100" s="8"/>
      <c r="G100" s="8"/>
      <c r="H100" s="8"/>
      <c r="I100" s="1"/>
    </row>
    <row r="101" spans="1:9" x14ac:dyDescent="0.2">
      <c r="A101" s="17" t="s">
        <v>62</v>
      </c>
      <c r="B101" s="18"/>
      <c r="C101" s="18"/>
      <c r="D101" s="19"/>
      <c r="E101" s="8"/>
      <c r="F101" s="8"/>
      <c r="G101" s="8"/>
      <c r="H101" s="8"/>
      <c r="I101" s="1"/>
    </row>
    <row r="102" spans="1:9" x14ac:dyDescent="0.2">
      <c r="A102" s="20"/>
      <c r="B102" s="21"/>
      <c r="C102" s="22"/>
      <c r="D102" s="23"/>
      <c r="E102" s="8"/>
      <c r="F102" s="8" t="s">
        <v>34</v>
      </c>
      <c r="G102" s="8"/>
      <c r="H102" s="8"/>
      <c r="I102" s="1"/>
    </row>
    <row r="103" spans="1:9" ht="15.75" x14ac:dyDescent="0.25">
      <c r="A103" s="24" t="s">
        <v>2</v>
      </c>
      <c r="B103" s="25" t="str">
        <f>[1]Charters!B108</f>
        <v>American Intl School of UT</v>
      </c>
      <c r="C103" s="26"/>
      <c r="D103" s="27"/>
      <c r="E103" s="8"/>
      <c r="F103" s="8"/>
      <c r="G103" s="8"/>
      <c r="H103" s="8"/>
      <c r="I103" s="1"/>
    </row>
    <row r="104" spans="1:9" x14ac:dyDescent="0.2">
      <c r="A104" s="24"/>
      <c r="B104" s="28"/>
      <c r="C104" s="26"/>
      <c r="D104" s="27"/>
      <c r="E104" s="8"/>
      <c r="F104" s="8"/>
      <c r="G104" s="8"/>
      <c r="H104" s="8"/>
      <c r="I104" s="1"/>
    </row>
    <row r="105" spans="1:9" x14ac:dyDescent="0.2">
      <c r="A105" s="29" t="s">
        <v>0</v>
      </c>
      <c r="B105" s="30">
        <f>[1]Charters!$E$6</f>
        <v>3184</v>
      </c>
      <c r="C105" s="26"/>
      <c r="D105" s="31"/>
      <c r="E105" s="8"/>
      <c r="F105" s="8"/>
      <c r="G105" s="8"/>
      <c r="H105" s="8"/>
      <c r="I105" s="1"/>
    </row>
    <row r="106" spans="1:9" x14ac:dyDescent="0.2">
      <c r="A106" s="32"/>
      <c r="B106" s="6"/>
      <c r="C106" s="33"/>
      <c r="D106" s="34" t="s">
        <v>3</v>
      </c>
      <c r="E106" s="8"/>
      <c r="F106" s="8"/>
      <c r="G106" s="8"/>
      <c r="H106" s="8"/>
      <c r="I106" s="1"/>
    </row>
    <row r="107" spans="1:9" x14ac:dyDescent="0.2">
      <c r="A107" s="29" t="s">
        <v>19</v>
      </c>
      <c r="B107" s="35" t="str">
        <f>[1]Charters!A108</f>
        <v>1J</v>
      </c>
      <c r="C107" s="36" t="s">
        <v>4</v>
      </c>
      <c r="D107" s="37" t="s">
        <v>5</v>
      </c>
      <c r="E107" s="8"/>
      <c r="F107" s="8"/>
      <c r="G107" s="8"/>
      <c r="H107" s="8"/>
      <c r="I107" s="1"/>
    </row>
    <row r="108" spans="1:9" x14ac:dyDescent="0.2">
      <c r="A108" s="38" t="s">
        <v>6</v>
      </c>
      <c r="B108" s="39"/>
      <c r="C108" s="40"/>
      <c r="D108" s="41"/>
      <c r="E108" s="8"/>
      <c r="F108" s="8"/>
      <c r="G108" s="8"/>
      <c r="H108" s="8"/>
      <c r="I108" s="1"/>
    </row>
    <row r="109" spans="1:9" x14ac:dyDescent="0.2">
      <c r="A109" s="38" t="s">
        <v>7</v>
      </c>
      <c r="B109" s="39"/>
      <c r="C109" s="40"/>
      <c r="D109" s="41"/>
      <c r="E109" s="8"/>
      <c r="F109" s="42" t="s">
        <v>23</v>
      </c>
      <c r="G109" s="8"/>
      <c r="H109" s="42" t="s">
        <v>26</v>
      </c>
      <c r="I109" s="1"/>
    </row>
    <row r="110" spans="1:9" x14ac:dyDescent="0.2">
      <c r="A110" s="20" t="s">
        <v>8</v>
      </c>
      <c r="B110" s="43"/>
      <c r="C110" s="44">
        <f>[1]Charters!C568</f>
        <v>1284.193</v>
      </c>
      <c r="D110" s="45">
        <f>[1]Charters!E568</f>
        <v>4088868.82</v>
      </c>
      <c r="E110" s="8"/>
      <c r="F110" s="42">
        <f>[1]Charters!E724</f>
        <v>4276074.51</v>
      </c>
      <c r="G110" s="8"/>
      <c r="H110" s="42">
        <f>[2]Charters!E262</f>
        <v>5016491.28</v>
      </c>
      <c r="I110" s="1"/>
    </row>
    <row r="111" spans="1:9" x14ac:dyDescent="0.2">
      <c r="A111" s="20" t="s">
        <v>14</v>
      </c>
      <c r="B111" s="43"/>
      <c r="C111" s="44">
        <f>[1]Charters!F568</f>
        <v>55.795999999999999</v>
      </c>
      <c r="D111" s="45">
        <f>[1]Charters!H568</f>
        <v>177653.69</v>
      </c>
      <c r="E111" s="8"/>
      <c r="F111" s="42">
        <f>SUM(D110:D112)</f>
        <v>4276074.51</v>
      </c>
      <c r="G111" s="8"/>
      <c r="H111" s="42">
        <f>D123</f>
        <v>5016491.28</v>
      </c>
      <c r="I111" s="1"/>
    </row>
    <row r="112" spans="1:9" x14ac:dyDescent="0.2">
      <c r="A112" s="20" t="s">
        <v>32</v>
      </c>
      <c r="B112" s="43"/>
      <c r="C112" s="44">
        <f>[1]Charters!C261</f>
        <v>3</v>
      </c>
      <c r="D112" s="45">
        <f>[1]Charters!E261</f>
        <v>9552</v>
      </c>
      <c r="E112" s="8"/>
      <c r="F112" s="42">
        <f>+F110-F111</f>
        <v>0</v>
      </c>
      <c r="G112" s="8"/>
      <c r="H112" s="42">
        <f>+H110-H111</f>
        <v>0</v>
      </c>
      <c r="I112" s="1"/>
    </row>
    <row r="113" spans="1:9" x14ac:dyDescent="0.2">
      <c r="A113" s="38" t="s">
        <v>9</v>
      </c>
      <c r="B113" s="39"/>
      <c r="C113" s="46"/>
      <c r="D113" s="47"/>
      <c r="E113" s="8"/>
      <c r="F113" s="8"/>
      <c r="G113" s="8"/>
      <c r="H113" s="8"/>
      <c r="I113" s="1"/>
    </row>
    <row r="114" spans="1:9" x14ac:dyDescent="0.2">
      <c r="A114" s="20" t="s">
        <v>10</v>
      </c>
      <c r="B114" s="43"/>
      <c r="C114" s="40">
        <f>[3]Charters!C107</f>
        <v>144.25899999999999</v>
      </c>
      <c r="D114" s="41">
        <f>[3]Charters!E107</f>
        <v>459321.62</v>
      </c>
      <c r="E114" s="8"/>
      <c r="F114" s="42" t="s">
        <v>24</v>
      </c>
      <c r="G114" s="8"/>
      <c r="H114" s="8"/>
      <c r="I114" s="1"/>
    </row>
    <row r="115" spans="1:9" x14ac:dyDescent="0.2">
      <c r="A115" s="48" t="s">
        <v>11</v>
      </c>
      <c r="B115" s="43"/>
      <c r="C115" s="40">
        <f>[3]Charters!F107</f>
        <v>1.444</v>
      </c>
      <c r="D115" s="49">
        <f>[3]Charters!H107</f>
        <v>4597.7</v>
      </c>
      <c r="E115" s="8"/>
      <c r="F115" s="42">
        <f>[3]Charters!N420</f>
        <v>477428.79</v>
      </c>
      <c r="G115" s="8"/>
      <c r="H115" s="8"/>
      <c r="I115" s="1"/>
    </row>
    <row r="116" spans="1:9" x14ac:dyDescent="0.2">
      <c r="A116" s="48" t="s">
        <v>12</v>
      </c>
      <c r="B116" s="43"/>
      <c r="C116" s="40">
        <f>[3]Charters!C262</f>
        <v>0</v>
      </c>
      <c r="D116" s="41">
        <f>[3]Charters!E262</f>
        <v>0</v>
      </c>
      <c r="E116" s="8"/>
      <c r="F116" s="42">
        <f>SUM(D114:D120)</f>
        <v>477428.79</v>
      </c>
      <c r="G116" s="8"/>
      <c r="H116" s="8"/>
      <c r="I116" s="1"/>
    </row>
    <row r="117" spans="1:9" x14ac:dyDescent="0.2">
      <c r="A117" s="20" t="s">
        <v>13</v>
      </c>
      <c r="B117" s="43"/>
      <c r="C117" s="40">
        <f>[3]Charters!F262</f>
        <v>0.70899999999999996</v>
      </c>
      <c r="D117" s="41">
        <f>[3]Charters!H262</f>
        <v>2259</v>
      </c>
      <c r="E117" s="8"/>
      <c r="F117" s="42">
        <f>+F115-F116</f>
        <v>0</v>
      </c>
      <c r="G117" s="8"/>
      <c r="H117" s="8"/>
      <c r="I117" s="1"/>
    </row>
    <row r="118" spans="1:9" x14ac:dyDescent="0.2">
      <c r="A118" s="48" t="s">
        <v>54</v>
      </c>
      <c r="B118" s="43"/>
      <c r="C118" s="40">
        <f>[3]Charters!C420</f>
        <v>3.5329999999999999</v>
      </c>
      <c r="D118" s="41">
        <f>[3]Charters!E420</f>
        <v>11250.47</v>
      </c>
      <c r="E118" s="8"/>
      <c r="F118" s="8"/>
      <c r="G118" s="8"/>
      <c r="H118" s="8"/>
      <c r="I118" s="1"/>
    </row>
    <row r="119" spans="1:9" x14ac:dyDescent="0.2">
      <c r="A119" s="48" t="s">
        <v>55</v>
      </c>
      <c r="B119" s="43"/>
      <c r="C119" s="40">
        <f>[3]Charters!F420</f>
        <v>0</v>
      </c>
      <c r="D119" s="41">
        <f>[3]Charters!H420</f>
        <v>0</v>
      </c>
      <c r="E119" s="8"/>
      <c r="F119" s="42" t="s">
        <v>25</v>
      </c>
      <c r="G119" s="8"/>
      <c r="H119" s="8"/>
      <c r="I119" s="1"/>
    </row>
    <row r="120" spans="1:9" x14ac:dyDescent="0.2">
      <c r="A120" s="48" t="s">
        <v>56</v>
      </c>
      <c r="B120" s="43"/>
      <c r="C120" s="40">
        <f>[3]Charters!I420</f>
        <v>0</v>
      </c>
      <c r="D120" s="41">
        <f>[3]Charters!K420</f>
        <v>0</v>
      </c>
      <c r="E120" s="8"/>
      <c r="F120" s="42">
        <f>[2]Charters!H108</f>
        <v>740416.77</v>
      </c>
      <c r="G120" s="8"/>
      <c r="H120" s="8"/>
      <c r="I120" s="1"/>
    </row>
    <row r="121" spans="1:9" x14ac:dyDescent="0.2">
      <c r="A121" s="20" t="s">
        <v>49</v>
      </c>
      <c r="B121" s="43"/>
      <c r="C121" s="40">
        <f>[3]Charters!C575</f>
        <v>21.047000000000001</v>
      </c>
      <c r="D121" s="41">
        <f>[3]Charters!E575</f>
        <v>67014.8</v>
      </c>
      <c r="E121" s="8"/>
      <c r="F121" s="42">
        <f>SUM(D114:D122)</f>
        <v>740416.77</v>
      </c>
      <c r="G121" s="8"/>
      <c r="H121" s="8"/>
      <c r="I121" s="1"/>
    </row>
    <row r="122" spans="1:9" x14ac:dyDescent="0.2">
      <c r="A122" s="20" t="s">
        <v>50</v>
      </c>
      <c r="B122" s="43"/>
      <c r="C122" s="40">
        <f>[2]Charters!C108</f>
        <v>61.548999999999999</v>
      </c>
      <c r="D122" s="41">
        <f>[2]Charters!E108</f>
        <v>195973.18</v>
      </c>
      <c r="E122" s="8"/>
      <c r="F122" s="42">
        <f>+F120-F121</f>
        <v>0</v>
      </c>
      <c r="G122" s="8"/>
      <c r="H122" s="8"/>
      <c r="I122" s="1"/>
    </row>
    <row r="123" spans="1:9" x14ac:dyDescent="0.2">
      <c r="A123" s="50"/>
      <c r="B123" s="51" t="s">
        <v>16</v>
      </c>
      <c r="C123" s="52">
        <f>SUM(C110:C122)</f>
        <v>1575.53</v>
      </c>
      <c r="D123" s="53">
        <f>SUM(D110:D122)</f>
        <v>5016491.28</v>
      </c>
      <c r="E123" s="8"/>
      <c r="F123" s="8"/>
      <c r="G123" s="8"/>
      <c r="H123" s="8"/>
      <c r="I123" s="1"/>
    </row>
    <row r="124" spans="1:9" x14ac:dyDescent="0.2">
      <c r="A124" s="54" t="s">
        <v>17</v>
      </c>
      <c r="B124" s="39"/>
      <c r="C124" s="55"/>
      <c r="D124" s="47"/>
      <c r="E124" s="8"/>
      <c r="F124" s="8"/>
      <c r="G124" s="8"/>
      <c r="H124" s="42" t="s">
        <v>29</v>
      </c>
      <c r="I124" s="1"/>
    </row>
    <row r="125" spans="1:9" x14ac:dyDescent="0.2">
      <c r="A125" s="20" t="s">
        <v>33</v>
      </c>
      <c r="B125" s="43"/>
      <c r="C125" s="56"/>
      <c r="D125" s="57">
        <f>[4]Charters!C109</f>
        <v>14512.45</v>
      </c>
      <c r="E125" s="8"/>
      <c r="F125" s="8"/>
      <c r="G125" s="8"/>
      <c r="H125" s="42">
        <f>[4]Charters!F1048</f>
        <v>8289053.1500000004</v>
      </c>
      <c r="I125" s="1"/>
    </row>
    <row r="126" spans="1:9" x14ac:dyDescent="0.2">
      <c r="A126" s="58" t="s">
        <v>35</v>
      </c>
      <c r="B126" s="43"/>
      <c r="C126" s="56"/>
      <c r="D126" s="41">
        <f>+[4]Charters!F430</f>
        <v>6802.55</v>
      </c>
      <c r="E126" s="8"/>
      <c r="F126" s="8"/>
      <c r="G126" s="8"/>
      <c r="H126" s="42">
        <f>SUM(D123:D142)</f>
        <v>8289053.1500000004</v>
      </c>
      <c r="I126" s="1"/>
    </row>
    <row r="127" spans="1:9" x14ac:dyDescent="0.2">
      <c r="A127" s="59" t="s">
        <v>36</v>
      </c>
      <c r="B127" s="43"/>
      <c r="C127" s="56"/>
      <c r="D127" s="41">
        <f>[4]Charters!E269</f>
        <v>36787</v>
      </c>
      <c r="E127" s="8"/>
      <c r="F127" s="8"/>
      <c r="G127" s="8"/>
      <c r="H127" s="42">
        <f>+H125-H126</f>
        <v>0</v>
      </c>
      <c r="I127" s="1"/>
    </row>
    <row r="128" spans="1:9" x14ac:dyDescent="0.2">
      <c r="A128" s="59" t="s">
        <v>52</v>
      </c>
      <c r="B128" s="43"/>
      <c r="C128" s="56"/>
      <c r="D128" s="41">
        <f>[4]Charters!G430</f>
        <v>1105.6099999999999</v>
      </c>
      <c r="E128" s="8"/>
      <c r="F128" s="42" t="s">
        <v>27</v>
      </c>
      <c r="G128" s="8"/>
      <c r="H128" s="42"/>
      <c r="I128" s="1"/>
    </row>
    <row r="129" spans="1:9" x14ac:dyDescent="0.2">
      <c r="A129" s="20" t="s">
        <v>37</v>
      </c>
      <c r="B129" s="43"/>
      <c r="C129" s="56"/>
      <c r="D129" s="41">
        <f>[4]Charters!E586</f>
        <v>85936</v>
      </c>
      <c r="E129" s="8"/>
      <c r="F129" s="42">
        <f>[4]Charters!E269</f>
        <v>36787</v>
      </c>
      <c r="G129" s="8"/>
      <c r="H129" s="8"/>
      <c r="I129" s="1"/>
    </row>
    <row r="130" spans="1:9" x14ac:dyDescent="0.2">
      <c r="A130" s="20" t="s">
        <v>38</v>
      </c>
      <c r="B130" s="43"/>
      <c r="C130" s="56"/>
      <c r="D130" s="41">
        <f>[4]Charters!F586</f>
        <v>0</v>
      </c>
      <c r="E130" s="8"/>
      <c r="F130" s="42">
        <f>SUM(D127:D127)</f>
        <v>36787</v>
      </c>
      <c r="G130" s="8"/>
      <c r="H130" s="8"/>
      <c r="I130" s="1"/>
    </row>
    <row r="131" spans="1:9" x14ac:dyDescent="0.2">
      <c r="A131" s="59" t="s">
        <v>40</v>
      </c>
      <c r="B131" s="43"/>
      <c r="C131" s="56"/>
      <c r="D131" s="41">
        <f>[4]Charters!G586</f>
        <v>0</v>
      </c>
      <c r="E131" s="8"/>
      <c r="F131" s="42">
        <f>+F129-F130</f>
        <v>0</v>
      </c>
      <c r="G131" s="8"/>
      <c r="H131" s="8"/>
      <c r="I131" s="1"/>
    </row>
    <row r="132" spans="1:9" x14ac:dyDescent="0.2">
      <c r="A132" s="20" t="s">
        <v>41</v>
      </c>
      <c r="B132" s="43"/>
      <c r="C132" s="56"/>
      <c r="D132" s="41">
        <f>[4]Charters!C739</f>
        <v>2645322</v>
      </c>
      <c r="E132" s="8"/>
      <c r="F132" s="42" t="s">
        <v>28</v>
      </c>
      <c r="G132" s="8"/>
      <c r="H132" s="8"/>
      <c r="I132" s="1"/>
    </row>
    <row r="133" spans="1:9" x14ac:dyDescent="0.2">
      <c r="A133" s="20" t="s">
        <v>42</v>
      </c>
      <c r="B133" s="43"/>
      <c r="C133" s="56"/>
      <c r="D133" s="41">
        <f>[4]Charters!D739</f>
        <v>299445.12</v>
      </c>
      <c r="E133" s="8"/>
      <c r="F133" s="42">
        <f>[4]Charters!D586</f>
        <v>44695.16</v>
      </c>
      <c r="G133" s="8"/>
      <c r="H133" s="8"/>
      <c r="I133" s="1"/>
    </row>
    <row r="134" spans="1:9" x14ac:dyDescent="0.2">
      <c r="A134" s="20" t="s">
        <v>44</v>
      </c>
      <c r="B134" s="43"/>
      <c r="C134" s="56"/>
      <c r="D134" s="41">
        <f>[4]Charters!E739</f>
        <v>132200</v>
      </c>
      <c r="E134" s="8"/>
      <c r="F134" s="42">
        <f>SUM(D126:D128)</f>
        <v>44695.16</v>
      </c>
      <c r="G134" s="8"/>
      <c r="H134" s="8"/>
      <c r="I134" s="1"/>
    </row>
    <row r="135" spans="1:9" x14ac:dyDescent="0.2">
      <c r="A135" s="59" t="s">
        <v>43</v>
      </c>
      <c r="B135" s="43"/>
      <c r="C135" s="56"/>
      <c r="D135" s="41">
        <f>[4]Charters!F739</f>
        <v>43398.53</v>
      </c>
      <c r="E135" s="8"/>
      <c r="F135" s="42">
        <f>+F133-F134</f>
        <v>0</v>
      </c>
      <c r="G135" s="8"/>
      <c r="H135" s="8"/>
      <c r="I135" s="1"/>
    </row>
    <row r="136" spans="1:9" x14ac:dyDescent="0.2">
      <c r="A136" s="59" t="s">
        <v>45</v>
      </c>
      <c r="B136" s="43"/>
      <c r="C136" s="56"/>
      <c r="D136" s="41">
        <f>[4]Charters!C586</f>
        <v>0</v>
      </c>
      <c r="E136" s="8"/>
      <c r="F136" s="8"/>
      <c r="G136" s="8"/>
      <c r="H136" s="8"/>
      <c r="I136" s="1"/>
    </row>
    <row r="137" spans="1:9" x14ac:dyDescent="0.2">
      <c r="A137" s="59" t="s">
        <v>46</v>
      </c>
      <c r="B137" s="43"/>
      <c r="C137" s="56"/>
      <c r="D137" s="41">
        <f>[4]Charters!C895</f>
        <v>0</v>
      </c>
      <c r="E137" s="42"/>
      <c r="F137" s="42"/>
      <c r="G137" s="42"/>
      <c r="H137" s="42" t="s">
        <v>31</v>
      </c>
      <c r="I137" s="82"/>
    </row>
    <row r="138" spans="1:9" x14ac:dyDescent="0.2">
      <c r="A138" s="59" t="s">
        <v>51</v>
      </c>
      <c r="B138" s="43"/>
      <c r="C138" s="56"/>
      <c r="D138" s="60">
        <f>[4]Charters!D895</f>
        <v>1363.99</v>
      </c>
      <c r="E138" s="42"/>
      <c r="F138" s="42"/>
      <c r="G138" s="42"/>
      <c r="H138" s="42">
        <f>[4]Charters!D1354</f>
        <v>8299983.3700000001</v>
      </c>
      <c r="I138" s="82"/>
    </row>
    <row r="139" spans="1:9" x14ac:dyDescent="0.2">
      <c r="A139" s="20" t="s">
        <v>47</v>
      </c>
      <c r="B139" s="43"/>
      <c r="C139" s="56"/>
      <c r="D139" s="60">
        <f>[4]Charters!E895</f>
        <v>0</v>
      </c>
      <c r="E139" s="42"/>
      <c r="F139" s="42"/>
      <c r="G139" s="42"/>
      <c r="H139" s="42">
        <f>D148</f>
        <v>8299983.3700000001</v>
      </c>
      <c r="I139" s="82"/>
    </row>
    <row r="140" spans="1:9" x14ac:dyDescent="0.2">
      <c r="A140" s="20" t="s">
        <v>57</v>
      </c>
      <c r="B140" s="43"/>
      <c r="C140" s="56"/>
      <c r="D140" s="60">
        <f>[4]Charters!C1048</f>
        <v>5688.62</v>
      </c>
      <c r="E140" s="42"/>
      <c r="F140" s="42"/>
      <c r="G140" s="42"/>
      <c r="H140" s="42">
        <f>+H138-H139</f>
        <v>0</v>
      </c>
      <c r="I140" s="82"/>
    </row>
    <row r="141" spans="1:9" x14ac:dyDescent="0.2">
      <c r="A141" s="59" t="s">
        <v>53</v>
      </c>
      <c r="B141" s="43"/>
      <c r="C141" s="56"/>
      <c r="D141" s="60">
        <f>[4]Charters!D1048</f>
        <v>0</v>
      </c>
      <c r="E141" s="42"/>
      <c r="F141" s="42" t="s">
        <v>30</v>
      </c>
      <c r="G141" s="42"/>
      <c r="H141" s="42"/>
      <c r="I141" s="82"/>
    </row>
    <row r="142" spans="1:9" x14ac:dyDescent="0.2">
      <c r="A142" s="59" t="s">
        <v>59</v>
      </c>
      <c r="B142" s="43"/>
      <c r="C142" s="56"/>
      <c r="D142" s="60">
        <f>[4]Charters!E1048</f>
        <v>0</v>
      </c>
      <c r="E142" s="42"/>
      <c r="F142" s="42"/>
      <c r="G142" s="42"/>
      <c r="H142" s="42"/>
      <c r="I142" s="82"/>
    </row>
    <row r="143" spans="1:9" x14ac:dyDescent="0.2">
      <c r="A143" s="38" t="s">
        <v>18</v>
      </c>
      <c r="B143" s="61"/>
      <c r="C143" s="62"/>
      <c r="D143" s="87"/>
      <c r="E143" s="42"/>
      <c r="F143" s="42">
        <f>[4]Charters!C1354</f>
        <v>10930.22</v>
      </c>
      <c r="G143" s="42"/>
      <c r="H143" s="42"/>
      <c r="I143" s="82"/>
    </row>
    <row r="144" spans="1:9" x14ac:dyDescent="0.2">
      <c r="A144" s="59" t="s">
        <v>39</v>
      </c>
      <c r="B144" s="43"/>
      <c r="C144" s="56"/>
      <c r="D144" s="41">
        <f>[4]Charters!C1201</f>
        <v>10930.22</v>
      </c>
      <c r="E144" s="42"/>
      <c r="F144" s="42">
        <f>SUM(D144:D147)</f>
        <v>10930.22</v>
      </c>
      <c r="G144" s="42"/>
      <c r="H144" s="42"/>
      <c r="I144" s="82"/>
    </row>
    <row r="145" spans="1:9" x14ac:dyDescent="0.2">
      <c r="A145" s="59" t="s">
        <v>48</v>
      </c>
      <c r="B145" s="43"/>
      <c r="C145" s="56"/>
      <c r="D145" s="41">
        <f>[4]Charters!D1201</f>
        <v>0</v>
      </c>
      <c r="E145" s="42"/>
      <c r="F145" s="42">
        <f>+F143-F144</f>
        <v>0</v>
      </c>
      <c r="G145" s="42"/>
      <c r="H145" s="42"/>
      <c r="I145" s="82"/>
    </row>
    <row r="146" spans="1:9" x14ac:dyDescent="0.2">
      <c r="A146" s="59" t="s">
        <v>60</v>
      </c>
      <c r="B146" s="43"/>
      <c r="C146" s="56"/>
      <c r="D146" s="41">
        <f>[4]Charters!E1201</f>
        <v>0</v>
      </c>
      <c r="E146" s="42"/>
      <c r="F146" s="42"/>
      <c r="G146" s="42"/>
      <c r="H146" s="42"/>
      <c r="I146" s="82"/>
    </row>
    <row r="147" spans="1:9" x14ac:dyDescent="0.2">
      <c r="A147" s="59" t="s">
        <v>61</v>
      </c>
      <c r="B147" s="43"/>
      <c r="C147" s="56"/>
      <c r="D147" s="41">
        <f>[4]Charters!F1201</f>
        <v>0</v>
      </c>
      <c r="E147" s="42"/>
      <c r="F147" s="42"/>
      <c r="G147" s="42"/>
      <c r="H147" s="42"/>
      <c r="I147" s="82"/>
    </row>
    <row r="148" spans="1:9" ht="13.5" thickBot="1" x14ac:dyDescent="0.25">
      <c r="A148" s="64"/>
      <c r="B148" s="65"/>
      <c r="C148" s="66"/>
      <c r="D148" s="67">
        <f>SUM(D123:D147)</f>
        <v>8299983.3700000001</v>
      </c>
      <c r="E148" s="42"/>
      <c r="F148" s="42"/>
      <c r="G148" s="42"/>
      <c r="H148" s="42"/>
      <c r="I148" s="82"/>
    </row>
    <row r="149" spans="1:9" ht="13.5" thickTop="1" x14ac:dyDescent="0.2">
      <c r="A149" s="68"/>
      <c r="B149" s="43"/>
      <c r="C149" s="56"/>
      <c r="D149" s="86"/>
      <c r="E149" s="42"/>
      <c r="F149" s="42"/>
      <c r="G149" s="42"/>
      <c r="H149" s="42"/>
      <c r="I149" s="82"/>
    </row>
    <row r="150" spans="1:9" x14ac:dyDescent="0.2">
      <c r="A150" s="38" t="s">
        <v>20</v>
      </c>
      <c r="B150" s="39"/>
      <c r="C150" s="70"/>
      <c r="D150" s="71" t="s">
        <v>21</v>
      </c>
      <c r="E150" s="42"/>
      <c r="F150" s="42"/>
      <c r="G150" s="42"/>
      <c r="H150" s="42"/>
      <c r="I150" s="82"/>
    </row>
    <row r="151" spans="1:9" x14ac:dyDescent="0.2">
      <c r="A151" s="72" t="s">
        <v>22</v>
      </c>
      <c r="B151" s="73"/>
      <c r="C151" s="74"/>
      <c r="D151" s="41">
        <f>[5]Charters!C107</f>
        <v>2650.65</v>
      </c>
      <c r="E151" s="42"/>
      <c r="F151" s="42"/>
      <c r="G151" s="42"/>
      <c r="H151" s="42"/>
      <c r="I151" s="82"/>
    </row>
    <row r="152" spans="1:9" x14ac:dyDescent="0.2">
      <c r="A152" s="75"/>
      <c r="B152" s="61"/>
      <c r="C152" s="76"/>
      <c r="D152" s="77">
        <f>SUM(D151:D151)</f>
        <v>2650.65</v>
      </c>
      <c r="E152" s="42"/>
      <c r="F152" s="42"/>
      <c r="G152" s="42"/>
      <c r="H152" s="42"/>
      <c r="I152" s="82"/>
    </row>
    <row r="153" spans="1:9" x14ac:dyDescent="0.2">
      <c r="A153" s="78" t="s">
        <v>58</v>
      </c>
      <c r="B153" s="79"/>
      <c r="C153" s="80"/>
      <c r="D153" s="77">
        <f>D152+D148</f>
        <v>8302634.0199999996</v>
      </c>
      <c r="E153" s="42"/>
      <c r="F153" s="42"/>
      <c r="G153" s="42"/>
      <c r="H153" s="42"/>
      <c r="I153" s="82"/>
    </row>
    <row r="154" spans="1:9" x14ac:dyDescent="0.2">
      <c r="A154" s="84"/>
      <c r="B154" s="84"/>
      <c r="C154" s="85"/>
      <c r="D154" s="81"/>
      <c r="E154" s="42"/>
      <c r="F154" s="42"/>
      <c r="G154" s="42"/>
      <c r="H154" s="42"/>
      <c r="I154" s="82"/>
    </row>
    <row r="155" spans="1:9" x14ac:dyDescent="0.2">
      <c r="A155" s="84"/>
      <c r="B155" s="84"/>
      <c r="C155" s="85"/>
      <c r="D155" s="81">
        <f>[5]Charters!E263</f>
        <v>8302634.0199999996</v>
      </c>
      <c r="E155" s="42"/>
      <c r="F155" s="42"/>
      <c r="G155" s="42"/>
      <c r="H155" s="42"/>
      <c r="I155" s="82"/>
    </row>
    <row r="156" spans="1:9" x14ac:dyDescent="0.2">
      <c r="A156" s="84"/>
      <c r="B156" s="84"/>
      <c r="C156" s="85"/>
      <c r="D156" s="81">
        <f>D153</f>
        <v>8302634.0199999996</v>
      </c>
      <c r="E156" s="42"/>
      <c r="F156" s="42"/>
      <c r="G156" s="42"/>
      <c r="H156" s="42"/>
      <c r="I156" s="82"/>
    </row>
    <row r="157" spans="1:9" x14ac:dyDescent="0.2">
      <c r="A157" s="82"/>
      <c r="B157" s="82"/>
      <c r="C157" s="83"/>
      <c r="D157" s="42">
        <f>D155-D156</f>
        <v>0</v>
      </c>
      <c r="E157" s="42"/>
      <c r="F157" s="42"/>
      <c r="G157" s="42"/>
      <c r="H157" s="42"/>
      <c r="I157" s="82"/>
    </row>
  </sheetData>
  <mergeCells count="4">
    <mergeCell ref="A153:C153"/>
    <mergeCell ref="A100:D100"/>
    <mergeCell ref="A101:D101"/>
    <mergeCell ref="A99:D99"/>
  </mergeCells>
  <printOptions horizontalCentered="1" verticalCentered="1"/>
  <pageMargins left="0.5" right="0.5" top="0.5" bottom="0.5" header="0.25" footer="0.25"/>
  <pageSetup orientation="portrait" r:id="rId1"/>
  <headerFooter alignWithMargins="0">
    <oddHeader>&amp;R&amp;8Current as of: &amp;D</oddHeader>
    <oddFooter>&amp;L&amp;8USOE, School Finance</oddFooter>
  </headerFooter>
  <picture r:id="rId2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B00-000000000000}">
  <sheetPr>
    <pageSetUpPr fitToPage="1"/>
  </sheetPr>
  <dimension ref="A1:I158"/>
  <sheetViews>
    <sheetView topLeftCell="A92" workbookViewId="0">
      <selection activeCell="C12" sqref="C12"/>
    </sheetView>
  </sheetViews>
  <sheetFormatPr defaultRowHeight="12.75" x14ac:dyDescent="0.2"/>
  <cols>
    <col min="1" max="1" width="31.85546875" style="89" customWidth="1"/>
    <col min="2" max="2" width="16.28515625" style="89" customWidth="1"/>
    <col min="3" max="4" width="15" style="89" customWidth="1"/>
    <col min="5" max="5" width="6.85546875" style="89" customWidth="1"/>
    <col min="6" max="6" width="18.28515625" style="89" customWidth="1"/>
    <col min="7" max="7" width="7.85546875" style="89" customWidth="1"/>
    <col min="8" max="8" width="16.5703125" style="89" customWidth="1"/>
    <col min="9" max="16384" width="9.140625" style="89"/>
  </cols>
  <sheetData>
    <row r="1" spans="1:9" x14ac:dyDescent="0.2">
      <c r="A1" s="7"/>
      <c r="B1" s="7"/>
      <c r="C1" s="7"/>
      <c r="D1" s="7"/>
      <c r="E1" s="7"/>
      <c r="F1" s="7"/>
      <c r="G1" s="7"/>
      <c r="H1" s="7"/>
      <c r="I1" s="7"/>
    </row>
    <row r="2" spans="1:9" x14ac:dyDescent="0.2">
      <c r="A2" s="7"/>
      <c r="B2" s="7"/>
      <c r="C2" s="7"/>
      <c r="D2" s="7"/>
      <c r="E2" s="7"/>
      <c r="F2" s="7"/>
      <c r="G2" s="7"/>
      <c r="H2" s="7"/>
      <c r="I2" s="7"/>
    </row>
    <row r="3" spans="1:9" x14ac:dyDescent="0.2">
      <c r="A3" s="7"/>
      <c r="B3" s="7"/>
      <c r="C3" s="7"/>
      <c r="D3" s="7"/>
      <c r="E3" s="7"/>
      <c r="F3" s="7"/>
      <c r="G3" s="7"/>
      <c r="H3" s="7"/>
      <c r="I3" s="7"/>
    </row>
    <row r="4" spans="1:9" x14ac:dyDescent="0.2">
      <c r="A4" s="7"/>
      <c r="B4" s="7"/>
      <c r="C4" s="7"/>
      <c r="D4" s="7"/>
      <c r="E4" s="7"/>
      <c r="F4" s="7"/>
      <c r="G4" s="7"/>
      <c r="H4" s="7"/>
      <c r="I4" s="7"/>
    </row>
    <row r="5" spans="1:9" x14ac:dyDescent="0.2">
      <c r="A5" s="7"/>
      <c r="B5" s="7"/>
      <c r="C5" s="7"/>
      <c r="D5" s="7"/>
      <c r="E5" s="7"/>
      <c r="F5" s="7"/>
      <c r="G5" s="7"/>
      <c r="H5" s="7"/>
      <c r="I5" s="7"/>
    </row>
    <row r="6" spans="1:9" x14ac:dyDescent="0.2">
      <c r="A6" s="7"/>
      <c r="B6" s="7"/>
      <c r="C6" s="7"/>
      <c r="D6" s="7"/>
      <c r="E6" s="7"/>
      <c r="F6" s="7"/>
      <c r="G6" s="7"/>
      <c r="H6" s="7"/>
      <c r="I6" s="7"/>
    </row>
    <row r="7" spans="1:9" x14ac:dyDescent="0.2">
      <c r="A7" s="7"/>
      <c r="B7" s="7"/>
      <c r="C7" s="7"/>
      <c r="D7" s="7"/>
      <c r="E7" s="7"/>
      <c r="F7" s="7"/>
      <c r="G7" s="7"/>
      <c r="H7" s="7"/>
      <c r="I7" s="7"/>
    </row>
    <row r="8" spans="1:9" x14ac:dyDescent="0.2">
      <c r="A8" s="7"/>
      <c r="B8" s="7"/>
      <c r="C8" s="7"/>
      <c r="D8" s="7"/>
      <c r="E8" s="7"/>
      <c r="F8" s="7"/>
      <c r="G8" s="7"/>
      <c r="H8" s="7"/>
      <c r="I8" s="7"/>
    </row>
    <row r="9" spans="1:9" x14ac:dyDescent="0.2">
      <c r="A9" s="7"/>
      <c r="B9" s="7"/>
      <c r="C9" s="7"/>
      <c r="D9" s="7"/>
      <c r="E9" s="7"/>
      <c r="F9" s="7"/>
      <c r="G9" s="7"/>
      <c r="H9" s="7"/>
      <c r="I9" s="7"/>
    </row>
    <row r="10" spans="1:9" x14ac:dyDescent="0.2">
      <c r="A10" s="7"/>
      <c r="B10" s="7"/>
      <c r="C10" s="7"/>
      <c r="D10" s="7"/>
      <c r="E10" s="7"/>
      <c r="F10" s="7"/>
      <c r="G10" s="7"/>
      <c r="H10" s="7"/>
      <c r="I10" s="7"/>
    </row>
    <row r="11" spans="1:9" x14ac:dyDescent="0.2">
      <c r="A11" s="7"/>
      <c r="B11" s="7"/>
      <c r="C11" s="7"/>
      <c r="D11" s="7"/>
      <c r="E11" s="7"/>
      <c r="F11" s="7"/>
      <c r="G11" s="7"/>
      <c r="H11" s="7"/>
      <c r="I11" s="7"/>
    </row>
    <row r="12" spans="1:9" x14ac:dyDescent="0.2">
      <c r="A12" s="7"/>
      <c r="B12" s="7"/>
      <c r="C12" s="7"/>
      <c r="D12" s="7"/>
      <c r="E12" s="7"/>
      <c r="F12" s="7"/>
      <c r="G12" s="7"/>
      <c r="H12" s="7"/>
      <c r="I12" s="7"/>
    </row>
    <row r="13" spans="1:9" x14ac:dyDescent="0.2">
      <c r="A13" s="7"/>
      <c r="B13" s="7"/>
      <c r="C13" s="7"/>
      <c r="D13" s="7"/>
      <c r="E13" s="7"/>
      <c r="F13" s="7"/>
      <c r="G13" s="7"/>
      <c r="H13" s="7"/>
      <c r="I13" s="7"/>
    </row>
    <row r="14" spans="1:9" x14ac:dyDescent="0.2">
      <c r="A14" s="7"/>
      <c r="B14" s="7"/>
      <c r="C14" s="7"/>
      <c r="D14" s="7"/>
      <c r="E14" s="7"/>
      <c r="F14" s="7"/>
      <c r="G14" s="7"/>
      <c r="H14" s="7"/>
      <c r="I14" s="7"/>
    </row>
    <row r="15" spans="1:9" x14ac:dyDescent="0.2">
      <c r="A15" s="7"/>
      <c r="B15" s="7"/>
      <c r="C15" s="7"/>
      <c r="D15" s="7"/>
      <c r="E15" s="7"/>
      <c r="F15" s="7"/>
      <c r="G15" s="7"/>
      <c r="H15" s="7"/>
      <c r="I15" s="7"/>
    </row>
    <row r="16" spans="1:9" x14ac:dyDescent="0.2">
      <c r="A16" s="7"/>
      <c r="B16" s="7"/>
      <c r="C16" s="7"/>
      <c r="D16" s="7"/>
      <c r="E16" s="7"/>
      <c r="F16" s="7"/>
      <c r="G16" s="7"/>
      <c r="H16" s="7"/>
      <c r="I16" s="7"/>
    </row>
    <row r="17" spans="1:9" x14ac:dyDescent="0.2">
      <c r="A17" s="7"/>
      <c r="B17" s="7"/>
      <c r="C17" s="7"/>
      <c r="D17" s="7"/>
      <c r="E17" s="7"/>
      <c r="F17" s="7"/>
      <c r="G17" s="7"/>
      <c r="H17" s="7"/>
      <c r="I17" s="7"/>
    </row>
    <row r="18" spans="1:9" x14ac:dyDescent="0.2">
      <c r="A18" s="7"/>
      <c r="B18" s="7"/>
      <c r="C18" s="7"/>
      <c r="D18" s="7"/>
      <c r="E18" s="7"/>
      <c r="F18" s="7"/>
      <c r="G18" s="7"/>
      <c r="H18" s="7"/>
      <c r="I18" s="7"/>
    </row>
    <row r="19" spans="1:9" x14ac:dyDescent="0.2">
      <c r="A19" s="7"/>
      <c r="B19" s="7"/>
      <c r="C19" s="7"/>
      <c r="D19" s="7"/>
      <c r="E19" s="7"/>
      <c r="F19" s="7"/>
      <c r="G19" s="7"/>
      <c r="H19" s="7"/>
      <c r="I19" s="7"/>
    </row>
    <row r="20" spans="1:9" x14ac:dyDescent="0.2">
      <c r="A20" s="7"/>
      <c r="B20" s="7"/>
      <c r="C20" s="7"/>
      <c r="D20" s="7"/>
      <c r="E20" s="7"/>
      <c r="F20" s="7"/>
      <c r="G20" s="7"/>
      <c r="H20" s="7"/>
      <c r="I20" s="7"/>
    </row>
    <row r="21" spans="1:9" x14ac:dyDescent="0.2">
      <c r="A21" s="7"/>
      <c r="B21" s="7"/>
      <c r="C21" s="7"/>
      <c r="D21" s="7"/>
      <c r="E21" s="7"/>
      <c r="F21" s="7"/>
      <c r="G21" s="7"/>
      <c r="H21" s="7"/>
      <c r="I21" s="7"/>
    </row>
    <row r="22" spans="1:9" x14ac:dyDescent="0.2">
      <c r="A22" s="7"/>
      <c r="B22" s="7"/>
      <c r="C22" s="7"/>
      <c r="D22" s="4"/>
      <c r="E22" s="7"/>
      <c r="F22" s="7"/>
      <c r="G22" s="7"/>
      <c r="H22" s="7"/>
      <c r="I22" s="7"/>
    </row>
    <row r="23" spans="1:9" x14ac:dyDescent="0.2">
      <c r="A23" s="7"/>
      <c r="B23" s="7"/>
      <c r="C23" s="7"/>
      <c r="D23" s="7"/>
      <c r="E23" s="7"/>
      <c r="F23" s="7"/>
      <c r="G23" s="7"/>
      <c r="H23" s="7"/>
      <c r="I23" s="7"/>
    </row>
    <row r="24" spans="1:9" x14ac:dyDescent="0.2">
      <c r="A24" s="7"/>
      <c r="B24" s="7"/>
      <c r="C24" s="7"/>
      <c r="D24" s="7"/>
      <c r="E24" s="7"/>
      <c r="F24" s="7"/>
      <c r="G24" s="7"/>
      <c r="H24" s="7"/>
      <c r="I24" s="7"/>
    </row>
    <row r="25" spans="1:9" x14ac:dyDescent="0.2">
      <c r="A25" s="7"/>
      <c r="B25" s="7"/>
      <c r="C25" s="7"/>
      <c r="D25" s="7"/>
      <c r="E25" s="7"/>
      <c r="F25" s="7"/>
      <c r="G25" s="7"/>
      <c r="H25" s="7"/>
      <c r="I25" s="7"/>
    </row>
    <row r="26" spans="1:9" x14ac:dyDescent="0.2">
      <c r="A26" s="7"/>
      <c r="B26" s="7"/>
      <c r="C26" s="7"/>
      <c r="D26" s="7"/>
      <c r="E26" s="7"/>
      <c r="F26" s="7"/>
      <c r="G26" s="7"/>
      <c r="H26" s="7"/>
      <c r="I26" s="7"/>
    </row>
    <row r="27" spans="1:9" x14ac:dyDescent="0.2">
      <c r="A27" s="7"/>
      <c r="B27" s="7"/>
      <c r="C27" s="7"/>
      <c r="D27" s="7"/>
      <c r="E27" s="7"/>
      <c r="F27" s="7"/>
      <c r="G27" s="7"/>
      <c r="H27" s="7"/>
      <c r="I27" s="7"/>
    </row>
    <row r="28" spans="1:9" x14ac:dyDescent="0.2">
      <c r="A28" s="7"/>
      <c r="B28" s="7"/>
      <c r="C28" s="7"/>
      <c r="D28" s="7"/>
      <c r="E28" s="7"/>
      <c r="F28" s="7"/>
      <c r="G28" s="7"/>
      <c r="H28" s="7"/>
      <c r="I28" s="7"/>
    </row>
    <row r="29" spans="1:9" x14ac:dyDescent="0.2">
      <c r="A29" s="7"/>
      <c r="B29" s="7"/>
      <c r="C29" s="7"/>
      <c r="D29" s="7"/>
      <c r="E29" s="7"/>
      <c r="F29" s="7"/>
      <c r="G29" s="7"/>
      <c r="H29" s="7"/>
      <c r="I29" s="7"/>
    </row>
    <row r="30" spans="1:9" x14ac:dyDescent="0.2">
      <c r="A30" s="7"/>
      <c r="B30" s="7"/>
      <c r="C30" s="7"/>
      <c r="D30" s="7"/>
      <c r="E30" s="7"/>
      <c r="F30" s="7"/>
      <c r="G30" s="7"/>
      <c r="H30" s="7"/>
      <c r="I30" s="7"/>
    </row>
    <row r="31" spans="1:9" x14ac:dyDescent="0.2">
      <c r="A31" s="7"/>
      <c r="B31" s="7"/>
      <c r="C31" s="7"/>
      <c r="D31" s="7"/>
      <c r="E31" s="7"/>
      <c r="F31" s="7"/>
      <c r="G31" s="7"/>
      <c r="H31" s="7"/>
      <c r="I31" s="7"/>
    </row>
    <row r="32" spans="1:9" x14ac:dyDescent="0.2">
      <c r="A32" s="7"/>
      <c r="B32" s="7"/>
      <c r="C32" s="7"/>
      <c r="D32" s="7"/>
      <c r="E32" s="7"/>
      <c r="F32" s="7"/>
      <c r="G32" s="7"/>
      <c r="H32" s="7"/>
      <c r="I32" s="7"/>
    </row>
    <row r="33" spans="1:9" x14ac:dyDescent="0.2">
      <c r="A33" s="7"/>
      <c r="B33" s="7"/>
      <c r="C33" s="7"/>
      <c r="D33" s="7"/>
      <c r="E33" s="7"/>
      <c r="F33" s="7"/>
      <c r="G33" s="7"/>
      <c r="H33" s="7"/>
      <c r="I33" s="7"/>
    </row>
    <row r="34" spans="1:9" x14ac:dyDescent="0.2">
      <c r="A34" s="7"/>
      <c r="B34" s="7"/>
      <c r="C34" s="7"/>
      <c r="D34" s="7"/>
      <c r="E34" s="7"/>
      <c r="F34" s="7"/>
      <c r="G34" s="7"/>
      <c r="H34" s="7"/>
      <c r="I34" s="7"/>
    </row>
    <row r="35" spans="1:9" x14ac:dyDescent="0.2">
      <c r="A35" s="7"/>
      <c r="B35" s="7"/>
      <c r="C35" s="7"/>
      <c r="D35" s="7"/>
      <c r="E35" s="7"/>
      <c r="F35" s="7"/>
      <c r="G35" s="7"/>
      <c r="H35" s="7"/>
      <c r="I35" s="7"/>
    </row>
    <row r="36" spans="1:9" x14ac:dyDescent="0.2">
      <c r="A36" s="7"/>
      <c r="B36" s="7"/>
      <c r="C36" s="7"/>
      <c r="D36" s="7"/>
      <c r="E36" s="7"/>
      <c r="F36" s="7"/>
      <c r="G36" s="7"/>
      <c r="H36" s="7"/>
      <c r="I36" s="7"/>
    </row>
    <row r="37" spans="1:9" x14ac:dyDescent="0.2">
      <c r="A37" s="7"/>
      <c r="B37" s="7"/>
      <c r="C37" s="7"/>
      <c r="D37" s="7"/>
      <c r="E37" s="7"/>
      <c r="F37" s="7"/>
      <c r="G37" s="7"/>
      <c r="H37" s="7"/>
      <c r="I37" s="7"/>
    </row>
    <row r="38" spans="1:9" x14ac:dyDescent="0.2">
      <c r="A38" s="7"/>
      <c r="B38" s="7"/>
      <c r="C38" s="7"/>
      <c r="D38" s="7"/>
      <c r="E38" s="7"/>
      <c r="F38" s="7"/>
      <c r="G38" s="7"/>
      <c r="H38" s="7"/>
      <c r="I38" s="7"/>
    </row>
    <row r="39" spans="1:9" x14ac:dyDescent="0.2">
      <c r="A39" s="7"/>
      <c r="B39" s="7"/>
      <c r="C39" s="7"/>
      <c r="D39" s="7"/>
      <c r="E39" s="7"/>
      <c r="F39" s="7"/>
      <c r="G39" s="7"/>
      <c r="H39" s="7"/>
      <c r="I39" s="7"/>
    </row>
    <row r="40" spans="1:9" x14ac:dyDescent="0.2">
      <c r="A40" s="7"/>
      <c r="B40" s="7"/>
      <c r="C40" s="7"/>
      <c r="D40" s="7"/>
      <c r="E40" s="7"/>
      <c r="F40" s="7"/>
      <c r="G40" s="7"/>
      <c r="H40" s="7"/>
      <c r="I40" s="7"/>
    </row>
    <row r="41" spans="1:9" x14ac:dyDescent="0.2">
      <c r="A41" s="7"/>
      <c r="B41" s="7"/>
      <c r="C41" s="7"/>
      <c r="D41" s="7"/>
      <c r="E41" s="7"/>
      <c r="F41" s="7"/>
      <c r="G41" s="7"/>
      <c r="H41" s="7"/>
      <c r="I41" s="7"/>
    </row>
    <row r="42" spans="1:9" x14ac:dyDescent="0.2">
      <c r="A42" s="7"/>
      <c r="B42" s="7"/>
      <c r="C42" s="7"/>
      <c r="D42" s="7"/>
      <c r="E42" s="7"/>
      <c r="F42" s="7"/>
      <c r="G42" s="7"/>
      <c r="H42" s="7"/>
      <c r="I42" s="7"/>
    </row>
    <row r="43" spans="1:9" x14ac:dyDescent="0.2">
      <c r="A43" s="7"/>
      <c r="B43" s="7"/>
      <c r="C43" s="7"/>
      <c r="D43" s="7"/>
      <c r="E43" s="7"/>
      <c r="F43" s="7"/>
      <c r="G43" s="7"/>
      <c r="H43" s="7"/>
      <c r="I43" s="7"/>
    </row>
    <row r="44" spans="1:9" x14ac:dyDescent="0.2">
      <c r="A44" s="7"/>
      <c r="B44" s="7"/>
      <c r="C44" s="7"/>
      <c r="D44" s="7"/>
      <c r="E44" s="7"/>
      <c r="F44" s="7"/>
      <c r="G44" s="7"/>
      <c r="H44" s="7"/>
      <c r="I44" s="7"/>
    </row>
    <row r="45" spans="1:9" x14ac:dyDescent="0.2">
      <c r="A45" s="7"/>
      <c r="B45" s="7"/>
      <c r="C45" s="7"/>
      <c r="D45" s="7"/>
      <c r="E45" s="7"/>
      <c r="F45" s="7"/>
      <c r="G45" s="7"/>
      <c r="H45" s="7"/>
      <c r="I45" s="7"/>
    </row>
    <row r="46" spans="1:9" x14ac:dyDescent="0.2">
      <c r="A46" s="7"/>
      <c r="B46" s="7"/>
      <c r="C46" s="7"/>
      <c r="D46" s="7"/>
      <c r="E46" s="7"/>
      <c r="F46" s="7"/>
      <c r="G46" s="7"/>
      <c r="H46" s="7"/>
      <c r="I46" s="7"/>
    </row>
    <row r="47" spans="1:9" x14ac:dyDescent="0.2">
      <c r="A47" s="7"/>
      <c r="B47" s="7"/>
      <c r="C47" s="7"/>
      <c r="D47" s="7"/>
      <c r="E47" s="7"/>
      <c r="F47" s="7"/>
      <c r="G47" s="7"/>
      <c r="H47" s="7"/>
      <c r="I47" s="7"/>
    </row>
    <row r="48" spans="1:9" x14ac:dyDescent="0.2">
      <c r="A48" s="7"/>
      <c r="B48" s="7"/>
      <c r="C48" s="7"/>
      <c r="D48" s="7"/>
      <c r="E48" s="7"/>
      <c r="F48" s="7"/>
      <c r="G48" s="7"/>
      <c r="H48" s="7"/>
      <c r="I48" s="7"/>
    </row>
    <row r="49" spans="1:9" x14ac:dyDescent="0.2">
      <c r="A49" s="7"/>
      <c r="B49" s="7"/>
      <c r="C49" s="7"/>
      <c r="D49" s="7"/>
      <c r="E49" s="7"/>
      <c r="F49" s="7"/>
      <c r="G49" s="7"/>
      <c r="H49" s="7"/>
      <c r="I49" s="7"/>
    </row>
    <row r="50" spans="1:9" x14ac:dyDescent="0.2">
      <c r="A50" s="7"/>
      <c r="B50" s="7"/>
      <c r="C50" s="7"/>
      <c r="D50" s="7"/>
      <c r="E50" s="7"/>
      <c r="F50" s="7"/>
      <c r="G50" s="7"/>
      <c r="H50" s="7"/>
      <c r="I50" s="7"/>
    </row>
    <row r="51" spans="1:9" x14ac:dyDescent="0.2">
      <c r="A51" s="7"/>
      <c r="B51" s="7"/>
      <c r="C51" s="7"/>
      <c r="D51" s="7"/>
      <c r="E51" s="7"/>
      <c r="F51" s="7"/>
      <c r="G51" s="7"/>
      <c r="H51" s="7"/>
      <c r="I51" s="7"/>
    </row>
    <row r="52" spans="1:9" x14ac:dyDescent="0.2">
      <c r="A52" s="7"/>
      <c r="B52" s="7"/>
      <c r="C52" s="7"/>
      <c r="D52" s="7"/>
      <c r="E52" s="7"/>
      <c r="F52" s="7"/>
      <c r="G52" s="7"/>
      <c r="H52" s="7"/>
      <c r="I52" s="7"/>
    </row>
    <row r="53" spans="1:9" x14ac:dyDescent="0.2">
      <c r="A53" s="7"/>
      <c r="B53" s="7"/>
      <c r="C53" s="7"/>
      <c r="D53" s="7"/>
      <c r="E53" s="7"/>
      <c r="F53" s="7"/>
      <c r="G53" s="7"/>
      <c r="H53" s="7"/>
      <c r="I53" s="7"/>
    </row>
    <row r="54" spans="1:9" x14ac:dyDescent="0.2">
      <c r="A54" s="7"/>
      <c r="B54" s="7"/>
      <c r="C54" s="7"/>
      <c r="D54" s="7"/>
      <c r="E54" s="7"/>
      <c r="F54" s="7"/>
      <c r="G54" s="7"/>
      <c r="H54" s="7"/>
      <c r="I54" s="7"/>
    </row>
    <row r="55" spans="1:9" x14ac:dyDescent="0.2">
      <c r="A55" s="7"/>
      <c r="B55" s="7"/>
      <c r="C55" s="7"/>
      <c r="D55" s="7"/>
      <c r="E55" s="7"/>
      <c r="F55" s="7"/>
      <c r="G55" s="7"/>
      <c r="H55" s="7"/>
      <c r="I55" s="7"/>
    </row>
    <row r="56" spans="1:9" x14ac:dyDescent="0.2">
      <c r="A56" s="7"/>
      <c r="B56" s="7"/>
      <c r="C56" s="7"/>
      <c r="D56" s="7"/>
      <c r="E56" s="7"/>
      <c r="F56" s="7"/>
      <c r="G56" s="7"/>
      <c r="H56" s="7"/>
      <c r="I56" s="7"/>
    </row>
    <row r="57" spans="1:9" x14ac:dyDescent="0.2">
      <c r="A57" s="7"/>
      <c r="B57" s="7"/>
      <c r="C57" s="7"/>
      <c r="D57" s="7"/>
      <c r="E57" s="7"/>
      <c r="F57" s="7"/>
      <c r="G57" s="7"/>
      <c r="H57" s="7"/>
      <c r="I57" s="7"/>
    </row>
    <row r="58" spans="1:9" x14ac:dyDescent="0.2">
      <c r="A58" s="7"/>
      <c r="B58" s="7"/>
      <c r="C58" s="7"/>
      <c r="D58" s="7"/>
      <c r="E58" s="7"/>
      <c r="F58" s="7"/>
      <c r="G58" s="7"/>
      <c r="H58" s="7"/>
      <c r="I58" s="7"/>
    </row>
    <row r="59" spans="1:9" x14ac:dyDescent="0.2">
      <c r="A59" s="7"/>
      <c r="B59" s="7"/>
      <c r="C59" s="7"/>
      <c r="D59" s="7"/>
      <c r="E59" s="7"/>
      <c r="F59" s="7"/>
      <c r="G59" s="7"/>
      <c r="H59" s="7"/>
      <c r="I59" s="7"/>
    </row>
    <row r="60" spans="1:9" x14ac:dyDescent="0.2">
      <c r="A60" s="7"/>
      <c r="B60" s="7"/>
      <c r="C60" s="7"/>
      <c r="D60" s="7"/>
      <c r="E60" s="7"/>
      <c r="F60" s="7"/>
      <c r="G60" s="7"/>
      <c r="H60" s="7"/>
      <c r="I60" s="7"/>
    </row>
    <row r="61" spans="1:9" x14ac:dyDescent="0.2">
      <c r="A61" s="7"/>
      <c r="B61" s="7"/>
      <c r="C61" s="7"/>
      <c r="D61" s="7"/>
      <c r="E61" s="7"/>
      <c r="F61" s="7"/>
      <c r="G61" s="7"/>
      <c r="H61" s="7"/>
      <c r="I61" s="7"/>
    </row>
    <row r="62" spans="1:9" x14ac:dyDescent="0.2">
      <c r="A62" s="7"/>
      <c r="B62" s="7"/>
      <c r="C62" s="7"/>
      <c r="D62" s="7"/>
      <c r="E62" s="7"/>
      <c r="F62" s="7"/>
      <c r="G62" s="7"/>
      <c r="H62" s="7"/>
      <c r="I62" s="7"/>
    </row>
    <row r="63" spans="1:9" x14ac:dyDescent="0.2">
      <c r="A63" s="7"/>
      <c r="B63" s="7"/>
      <c r="C63" s="7"/>
      <c r="D63" s="7"/>
      <c r="E63" s="7"/>
      <c r="F63" s="7"/>
      <c r="G63" s="7"/>
      <c r="H63" s="7"/>
      <c r="I63" s="7"/>
    </row>
    <row r="64" spans="1:9" x14ac:dyDescent="0.2">
      <c r="A64" s="7"/>
      <c r="B64" s="7"/>
      <c r="C64" s="7"/>
      <c r="D64" s="7"/>
      <c r="E64" s="7"/>
      <c r="F64" s="7"/>
      <c r="G64" s="7"/>
      <c r="H64" s="7"/>
      <c r="I64" s="7"/>
    </row>
    <row r="65" spans="1:9" x14ac:dyDescent="0.2">
      <c r="A65" s="7"/>
      <c r="B65" s="7"/>
      <c r="C65" s="7"/>
      <c r="D65" s="7"/>
      <c r="E65" s="7"/>
      <c r="F65" s="7"/>
      <c r="G65" s="7"/>
      <c r="H65" s="7"/>
      <c r="I65" s="7"/>
    </row>
    <row r="66" spans="1:9" x14ac:dyDescent="0.2">
      <c r="A66" s="7"/>
      <c r="B66" s="7"/>
      <c r="C66" s="7"/>
      <c r="D66" s="7"/>
      <c r="E66" s="7"/>
      <c r="F66" s="7"/>
      <c r="G66" s="7"/>
      <c r="H66" s="7"/>
      <c r="I66" s="7"/>
    </row>
    <row r="67" spans="1:9" x14ac:dyDescent="0.2">
      <c r="A67" s="7"/>
      <c r="B67" s="7"/>
      <c r="C67" s="7"/>
      <c r="D67" s="7"/>
      <c r="E67" s="7"/>
      <c r="F67" s="7"/>
      <c r="G67" s="7"/>
      <c r="H67" s="7"/>
      <c r="I67" s="7"/>
    </row>
    <row r="68" spans="1:9" x14ac:dyDescent="0.2">
      <c r="A68" s="7"/>
      <c r="B68" s="7"/>
      <c r="C68" s="7"/>
      <c r="D68" s="7"/>
      <c r="E68" s="7"/>
      <c r="F68" s="7"/>
      <c r="G68" s="7"/>
      <c r="H68" s="7"/>
      <c r="I68" s="7"/>
    </row>
    <row r="69" spans="1:9" x14ac:dyDescent="0.2">
      <c r="A69" s="7"/>
      <c r="B69" s="7"/>
      <c r="C69" s="7"/>
      <c r="D69" s="7"/>
      <c r="E69" s="7"/>
      <c r="F69" s="7"/>
      <c r="G69" s="7"/>
      <c r="H69" s="7"/>
      <c r="I69" s="7"/>
    </row>
    <row r="70" spans="1:9" x14ac:dyDescent="0.2">
      <c r="A70" s="7"/>
      <c r="B70" s="7"/>
      <c r="C70" s="7"/>
      <c r="D70" s="7"/>
      <c r="E70" s="7"/>
      <c r="F70" s="7"/>
      <c r="G70" s="7"/>
      <c r="H70" s="7"/>
      <c r="I70" s="7"/>
    </row>
    <row r="71" spans="1:9" x14ac:dyDescent="0.2">
      <c r="A71" s="7"/>
      <c r="B71" s="7"/>
      <c r="C71" s="7"/>
      <c r="D71" s="7"/>
      <c r="E71" s="7"/>
      <c r="F71" s="7"/>
      <c r="G71" s="7"/>
      <c r="H71" s="7"/>
      <c r="I71" s="7"/>
    </row>
    <row r="72" spans="1:9" x14ac:dyDescent="0.2">
      <c r="A72" s="7"/>
      <c r="B72" s="7"/>
      <c r="C72" s="7"/>
      <c r="D72" s="7"/>
      <c r="E72" s="7"/>
      <c r="F72" s="7"/>
      <c r="G72" s="7"/>
      <c r="H72" s="7"/>
      <c r="I72" s="7"/>
    </row>
    <row r="73" spans="1:9" x14ac:dyDescent="0.2">
      <c r="A73" s="7"/>
      <c r="B73" s="7"/>
      <c r="C73" s="7"/>
      <c r="D73" s="7"/>
      <c r="E73" s="7"/>
      <c r="F73" s="7"/>
      <c r="G73" s="7"/>
      <c r="H73" s="7"/>
      <c r="I73" s="7"/>
    </row>
    <row r="74" spans="1:9" x14ac:dyDescent="0.2">
      <c r="A74" s="7"/>
      <c r="B74" s="7"/>
      <c r="C74" s="7"/>
      <c r="D74" s="7"/>
      <c r="E74" s="7"/>
      <c r="F74" s="7"/>
      <c r="G74" s="7"/>
      <c r="H74" s="7"/>
      <c r="I74" s="7"/>
    </row>
    <row r="75" spans="1:9" x14ac:dyDescent="0.2">
      <c r="A75" s="7"/>
      <c r="B75" s="7"/>
      <c r="C75" s="7"/>
      <c r="D75" s="7"/>
      <c r="E75" s="7"/>
      <c r="F75" s="7"/>
      <c r="G75" s="7"/>
      <c r="H75" s="7"/>
      <c r="I75" s="7"/>
    </row>
    <row r="76" spans="1:9" x14ac:dyDescent="0.2">
      <c r="A76" s="7"/>
      <c r="B76" s="7"/>
      <c r="C76" s="7"/>
      <c r="D76" s="7"/>
      <c r="E76" s="7"/>
      <c r="F76" s="7"/>
      <c r="G76" s="7"/>
      <c r="H76" s="7"/>
      <c r="I76" s="7"/>
    </row>
    <row r="77" spans="1:9" x14ac:dyDescent="0.2">
      <c r="A77" s="7"/>
      <c r="B77" s="7"/>
      <c r="C77" s="7"/>
      <c r="D77" s="7"/>
      <c r="E77" s="7"/>
      <c r="F77" s="7"/>
      <c r="G77" s="7"/>
      <c r="H77" s="7"/>
      <c r="I77" s="7"/>
    </row>
    <row r="78" spans="1:9" x14ac:dyDescent="0.2">
      <c r="A78" s="7"/>
      <c r="B78" s="7"/>
      <c r="C78" s="7"/>
      <c r="D78" s="7"/>
      <c r="E78" s="7"/>
      <c r="F78" s="7"/>
      <c r="G78" s="7"/>
      <c r="H78" s="7"/>
      <c r="I78" s="7"/>
    </row>
    <row r="79" spans="1:9" x14ac:dyDescent="0.2">
      <c r="A79" s="7"/>
      <c r="B79" s="7"/>
      <c r="C79" s="7"/>
      <c r="D79" s="7"/>
      <c r="E79" s="7"/>
      <c r="F79" s="7"/>
      <c r="G79" s="7"/>
      <c r="H79" s="7"/>
      <c r="I79" s="7"/>
    </row>
    <row r="80" spans="1:9" x14ac:dyDescent="0.2">
      <c r="A80" s="7"/>
      <c r="B80" s="7"/>
      <c r="C80" s="7"/>
      <c r="D80" s="7"/>
      <c r="E80" s="7"/>
      <c r="F80" s="7"/>
      <c r="G80" s="7"/>
      <c r="H80" s="7"/>
      <c r="I80" s="7"/>
    </row>
    <row r="81" spans="1:9" x14ac:dyDescent="0.2">
      <c r="A81" s="7"/>
      <c r="B81" s="7"/>
      <c r="C81" s="7"/>
      <c r="D81" s="7"/>
      <c r="E81" s="7"/>
      <c r="F81" s="7"/>
      <c r="G81" s="7"/>
      <c r="H81" s="7"/>
      <c r="I81" s="7"/>
    </row>
    <row r="82" spans="1:9" x14ac:dyDescent="0.2">
      <c r="A82" s="7"/>
      <c r="B82" s="7"/>
      <c r="C82" s="7"/>
      <c r="D82" s="7"/>
      <c r="E82" s="7"/>
      <c r="F82" s="7"/>
      <c r="G82" s="7"/>
      <c r="H82" s="7"/>
      <c r="I82" s="7"/>
    </row>
    <row r="83" spans="1:9" x14ac:dyDescent="0.2">
      <c r="A83" s="7"/>
      <c r="B83" s="7"/>
      <c r="C83" s="7"/>
      <c r="D83" s="7"/>
      <c r="E83" s="7"/>
      <c r="F83" s="7"/>
      <c r="G83" s="7"/>
      <c r="H83" s="7"/>
      <c r="I83" s="7"/>
    </row>
    <row r="84" spans="1:9" x14ac:dyDescent="0.2">
      <c r="A84" s="7"/>
      <c r="B84" s="7"/>
      <c r="C84" s="7"/>
      <c r="D84" s="7"/>
      <c r="E84" s="7"/>
      <c r="F84" s="7"/>
      <c r="G84" s="7"/>
      <c r="H84" s="7"/>
      <c r="I84" s="7"/>
    </row>
    <row r="85" spans="1:9" x14ac:dyDescent="0.2">
      <c r="A85" s="7"/>
      <c r="B85" s="7"/>
      <c r="C85" s="7"/>
      <c r="D85" s="7"/>
      <c r="E85" s="7"/>
      <c r="F85" s="7"/>
      <c r="G85" s="7"/>
      <c r="H85" s="7"/>
      <c r="I85" s="7"/>
    </row>
    <row r="86" spans="1:9" x14ac:dyDescent="0.2">
      <c r="A86" s="7"/>
      <c r="B86" s="7"/>
      <c r="C86" s="7"/>
      <c r="D86" s="7"/>
      <c r="E86" s="7"/>
      <c r="F86" s="7"/>
      <c r="G86" s="7"/>
      <c r="H86" s="7"/>
      <c r="I86" s="7"/>
    </row>
    <row r="87" spans="1:9" x14ac:dyDescent="0.2">
      <c r="A87" s="7"/>
      <c r="B87" s="7"/>
      <c r="C87" s="7"/>
      <c r="D87" s="7"/>
      <c r="E87" s="7"/>
      <c r="F87" s="7"/>
      <c r="G87" s="7"/>
      <c r="H87" s="7"/>
      <c r="I87" s="7"/>
    </row>
    <row r="88" spans="1:9" x14ac:dyDescent="0.2">
      <c r="A88" s="7"/>
      <c r="B88" s="7"/>
      <c r="C88" s="7"/>
      <c r="D88" s="7"/>
      <c r="E88" s="7"/>
      <c r="F88" s="7"/>
      <c r="G88" s="7"/>
      <c r="H88" s="7"/>
      <c r="I88" s="7"/>
    </row>
    <row r="89" spans="1:9" x14ac:dyDescent="0.2">
      <c r="A89" s="7"/>
      <c r="B89" s="7"/>
      <c r="C89" s="7"/>
      <c r="D89" s="7"/>
      <c r="E89" s="7"/>
      <c r="F89" s="7"/>
      <c r="G89" s="7"/>
      <c r="H89" s="7"/>
      <c r="I89" s="7"/>
    </row>
    <row r="90" spans="1:9" x14ac:dyDescent="0.2">
      <c r="A90" s="7"/>
      <c r="B90" s="7"/>
      <c r="C90" s="7"/>
      <c r="D90" s="7"/>
      <c r="E90" s="7"/>
      <c r="F90" s="7"/>
      <c r="G90" s="7"/>
      <c r="H90" s="7"/>
      <c r="I90" s="7"/>
    </row>
    <row r="91" spans="1:9" x14ac:dyDescent="0.2">
      <c r="A91" s="7"/>
      <c r="B91" s="7"/>
      <c r="C91" s="7"/>
      <c r="D91" s="7"/>
      <c r="E91" s="7"/>
      <c r="F91" s="7"/>
      <c r="G91" s="7"/>
      <c r="H91" s="7"/>
      <c r="I91" s="7"/>
    </row>
    <row r="92" spans="1:9" x14ac:dyDescent="0.2">
      <c r="A92" s="7"/>
      <c r="B92" s="7"/>
      <c r="C92" s="7"/>
      <c r="D92" s="7"/>
      <c r="E92" s="7"/>
      <c r="F92" s="7"/>
      <c r="G92" s="7"/>
      <c r="H92" s="7"/>
      <c r="I92" s="7"/>
    </row>
    <row r="93" spans="1:9" x14ac:dyDescent="0.2">
      <c r="A93" s="7"/>
      <c r="B93" s="7"/>
      <c r="C93" s="7"/>
      <c r="D93" s="7"/>
      <c r="E93" s="7"/>
      <c r="F93" s="7"/>
      <c r="G93" s="7"/>
      <c r="H93" s="7"/>
      <c r="I93" s="7"/>
    </row>
    <row r="94" spans="1:9" x14ac:dyDescent="0.2">
      <c r="A94" s="7"/>
      <c r="B94" s="7"/>
      <c r="C94" s="7"/>
      <c r="D94" s="7"/>
      <c r="E94" s="7"/>
      <c r="F94" s="7"/>
      <c r="G94" s="7"/>
      <c r="H94" s="7"/>
      <c r="I94" s="7"/>
    </row>
    <row r="95" spans="1:9" x14ac:dyDescent="0.2">
      <c r="A95" s="7"/>
      <c r="B95" s="7"/>
      <c r="C95" s="7"/>
      <c r="D95" s="7"/>
      <c r="E95" s="7"/>
      <c r="F95" s="7"/>
      <c r="G95" s="7"/>
      <c r="H95" s="7"/>
      <c r="I95" s="7"/>
    </row>
    <row r="96" spans="1:9" x14ac:dyDescent="0.2">
      <c r="A96" s="7"/>
      <c r="B96" s="7"/>
      <c r="C96" s="7"/>
      <c r="D96" s="7"/>
      <c r="E96" s="7"/>
      <c r="F96" s="7"/>
      <c r="G96" s="7"/>
      <c r="H96" s="7"/>
      <c r="I96" s="7"/>
    </row>
    <row r="97" spans="1:9" x14ac:dyDescent="0.2">
      <c r="A97" s="7"/>
      <c r="B97" s="7"/>
      <c r="C97" s="7"/>
      <c r="D97" s="7"/>
      <c r="E97" s="7"/>
      <c r="F97" s="7"/>
      <c r="G97" s="7"/>
      <c r="H97" s="7"/>
      <c r="I97" s="7"/>
    </row>
    <row r="98" spans="1:9" x14ac:dyDescent="0.2">
      <c r="A98" s="7"/>
      <c r="B98" s="7"/>
      <c r="C98" s="7"/>
      <c r="D98" s="7"/>
      <c r="E98" s="7"/>
      <c r="F98" s="7"/>
      <c r="G98" s="7"/>
      <c r="H98" s="7"/>
      <c r="I98" s="7"/>
    </row>
    <row r="99" spans="1:9" x14ac:dyDescent="0.2">
      <c r="A99" s="7"/>
      <c r="B99" s="7"/>
      <c r="C99" s="7"/>
      <c r="D99" s="7"/>
      <c r="E99" s="7"/>
      <c r="F99" s="7"/>
      <c r="G99" s="7"/>
      <c r="H99" s="7"/>
      <c r="I99" s="7"/>
    </row>
    <row r="100" spans="1:9" x14ac:dyDescent="0.2">
      <c r="A100" s="11" t="s">
        <v>1</v>
      </c>
      <c r="B100" s="12"/>
      <c r="C100" s="12"/>
      <c r="D100" s="13"/>
      <c r="E100" s="8"/>
      <c r="F100" s="8"/>
      <c r="G100" s="8"/>
      <c r="H100" s="8"/>
      <c r="I100" s="1"/>
    </row>
    <row r="101" spans="1:9" x14ac:dyDescent="0.2">
      <c r="A101" s="14" t="s">
        <v>15</v>
      </c>
      <c r="B101" s="15"/>
      <c r="C101" s="15"/>
      <c r="D101" s="16"/>
      <c r="E101" s="8"/>
      <c r="F101" s="8"/>
      <c r="G101" s="8"/>
      <c r="H101" s="8"/>
      <c r="I101" s="1"/>
    </row>
    <row r="102" spans="1:9" x14ac:dyDescent="0.2">
      <c r="A102" s="17" t="s">
        <v>62</v>
      </c>
      <c r="B102" s="18"/>
      <c r="C102" s="18"/>
      <c r="D102" s="19"/>
      <c r="E102" s="8"/>
      <c r="F102" s="8"/>
      <c r="G102" s="8"/>
      <c r="H102" s="8"/>
      <c r="I102" s="1"/>
    </row>
    <row r="103" spans="1:9" x14ac:dyDescent="0.2">
      <c r="A103" s="20"/>
      <c r="B103" s="21"/>
      <c r="C103" s="22"/>
      <c r="D103" s="23"/>
      <c r="E103" s="8"/>
      <c r="F103" s="8" t="s">
        <v>34</v>
      </c>
      <c r="G103" s="8"/>
      <c r="H103" s="8"/>
      <c r="I103" s="1"/>
    </row>
    <row r="104" spans="1:9" ht="15.75" x14ac:dyDescent="0.25">
      <c r="A104" s="24" t="s">
        <v>2</v>
      </c>
      <c r="B104" s="25" t="str">
        <f>[1]Charters!B109</f>
        <v>Ascent Academies of Utah</v>
      </c>
      <c r="C104" s="26"/>
      <c r="D104" s="27"/>
      <c r="E104" s="8"/>
      <c r="F104" s="8"/>
      <c r="G104" s="8"/>
      <c r="H104" s="8"/>
      <c r="I104" s="1"/>
    </row>
    <row r="105" spans="1:9" x14ac:dyDescent="0.2">
      <c r="A105" s="24"/>
      <c r="B105" s="28"/>
      <c r="C105" s="26"/>
      <c r="D105" s="27"/>
      <c r="E105" s="8"/>
      <c r="F105" s="8"/>
      <c r="G105" s="8"/>
      <c r="H105" s="8"/>
      <c r="I105" s="1"/>
    </row>
    <row r="106" spans="1:9" x14ac:dyDescent="0.2">
      <c r="A106" s="29" t="s">
        <v>0</v>
      </c>
      <c r="B106" s="30">
        <f>[1]Charters!$E$6</f>
        <v>3184</v>
      </c>
      <c r="C106" s="26"/>
      <c r="D106" s="31"/>
      <c r="E106" s="8"/>
      <c r="F106" s="8"/>
      <c r="G106" s="8"/>
      <c r="H106" s="8"/>
      <c r="I106" s="1"/>
    </row>
    <row r="107" spans="1:9" x14ac:dyDescent="0.2">
      <c r="A107" s="32"/>
      <c r="B107" s="6"/>
      <c r="C107" s="33"/>
      <c r="D107" s="34" t="s">
        <v>3</v>
      </c>
      <c r="E107" s="8"/>
      <c r="F107" s="8"/>
      <c r="G107" s="8"/>
      <c r="H107" s="8"/>
      <c r="I107" s="1"/>
    </row>
    <row r="108" spans="1:9" x14ac:dyDescent="0.2">
      <c r="A108" s="29" t="s">
        <v>19</v>
      </c>
      <c r="B108" s="35" t="str">
        <f>[1]Charters!A109</f>
        <v>2J</v>
      </c>
      <c r="C108" s="36" t="s">
        <v>4</v>
      </c>
      <c r="D108" s="37" t="s">
        <v>5</v>
      </c>
      <c r="E108" s="8"/>
      <c r="F108" s="8"/>
      <c r="G108" s="8"/>
      <c r="H108" s="8"/>
      <c r="I108" s="1"/>
    </row>
    <row r="109" spans="1:9" x14ac:dyDescent="0.2">
      <c r="A109" s="38" t="s">
        <v>6</v>
      </c>
      <c r="B109" s="39"/>
      <c r="C109" s="40"/>
      <c r="D109" s="41"/>
      <c r="E109" s="8"/>
      <c r="F109" s="8"/>
      <c r="G109" s="8"/>
      <c r="H109" s="8"/>
      <c r="I109" s="1"/>
    </row>
    <row r="110" spans="1:9" x14ac:dyDescent="0.2">
      <c r="A110" s="38" t="s">
        <v>7</v>
      </c>
      <c r="B110" s="39"/>
      <c r="C110" s="40"/>
      <c r="D110" s="41"/>
      <c r="E110" s="8"/>
      <c r="F110" s="42" t="s">
        <v>23</v>
      </c>
      <c r="G110" s="8"/>
      <c r="H110" s="42" t="s">
        <v>26</v>
      </c>
      <c r="I110" s="1"/>
    </row>
    <row r="111" spans="1:9" x14ac:dyDescent="0.2">
      <c r="A111" s="20" t="s">
        <v>8</v>
      </c>
      <c r="B111" s="43"/>
      <c r="C111" s="44">
        <f>[1]Charters!C569</f>
        <v>1643.6179999999999</v>
      </c>
      <c r="D111" s="45">
        <f>[1]Charters!E569</f>
        <v>5233278.18</v>
      </c>
      <c r="E111" s="8"/>
      <c r="F111" s="42">
        <f>[1]Charters!E725</f>
        <v>5510872.1900000004</v>
      </c>
      <c r="G111" s="8"/>
      <c r="H111" s="42">
        <f>[2]Charters!E263</f>
        <v>6995155.1699999999</v>
      </c>
      <c r="I111" s="1"/>
    </row>
    <row r="112" spans="1:9" x14ac:dyDescent="0.2">
      <c r="A112" s="20" t="s">
        <v>14</v>
      </c>
      <c r="B112" s="43"/>
      <c r="C112" s="44">
        <f>[1]Charters!F569</f>
        <v>87.183999999999997</v>
      </c>
      <c r="D112" s="45">
        <f>[1]Charters!H569</f>
        <v>277594.01</v>
      </c>
      <c r="E112" s="8"/>
      <c r="F112" s="42">
        <f>SUM(D111:D113)</f>
        <v>5510872.1900000004</v>
      </c>
      <c r="G112" s="8"/>
      <c r="H112" s="42">
        <f>D124</f>
        <v>6995155.1699999999</v>
      </c>
      <c r="I112" s="1"/>
    </row>
    <row r="113" spans="1:9" x14ac:dyDescent="0.2">
      <c r="A113" s="20" t="s">
        <v>32</v>
      </c>
      <c r="B113" s="43"/>
      <c r="C113" s="44">
        <f>[1]Charters!C262</f>
        <v>0</v>
      </c>
      <c r="D113" s="45">
        <f>[1]Charters!E262</f>
        <v>0</v>
      </c>
      <c r="E113" s="8"/>
      <c r="F113" s="42">
        <f>+F111-F112</f>
        <v>0</v>
      </c>
      <c r="G113" s="8"/>
      <c r="H113" s="42">
        <f>+H111-H112</f>
        <v>0</v>
      </c>
      <c r="I113" s="1"/>
    </row>
    <row r="114" spans="1:9" x14ac:dyDescent="0.2">
      <c r="A114" s="38" t="s">
        <v>9</v>
      </c>
      <c r="B114" s="39"/>
      <c r="C114" s="46"/>
      <c r="D114" s="47"/>
      <c r="E114" s="8"/>
      <c r="F114" s="8"/>
      <c r="G114" s="8"/>
      <c r="H114" s="8"/>
      <c r="I114" s="1"/>
    </row>
    <row r="115" spans="1:9" x14ac:dyDescent="0.2">
      <c r="A115" s="20" t="s">
        <v>10</v>
      </c>
      <c r="B115" s="43"/>
      <c r="C115" s="40">
        <f>[3]Charters!C108</f>
        <v>288.85300000000001</v>
      </c>
      <c r="D115" s="41">
        <f>[3]Charters!E108</f>
        <v>919709.18</v>
      </c>
      <c r="E115" s="8"/>
      <c r="F115" s="42" t="s">
        <v>24</v>
      </c>
      <c r="G115" s="8"/>
      <c r="H115" s="8"/>
      <c r="I115" s="1"/>
    </row>
    <row r="116" spans="1:9" x14ac:dyDescent="0.2">
      <c r="A116" s="48" t="s">
        <v>11</v>
      </c>
      <c r="B116" s="43"/>
      <c r="C116" s="40">
        <f>[3]Charters!F108</f>
        <v>7.444</v>
      </c>
      <c r="D116" s="49">
        <f>[3]Charters!H108</f>
        <v>23701.7</v>
      </c>
      <c r="E116" s="8"/>
      <c r="F116" s="42">
        <f>[3]Charters!N421</f>
        <v>964195.65</v>
      </c>
      <c r="G116" s="8"/>
      <c r="H116" s="8"/>
      <c r="I116" s="1"/>
    </row>
    <row r="117" spans="1:9" x14ac:dyDescent="0.2">
      <c r="A117" s="48" t="s">
        <v>12</v>
      </c>
      <c r="B117" s="43"/>
      <c r="C117" s="40">
        <f>[3]Charters!C263</f>
        <v>0</v>
      </c>
      <c r="D117" s="41">
        <f>[3]Charters!E263</f>
        <v>0</v>
      </c>
      <c r="E117" s="8"/>
      <c r="F117" s="42">
        <f>SUM(D115:D121)</f>
        <v>964195.65</v>
      </c>
      <c r="G117" s="8"/>
      <c r="H117" s="8"/>
      <c r="I117" s="1"/>
    </row>
    <row r="118" spans="1:9" x14ac:dyDescent="0.2">
      <c r="A118" s="20" t="s">
        <v>13</v>
      </c>
      <c r="B118" s="43"/>
      <c r="C118" s="40">
        <f>[3]Charters!F263</f>
        <v>0.70899999999999996</v>
      </c>
      <c r="D118" s="41">
        <f>[3]Charters!H263</f>
        <v>2259</v>
      </c>
      <c r="E118" s="8"/>
      <c r="F118" s="42">
        <f>+F116-F117</f>
        <v>0</v>
      </c>
      <c r="G118" s="8"/>
      <c r="H118" s="8"/>
      <c r="I118" s="1"/>
    </row>
    <row r="119" spans="1:9" x14ac:dyDescent="0.2">
      <c r="A119" s="48" t="s">
        <v>54</v>
      </c>
      <c r="B119" s="43"/>
      <c r="C119" s="40">
        <f>[3]Charters!C421</f>
        <v>5.8179999999999996</v>
      </c>
      <c r="D119" s="41">
        <f>[3]Charters!E421</f>
        <v>18525.77</v>
      </c>
      <c r="E119" s="8"/>
      <c r="F119" s="8"/>
      <c r="G119" s="8"/>
      <c r="H119" s="8"/>
      <c r="I119" s="1"/>
    </row>
    <row r="120" spans="1:9" x14ac:dyDescent="0.2">
      <c r="A120" s="48" t="s">
        <v>55</v>
      </c>
      <c r="B120" s="43"/>
      <c r="C120" s="40">
        <f>[3]Charters!F421</f>
        <v>0</v>
      </c>
      <c r="D120" s="41">
        <f>[3]Charters!H421</f>
        <v>0</v>
      </c>
      <c r="E120" s="8"/>
      <c r="F120" s="42" t="s">
        <v>25</v>
      </c>
      <c r="G120" s="8"/>
      <c r="H120" s="8"/>
      <c r="I120" s="1"/>
    </row>
    <row r="121" spans="1:9" x14ac:dyDescent="0.2">
      <c r="A121" s="48" t="s">
        <v>56</v>
      </c>
      <c r="B121" s="43"/>
      <c r="C121" s="40">
        <f>[3]Charters!I421</f>
        <v>0</v>
      </c>
      <c r="D121" s="41">
        <f>[3]Charters!K421</f>
        <v>0</v>
      </c>
      <c r="E121" s="8"/>
      <c r="F121" s="42">
        <f>[2]Charters!H109</f>
        <v>1484282.98</v>
      </c>
      <c r="G121" s="8"/>
      <c r="H121" s="8"/>
      <c r="I121" s="1"/>
    </row>
    <row r="122" spans="1:9" x14ac:dyDescent="0.2">
      <c r="A122" s="20" t="s">
        <v>49</v>
      </c>
      <c r="B122" s="43"/>
      <c r="C122" s="40">
        <f>[3]Charters!C576</f>
        <v>2.9940000000000002</v>
      </c>
      <c r="D122" s="41">
        <f>[3]Charters!E576</f>
        <v>9532.73</v>
      </c>
      <c r="E122" s="8"/>
      <c r="F122" s="42">
        <f>SUM(D115:D123)</f>
        <v>1484282.98</v>
      </c>
      <c r="G122" s="8"/>
      <c r="H122" s="8"/>
      <c r="I122" s="1"/>
    </row>
    <row r="123" spans="1:9" x14ac:dyDescent="0.2">
      <c r="A123" s="20" t="s">
        <v>50</v>
      </c>
      <c r="B123" s="43"/>
      <c r="C123" s="40">
        <f>[2]Charters!C109</f>
        <v>160.35</v>
      </c>
      <c r="D123" s="41">
        <f>[2]Charters!E109</f>
        <v>510554.6</v>
      </c>
      <c r="E123" s="8"/>
      <c r="F123" s="42">
        <f>+F121-F122</f>
        <v>0</v>
      </c>
      <c r="G123" s="8"/>
      <c r="H123" s="8"/>
      <c r="I123" s="1"/>
    </row>
    <row r="124" spans="1:9" x14ac:dyDescent="0.2">
      <c r="A124" s="50"/>
      <c r="B124" s="51" t="s">
        <v>16</v>
      </c>
      <c r="C124" s="52">
        <f>SUM(C111:C123)</f>
        <v>2196.9699999999998</v>
      </c>
      <c r="D124" s="53">
        <f>SUM(D111:D123)</f>
        <v>6995155.1699999999</v>
      </c>
      <c r="E124" s="8"/>
      <c r="F124" s="8"/>
      <c r="G124" s="8"/>
      <c r="H124" s="8"/>
      <c r="I124" s="1"/>
    </row>
    <row r="125" spans="1:9" x14ac:dyDescent="0.2">
      <c r="A125" s="54" t="s">
        <v>17</v>
      </c>
      <c r="B125" s="39"/>
      <c r="C125" s="55"/>
      <c r="D125" s="47"/>
      <c r="E125" s="8"/>
      <c r="F125" s="8"/>
      <c r="G125" s="8"/>
      <c r="H125" s="42" t="s">
        <v>29</v>
      </c>
      <c r="I125" s="1"/>
    </row>
    <row r="126" spans="1:9" x14ac:dyDescent="0.2">
      <c r="A126" s="20" t="s">
        <v>33</v>
      </c>
      <c r="B126" s="43"/>
      <c r="C126" s="56"/>
      <c r="D126" s="57">
        <f>[4]Charters!C110</f>
        <v>20275.23</v>
      </c>
      <c r="E126" s="8"/>
      <c r="F126" s="8"/>
      <c r="G126" s="8"/>
      <c r="H126" s="42">
        <f>[4]Charters!F1049</f>
        <v>11859125.18</v>
      </c>
      <c r="I126" s="1"/>
    </row>
    <row r="127" spans="1:9" x14ac:dyDescent="0.2">
      <c r="A127" s="58" t="s">
        <v>35</v>
      </c>
      <c r="B127" s="43"/>
      <c r="C127" s="56"/>
      <c r="D127" s="41">
        <f>+[4]Charters!F431</f>
        <v>7910.7</v>
      </c>
      <c r="E127" s="8"/>
      <c r="F127" s="8"/>
      <c r="G127" s="8"/>
      <c r="H127" s="42">
        <f>SUM(D124:D143)</f>
        <v>11859125.18</v>
      </c>
      <c r="I127" s="1"/>
    </row>
    <row r="128" spans="1:9" x14ac:dyDescent="0.2">
      <c r="A128" s="59" t="s">
        <v>36</v>
      </c>
      <c r="B128" s="43"/>
      <c r="C128" s="56"/>
      <c r="D128" s="41">
        <f>[4]Charters!E270</f>
        <v>36382</v>
      </c>
      <c r="E128" s="8"/>
      <c r="F128" s="8"/>
      <c r="G128" s="8"/>
      <c r="H128" s="42">
        <f>+H126-H127</f>
        <v>0</v>
      </c>
      <c r="I128" s="1"/>
    </row>
    <row r="129" spans="1:9" x14ac:dyDescent="0.2">
      <c r="A129" s="59" t="s">
        <v>52</v>
      </c>
      <c r="B129" s="43"/>
      <c r="C129" s="56"/>
      <c r="D129" s="41">
        <f>[4]Charters!G431</f>
        <v>0</v>
      </c>
      <c r="E129" s="8"/>
      <c r="F129" s="42" t="s">
        <v>27</v>
      </c>
      <c r="G129" s="8"/>
      <c r="H129" s="42"/>
      <c r="I129" s="1"/>
    </row>
    <row r="130" spans="1:9" x14ac:dyDescent="0.2">
      <c r="A130" s="20" t="s">
        <v>37</v>
      </c>
      <c r="B130" s="43"/>
      <c r="C130" s="56"/>
      <c r="D130" s="41">
        <f>[4]Charters!E587</f>
        <v>136769</v>
      </c>
      <c r="E130" s="8"/>
      <c r="F130" s="42">
        <f>[4]Charters!E270</f>
        <v>36382</v>
      </c>
      <c r="G130" s="8"/>
      <c r="H130" s="8"/>
      <c r="I130" s="1"/>
    </row>
    <row r="131" spans="1:9" x14ac:dyDescent="0.2">
      <c r="A131" s="20" t="s">
        <v>38</v>
      </c>
      <c r="B131" s="43"/>
      <c r="C131" s="56"/>
      <c r="D131" s="41">
        <f>[4]Charters!F587</f>
        <v>0</v>
      </c>
      <c r="E131" s="8"/>
      <c r="F131" s="42">
        <f>SUM(D128:D128)</f>
        <v>36382</v>
      </c>
      <c r="G131" s="8"/>
      <c r="H131" s="8"/>
      <c r="I131" s="1"/>
    </row>
    <row r="132" spans="1:9" x14ac:dyDescent="0.2">
      <c r="A132" s="59" t="s">
        <v>40</v>
      </c>
      <c r="B132" s="43"/>
      <c r="C132" s="56"/>
      <c r="D132" s="41">
        <f>[4]Charters!G587</f>
        <v>0</v>
      </c>
      <c r="E132" s="8"/>
      <c r="F132" s="42">
        <f>+F130-F131</f>
        <v>0</v>
      </c>
      <c r="G132" s="8"/>
      <c r="H132" s="8"/>
      <c r="I132" s="1"/>
    </row>
    <row r="133" spans="1:9" x14ac:dyDescent="0.2">
      <c r="A133" s="20" t="s">
        <v>41</v>
      </c>
      <c r="B133" s="43"/>
      <c r="C133" s="56"/>
      <c r="D133" s="41">
        <f>[4]Charters!C740</f>
        <v>3783891</v>
      </c>
      <c r="E133" s="8"/>
      <c r="F133" s="42" t="s">
        <v>28</v>
      </c>
      <c r="G133" s="8"/>
      <c r="H133" s="8"/>
      <c r="I133" s="1"/>
    </row>
    <row r="134" spans="1:9" x14ac:dyDescent="0.2">
      <c r="A134" s="20" t="s">
        <v>42</v>
      </c>
      <c r="B134" s="43"/>
      <c r="C134" s="56"/>
      <c r="D134" s="41">
        <f>[4]Charters!D740</f>
        <v>476458.29</v>
      </c>
      <c r="E134" s="8"/>
      <c r="F134" s="42">
        <f>[4]Charters!D587</f>
        <v>44292.7</v>
      </c>
      <c r="G134" s="8"/>
      <c r="H134" s="8"/>
      <c r="I134" s="1"/>
    </row>
    <row r="135" spans="1:9" x14ac:dyDescent="0.2">
      <c r="A135" s="20" t="s">
        <v>44</v>
      </c>
      <c r="B135" s="43"/>
      <c r="C135" s="56"/>
      <c r="D135" s="41">
        <f>[4]Charters!E740</f>
        <v>189100</v>
      </c>
      <c r="E135" s="8"/>
      <c r="F135" s="42">
        <f>SUM(D127:D129)</f>
        <v>44292.7</v>
      </c>
      <c r="G135" s="8"/>
      <c r="H135" s="8"/>
      <c r="I135" s="1"/>
    </row>
    <row r="136" spans="1:9" x14ac:dyDescent="0.2">
      <c r="A136" s="59" t="s">
        <v>43</v>
      </c>
      <c r="B136" s="43"/>
      <c r="C136" s="56"/>
      <c r="D136" s="41">
        <f>[4]Charters!F740</f>
        <v>58973.19</v>
      </c>
      <c r="E136" s="8"/>
      <c r="F136" s="42">
        <f>+F134-F135</f>
        <v>0</v>
      </c>
      <c r="G136" s="8"/>
      <c r="H136" s="8"/>
      <c r="I136" s="1"/>
    </row>
    <row r="137" spans="1:9" x14ac:dyDescent="0.2">
      <c r="A137" s="59" t="s">
        <v>45</v>
      </c>
      <c r="B137" s="43"/>
      <c r="C137" s="56"/>
      <c r="D137" s="41">
        <f>[4]Charters!C587</f>
        <v>0</v>
      </c>
      <c r="E137" s="8"/>
      <c r="F137" s="8"/>
      <c r="G137" s="8"/>
      <c r="H137" s="8"/>
      <c r="I137" s="1"/>
    </row>
    <row r="138" spans="1:9" x14ac:dyDescent="0.2">
      <c r="A138" s="59" t="s">
        <v>46</v>
      </c>
      <c r="B138" s="43"/>
      <c r="C138" s="56"/>
      <c r="D138" s="41">
        <f>[4]Charters!C896</f>
        <v>0</v>
      </c>
      <c r="E138" s="42"/>
      <c r="F138" s="42"/>
      <c r="G138" s="42"/>
      <c r="H138" s="42" t="s">
        <v>31</v>
      </c>
      <c r="I138" s="82"/>
    </row>
    <row r="139" spans="1:9" x14ac:dyDescent="0.2">
      <c r="A139" s="59" t="s">
        <v>51</v>
      </c>
      <c r="B139" s="43"/>
      <c r="C139" s="56"/>
      <c r="D139" s="60">
        <f>[4]Charters!D896</f>
        <v>2533.94</v>
      </c>
      <c r="E139" s="42"/>
      <c r="F139" s="42"/>
      <c r="G139" s="42"/>
      <c r="H139" s="42">
        <f>[4]Charters!D1355</f>
        <v>11897754.57</v>
      </c>
      <c r="I139" s="82"/>
    </row>
    <row r="140" spans="1:9" x14ac:dyDescent="0.2">
      <c r="A140" s="20" t="s">
        <v>47</v>
      </c>
      <c r="B140" s="43"/>
      <c r="C140" s="56"/>
      <c r="D140" s="60">
        <f>[4]Charters!E896</f>
        <v>56012</v>
      </c>
      <c r="E140" s="42"/>
      <c r="F140" s="42"/>
      <c r="G140" s="42"/>
      <c r="H140" s="42">
        <f>D149</f>
        <v>11897754.58</v>
      </c>
      <c r="I140" s="82"/>
    </row>
    <row r="141" spans="1:9" x14ac:dyDescent="0.2">
      <c r="A141" s="20" t="s">
        <v>57</v>
      </c>
      <c r="B141" s="43"/>
      <c r="C141" s="56"/>
      <c r="D141" s="60">
        <f>[4]Charters!C1049</f>
        <v>5417.74</v>
      </c>
      <c r="E141" s="42"/>
      <c r="F141" s="42"/>
      <c r="G141" s="42"/>
      <c r="H141" s="42">
        <f>+H139-H140</f>
        <v>-0.01</v>
      </c>
      <c r="I141" s="82"/>
    </row>
    <row r="142" spans="1:9" x14ac:dyDescent="0.2">
      <c r="A142" s="59" t="s">
        <v>53</v>
      </c>
      <c r="B142" s="43"/>
      <c r="C142" s="56"/>
      <c r="D142" s="60">
        <f>[4]Charters!D1049</f>
        <v>0</v>
      </c>
      <c r="E142" s="42"/>
      <c r="F142" s="42" t="s">
        <v>30</v>
      </c>
      <c r="G142" s="42"/>
      <c r="H142" s="42"/>
      <c r="I142" s="82"/>
    </row>
    <row r="143" spans="1:9" x14ac:dyDescent="0.2">
      <c r="A143" s="59" t="s">
        <v>59</v>
      </c>
      <c r="B143" s="43"/>
      <c r="C143" s="56"/>
      <c r="D143" s="60">
        <f>[4]Charters!E1049</f>
        <v>90246.92</v>
      </c>
      <c r="E143" s="42"/>
      <c r="F143" s="42"/>
      <c r="G143" s="42"/>
      <c r="H143" s="42"/>
      <c r="I143" s="82"/>
    </row>
    <row r="144" spans="1:9" x14ac:dyDescent="0.2">
      <c r="A144" s="38" t="s">
        <v>18</v>
      </c>
      <c r="B144" s="61"/>
      <c r="C144" s="62"/>
      <c r="D144" s="87"/>
      <c r="E144" s="42"/>
      <c r="F144" s="42">
        <f>[4]Charters!C1355</f>
        <v>38629.4</v>
      </c>
      <c r="G144" s="42"/>
      <c r="H144" s="42"/>
      <c r="I144" s="82"/>
    </row>
    <row r="145" spans="1:9" x14ac:dyDescent="0.2">
      <c r="A145" s="59" t="s">
        <v>39</v>
      </c>
      <c r="B145" s="43"/>
      <c r="C145" s="56"/>
      <c r="D145" s="41">
        <f>[4]Charters!C1202</f>
        <v>17713.87</v>
      </c>
      <c r="E145" s="42"/>
      <c r="F145" s="42">
        <f>SUM(D145:D148)</f>
        <v>38629.4</v>
      </c>
      <c r="G145" s="42"/>
      <c r="H145" s="42"/>
      <c r="I145" s="82"/>
    </row>
    <row r="146" spans="1:9" x14ac:dyDescent="0.2">
      <c r="A146" s="59" t="s">
        <v>48</v>
      </c>
      <c r="B146" s="43"/>
      <c r="C146" s="56"/>
      <c r="D146" s="41">
        <f>[4]Charters!D1202</f>
        <v>0</v>
      </c>
      <c r="E146" s="42"/>
      <c r="F146" s="42">
        <f>+F144-F145</f>
        <v>0</v>
      </c>
      <c r="G146" s="42"/>
      <c r="H146" s="42"/>
      <c r="I146" s="82"/>
    </row>
    <row r="147" spans="1:9" x14ac:dyDescent="0.2">
      <c r="A147" s="59" t="s">
        <v>60</v>
      </c>
      <c r="B147" s="43"/>
      <c r="C147" s="56"/>
      <c r="D147" s="41">
        <f>[4]Charters!E1202</f>
        <v>0</v>
      </c>
      <c r="E147" s="42"/>
      <c r="F147" s="42"/>
      <c r="G147" s="42"/>
      <c r="H147" s="42"/>
      <c r="I147" s="82"/>
    </row>
    <row r="148" spans="1:9" x14ac:dyDescent="0.2">
      <c r="A148" s="59" t="s">
        <v>61</v>
      </c>
      <c r="B148" s="43"/>
      <c r="C148" s="56"/>
      <c r="D148" s="41">
        <f>[4]Charters!F1202</f>
        <v>20915.53</v>
      </c>
      <c r="E148" s="42"/>
      <c r="F148" s="42"/>
      <c r="G148" s="42"/>
      <c r="H148" s="42"/>
      <c r="I148" s="82"/>
    </row>
    <row r="149" spans="1:9" ht="13.5" thickBot="1" x14ac:dyDescent="0.25">
      <c r="A149" s="64"/>
      <c r="B149" s="65"/>
      <c r="C149" s="66"/>
      <c r="D149" s="67">
        <f>SUM(D124:D148)</f>
        <v>11897754.58</v>
      </c>
      <c r="E149" s="42"/>
      <c r="F149" s="42"/>
      <c r="G149" s="42"/>
      <c r="H149" s="42"/>
      <c r="I149" s="82"/>
    </row>
    <row r="150" spans="1:9" ht="13.5" thickTop="1" x14ac:dyDescent="0.2">
      <c r="A150" s="68"/>
      <c r="B150" s="43"/>
      <c r="C150" s="56"/>
      <c r="D150" s="86"/>
      <c r="E150" s="42"/>
      <c r="F150" s="42"/>
      <c r="G150" s="42"/>
      <c r="H150" s="42"/>
      <c r="I150" s="82"/>
    </row>
    <row r="151" spans="1:9" x14ac:dyDescent="0.2">
      <c r="A151" s="38" t="s">
        <v>20</v>
      </c>
      <c r="B151" s="39"/>
      <c r="C151" s="70"/>
      <c r="D151" s="71" t="s">
        <v>21</v>
      </c>
      <c r="E151" s="42"/>
      <c r="F151" s="42"/>
      <c r="G151" s="42"/>
      <c r="H151" s="42"/>
      <c r="I151" s="82"/>
    </row>
    <row r="152" spans="1:9" x14ac:dyDescent="0.2">
      <c r="A152" s="72" t="s">
        <v>22</v>
      </c>
      <c r="B152" s="73"/>
      <c r="C152" s="74"/>
      <c r="D152" s="41">
        <f>[5]Charters!C108</f>
        <v>4159.8599999999997</v>
      </c>
      <c r="E152" s="42"/>
      <c r="F152" s="42"/>
      <c r="G152" s="42"/>
      <c r="H152" s="42"/>
      <c r="I152" s="82"/>
    </row>
    <row r="153" spans="1:9" x14ac:dyDescent="0.2">
      <c r="A153" s="75"/>
      <c r="B153" s="61"/>
      <c r="C153" s="76"/>
      <c r="D153" s="77">
        <f>SUM(D152:D152)</f>
        <v>4159.8599999999997</v>
      </c>
      <c r="E153" s="42"/>
      <c r="F153" s="42"/>
      <c r="G153" s="42"/>
      <c r="H153" s="42"/>
      <c r="I153" s="82"/>
    </row>
    <row r="154" spans="1:9" x14ac:dyDescent="0.2">
      <c r="A154" s="78" t="s">
        <v>58</v>
      </c>
      <c r="B154" s="79"/>
      <c r="C154" s="80"/>
      <c r="D154" s="77">
        <f>D153+D149</f>
        <v>11901914.439999999</v>
      </c>
      <c r="E154" s="42"/>
      <c r="F154" s="42"/>
      <c r="G154" s="42"/>
      <c r="H154" s="42"/>
      <c r="I154" s="82"/>
    </row>
    <row r="155" spans="1:9" x14ac:dyDescent="0.2">
      <c r="A155" s="84"/>
      <c r="B155" s="84"/>
      <c r="C155" s="85"/>
      <c r="D155" s="81"/>
      <c r="E155" s="42"/>
      <c r="F155" s="42"/>
      <c r="G155" s="42"/>
      <c r="H155" s="42"/>
      <c r="I155" s="82"/>
    </row>
    <row r="156" spans="1:9" x14ac:dyDescent="0.2">
      <c r="A156" s="84"/>
      <c r="B156" s="84"/>
      <c r="C156" s="85"/>
      <c r="D156" s="81">
        <f>[5]Charters!E264</f>
        <v>11901914.43</v>
      </c>
      <c r="E156" s="42"/>
      <c r="F156" s="42"/>
      <c r="G156" s="42"/>
      <c r="H156" s="42"/>
      <c r="I156" s="82"/>
    </row>
    <row r="157" spans="1:9" x14ac:dyDescent="0.2">
      <c r="A157" s="84"/>
      <c r="B157" s="84"/>
      <c r="C157" s="85"/>
      <c r="D157" s="81">
        <f>D154</f>
        <v>11901914.439999999</v>
      </c>
      <c r="E157" s="42"/>
      <c r="F157" s="42"/>
      <c r="G157" s="42"/>
      <c r="H157" s="42"/>
      <c r="I157" s="82"/>
    </row>
    <row r="158" spans="1:9" x14ac:dyDescent="0.2">
      <c r="A158" s="82"/>
      <c r="B158" s="82"/>
      <c r="C158" s="83"/>
      <c r="D158" s="42">
        <f>D156-D157</f>
        <v>-0.01</v>
      </c>
      <c r="E158" s="42"/>
      <c r="F158" s="42"/>
      <c r="G158" s="42"/>
      <c r="H158" s="42"/>
      <c r="I158" s="82"/>
    </row>
  </sheetData>
  <mergeCells count="4">
    <mergeCell ref="A102:D102"/>
    <mergeCell ref="A100:D100"/>
    <mergeCell ref="A101:D101"/>
    <mergeCell ref="A154:C154"/>
  </mergeCells>
  <printOptions horizontalCentered="1" verticalCentered="1"/>
  <pageMargins left="0.5" right="0.5" top="0.5" bottom="0.5" header="0.25" footer="0.25"/>
  <pageSetup orientation="portrait" r:id="rId1"/>
  <headerFooter alignWithMargins="0">
    <oddHeader>&amp;R&amp;8Current as of: &amp;D</oddHeader>
    <oddFooter>&amp;L&amp;8USOE, School Finance</oddFooter>
  </headerFooter>
  <picture r:id="rId2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C00-000000000000}">
  <sheetPr>
    <pageSetUpPr fitToPage="1"/>
  </sheetPr>
  <dimension ref="A1:I159"/>
  <sheetViews>
    <sheetView topLeftCell="A96" workbookViewId="0">
      <selection activeCell="C12" sqref="C12"/>
    </sheetView>
  </sheetViews>
  <sheetFormatPr defaultRowHeight="12.75" x14ac:dyDescent="0.2"/>
  <cols>
    <col min="1" max="1" width="32.7109375" style="89" customWidth="1"/>
    <col min="2" max="2" width="16.28515625" style="89" customWidth="1"/>
    <col min="3" max="4" width="15" style="89" customWidth="1"/>
    <col min="5" max="5" width="9.140625" style="89"/>
    <col min="6" max="6" width="15.140625" style="89" customWidth="1"/>
    <col min="7" max="7" width="9.140625" style="89"/>
    <col min="8" max="8" width="18.140625" style="89" customWidth="1"/>
    <col min="9" max="16384" width="9.140625" style="89"/>
  </cols>
  <sheetData>
    <row r="1" spans="1:9" x14ac:dyDescent="0.2">
      <c r="A1" s="7"/>
      <c r="B1" s="7"/>
      <c r="C1" s="7"/>
      <c r="D1" s="7"/>
      <c r="E1" s="7"/>
      <c r="F1" s="7"/>
      <c r="G1" s="7"/>
      <c r="H1" s="7"/>
      <c r="I1" s="7"/>
    </row>
    <row r="2" spans="1:9" x14ac:dyDescent="0.2">
      <c r="A2" s="7"/>
      <c r="B2" s="7"/>
      <c r="C2" s="7"/>
      <c r="D2" s="7"/>
      <c r="E2" s="7"/>
      <c r="F2" s="7"/>
      <c r="G2" s="7"/>
      <c r="H2" s="7"/>
      <c r="I2" s="7"/>
    </row>
    <row r="3" spans="1:9" x14ac:dyDescent="0.2">
      <c r="A3" s="7"/>
      <c r="B3" s="7"/>
      <c r="C3" s="7"/>
      <c r="D3" s="7"/>
      <c r="E3" s="7"/>
      <c r="F3" s="7"/>
      <c r="G3" s="7"/>
      <c r="H3" s="7"/>
      <c r="I3" s="7"/>
    </row>
    <row r="4" spans="1:9" x14ac:dyDescent="0.2">
      <c r="A4" s="7"/>
      <c r="B4" s="7"/>
      <c r="C4" s="7"/>
      <c r="D4" s="7"/>
      <c r="E4" s="7"/>
      <c r="F4" s="7"/>
      <c r="G4" s="7"/>
      <c r="H4" s="7"/>
      <c r="I4" s="7"/>
    </row>
    <row r="5" spans="1:9" x14ac:dyDescent="0.2">
      <c r="A5" s="7"/>
      <c r="B5" s="7"/>
      <c r="C5" s="7"/>
      <c r="D5" s="7"/>
      <c r="E5" s="7"/>
      <c r="F5" s="7"/>
      <c r="G5" s="7"/>
      <c r="H5" s="7"/>
      <c r="I5" s="7"/>
    </row>
    <row r="6" spans="1:9" x14ac:dyDescent="0.2">
      <c r="A6" s="7"/>
      <c r="B6" s="7"/>
      <c r="C6" s="7"/>
      <c r="D6" s="7"/>
      <c r="E6" s="7"/>
      <c r="F6" s="7"/>
      <c r="G6" s="7"/>
      <c r="H6" s="7"/>
      <c r="I6" s="7"/>
    </row>
    <row r="7" spans="1:9" x14ac:dyDescent="0.2">
      <c r="A7" s="7"/>
      <c r="B7" s="7"/>
      <c r="C7" s="7"/>
      <c r="D7" s="7"/>
      <c r="E7" s="7"/>
      <c r="F7" s="7"/>
      <c r="G7" s="7"/>
      <c r="H7" s="7"/>
      <c r="I7" s="7"/>
    </row>
    <row r="8" spans="1:9" x14ac:dyDescent="0.2">
      <c r="A8" s="7"/>
      <c r="B8" s="7"/>
      <c r="C8" s="7"/>
      <c r="D8" s="7"/>
      <c r="E8" s="7"/>
      <c r="F8" s="7"/>
      <c r="G8" s="7"/>
      <c r="H8" s="7"/>
      <c r="I8" s="7"/>
    </row>
    <row r="9" spans="1:9" x14ac:dyDescent="0.2">
      <c r="A9" s="7"/>
      <c r="B9" s="7"/>
      <c r="C9" s="7"/>
      <c r="D9" s="7"/>
      <c r="E9" s="7"/>
      <c r="F9" s="7"/>
      <c r="G9" s="7"/>
      <c r="H9" s="7"/>
      <c r="I9" s="7"/>
    </row>
    <row r="10" spans="1:9" x14ac:dyDescent="0.2">
      <c r="A10" s="7"/>
      <c r="B10" s="7"/>
      <c r="C10" s="7"/>
      <c r="D10" s="7"/>
      <c r="E10" s="7"/>
      <c r="F10" s="7"/>
      <c r="G10" s="7"/>
      <c r="H10" s="7"/>
      <c r="I10" s="7"/>
    </row>
    <row r="11" spans="1:9" x14ac:dyDescent="0.2">
      <c r="A11" s="7"/>
      <c r="B11" s="7"/>
      <c r="C11" s="7"/>
      <c r="D11" s="7"/>
      <c r="E11" s="7"/>
      <c r="F11" s="7"/>
      <c r="G11" s="7"/>
      <c r="H11" s="7"/>
      <c r="I11" s="7"/>
    </row>
    <row r="12" spans="1:9" x14ac:dyDescent="0.2">
      <c r="A12" s="7"/>
      <c r="B12" s="7"/>
      <c r="C12" s="7"/>
      <c r="D12" s="7"/>
      <c r="E12" s="7"/>
      <c r="F12" s="7"/>
      <c r="G12" s="7"/>
      <c r="H12" s="7"/>
      <c r="I12" s="7"/>
    </row>
    <row r="13" spans="1:9" x14ac:dyDescent="0.2">
      <c r="A13" s="7"/>
      <c r="B13" s="7"/>
      <c r="C13" s="7"/>
      <c r="D13" s="7"/>
      <c r="E13" s="7"/>
      <c r="F13" s="7"/>
      <c r="G13" s="7"/>
      <c r="H13" s="7"/>
      <c r="I13" s="7"/>
    </row>
    <row r="14" spans="1:9" x14ac:dyDescent="0.2">
      <c r="A14" s="7"/>
      <c r="B14" s="7"/>
      <c r="C14" s="7"/>
      <c r="D14" s="7"/>
      <c r="E14" s="7"/>
      <c r="F14" s="7"/>
      <c r="G14" s="7"/>
      <c r="H14" s="7"/>
      <c r="I14" s="7"/>
    </row>
    <row r="15" spans="1:9" x14ac:dyDescent="0.2">
      <c r="A15" s="7"/>
      <c r="B15" s="7"/>
      <c r="C15" s="7"/>
      <c r="D15" s="7"/>
      <c r="E15" s="7"/>
      <c r="F15" s="7"/>
      <c r="G15" s="7"/>
      <c r="H15" s="7"/>
      <c r="I15" s="7"/>
    </row>
    <row r="16" spans="1:9" x14ac:dyDescent="0.2">
      <c r="A16" s="7"/>
      <c r="B16" s="7"/>
      <c r="C16" s="7"/>
      <c r="D16" s="7"/>
      <c r="E16" s="7"/>
      <c r="F16" s="7"/>
      <c r="G16" s="7"/>
      <c r="H16" s="7"/>
      <c r="I16" s="7"/>
    </row>
    <row r="17" spans="1:9" x14ac:dyDescent="0.2">
      <c r="A17" s="7"/>
      <c r="B17" s="7"/>
      <c r="C17" s="7"/>
      <c r="D17" s="7"/>
      <c r="E17" s="7"/>
      <c r="F17" s="7"/>
      <c r="G17" s="7"/>
      <c r="H17" s="7"/>
      <c r="I17" s="7"/>
    </row>
    <row r="18" spans="1:9" x14ac:dyDescent="0.2">
      <c r="A18" s="7"/>
      <c r="B18" s="7"/>
      <c r="C18" s="7"/>
      <c r="D18" s="7"/>
      <c r="E18" s="7"/>
      <c r="F18" s="7"/>
      <c r="G18" s="7"/>
      <c r="H18" s="7"/>
      <c r="I18" s="7"/>
    </row>
    <row r="19" spans="1:9" x14ac:dyDescent="0.2">
      <c r="A19" s="7"/>
      <c r="B19" s="7"/>
      <c r="C19" s="7"/>
      <c r="D19" s="7"/>
      <c r="E19" s="7"/>
      <c r="F19" s="7"/>
      <c r="G19" s="7"/>
      <c r="H19" s="7"/>
      <c r="I19" s="7"/>
    </row>
    <row r="20" spans="1:9" x14ac:dyDescent="0.2">
      <c r="A20" s="7"/>
      <c r="B20" s="7"/>
      <c r="C20" s="7"/>
      <c r="D20" s="7"/>
      <c r="E20" s="7"/>
      <c r="F20" s="7"/>
      <c r="G20" s="7"/>
      <c r="H20" s="7"/>
      <c r="I20" s="7"/>
    </row>
    <row r="21" spans="1:9" x14ac:dyDescent="0.2">
      <c r="A21" s="7"/>
      <c r="B21" s="7"/>
      <c r="C21" s="7"/>
      <c r="D21" s="7"/>
      <c r="E21" s="7"/>
      <c r="F21" s="7"/>
      <c r="G21" s="7"/>
      <c r="H21" s="7"/>
      <c r="I21" s="7"/>
    </row>
    <row r="22" spans="1:9" x14ac:dyDescent="0.2">
      <c r="A22" s="7"/>
      <c r="B22" s="7"/>
      <c r="C22" s="7"/>
      <c r="D22" s="4"/>
      <c r="E22" s="7"/>
      <c r="F22" s="7"/>
      <c r="G22" s="7"/>
      <c r="H22" s="7"/>
      <c r="I22" s="7"/>
    </row>
    <row r="23" spans="1:9" x14ac:dyDescent="0.2">
      <c r="A23" s="7"/>
      <c r="B23" s="7"/>
      <c r="C23" s="7"/>
      <c r="D23" s="7"/>
      <c r="E23" s="7"/>
      <c r="F23" s="7"/>
      <c r="G23" s="7"/>
      <c r="H23" s="7"/>
      <c r="I23" s="7"/>
    </row>
    <row r="24" spans="1:9" x14ac:dyDescent="0.2">
      <c r="A24" s="7"/>
      <c r="B24" s="7"/>
      <c r="C24" s="7"/>
      <c r="D24" s="7"/>
      <c r="E24" s="7"/>
      <c r="F24" s="7"/>
      <c r="G24" s="7"/>
      <c r="H24" s="7"/>
      <c r="I24" s="7"/>
    </row>
    <row r="25" spans="1:9" x14ac:dyDescent="0.2">
      <c r="A25" s="7"/>
      <c r="B25" s="7"/>
      <c r="C25" s="7"/>
      <c r="D25" s="7"/>
      <c r="E25" s="7"/>
      <c r="F25" s="7"/>
      <c r="G25" s="7"/>
      <c r="H25" s="7"/>
      <c r="I25" s="7"/>
    </row>
    <row r="26" spans="1:9" x14ac:dyDescent="0.2">
      <c r="A26" s="7"/>
      <c r="B26" s="7"/>
      <c r="C26" s="7"/>
      <c r="D26" s="7"/>
      <c r="E26" s="7"/>
      <c r="F26" s="7"/>
      <c r="G26" s="7"/>
      <c r="H26" s="7"/>
      <c r="I26" s="7"/>
    </row>
    <row r="27" spans="1:9" x14ac:dyDescent="0.2">
      <c r="A27" s="7"/>
      <c r="B27" s="7"/>
      <c r="C27" s="7"/>
      <c r="D27" s="7"/>
      <c r="E27" s="7"/>
      <c r="F27" s="7"/>
      <c r="G27" s="7"/>
      <c r="H27" s="7"/>
      <c r="I27" s="7"/>
    </row>
    <row r="28" spans="1:9" x14ac:dyDescent="0.2">
      <c r="A28" s="7"/>
      <c r="B28" s="7"/>
      <c r="C28" s="7"/>
      <c r="D28" s="7"/>
      <c r="E28" s="7"/>
      <c r="F28" s="7"/>
      <c r="G28" s="7"/>
      <c r="H28" s="7"/>
      <c r="I28" s="7"/>
    </row>
    <row r="29" spans="1:9" x14ac:dyDescent="0.2">
      <c r="A29" s="7"/>
      <c r="B29" s="7"/>
      <c r="C29" s="7"/>
      <c r="D29" s="7"/>
      <c r="E29" s="7"/>
      <c r="F29" s="7"/>
      <c r="G29" s="7"/>
      <c r="H29" s="7"/>
      <c r="I29" s="7"/>
    </row>
    <row r="30" spans="1:9" x14ac:dyDescent="0.2">
      <c r="A30" s="7"/>
      <c r="B30" s="7"/>
      <c r="C30" s="7"/>
      <c r="D30" s="7"/>
      <c r="E30" s="7"/>
      <c r="F30" s="7"/>
      <c r="G30" s="7"/>
      <c r="H30" s="7"/>
      <c r="I30" s="7"/>
    </row>
    <row r="31" spans="1:9" x14ac:dyDescent="0.2">
      <c r="A31" s="7"/>
      <c r="B31" s="7"/>
      <c r="C31" s="7"/>
      <c r="D31" s="7"/>
      <c r="E31" s="7"/>
      <c r="F31" s="7"/>
      <c r="G31" s="7"/>
      <c r="H31" s="7"/>
      <c r="I31" s="7"/>
    </row>
    <row r="32" spans="1:9" x14ac:dyDescent="0.2">
      <c r="A32" s="7"/>
      <c r="B32" s="7"/>
      <c r="C32" s="7"/>
      <c r="D32" s="7"/>
      <c r="E32" s="7"/>
      <c r="F32" s="7"/>
      <c r="G32" s="7"/>
      <c r="H32" s="7"/>
      <c r="I32" s="7"/>
    </row>
    <row r="33" spans="1:9" x14ac:dyDescent="0.2">
      <c r="A33" s="7"/>
      <c r="B33" s="7"/>
      <c r="C33" s="7"/>
      <c r="D33" s="7"/>
      <c r="E33" s="7"/>
      <c r="F33" s="7"/>
      <c r="G33" s="7"/>
      <c r="H33" s="7"/>
      <c r="I33" s="7"/>
    </row>
    <row r="34" spans="1:9" x14ac:dyDescent="0.2">
      <c r="A34" s="7"/>
      <c r="B34" s="7"/>
      <c r="C34" s="7"/>
      <c r="D34" s="7"/>
      <c r="E34" s="7"/>
      <c r="F34" s="7"/>
      <c r="G34" s="7"/>
      <c r="H34" s="7"/>
      <c r="I34" s="7"/>
    </row>
    <row r="35" spans="1:9" x14ac:dyDescent="0.2">
      <c r="A35" s="7"/>
      <c r="B35" s="7"/>
      <c r="C35" s="7"/>
      <c r="D35" s="7"/>
      <c r="E35" s="7"/>
      <c r="F35" s="7"/>
      <c r="G35" s="7"/>
      <c r="H35" s="7"/>
      <c r="I35" s="7"/>
    </row>
    <row r="36" spans="1:9" x14ac:dyDescent="0.2">
      <c r="A36" s="7"/>
      <c r="B36" s="7"/>
      <c r="C36" s="7"/>
      <c r="D36" s="7"/>
      <c r="E36" s="7"/>
      <c r="F36" s="7"/>
      <c r="G36" s="7"/>
      <c r="H36" s="7"/>
      <c r="I36" s="7"/>
    </row>
    <row r="37" spans="1:9" x14ac:dyDescent="0.2">
      <c r="A37" s="7"/>
      <c r="B37" s="7"/>
      <c r="C37" s="7"/>
      <c r="D37" s="7"/>
      <c r="E37" s="7"/>
      <c r="F37" s="7"/>
      <c r="G37" s="7"/>
      <c r="H37" s="7"/>
      <c r="I37" s="7"/>
    </row>
    <row r="38" spans="1:9" x14ac:dyDescent="0.2">
      <c r="A38" s="7"/>
      <c r="B38" s="7"/>
      <c r="C38" s="7"/>
      <c r="D38" s="7"/>
      <c r="E38" s="7"/>
      <c r="F38" s="7"/>
      <c r="G38" s="7"/>
      <c r="H38" s="7"/>
      <c r="I38" s="7"/>
    </row>
    <row r="39" spans="1:9" x14ac:dyDescent="0.2">
      <c r="A39" s="7"/>
      <c r="B39" s="7"/>
      <c r="C39" s="7"/>
      <c r="D39" s="7"/>
      <c r="E39" s="7"/>
      <c r="F39" s="7"/>
      <c r="G39" s="7"/>
      <c r="H39" s="7"/>
      <c r="I39" s="7"/>
    </row>
    <row r="40" spans="1:9" x14ac:dyDescent="0.2">
      <c r="A40" s="7"/>
      <c r="B40" s="7"/>
      <c r="C40" s="7"/>
      <c r="D40" s="7"/>
      <c r="E40" s="7"/>
      <c r="F40" s="7"/>
      <c r="G40" s="7"/>
      <c r="H40" s="7"/>
      <c r="I40" s="7"/>
    </row>
    <row r="41" spans="1:9" x14ac:dyDescent="0.2">
      <c r="A41" s="7"/>
      <c r="B41" s="7"/>
      <c r="C41" s="7"/>
      <c r="D41" s="7"/>
      <c r="E41" s="7"/>
      <c r="F41" s="7"/>
      <c r="G41" s="7"/>
      <c r="H41" s="7"/>
      <c r="I41" s="7"/>
    </row>
    <row r="42" spans="1:9" x14ac:dyDescent="0.2">
      <c r="A42" s="7"/>
      <c r="B42" s="7"/>
      <c r="C42" s="7"/>
      <c r="D42" s="7"/>
      <c r="E42" s="7"/>
      <c r="F42" s="7"/>
      <c r="G42" s="7"/>
      <c r="H42" s="7"/>
      <c r="I42" s="7"/>
    </row>
    <row r="43" spans="1:9" x14ac:dyDescent="0.2">
      <c r="A43" s="7"/>
      <c r="B43" s="7"/>
      <c r="C43" s="7"/>
      <c r="D43" s="7"/>
      <c r="E43" s="7"/>
      <c r="F43" s="7"/>
      <c r="G43" s="7"/>
      <c r="H43" s="7"/>
      <c r="I43" s="7"/>
    </row>
    <row r="44" spans="1:9" x14ac:dyDescent="0.2">
      <c r="A44" s="7"/>
      <c r="B44" s="7"/>
      <c r="C44" s="7"/>
      <c r="D44" s="7"/>
      <c r="E44" s="7"/>
      <c r="F44" s="7"/>
      <c r="G44" s="7"/>
      <c r="H44" s="7"/>
      <c r="I44" s="7"/>
    </row>
    <row r="45" spans="1:9" x14ac:dyDescent="0.2">
      <c r="A45" s="7"/>
      <c r="B45" s="7"/>
      <c r="C45" s="7"/>
      <c r="D45" s="7"/>
      <c r="E45" s="7"/>
      <c r="F45" s="7"/>
      <c r="G45" s="7"/>
      <c r="H45" s="7"/>
      <c r="I45" s="7"/>
    </row>
    <row r="46" spans="1:9" x14ac:dyDescent="0.2">
      <c r="A46" s="7"/>
      <c r="B46" s="7"/>
      <c r="C46" s="7"/>
      <c r="D46" s="7"/>
      <c r="E46" s="7"/>
      <c r="F46" s="7"/>
      <c r="G46" s="7"/>
      <c r="H46" s="7"/>
      <c r="I46" s="7"/>
    </row>
    <row r="47" spans="1:9" x14ac:dyDescent="0.2">
      <c r="A47" s="7"/>
      <c r="B47" s="7"/>
      <c r="C47" s="7"/>
      <c r="D47" s="7"/>
      <c r="E47" s="7"/>
      <c r="F47" s="7"/>
      <c r="G47" s="7"/>
      <c r="H47" s="7"/>
      <c r="I47" s="7"/>
    </row>
    <row r="48" spans="1:9" x14ac:dyDescent="0.2">
      <c r="A48" s="7"/>
      <c r="B48" s="7"/>
      <c r="C48" s="7"/>
      <c r="D48" s="7"/>
      <c r="E48" s="7"/>
      <c r="F48" s="7"/>
      <c r="G48" s="7"/>
      <c r="H48" s="7"/>
      <c r="I48" s="7"/>
    </row>
    <row r="49" spans="1:9" x14ac:dyDescent="0.2">
      <c r="A49" s="7"/>
      <c r="B49" s="7"/>
      <c r="C49" s="7"/>
      <c r="D49" s="7"/>
      <c r="E49" s="7"/>
      <c r="F49" s="7"/>
      <c r="G49" s="7"/>
      <c r="H49" s="7"/>
      <c r="I49" s="7"/>
    </row>
    <row r="50" spans="1:9" x14ac:dyDescent="0.2">
      <c r="A50" s="7"/>
      <c r="B50" s="7"/>
      <c r="C50" s="7"/>
      <c r="D50" s="7"/>
      <c r="E50" s="7"/>
      <c r="F50" s="7"/>
      <c r="G50" s="7"/>
      <c r="H50" s="7"/>
      <c r="I50" s="7"/>
    </row>
    <row r="51" spans="1:9" x14ac:dyDescent="0.2">
      <c r="A51" s="7"/>
      <c r="B51" s="7"/>
      <c r="C51" s="7"/>
      <c r="D51" s="7"/>
      <c r="E51" s="7"/>
      <c r="F51" s="7"/>
      <c r="G51" s="7"/>
      <c r="H51" s="7"/>
      <c r="I51" s="7"/>
    </row>
    <row r="52" spans="1:9" x14ac:dyDescent="0.2">
      <c r="A52" s="7"/>
      <c r="B52" s="7"/>
      <c r="C52" s="7"/>
      <c r="D52" s="7"/>
      <c r="E52" s="7"/>
      <c r="F52" s="7"/>
      <c r="G52" s="7"/>
      <c r="H52" s="7"/>
      <c r="I52" s="7"/>
    </row>
    <row r="53" spans="1:9" x14ac:dyDescent="0.2">
      <c r="A53" s="7"/>
      <c r="B53" s="7"/>
      <c r="C53" s="7"/>
      <c r="D53" s="7"/>
      <c r="E53" s="7"/>
      <c r="F53" s="7"/>
      <c r="G53" s="7"/>
      <c r="H53" s="7"/>
      <c r="I53" s="7"/>
    </row>
    <row r="54" spans="1:9" x14ac:dyDescent="0.2">
      <c r="A54" s="7"/>
      <c r="B54" s="7"/>
      <c r="C54" s="7"/>
      <c r="D54" s="7"/>
      <c r="E54" s="7"/>
      <c r="F54" s="7"/>
      <c r="G54" s="7"/>
      <c r="H54" s="7"/>
      <c r="I54" s="7"/>
    </row>
    <row r="55" spans="1:9" x14ac:dyDescent="0.2">
      <c r="A55" s="7"/>
      <c r="B55" s="7"/>
      <c r="C55" s="7"/>
      <c r="D55" s="7"/>
      <c r="E55" s="7"/>
      <c r="F55" s="7"/>
      <c r="G55" s="7"/>
      <c r="H55" s="7"/>
      <c r="I55" s="7"/>
    </row>
    <row r="56" spans="1:9" x14ac:dyDescent="0.2">
      <c r="A56" s="7"/>
      <c r="B56" s="7"/>
      <c r="C56" s="7"/>
      <c r="D56" s="7"/>
      <c r="E56" s="7"/>
      <c r="F56" s="7"/>
      <c r="G56" s="7"/>
      <c r="H56" s="7"/>
      <c r="I56" s="7"/>
    </row>
    <row r="57" spans="1:9" x14ac:dyDescent="0.2">
      <c r="A57" s="7"/>
      <c r="B57" s="7"/>
      <c r="C57" s="7"/>
      <c r="D57" s="7"/>
      <c r="E57" s="7"/>
      <c r="F57" s="7"/>
      <c r="G57" s="7"/>
      <c r="H57" s="7"/>
      <c r="I57" s="7"/>
    </row>
    <row r="58" spans="1:9" x14ac:dyDescent="0.2">
      <c r="A58" s="7"/>
      <c r="B58" s="7"/>
      <c r="C58" s="7"/>
      <c r="D58" s="7"/>
      <c r="E58" s="7"/>
      <c r="F58" s="7"/>
      <c r="G58" s="7"/>
      <c r="H58" s="7"/>
      <c r="I58" s="7"/>
    </row>
    <row r="59" spans="1:9" x14ac:dyDescent="0.2">
      <c r="A59" s="7"/>
      <c r="B59" s="7"/>
      <c r="C59" s="7"/>
      <c r="D59" s="7"/>
      <c r="E59" s="7"/>
      <c r="F59" s="7"/>
      <c r="G59" s="7"/>
      <c r="H59" s="7"/>
      <c r="I59" s="7"/>
    </row>
    <row r="60" spans="1:9" x14ac:dyDescent="0.2">
      <c r="A60" s="7"/>
      <c r="B60" s="7"/>
      <c r="C60" s="7"/>
      <c r="D60" s="7"/>
      <c r="E60" s="7"/>
      <c r="F60" s="7"/>
      <c r="G60" s="7"/>
      <c r="H60" s="7"/>
      <c r="I60" s="7"/>
    </row>
    <row r="61" spans="1:9" x14ac:dyDescent="0.2">
      <c r="A61" s="7"/>
      <c r="B61" s="7"/>
      <c r="C61" s="7"/>
      <c r="D61" s="7"/>
      <c r="E61" s="7"/>
      <c r="F61" s="7"/>
      <c r="G61" s="7"/>
      <c r="H61" s="7"/>
      <c r="I61" s="7"/>
    </row>
    <row r="62" spans="1:9" x14ac:dyDescent="0.2">
      <c r="A62" s="7"/>
      <c r="B62" s="7"/>
      <c r="C62" s="7"/>
      <c r="D62" s="7"/>
      <c r="E62" s="7"/>
      <c r="F62" s="7"/>
      <c r="G62" s="7"/>
      <c r="H62" s="7"/>
      <c r="I62" s="7"/>
    </row>
    <row r="63" spans="1:9" x14ac:dyDescent="0.2">
      <c r="A63" s="7"/>
      <c r="B63" s="7"/>
      <c r="C63" s="7"/>
      <c r="D63" s="7"/>
      <c r="E63" s="7"/>
      <c r="F63" s="7"/>
      <c r="G63" s="7"/>
      <c r="H63" s="7"/>
      <c r="I63" s="7"/>
    </row>
    <row r="64" spans="1:9" x14ac:dyDescent="0.2">
      <c r="A64" s="7"/>
      <c r="B64" s="7"/>
      <c r="C64" s="7"/>
      <c r="D64" s="7"/>
      <c r="E64" s="7"/>
      <c r="F64" s="7"/>
      <c r="G64" s="7"/>
      <c r="H64" s="7"/>
      <c r="I64" s="7"/>
    </row>
    <row r="65" spans="1:9" x14ac:dyDescent="0.2">
      <c r="A65" s="7"/>
      <c r="B65" s="7"/>
      <c r="C65" s="7"/>
      <c r="D65" s="7"/>
      <c r="E65" s="7"/>
      <c r="F65" s="7"/>
      <c r="G65" s="7"/>
      <c r="H65" s="7"/>
      <c r="I65" s="7"/>
    </row>
    <row r="66" spans="1:9" x14ac:dyDescent="0.2">
      <c r="A66" s="7"/>
      <c r="B66" s="7"/>
      <c r="C66" s="7"/>
      <c r="D66" s="7"/>
      <c r="E66" s="7"/>
      <c r="F66" s="7"/>
      <c r="G66" s="7"/>
      <c r="H66" s="7"/>
      <c r="I66" s="7"/>
    </row>
    <row r="67" spans="1:9" x14ac:dyDescent="0.2">
      <c r="A67" s="7"/>
      <c r="B67" s="7"/>
      <c r="C67" s="7"/>
      <c r="D67" s="7"/>
      <c r="E67" s="7"/>
      <c r="F67" s="7"/>
      <c r="G67" s="7"/>
      <c r="H67" s="7"/>
      <c r="I67" s="7"/>
    </row>
    <row r="68" spans="1:9" x14ac:dyDescent="0.2">
      <c r="A68" s="7"/>
      <c r="B68" s="7"/>
      <c r="C68" s="7"/>
      <c r="D68" s="7"/>
      <c r="E68" s="7"/>
      <c r="F68" s="7"/>
      <c r="G68" s="7"/>
      <c r="H68" s="7"/>
      <c r="I68" s="7"/>
    </row>
    <row r="69" spans="1:9" x14ac:dyDescent="0.2">
      <c r="A69" s="7"/>
      <c r="B69" s="7"/>
      <c r="C69" s="7"/>
      <c r="D69" s="7"/>
      <c r="E69" s="7"/>
      <c r="F69" s="7"/>
      <c r="G69" s="7"/>
      <c r="H69" s="7"/>
      <c r="I69" s="7"/>
    </row>
    <row r="70" spans="1:9" x14ac:dyDescent="0.2">
      <c r="A70" s="7"/>
      <c r="B70" s="7"/>
      <c r="C70" s="7"/>
      <c r="D70" s="7"/>
      <c r="E70" s="7"/>
      <c r="F70" s="7"/>
      <c r="G70" s="7"/>
      <c r="H70" s="7"/>
      <c r="I70" s="7"/>
    </row>
    <row r="71" spans="1:9" x14ac:dyDescent="0.2">
      <c r="A71" s="7"/>
      <c r="B71" s="7"/>
      <c r="C71" s="7"/>
      <c r="D71" s="7"/>
      <c r="E71" s="7"/>
      <c r="F71" s="7"/>
      <c r="G71" s="7"/>
      <c r="H71" s="7"/>
      <c r="I71" s="7"/>
    </row>
    <row r="72" spans="1:9" x14ac:dyDescent="0.2">
      <c r="A72" s="7"/>
      <c r="B72" s="7"/>
      <c r="C72" s="7"/>
      <c r="D72" s="7"/>
      <c r="E72" s="7"/>
      <c r="F72" s="7"/>
      <c r="G72" s="7"/>
      <c r="H72" s="7"/>
      <c r="I72" s="7"/>
    </row>
    <row r="73" spans="1:9" x14ac:dyDescent="0.2">
      <c r="A73" s="7"/>
      <c r="B73" s="7"/>
      <c r="C73" s="7"/>
      <c r="D73" s="7"/>
      <c r="E73" s="7"/>
      <c r="F73" s="7"/>
      <c r="G73" s="7"/>
      <c r="H73" s="7"/>
      <c r="I73" s="7"/>
    </row>
    <row r="74" spans="1:9" x14ac:dyDescent="0.2">
      <c r="A74" s="7"/>
      <c r="B74" s="7"/>
      <c r="C74" s="7"/>
      <c r="D74" s="7"/>
      <c r="E74" s="7"/>
      <c r="F74" s="7"/>
      <c r="G74" s="7"/>
      <c r="H74" s="7"/>
      <c r="I74" s="7"/>
    </row>
    <row r="75" spans="1:9" x14ac:dyDescent="0.2">
      <c r="A75" s="7"/>
      <c r="B75" s="7"/>
      <c r="C75" s="7"/>
      <c r="D75" s="7"/>
      <c r="E75" s="7"/>
      <c r="F75" s="7"/>
      <c r="G75" s="7"/>
      <c r="H75" s="7"/>
      <c r="I75" s="7"/>
    </row>
    <row r="76" spans="1:9" x14ac:dyDescent="0.2">
      <c r="A76" s="7"/>
      <c r="B76" s="7"/>
      <c r="C76" s="7"/>
      <c r="D76" s="7"/>
      <c r="E76" s="7"/>
      <c r="F76" s="7"/>
      <c r="G76" s="7"/>
      <c r="H76" s="7"/>
      <c r="I76" s="7"/>
    </row>
    <row r="77" spans="1:9" x14ac:dyDescent="0.2">
      <c r="A77" s="7"/>
      <c r="B77" s="7"/>
      <c r="C77" s="7"/>
      <c r="D77" s="7"/>
      <c r="E77" s="7"/>
      <c r="F77" s="7"/>
      <c r="G77" s="7"/>
      <c r="H77" s="7"/>
      <c r="I77" s="7"/>
    </row>
    <row r="78" spans="1:9" x14ac:dyDescent="0.2">
      <c r="A78" s="7"/>
      <c r="B78" s="7"/>
      <c r="C78" s="7"/>
      <c r="D78" s="7"/>
      <c r="E78" s="7"/>
      <c r="F78" s="7"/>
      <c r="G78" s="7"/>
      <c r="H78" s="7"/>
      <c r="I78" s="7"/>
    </row>
    <row r="79" spans="1:9" x14ac:dyDescent="0.2">
      <c r="A79" s="7"/>
      <c r="B79" s="7"/>
      <c r="C79" s="7"/>
      <c r="D79" s="7"/>
      <c r="E79" s="7"/>
      <c r="F79" s="7"/>
      <c r="G79" s="7"/>
      <c r="H79" s="7"/>
      <c r="I79" s="7"/>
    </row>
    <row r="80" spans="1:9" x14ac:dyDescent="0.2">
      <c r="A80" s="7"/>
      <c r="B80" s="7"/>
      <c r="C80" s="7"/>
      <c r="D80" s="7"/>
      <c r="E80" s="7"/>
      <c r="F80" s="7"/>
      <c r="G80" s="7"/>
      <c r="H80" s="7"/>
      <c r="I80" s="7"/>
    </row>
    <row r="81" spans="1:9" x14ac:dyDescent="0.2">
      <c r="A81" s="7"/>
      <c r="B81" s="7"/>
      <c r="C81" s="7"/>
      <c r="D81" s="7"/>
      <c r="E81" s="7"/>
      <c r="F81" s="7"/>
      <c r="G81" s="7"/>
      <c r="H81" s="7"/>
      <c r="I81" s="7"/>
    </row>
    <row r="82" spans="1:9" x14ac:dyDescent="0.2">
      <c r="A82" s="7"/>
      <c r="B82" s="7"/>
      <c r="C82" s="7"/>
      <c r="D82" s="7"/>
      <c r="E82" s="7"/>
      <c r="F82" s="7"/>
      <c r="G82" s="7"/>
      <c r="H82" s="7"/>
      <c r="I82" s="7"/>
    </row>
    <row r="83" spans="1:9" x14ac:dyDescent="0.2">
      <c r="A83" s="7"/>
      <c r="B83" s="7"/>
      <c r="C83" s="7"/>
      <c r="D83" s="7"/>
      <c r="E83" s="7"/>
      <c r="F83" s="7"/>
      <c r="G83" s="7"/>
      <c r="H83" s="7"/>
      <c r="I83" s="7"/>
    </row>
    <row r="84" spans="1:9" x14ac:dyDescent="0.2">
      <c r="A84" s="7"/>
      <c r="B84" s="7"/>
      <c r="C84" s="7"/>
      <c r="D84" s="7"/>
      <c r="E84" s="7"/>
      <c r="F84" s="7"/>
      <c r="G84" s="7"/>
      <c r="H84" s="7"/>
      <c r="I84" s="7"/>
    </row>
    <row r="85" spans="1:9" x14ac:dyDescent="0.2">
      <c r="A85" s="7"/>
      <c r="B85" s="7"/>
      <c r="C85" s="7"/>
      <c r="D85" s="7"/>
      <c r="E85" s="7"/>
      <c r="F85" s="7"/>
      <c r="G85" s="7"/>
      <c r="H85" s="7"/>
      <c r="I85" s="7"/>
    </row>
    <row r="86" spans="1:9" x14ac:dyDescent="0.2">
      <c r="A86" s="7"/>
      <c r="B86" s="7"/>
      <c r="C86" s="7"/>
      <c r="D86" s="7"/>
      <c r="E86" s="7"/>
      <c r="F86" s="7"/>
      <c r="G86" s="7"/>
      <c r="H86" s="7"/>
      <c r="I86" s="7"/>
    </row>
    <row r="87" spans="1:9" x14ac:dyDescent="0.2">
      <c r="A87" s="7"/>
      <c r="B87" s="7"/>
      <c r="C87" s="7"/>
      <c r="D87" s="7"/>
      <c r="E87" s="7"/>
      <c r="F87" s="7"/>
      <c r="G87" s="7"/>
      <c r="H87" s="7"/>
      <c r="I87" s="7"/>
    </row>
    <row r="88" spans="1:9" x14ac:dyDescent="0.2">
      <c r="A88" s="7"/>
      <c r="B88" s="7"/>
      <c r="C88" s="7"/>
      <c r="D88" s="7"/>
      <c r="E88" s="7"/>
      <c r="F88" s="7"/>
      <c r="G88" s="7"/>
      <c r="H88" s="7"/>
      <c r="I88" s="7"/>
    </row>
    <row r="89" spans="1:9" x14ac:dyDescent="0.2">
      <c r="A89" s="7"/>
      <c r="B89" s="7"/>
      <c r="C89" s="7"/>
      <c r="D89" s="7"/>
      <c r="E89" s="7"/>
      <c r="F89" s="7"/>
      <c r="G89" s="7"/>
      <c r="H89" s="7"/>
      <c r="I89" s="7"/>
    </row>
    <row r="90" spans="1:9" x14ac:dyDescent="0.2">
      <c r="A90" s="7"/>
      <c r="B90" s="7"/>
      <c r="C90" s="7"/>
      <c r="D90" s="7"/>
      <c r="E90" s="7"/>
      <c r="F90" s="7"/>
      <c r="G90" s="7"/>
      <c r="H90" s="7"/>
      <c r="I90" s="7"/>
    </row>
    <row r="91" spans="1:9" x14ac:dyDescent="0.2">
      <c r="A91" s="7"/>
      <c r="B91" s="7"/>
      <c r="C91" s="7"/>
      <c r="D91" s="7"/>
      <c r="E91" s="7"/>
      <c r="F91" s="7"/>
      <c r="G91" s="7"/>
      <c r="H91" s="7"/>
      <c r="I91" s="7"/>
    </row>
    <row r="92" spans="1:9" x14ac:dyDescent="0.2">
      <c r="A92" s="7"/>
      <c r="B92" s="7"/>
      <c r="C92" s="7"/>
      <c r="D92" s="7"/>
      <c r="E92" s="7"/>
      <c r="F92" s="7"/>
      <c r="G92" s="7"/>
      <c r="H92" s="7"/>
      <c r="I92" s="7"/>
    </row>
    <row r="93" spans="1:9" x14ac:dyDescent="0.2">
      <c r="A93" s="7"/>
      <c r="B93" s="7"/>
      <c r="C93" s="7"/>
      <c r="D93" s="7"/>
      <c r="E93" s="7"/>
      <c r="F93" s="7"/>
      <c r="G93" s="7"/>
      <c r="H93" s="7"/>
      <c r="I93" s="7"/>
    </row>
    <row r="94" spans="1:9" x14ac:dyDescent="0.2">
      <c r="A94" s="7"/>
      <c r="B94" s="7"/>
      <c r="C94" s="7"/>
      <c r="D94" s="7"/>
      <c r="E94" s="7"/>
      <c r="F94" s="7"/>
      <c r="G94" s="7"/>
      <c r="H94" s="7"/>
      <c r="I94" s="7"/>
    </row>
    <row r="95" spans="1:9" x14ac:dyDescent="0.2">
      <c r="A95" s="7"/>
      <c r="B95" s="7"/>
      <c r="C95" s="7"/>
      <c r="D95" s="7"/>
      <c r="E95" s="7"/>
      <c r="F95" s="7"/>
      <c r="G95" s="7"/>
      <c r="H95" s="7"/>
      <c r="I95" s="7"/>
    </row>
    <row r="96" spans="1:9" x14ac:dyDescent="0.2">
      <c r="A96" s="7"/>
      <c r="B96" s="7"/>
      <c r="C96" s="7"/>
      <c r="D96" s="7"/>
      <c r="E96" s="7"/>
      <c r="F96" s="7"/>
      <c r="G96" s="7"/>
      <c r="H96" s="7"/>
      <c r="I96" s="7"/>
    </row>
    <row r="97" spans="1:9" x14ac:dyDescent="0.2">
      <c r="A97" s="7"/>
      <c r="B97" s="7"/>
      <c r="C97" s="7"/>
      <c r="D97" s="7"/>
      <c r="E97" s="7"/>
      <c r="F97" s="7"/>
      <c r="G97" s="7"/>
      <c r="H97" s="7"/>
      <c r="I97" s="7"/>
    </row>
    <row r="98" spans="1:9" x14ac:dyDescent="0.2">
      <c r="A98" s="7"/>
      <c r="B98" s="7"/>
      <c r="C98" s="7"/>
      <c r="D98" s="7"/>
      <c r="E98" s="7"/>
      <c r="F98" s="7"/>
      <c r="G98" s="7"/>
      <c r="H98" s="7"/>
      <c r="I98" s="7"/>
    </row>
    <row r="99" spans="1:9" x14ac:dyDescent="0.2">
      <c r="A99" s="7"/>
      <c r="B99" s="7"/>
      <c r="C99" s="7"/>
      <c r="D99" s="7"/>
      <c r="E99" s="7"/>
      <c r="F99" s="7"/>
      <c r="G99" s="7"/>
      <c r="H99" s="7"/>
      <c r="I99" s="7"/>
    </row>
    <row r="100" spans="1:9" x14ac:dyDescent="0.2">
      <c r="A100" s="7"/>
      <c r="B100" s="7"/>
      <c r="C100" s="7"/>
      <c r="D100" s="7"/>
      <c r="E100" s="7"/>
      <c r="F100" s="7"/>
      <c r="G100" s="7"/>
      <c r="H100" s="7"/>
      <c r="I100" s="7"/>
    </row>
    <row r="101" spans="1:9" x14ac:dyDescent="0.2">
      <c r="A101" s="11" t="s">
        <v>1</v>
      </c>
      <c r="B101" s="12"/>
      <c r="C101" s="12"/>
      <c r="D101" s="13"/>
      <c r="E101" s="8"/>
      <c r="F101" s="8"/>
      <c r="G101" s="8"/>
      <c r="H101" s="8"/>
      <c r="I101" s="1"/>
    </row>
    <row r="102" spans="1:9" x14ac:dyDescent="0.2">
      <c r="A102" s="14" t="s">
        <v>15</v>
      </c>
      <c r="B102" s="15"/>
      <c r="C102" s="15"/>
      <c r="D102" s="16"/>
      <c r="E102" s="8"/>
      <c r="F102" s="8"/>
      <c r="G102" s="8"/>
      <c r="H102" s="8"/>
      <c r="I102" s="1"/>
    </row>
    <row r="103" spans="1:9" x14ac:dyDescent="0.2">
      <c r="A103" s="17" t="s">
        <v>62</v>
      </c>
      <c r="B103" s="18"/>
      <c r="C103" s="18"/>
      <c r="D103" s="19"/>
      <c r="E103" s="8"/>
      <c r="F103" s="8"/>
      <c r="G103" s="8"/>
      <c r="H103" s="8"/>
      <c r="I103" s="1"/>
    </row>
    <row r="104" spans="1:9" x14ac:dyDescent="0.2">
      <c r="A104" s="20"/>
      <c r="B104" s="21"/>
      <c r="C104" s="22"/>
      <c r="D104" s="23"/>
      <c r="E104" s="8"/>
      <c r="F104" s="8" t="s">
        <v>34</v>
      </c>
      <c r="G104" s="8"/>
      <c r="H104" s="8"/>
      <c r="I104" s="1"/>
    </row>
    <row r="105" spans="1:9" ht="15.75" x14ac:dyDescent="0.25">
      <c r="A105" s="24" t="s">
        <v>2</v>
      </c>
      <c r="B105" s="25" t="str">
        <f>[1]Charters!B110</f>
        <v>Dixie Montessori Academy</v>
      </c>
      <c r="C105" s="26"/>
      <c r="D105" s="27"/>
      <c r="E105" s="8"/>
      <c r="F105" s="8"/>
      <c r="G105" s="8"/>
      <c r="H105" s="8"/>
      <c r="I105" s="1"/>
    </row>
    <row r="106" spans="1:9" x14ac:dyDescent="0.2">
      <c r="A106" s="24"/>
      <c r="B106" s="28"/>
      <c r="C106" s="26"/>
      <c r="D106" s="27"/>
      <c r="E106" s="8"/>
      <c r="F106" s="8"/>
      <c r="G106" s="8"/>
      <c r="H106" s="8"/>
      <c r="I106" s="1"/>
    </row>
    <row r="107" spans="1:9" x14ac:dyDescent="0.2">
      <c r="A107" s="29" t="s">
        <v>0</v>
      </c>
      <c r="B107" s="30">
        <f>[1]Charters!$E$6</f>
        <v>3184</v>
      </c>
      <c r="C107" s="26"/>
      <c r="D107" s="31"/>
      <c r="E107" s="8"/>
      <c r="F107" s="8"/>
      <c r="G107" s="8"/>
      <c r="H107" s="8"/>
      <c r="I107" s="1"/>
    </row>
    <row r="108" spans="1:9" x14ac:dyDescent="0.2">
      <c r="A108" s="32"/>
      <c r="B108" s="6"/>
      <c r="C108" s="33"/>
      <c r="D108" s="34" t="s">
        <v>3</v>
      </c>
      <c r="E108" s="8"/>
      <c r="F108" s="8"/>
      <c r="G108" s="8"/>
      <c r="H108" s="8"/>
      <c r="I108" s="1"/>
    </row>
    <row r="109" spans="1:9" x14ac:dyDescent="0.2">
      <c r="A109" s="29" t="s">
        <v>19</v>
      </c>
      <c r="B109" s="35" t="str">
        <f>[1]Charters!A110</f>
        <v>3J</v>
      </c>
      <c r="C109" s="36" t="s">
        <v>4</v>
      </c>
      <c r="D109" s="37" t="s">
        <v>5</v>
      </c>
      <c r="E109" s="8"/>
      <c r="F109" s="8"/>
      <c r="G109" s="8"/>
      <c r="H109" s="8"/>
      <c r="I109" s="1"/>
    </row>
    <row r="110" spans="1:9" x14ac:dyDescent="0.2">
      <c r="A110" s="38" t="s">
        <v>6</v>
      </c>
      <c r="B110" s="39"/>
      <c r="C110" s="40"/>
      <c r="D110" s="41"/>
      <c r="E110" s="8"/>
      <c r="F110" s="8"/>
      <c r="G110" s="8"/>
      <c r="H110" s="8"/>
      <c r="I110" s="1"/>
    </row>
    <row r="111" spans="1:9" x14ac:dyDescent="0.2">
      <c r="A111" s="38" t="s">
        <v>7</v>
      </c>
      <c r="B111" s="39"/>
      <c r="C111" s="40"/>
      <c r="D111" s="41"/>
      <c r="E111" s="8"/>
      <c r="F111" s="42" t="s">
        <v>23</v>
      </c>
      <c r="G111" s="8"/>
      <c r="H111" s="42" t="s">
        <v>26</v>
      </c>
      <c r="I111" s="1"/>
    </row>
    <row r="112" spans="1:9" x14ac:dyDescent="0.2">
      <c r="A112" s="20" t="s">
        <v>8</v>
      </c>
      <c r="B112" s="43"/>
      <c r="C112" s="44">
        <f>[1]Charters!C570</f>
        <v>360.33300000000003</v>
      </c>
      <c r="D112" s="45">
        <f>[1]Charters!E570</f>
        <v>1147300.43</v>
      </c>
      <c r="E112" s="8"/>
      <c r="F112" s="42">
        <f>[1]Charters!E726</f>
        <v>1172854.25</v>
      </c>
      <c r="G112" s="8"/>
      <c r="H112" s="42">
        <f>[2]Charters!E264</f>
        <v>1443205.33</v>
      </c>
      <c r="I112" s="1"/>
    </row>
    <row r="113" spans="1:9" x14ac:dyDescent="0.2">
      <c r="A113" s="20" t="s">
        <v>14</v>
      </c>
      <c r="B113" s="43"/>
      <c r="C113" s="44">
        <f>[1]Charters!F570</f>
        <v>8.0259999999999998</v>
      </c>
      <c r="D113" s="45">
        <f>[1]Charters!H570</f>
        <v>25553.82</v>
      </c>
      <c r="E113" s="8"/>
      <c r="F113" s="42">
        <f>SUM(D112:D114)</f>
        <v>1172854.25</v>
      </c>
      <c r="G113" s="8"/>
      <c r="H113" s="42">
        <f>D125</f>
        <v>1443205.33</v>
      </c>
      <c r="I113" s="1"/>
    </row>
    <row r="114" spans="1:9" x14ac:dyDescent="0.2">
      <c r="A114" s="20" t="s">
        <v>32</v>
      </c>
      <c r="B114" s="43"/>
      <c r="C114" s="44">
        <f>[1]Charters!C263</f>
        <v>0</v>
      </c>
      <c r="D114" s="45">
        <f>[1]Charters!E263</f>
        <v>0</v>
      </c>
      <c r="E114" s="8"/>
      <c r="F114" s="42">
        <f>+F112-F113</f>
        <v>0</v>
      </c>
      <c r="G114" s="8"/>
      <c r="H114" s="42">
        <f>+H112-H113</f>
        <v>0</v>
      </c>
      <c r="I114" s="1"/>
    </row>
    <row r="115" spans="1:9" x14ac:dyDescent="0.2">
      <c r="A115" s="38" t="s">
        <v>9</v>
      </c>
      <c r="B115" s="39"/>
      <c r="C115" s="46"/>
      <c r="D115" s="47"/>
      <c r="E115" s="8"/>
      <c r="F115" s="8"/>
      <c r="G115" s="8"/>
      <c r="H115" s="8"/>
      <c r="I115" s="1"/>
    </row>
    <row r="116" spans="1:9" x14ac:dyDescent="0.2">
      <c r="A116" s="20" t="s">
        <v>10</v>
      </c>
      <c r="B116" s="43"/>
      <c r="C116" s="40">
        <f>[3]Charters!C109</f>
        <v>41.093000000000004</v>
      </c>
      <c r="D116" s="41">
        <f>[3]Charters!E109</f>
        <v>130841.62</v>
      </c>
      <c r="E116" s="8"/>
      <c r="F116" s="42" t="s">
        <v>24</v>
      </c>
      <c r="G116" s="8"/>
      <c r="H116" s="8"/>
      <c r="I116" s="1"/>
    </row>
    <row r="117" spans="1:9" x14ac:dyDescent="0.2">
      <c r="A117" s="48" t="s">
        <v>11</v>
      </c>
      <c r="B117" s="43"/>
      <c r="C117" s="40">
        <f>[3]Charters!F109</f>
        <v>4.7889999999999997</v>
      </c>
      <c r="D117" s="49">
        <f>[3]Charters!H109</f>
        <v>15248.18</v>
      </c>
      <c r="E117" s="8"/>
      <c r="F117" s="42">
        <f>[3]Charters!N422</f>
        <v>152323.97</v>
      </c>
      <c r="G117" s="8"/>
      <c r="H117" s="8"/>
      <c r="I117" s="1"/>
    </row>
    <row r="118" spans="1:9" x14ac:dyDescent="0.2">
      <c r="A118" s="48" t="s">
        <v>12</v>
      </c>
      <c r="B118" s="43"/>
      <c r="C118" s="40">
        <f>[3]Charters!C264</f>
        <v>0</v>
      </c>
      <c r="D118" s="41">
        <f>[3]Charters!E264</f>
        <v>0</v>
      </c>
      <c r="E118" s="8"/>
      <c r="F118" s="42">
        <f>SUM(D116:D122)</f>
        <v>152323.97</v>
      </c>
      <c r="G118" s="8"/>
      <c r="H118" s="8"/>
      <c r="I118" s="1"/>
    </row>
    <row r="119" spans="1:9" x14ac:dyDescent="0.2">
      <c r="A119" s="20" t="s">
        <v>13</v>
      </c>
      <c r="B119" s="43"/>
      <c r="C119" s="40">
        <f>[3]Charters!F264</f>
        <v>0.70899999999999996</v>
      </c>
      <c r="D119" s="41">
        <f>[3]Charters!H264</f>
        <v>2259</v>
      </c>
      <c r="E119" s="8"/>
      <c r="F119" s="42">
        <f>+F117-F118</f>
        <v>0</v>
      </c>
      <c r="G119" s="8"/>
      <c r="H119" s="8"/>
      <c r="I119" s="1"/>
    </row>
    <row r="120" spans="1:9" x14ac:dyDescent="0.2">
      <c r="A120" s="48" t="s">
        <v>54</v>
      </c>
      <c r="B120" s="43"/>
      <c r="C120" s="40">
        <f>[3]Charters!C422</f>
        <v>1.248</v>
      </c>
      <c r="D120" s="41">
        <f>[3]Charters!E422</f>
        <v>3975.17</v>
      </c>
      <c r="E120" s="8"/>
      <c r="F120" s="8"/>
      <c r="G120" s="8"/>
      <c r="H120" s="8"/>
      <c r="I120" s="1"/>
    </row>
    <row r="121" spans="1:9" x14ac:dyDescent="0.2">
      <c r="A121" s="48" t="s">
        <v>55</v>
      </c>
      <c r="B121" s="43"/>
      <c r="C121" s="40">
        <f>[3]Charters!F422</f>
        <v>0</v>
      </c>
      <c r="D121" s="41">
        <f>[3]Charters!H422</f>
        <v>0</v>
      </c>
      <c r="E121" s="8"/>
      <c r="F121" s="42" t="s">
        <v>25</v>
      </c>
      <c r="G121" s="8"/>
      <c r="H121" s="8"/>
      <c r="I121" s="1"/>
    </row>
    <row r="122" spans="1:9" x14ac:dyDescent="0.2">
      <c r="A122" s="48" t="s">
        <v>56</v>
      </c>
      <c r="B122" s="43"/>
      <c r="C122" s="40">
        <f>[3]Charters!I422</f>
        <v>0</v>
      </c>
      <c r="D122" s="41">
        <f>[3]Charters!K422</f>
        <v>0</v>
      </c>
      <c r="E122" s="8"/>
      <c r="F122" s="42">
        <f>[2]Charters!H110</f>
        <v>270351.08</v>
      </c>
      <c r="G122" s="8"/>
      <c r="H122" s="8"/>
      <c r="I122" s="1"/>
    </row>
    <row r="123" spans="1:9" x14ac:dyDescent="0.2">
      <c r="A123" s="20" t="s">
        <v>49</v>
      </c>
      <c r="B123" s="43"/>
      <c r="C123" s="40">
        <f>[3]Charters!C577</f>
        <v>0</v>
      </c>
      <c r="D123" s="41">
        <f>[3]Charters!E577</f>
        <v>0</v>
      </c>
      <c r="E123" s="8"/>
      <c r="F123" s="42">
        <f>SUM(D116:D124)</f>
        <v>270351.08</v>
      </c>
      <c r="G123" s="8"/>
      <c r="H123" s="8"/>
      <c r="I123" s="1"/>
    </row>
    <row r="124" spans="1:9" x14ac:dyDescent="0.2">
      <c r="A124" s="20" t="s">
        <v>50</v>
      </c>
      <c r="B124" s="43"/>
      <c r="C124" s="40">
        <f>[2]Charters!C110</f>
        <v>37.069000000000003</v>
      </c>
      <c r="D124" s="41">
        <f>[2]Charters!E110</f>
        <v>118027.11</v>
      </c>
      <c r="E124" s="8"/>
      <c r="F124" s="42">
        <f>+F122-F123</f>
        <v>0</v>
      </c>
      <c r="G124" s="8"/>
      <c r="H124" s="8"/>
      <c r="I124" s="1"/>
    </row>
    <row r="125" spans="1:9" x14ac:dyDescent="0.2">
      <c r="A125" s="50"/>
      <c r="B125" s="51" t="s">
        <v>16</v>
      </c>
      <c r="C125" s="52">
        <f>SUM(C112:C124)</f>
        <v>453.267</v>
      </c>
      <c r="D125" s="53">
        <f>SUM(D112:D124)</f>
        <v>1443205.33</v>
      </c>
      <c r="E125" s="8"/>
      <c r="F125" s="8"/>
      <c r="G125" s="8"/>
      <c r="H125" s="8"/>
      <c r="I125" s="1"/>
    </row>
    <row r="126" spans="1:9" x14ac:dyDescent="0.2">
      <c r="A126" s="54" t="s">
        <v>17</v>
      </c>
      <c r="B126" s="39"/>
      <c r="C126" s="55"/>
      <c r="D126" s="47"/>
      <c r="E126" s="8"/>
      <c r="F126" s="8"/>
      <c r="G126" s="8"/>
      <c r="H126" s="42" t="s">
        <v>29</v>
      </c>
      <c r="I126" s="1"/>
    </row>
    <row r="127" spans="1:9" x14ac:dyDescent="0.2">
      <c r="A127" s="20" t="s">
        <v>33</v>
      </c>
      <c r="B127" s="43"/>
      <c r="C127" s="56"/>
      <c r="D127" s="57">
        <f>[4]Charters!C111</f>
        <v>4183.08</v>
      </c>
      <c r="E127" s="8"/>
      <c r="F127" s="8"/>
      <c r="G127" s="8"/>
      <c r="H127" s="42">
        <f>[4]Charters!F1050</f>
        <v>2474447.69</v>
      </c>
      <c r="I127" s="1"/>
    </row>
    <row r="128" spans="1:9" x14ac:dyDescent="0.2">
      <c r="A128" s="58" t="s">
        <v>35</v>
      </c>
      <c r="B128" s="43"/>
      <c r="C128" s="56"/>
      <c r="D128" s="41">
        <f>+[4]Charters!F432</f>
        <v>1734.28</v>
      </c>
      <c r="E128" s="8"/>
      <c r="F128" s="8"/>
      <c r="G128" s="8"/>
      <c r="H128" s="42">
        <f>SUM(D125:D144)</f>
        <v>2474447.69</v>
      </c>
      <c r="I128" s="1"/>
    </row>
    <row r="129" spans="1:9" x14ac:dyDescent="0.2">
      <c r="A129" s="59" t="s">
        <v>36</v>
      </c>
      <c r="B129" s="43"/>
      <c r="C129" s="56"/>
      <c r="D129" s="41">
        <f>[4]Charters!E271</f>
        <v>20200</v>
      </c>
      <c r="E129" s="8"/>
      <c r="F129" s="8"/>
      <c r="G129" s="8"/>
      <c r="H129" s="42">
        <f>+H127-H128</f>
        <v>0</v>
      </c>
      <c r="I129" s="1"/>
    </row>
    <row r="130" spans="1:9" x14ac:dyDescent="0.2">
      <c r="A130" s="59" t="s">
        <v>52</v>
      </c>
      <c r="B130" s="43"/>
      <c r="C130" s="56"/>
      <c r="D130" s="41">
        <f>[4]Charters!G432</f>
        <v>0</v>
      </c>
      <c r="E130" s="8"/>
      <c r="F130" s="42" t="s">
        <v>27</v>
      </c>
      <c r="G130" s="8"/>
      <c r="H130" s="42"/>
      <c r="I130" s="1"/>
    </row>
    <row r="131" spans="1:9" x14ac:dyDescent="0.2">
      <c r="A131" s="20" t="s">
        <v>37</v>
      </c>
      <c r="B131" s="43"/>
      <c r="C131" s="56"/>
      <c r="D131" s="41">
        <f>[4]Charters!E588</f>
        <v>30099</v>
      </c>
      <c r="E131" s="8"/>
      <c r="F131" s="42">
        <f>[4]Charters!E271</f>
        <v>20200</v>
      </c>
      <c r="G131" s="8"/>
      <c r="H131" s="8"/>
      <c r="I131" s="1"/>
    </row>
    <row r="132" spans="1:9" x14ac:dyDescent="0.2">
      <c r="A132" s="20" t="s">
        <v>38</v>
      </c>
      <c r="B132" s="43"/>
      <c r="C132" s="56"/>
      <c r="D132" s="41">
        <f>[4]Charters!F588</f>
        <v>0</v>
      </c>
      <c r="E132" s="8"/>
      <c r="F132" s="42">
        <f>SUM(D129:D129)</f>
        <v>20200</v>
      </c>
      <c r="G132" s="8"/>
      <c r="H132" s="8"/>
      <c r="I132" s="1"/>
    </row>
    <row r="133" spans="1:9" x14ac:dyDescent="0.2">
      <c r="A133" s="59" t="s">
        <v>40</v>
      </c>
      <c r="B133" s="43"/>
      <c r="C133" s="56"/>
      <c r="D133" s="41">
        <f>[4]Charters!G588</f>
        <v>0</v>
      </c>
      <c r="E133" s="8"/>
      <c r="F133" s="42">
        <f>+F131-F132</f>
        <v>0</v>
      </c>
      <c r="G133" s="8"/>
      <c r="H133" s="8"/>
      <c r="I133" s="1"/>
    </row>
    <row r="134" spans="1:9" x14ac:dyDescent="0.2">
      <c r="A134" s="20" t="s">
        <v>41</v>
      </c>
      <c r="B134" s="43"/>
      <c r="C134" s="56"/>
      <c r="D134" s="41">
        <f>[4]Charters!C741</f>
        <v>852426</v>
      </c>
      <c r="E134" s="8"/>
      <c r="F134" s="42" t="s">
        <v>28</v>
      </c>
      <c r="G134" s="8"/>
      <c r="H134" s="8"/>
      <c r="I134" s="1"/>
    </row>
    <row r="135" spans="1:9" x14ac:dyDescent="0.2">
      <c r="A135" s="20" t="s">
        <v>42</v>
      </c>
      <c r="B135" s="43"/>
      <c r="C135" s="56"/>
      <c r="D135" s="41">
        <f>[4]Charters!D741</f>
        <v>64754.41</v>
      </c>
      <c r="E135" s="8"/>
      <c r="F135" s="42">
        <f>[4]Charters!D588</f>
        <v>21934.28</v>
      </c>
      <c r="G135" s="8"/>
      <c r="H135" s="8"/>
      <c r="I135" s="1"/>
    </row>
    <row r="136" spans="1:9" x14ac:dyDescent="0.2">
      <c r="A136" s="20" t="s">
        <v>44</v>
      </c>
      <c r="B136" s="43"/>
      <c r="C136" s="56"/>
      <c r="D136" s="41">
        <f>[4]Charters!E741</f>
        <v>42600</v>
      </c>
      <c r="E136" s="8"/>
      <c r="F136" s="42">
        <f>SUM(D128:D130)</f>
        <v>21934.28</v>
      </c>
      <c r="G136" s="8"/>
      <c r="H136" s="8"/>
      <c r="I136" s="1"/>
    </row>
    <row r="137" spans="1:9" x14ac:dyDescent="0.2">
      <c r="A137" s="59" t="s">
        <v>43</v>
      </c>
      <c r="B137" s="43"/>
      <c r="C137" s="56"/>
      <c r="D137" s="41">
        <f>[4]Charters!F741</f>
        <v>14610</v>
      </c>
      <c r="E137" s="8"/>
      <c r="F137" s="42">
        <f>+F135-F136</f>
        <v>0</v>
      </c>
      <c r="G137" s="8"/>
      <c r="H137" s="8"/>
      <c r="I137" s="1"/>
    </row>
    <row r="138" spans="1:9" x14ac:dyDescent="0.2">
      <c r="A138" s="59" t="s">
        <v>45</v>
      </c>
      <c r="B138" s="43"/>
      <c r="C138" s="56"/>
      <c r="D138" s="41">
        <f>[4]Charters!C588</f>
        <v>0</v>
      </c>
      <c r="E138" s="8"/>
      <c r="F138" s="8"/>
      <c r="G138" s="8"/>
      <c r="H138" s="8"/>
      <c r="I138" s="1"/>
    </row>
    <row r="139" spans="1:9" x14ac:dyDescent="0.2">
      <c r="A139" s="59" t="s">
        <v>46</v>
      </c>
      <c r="B139" s="43"/>
      <c r="C139" s="56"/>
      <c r="D139" s="41">
        <f>[4]Charters!C897</f>
        <v>0</v>
      </c>
      <c r="E139" s="42"/>
      <c r="F139" s="42"/>
      <c r="G139" s="42"/>
      <c r="H139" s="42" t="s">
        <v>31</v>
      </c>
      <c r="I139" s="82"/>
    </row>
    <row r="140" spans="1:9" x14ac:dyDescent="0.2">
      <c r="A140" s="59" t="s">
        <v>51</v>
      </c>
      <c r="B140" s="43"/>
      <c r="C140" s="56"/>
      <c r="D140" s="60">
        <f>[4]Charters!D897</f>
        <v>635.59</v>
      </c>
      <c r="E140" s="42"/>
      <c r="F140" s="42"/>
      <c r="G140" s="42"/>
      <c r="H140" s="42">
        <f>[4]Charters!D1356</f>
        <v>2477677.4300000002</v>
      </c>
      <c r="I140" s="82"/>
    </row>
    <row r="141" spans="1:9" x14ac:dyDescent="0.2">
      <c r="A141" s="20" t="s">
        <v>47</v>
      </c>
      <c r="B141" s="43"/>
      <c r="C141" s="56"/>
      <c r="D141" s="60">
        <f>[4]Charters!E897</f>
        <v>0</v>
      </c>
      <c r="E141" s="42"/>
      <c r="F141" s="42"/>
      <c r="G141" s="42"/>
      <c r="H141" s="42">
        <f>D150</f>
        <v>2477677.4300000002</v>
      </c>
      <c r="I141" s="82"/>
    </row>
    <row r="142" spans="1:9" x14ac:dyDescent="0.2">
      <c r="A142" s="20" t="s">
        <v>57</v>
      </c>
      <c r="B142" s="43"/>
      <c r="C142" s="56"/>
      <c r="D142" s="60">
        <f>[4]Charters!C1050</f>
        <v>0</v>
      </c>
      <c r="E142" s="42"/>
      <c r="F142" s="42"/>
      <c r="G142" s="42"/>
      <c r="H142" s="42">
        <f>+H140-H141</f>
        <v>0</v>
      </c>
      <c r="I142" s="82"/>
    </row>
    <row r="143" spans="1:9" x14ac:dyDescent="0.2">
      <c r="A143" s="59" t="s">
        <v>53</v>
      </c>
      <c r="B143" s="43"/>
      <c r="C143" s="56"/>
      <c r="D143" s="60">
        <f>[4]Charters!D1050</f>
        <v>0</v>
      </c>
      <c r="E143" s="42"/>
      <c r="F143" s="42" t="s">
        <v>30</v>
      </c>
      <c r="G143" s="42"/>
      <c r="H143" s="42"/>
      <c r="I143" s="82"/>
    </row>
    <row r="144" spans="1:9" x14ac:dyDescent="0.2">
      <c r="A144" s="59" t="s">
        <v>59</v>
      </c>
      <c r="B144" s="43"/>
      <c r="C144" s="56"/>
      <c r="D144" s="60">
        <f>[4]Charters!E1050</f>
        <v>0</v>
      </c>
      <c r="E144" s="42"/>
      <c r="F144" s="42"/>
      <c r="G144" s="42"/>
      <c r="H144" s="42"/>
      <c r="I144" s="82"/>
    </row>
    <row r="145" spans="1:9" x14ac:dyDescent="0.2">
      <c r="A145" s="38" t="s">
        <v>18</v>
      </c>
      <c r="B145" s="61"/>
      <c r="C145" s="62"/>
      <c r="D145" s="87"/>
      <c r="E145" s="42"/>
      <c r="F145" s="42">
        <f>[4]Charters!C1356</f>
        <v>3229.74</v>
      </c>
      <c r="G145" s="42"/>
      <c r="H145" s="42"/>
      <c r="I145" s="82"/>
    </row>
    <row r="146" spans="1:9" x14ac:dyDescent="0.2">
      <c r="A146" s="59" t="s">
        <v>39</v>
      </c>
      <c r="B146" s="43"/>
      <c r="C146" s="56"/>
      <c r="D146" s="41">
        <f>[4]Charters!C1203</f>
        <v>3229.74</v>
      </c>
      <c r="E146" s="42"/>
      <c r="F146" s="42">
        <f>SUM(D146:D149)</f>
        <v>3229.74</v>
      </c>
      <c r="G146" s="42"/>
      <c r="H146" s="42"/>
      <c r="I146" s="82"/>
    </row>
    <row r="147" spans="1:9" x14ac:dyDescent="0.2">
      <c r="A147" s="59" t="s">
        <v>48</v>
      </c>
      <c r="B147" s="43"/>
      <c r="C147" s="56"/>
      <c r="D147" s="41">
        <f>[4]Charters!D1203</f>
        <v>0</v>
      </c>
      <c r="E147" s="42"/>
      <c r="F147" s="42">
        <f>+F145-F146</f>
        <v>0</v>
      </c>
      <c r="G147" s="42"/>
      <c r="H147" s="42"/>
      <c r="I147" s="82"/>
    </row>
    <row r="148" spans="1:9" x14ac:dyDescent="0.2">
      <c r="A148" s="59" t="s">
        <v>60</v>
      </c>
      <c r="B148" s="43"/>
      <c r="C148" s="56"/>
      <c r="D148" s="41">
        <f>[4]Charters!E1203</f>
        <v>0</v>
      </c>
      <c r="E148" s="42"/>
      <c r="F148" s="42"/>
      <c r="G148" s="42"/>
      <c r="H148" s="42"/>
      <c r="I148" s="82"/>
    </row>
    <row r="149" spans="1:9" x14ac:dyDescent="0.2">
      <c r="A149" s="59" t="s">
        <v>61</v>
      </c>
      <c r="B149" s="43"/>
      <c r="C149" s="56"/>
      <c r="D149" s="41">
        <f>[4]Charters!F1203</f>
        <v>0</v>
      </c>
      <c r="E149" s="42"/>
      <c r="F149" s="42"/>
      <c r="G149" s="42"/>
      <c r="H149" s="42"/>
      <c r="I149" s="82"/>
    </row>
    <row r="150" spans="1:9" ht="13.5" thickBot="1" x14ac:dyDescent="0.25">
      <c r="A150" s="64"/>
      <c r="B150" s="65"/>
      <c r="C150" s="66"/>
      <c r="D150" s="67">
        <f>SUM(D125:D149)</f>
        <v>2477677.4300000002</v>
      </c>
      <c r="E150" s="42"/>
      <c r="F150" s="42"/>
      <c r="G150" s="42"/>
      <c r="H150" s="42"/>
      <c r="I150" s="82"/>
    </row>
    <row r="151" spans="1:9" ht="13.5" thickTop="1" x14ac:dyDescent="0.2">
      <c r="A151" s="68"/>
      <c r="B151" s="43"/>
      <c r="C151" s="56"/>
      <c r="D151" s="86"/>
      <c r="E151" s="42"/>
      <c r="F151" s="42"/>
      <c r="G151" s="42"/>
      <c r="H151" s="42"/>
      <c r="I151" s="82"/>
    </row>
    <row r="152" spans="1:9" x14ac:dyDescent="0.2">
      <c r="A152" s="38" t="s">
        <v>20</v>
      </c>
      <c r="B152" s="39"/>
      <c r="C152" s="70"/>
      <c r="D152" s="71" t="s">
        <v>21</v>
      </c>
      <c r="E152" s="42"/>
      <c r="F152" s="42"/>
      <c r="G152" s="42"/>
      <c r="H152" s="42"/>
      <c r="I152" s="82"/>
    </row>
    <row r="153" spans="1:9" x14ac:dyDescent="0.2">
      <c r="A153" s="72" t="s">
        <v>22</v>
      </c>
      <c r="B153" s="73"/>
      <c r="C153" s="74"/>
      <c r="D153" s="41">
        <f>[5]Charters!C109</f>
        <v>992.85</v>
      </c>
      <c r="E153" s="42"/>
      <c r="F153" s="42"/>
      <c r="G153" s="42"/>
      <c r="H153" s="42"/>
      <c r="I153" s="82"/>
    </row>
    <row r="154" spans="1:9" x14ac:dyDescent="0.2">
      <c r="A154" s="75"/>
      <c r="B154" s="61"/>
      <c r="C154" s="76"/>
      <c r="D154" s="77">
        <f>SUM(D153:D153)</f>
        <v>992.85</v>
      </c>
      <c r="E154" s="42"/>
      <c r="F154" s="42"/>
      <c r="G154" s="42"/>
      <c r="H154" s="42"/>
      <c r="I154" s="82"/>
    </row>
    <row r="155" spans="1:9" x14ac:dyDescent="0.2">
      <c r="A155" s="78" t="s">
        <v>58</v>
      </c>
      <c r="B155" s="79"/>
      <c r="C155" s="80"/>
      <c r="D155" s="77">
        <f>D154+D150</f>
        <v>2478670.2799999998</v>
      </c>
      <c r="E155" s="42"/>
      <c r="F155" s="42"/>
      <c r="G155" s="42"/>
      <c r="H155" s="42"/>
      <c r="I155" s="82"/>
    </row>
    <row r="156" spans="1:9" x14ac:dyDescent="0.2">
      <c r="A156" s="84"/>
      <c r="B156" s="84"/>
      <c r="C156" s="85"/>
      <c r="D156" s="81"/>
      <c r="E156" s="42"/>
      <c r="F156" s="42"/>
      <c r="G156" s="42"/>
      <c r="H156" s="42"/>
      <c r="I156" s="82"/>
    </row>
    <row r="157" spans="1:9" x14ac:dyDescent="0.2">
      <c r="A157" s="84"/>
      <c r="B157" s="84"/>
      <c r="C157" s="85"/>
      <c r="D157" s="81">
        <f>[5]Charters!E265</f>
        <v>2478670.2799999998</v>
      </c>
      <c r="E157" s="42"/>
      <c r="F157" s="42"/>
      <c r="G157" s="42"/>
      <c r="H157" s="42"/>
      <c r="I157" s="82"/>
    </row>
    <row r="158" spans="1:9" x14ac:dyDescent="0.2">
      <c r="A158" s="84"/>
      <c r="B158" s="84"/>
      <c r="C158" s="85"/>
      <c r="D158" s="81">
        <f>D155</f>
        <v>2478670.2799999998</v>
      </c>
      <c r="E158" s="42"/>
      <c r="F158" s="42"/>
      <c r="G158" s="42"/>
      <c r="H158" s="42"/>
      <c r="I158" s="82"/>
    </row>
    <row r="159" spans="1:9" x14ac:dyDescent="0.2">
      <c r="A159" s="82"/>
      <c r="B159" s="82"/>
      <c r="C159" s="83"/>
      <c r="D159" s="42">
        <f>D157-D158</f>
        <v>0</v>
      </c>
      <c r="E159" s="42"/>
      <c r="F159" s="42"/>
      <c r="G159" s="42"/>
      <c r="H159" s="42"/>
      <c r="I159" s="82"/>
    </row>
  </sheetData>
  <mergeCells count="4">
    <mergeCell ref="A101:D101"/>
    <mergeCell ref="A102:D102"/>
    <mergeCell ref="A103:D103"/>
    <mergeCell ref="A155:C155"/>
  </mergeCells>
  <printOptions horizontalCentered="1" verticalCentered="1"/>
  <pageMargins left="0.5" right="0.5" top="0.5" bottom="0.5" header="0.25" footer="0.25"/>
  <pageSetup orientation="portrait" r:id="rId1"/>
  <headerFooter alignWithMargins="0">
    <oddHeader>&amp;R&amp;8Current as of: &amp;D</oddHeader>
    <oddFooter>&amp;L&amp;8USOE, School Finance</oddFooter>
  </headerFooter>
  <picture r:id="rId2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D00-000000000000}">
  <sheetPr>
    <pageSetUpPr fitToPage="1"/>
  </sheetPr>
  <dimension ref="A1:I160"/>
  <sheetViews>
    <sheetView topLeftCell="A100" workbookViewId="0">
      <selection activeCell="C12" sqref="C12"/>
    </sheetView>
  </sheetViews>
  <sheetFormatPr defaultRowHeight="12.75" x14ac:dyDescent="0.2"/>
  <cols>
    <col min="1" max="1" width="31.85546875" style="89" customWidth="1"/>
    <col min="2" max="2" width="16.28515625" style="89" customWidth="1"/>
    <col min="3" max="4" width="15.140625" style="89" customWidth="1"/>
    <col min="5" max="5" width="9.140625" style="89"/>
    <col min="6" max="6" width="15.5703125" style="89" customWidth="1"/>
    <col min="7" max="7" width="9.140625" style="89"/>
    <col min="8" max="8" width="14.28515625" style="89" customWidth="1"/>
    <col min="9" max="16384" width="9.140625" style="89"/>
  </cols>
  <sheetData>
    <row r="1" spans="1:9" x14ac:dyDescent="0.2">
      <c r="A1" s="7"/>
      <c r="B1" s="7"/>
      <c r="C1" s="7"/>
      <c r="D1" s="7"/>
      <c r="E1" s="7"/>
      <c r="F1" s="7"/>
      <c r="G1" s="7"/>
      <c r="H1" s="7"/>
      <c r="I1" s="7"/>
    </row>
    <row r="2" spans="1:9" x14ac:dyDescent="0.2">
      <c r="A2" s="7"/>
      <c r="B2" s="7"/>
      <c r="C2" s="7"/>
      <c r="D2" s="7"/>
      <c r="E2" s="7"/>
      <c r="F2" s="7"/>
      <c r="G2" s="7"/>
      <c r="H2" s="7"/>
      <c r="I2" s="7"/>
    </row>
    <row r="3" spans="1:9" x14ac:dyDescent="0.2">
      <c r="A3" s="7"/>
      <c r="B3" s="7"/>
      <c r="C3" s="7"/>
      <c r="D3" s="7"/>
      <c r="E3" s="7"/>
      <c r="F3" s="7"/>
      <c r="G3" s="7"/>
      <c r="H3" s="7"/>
      <c r="I3" s="7"/>
    </row>
    <row r="4" spans="1:9" x14ac:dyDescent="0.2">
      <c r="A4" s="7"/>
      <c r="B4" s="7"/>
      <c r="C4" s="7"/>
      <c r="D4" s="7"/>
      <c r="E4" s="7"/>
      <c r="F4" s="7"/>
      <c r="G4" s="7"/>
      <c r="H4" s="7"/>
      <c r="I4" s="7"/>
    </row>
    <row r="5" spans="1:9" x14ac:dyDescent="0.2">
      <c r="A5" s="7"/>
      <c r="B5" s="7"/>
      <c r="C5" s="7"/>
      <c r="D5" s="7"/>
      <c r="E5" s="7"/>
      <c r="F5" s="7"/>
      <c r="G5" s="7"/>
      <c r="H5" s="7"/>
      <c r="I5" s="7"/>
    </row>
    <row r="6" spans="1:9" x14ac:dyDescent="0.2">
      <c r="A6" s="7"/>
      <c r="B6" s="7"/>
      <c r="C6" s="7"/>
      <c r="D6" s="7"/>
      <c r="E6" s="7"/>
      <c r="F6" s="7"/>
      <c r="G6" s="7"/>
      <c r="H6" s="7"/>
      <c r="I6" s="7"/>
    </row>
    <row r="7" spans="1:9" x14ac:dyDescent="0.2">
      <c r="A7" s="7"/>
      <c r="B7" s="7"/>
      <c r="C7" s="7"/>
      <c r="D7" s="7"/>
      <c r="E7" s="7"/>
      <c r="F7" s="7"/>
      <c r="G7" s="7"/>
      <c r="H7" s="7"/>
      <c r="I7" s="7"/>
    </row>
    <row r="8" spans="1:9" x14ac:dyDescent="0.2">
      <c r="A8" s="7"/>
      <c r="B8" s="7"/>
      <c r="C8" s="7"/>
      <c r="D8" s="7"/>
      <c r="E8" s="7"/>
      <c r="F8" s="7"/>
      <c r="G8" s="7"/>
      <c r="H8" s="7"/>
      <c r="I8" s="7"/>
    </row>
    <row r="9" spans="1:9" x14ac:dyDescent="0.2">
      <c r="A9" s="7"/>
      <c r="B9" s="7"/>
      <c r="C9" s="7"/>
      <c r="D9" s="7"/>
      <c r="E9" s="7"/>
      <c r="F9" s="7"/>
      <c r="G9" s="7"/>
      <c r="H9" s="7"/>
      <c r="I9" s="7"/>
    </row>
    <row r="10" spans="1:9" x14ac:dyDescent="0.2">
      <c r="A10" s="7"/>
      <c r="B10" s="7"/>
      <c r="C10" s="7"/>
      <c r="D10" s="7"/>
      <c r="E10" s="7"/>
      <c r="F10" s="7"/>
      <c r="G10" s="7"/>
      <c r="H10" s="7"/>
      <c r="I10" s="7"/>
    </row>
    <row r="11" spans="1:9" x14ac:dyDescent="0.2">
      <c r="A11" s="7"/>
      <c r="B11" s="7"/>
      <c r="C11" s="7"/>
      <c r="D11" s="7"/>
      <c r="E11" s="7"/>
      <c r="F11" s="7"/>
      <c r="G11" s="7"/>
      <c r="H11" s="7"/>
      <c r="I11" s="7"/>
    </row>
    <row r="12" spans="1:9" x14ac:dyDescent="0.2">
      <c r="A12" s="7"/>
      <c r="B12" s="7"/>
      <c r="C12" s="7"/>
      <c r="D12" s="7"/>
      <c r="E12" s="7"/>
      <c r="F12" s="7"/>
      <c r="G12" s="7"/>
      <c r="H12" s="7"/>
      <c r="I12" s="7"/>
    </row>
    <row r="13" spans="1:9" x14ac:dyDescent="0.2">
      <c r="A13" s="7"/>
      <c r="B13" s="7"/>
      <c r="C13" s="7"/>
      <c r="D13" s="7"/>
      <c r="E13" s="7"/>
      <c r="F13" s="7"/>
      <c r="G13" s="7"/>
      <c r="H13" s="7"/>
      <c r="I13" s="7"/>
    </row>
    <row r="14" spans="1:9" x14ac:dyDescent="0.2">
      <c r="A14" s="7"/>
      <c r="B14" s="7"/>
      <c r="C14" s="7"/>
      <c r="D14" s="7"/>
      <c r="E14" s="7"/>
      <c r="F14" s="7"/>
      <c r="G14" s="7"/>
      <c r="H14" s="7"/>
      <c r="I14" s="7"/>
    </row>
    <row r="15" spans="1:9" x14ac:dyDescent="0.2">
      <c r="A15" s="7"/>
      <c r="B15" s="7"/>
      <c r="C15" s="7"/>
      <c r="D15" s="7"/>
      <c r="E15" s="7"/>
      <c r="F15" s="7"/>
      <c r="G15" s="7"/>
      <c r="H15" s="7"/>
      <c r="I15" s="7"/>
    </row>
    <row r="16" spans="1:9" x14ac:dyDescent="0.2">
      <c r="A16" s="7"/>
      <c r="B16" s="7"/>
      <c r="C16" s="7"/>
      <c r="D16" s="7"/>
      <c r="E16" s="7"/>
      <c r="F16" s="7"/>
      <c r="G16" s="7"/>
      <c r="H16" s="7"/>
      <c r="I16" s="7"/>
    </row>
    <row r="17" spans="1:9" x14ac:dyDescent="0.2">
      <c r="A17" s="7"/>
      <c r="B17" s="7"/>
      <c r="C17" s="7"/>
      <c r="D17" s="7"/>
      <c r="E17" s="7"/>
      <c r="F17" s="7"/>
      <c r="G17" s="7"/>
      <c r="H17" s="7"/>
      <c r="I17" s="7"/>
    </row>
    <row r="18" spans="1:9" x14ac:dyDescent="0.2">
      <c r="A18" s="7"/>
      <c r="B18" s="7"/>
      <c r="C18" s="7"/>
      <c r="D18" s="7"/>
      <c r="E18" s="7"/>
      <c r="F18" s="7"/>
      <c r="G18" s="7"/>
      <c r="H18" s="7"/>
      <c r="I18" s="7"/>
    </row>
    <row r="19" spans="1:9" x14ac:dyDescent="0.2">
      <c r="A19" s="7"/>
      <c r="B19" s="7"/>
      <c r="C19" s="7"/>
      <c r="D19" s="7"/>
      <c r="E19" s="7"/>
      <c r="F19" s="7"/>
      <c r="G19" s="7"/>
      <c r="H19" s="7"/>
      <c r="I19" s="7"/>
    </row>
    <row r="20" spans="1:9" x14ac:dyDescent="0.2">
      <c r="A20" s="7"/>
      <c r="B20" s="7"/>
      <c r="C20" s="7"/>
      <c r="D20" s="7"/>
      <c r="E20" s="7"/>
      <c r="F20" s="7"/>
      <c r="G20" s="7"/>
      <c r="H20" s="7"/>
      <c r="I20" s="7"/>
    </row>
    <row r="21" spans="1:9" x14ac:dyDescent="0.2">
      <c r="A21" s="7"/>
      <c r="B21" s="7"/>
      <c r="C21" s="7"/>
      <c r="D21" s="7"/>
      <c r="E21" s="7"/>
      <c r="F21" s="7"/>
      <c r="G21" s="7"/>
      <c r="H21" s="7"/>
      <c r="I21" s="7"/>
    </row>
    <row r="22" spans="1:9" x14ac:dyDescent="0.2">
      <c r="A22" s="7"/>
      <c r="B22" s="7"/>
      <c r="C22" s="7"/>
      <c r="D22" s="4"/>
      <c r="E22" s="7"/>
      <c r="F22" s="7"/>
      <c r="G22" s="7"/>
      <c r="H22" s="7"/>
      <c r="I22" s="7"/>
    </row>
    <row r="23" spans="1:9" x14ac:dyDescent="0.2">
      <c r="A23" s="7"/>
      <c r="B23" s="7"/>
      <c r="C23" s="7"/>
      <c r="D23" s="7"/>
      <c r="E23" s="7"/>
      <c r="F23" s="7"/>
      <c r="G23" s="7"/>
      <c r="H23" s="7"/>
      <c r="I23" s="7"/>
    </row>
    <row r="24" spans="1:9" x14ac:dyDescent="0.2">
      <c r="A24" s="7"/>
      <c r="B24" s="7"/>
      <c r="C24" s="7"/>
      <c r="D24" s="7"/>
      <c r="E24" s="7"/>
      <c r="F24" s="7"/>
      <c r="G24" s="7"/>
      <c r="H24" s="7"/>
      <c r="I24" s="7"/>
    </row>
    <row r="25" spans="1:9" x14ac:dyDescent="0.2">
      <c r="A25" s="7"/>
      <c r="B25" s="7"/>
      <c r="C25" s="7"/>
      <c r="D25" s="7"/>
      <c r="E25" s="7"/>
      <c r="F25" s="7"/>
      <c r="G25" s="7"/>
      <c r="H25" s="7"/>
      <c r="I25" s="7"/>
    </row>
    <row r="26" spans="1:9" x14ac:dyDescent="0.2">
      <c r="A26" s="7"/>
      <c r="B26" s="7"/>
      <c r="C26" s="7"/>
      <c r="D26" s="7"/>
      <c r="E26" s="7"/>
      <c r="F26" s="7"/>
      <c r="G26" s="7"/>
      <c r="H26" s="7"/>
      <c r="I26" s="7"/>
    </row>
    <row r="27" spans="1:9" x14ac:dyDescent="0.2">
      <c r="A27" s="7"/>
      <c r="B27" s="7"/>
      <c r="C27" s="7"/>
      <c r="D27" s="7"/>
      <c r="E27" s="7"/>
      <c r="F27" s="7"/>
      <c r="G27" s="7"/>
      <c r="H27" s="7"/>
      <c r="I27" s="7"/>
    </row>
    <row r="28" spans="1:9" x14ac:dyDescent="0.2">
      <c r="A28" s="7"/>
      <c r="B28" s="7"/>
      <c r="C28" s="7"/>
      <c r="D28" s="7"/>
      <c r="E28" s="7"/>
      <c r="F28" s="7"/>
      <c r="G28" s="7"/>
      <c r="H28" s="7"/>
      <c r="I28" s="7"/>
    </row>
    <row r="29" spans="1:9" x14ac:dyDescent="0.2">
      <c r="A29" s="7"/>
      <c r="B29" s="7"/>
      <c r="C29" s="7"/>
      <c r="D29" s="7"/>
      <c r="E29" s="7"/>
      <c r="F29" s="7"/>
      <c r="G29" s="7"/>
      <c r="H29" s="7"/>
      <c r="I29" s="7"/>
    </row>
    <row r="30" spans="1:9" x14ac:dyDescent="0.2">
      <c r="A30" s="7"/>
      <c r="B30" s="7"/>
      <c r="C30" s="7"/>
      <c r="D30" s="7"/>
      <c r="E30" s="7"/>
      <c r="F30" s="7"/>
      <c r="G30" s="7"/>
      <c r="H30" s="7"/>
      <c r="I30" s="7"/>
    </row>
    <row r="31" spans="1:9" x14ac:dyDescent="0.2">
      <c r="A31" s="7"/>
      <c r="B31" s="7"/>
      <c r="C31" s="7"/>
      <c r="D31" s="7"/>
      <c r="E31" s="7"/>
      <c r="F31" s="7"/>
      <c r="G31" s="7"/>
      <c r="H31" s="7"/>
      <c r="I31" s="7"/>
    </row>
    <row r="32" spans="1:9" x14ac:dyDescent="0.2">
      <c r="A32" s="7"/>
      <c r="B32" s="7"/>
      <c r="C32" s="7"/>
      <c r="D32" s="7"/>
      <c r="E32" s="7"/>
      <c r="F32" s="7"/>
      <c r="G32" s="7"/>
      <c r="H32" s="7"/>
      <c r="I32" s="7"/>
    </row>
    <row r="33" spans="1:9" x14ac:dyDescent="0.2">
      <c r="A33" s="7"/>
      <c r="B33" s="7"/>
      <c r="C33" s="7"/>
      <c r="D33" s="7"/>
      <c r="E33" s="7"/>
      <c r="F33" s="7"/>
      <c r="G33" s="7"/>
      <c r="H33" s="7"/>
      <c r="I33" s="7"/>
    </row>
    <row r="34" spans="1:9" x14ac:dyDescent="0.2">
      <c r="A34" s="7"/>
      <c r="B34" s="7"/>
      <c r="C34" s="7"/>
      <c r="D34" s="7"/>
      <c r="E34" s="7"/>
      <c r="F34" s="7"/>
      <c r="G34" s="7"/>
      <c r="H34" s="7"/>
      <c r="I34" s="7"/>
    </row>
    <row r="35" spans="1:9" x14ac:dyDescent="0.2">
      <c r="A35" s="7"/>
      <c r="B35" s="7"/>
      <c r="C35" s="7"/>
      <c r="D35" s="7"/>
      <c r="E35" s="7"/>
      <c r="F35" s="7"/>
      <c r="G35" s="7"/>
      <c r="H35" s="7"/>
      <c r="I35" s="7"/>
    </row>
    <row r="36" spans="1:9" x14ac:dyDescent="0.2">
      <c r="A36" s="7"/>
      <c r="B36" s="7"/>
      <c r="C36" s="7"/>
      <c r="D36" s="7"/>
      <c r="E36" s="7"/>
      <c r="F36" s="7"/>
      <c r="G36" s="7"/>
      <c r="H36" s="7"/>
      <c r="I36" s="7"/>
    </row>
    <row r="37" spans="1:9" x14ac:dyDescent="0.2">
      <c r="A37" s="7"/>
      <c r="B37" s="7"/>
      <c r="C37" s="7"/>
      <c r="D37" s="7"/>
      <c r="E37" s="7"/>
      <c r="F37" s="7"/>
      <c r="G37" s="7"/>
      <c r="H37" s="7"/>
      <c r="I37" s="7"/>
    </row>
    <row r="38" spans="1:9" x14ac:dyDescent="0.2">
      <c r="A38" s="7"/>
      <c r="B38" s="7"/>
      <c r="C38" s="7"/>
      <c r="D38" s="7"/>
      <c r="E38" s="7"/>
      <c r="F38" s="7"/>
      <c r="G38" s="7"/>
      <c r="H38" s="7"/>
      <c r="I38" s="7"/>
    </row>
    <row r="39" spans="1:9" x14ac:dyDescent="0.2">
      <c r="A39" s="7"/>
      <c r="B39" s="7"/>
      <c r="C39" s="7"/>
      <c r="D39" s="7"/>
      <c r="E39" s="7"/>
      <c r="F39" s="7"/>
      <c r="G39" s="7"/>
      <c r="H39" s="7"/>
      <c r="I39" s="7"/>
    </row>
    <row r="40" spans="1:9" x14ac:dyDescent="0.2">
      <c r="A40" s="7"/>
      <c r="B40" s="7"/>
      <c r="C40" s="7"/>
      <c r="D40" s="7"/>
      <c r="E40" s="7"/>
      <c r="F40" s="7"/>
      <c r="G40" s="7"/>
      <c r="H40" s="7"/>
      <c r="I40" s="7"/>
    </row>
    <row r="41" spans="1:9" x14ac:dyDescent="0.2">
      <c r="A41" s="7"/>
      <c r="B41" s="7"/>
      <c r="C41" s="7"/>
      <c r="D41" s="7"/>
      <c r="E41" s="7"/>
      <c r="F41" s="7"/>
      <c r="G41" s="7"/>
      <c r="H41" s="7"/>
      <c r="I41" s="7"/>
    </row>
    <row r="42" spans="1:9" x14ac:dyDescent="0.2">
      <c r="A42" s="7"/>
      <c r="B42" s="7"/>
      <c r="C42" s="7"/>
      <c r="D42" s="7"/>
      <c r="E42" s="7"/>
      <c r="F42" s="7"/>
      <c r="G42" s="7"/>
      <c r="H42" s="7"/>
      <c r="I42" s="7"/>
    </row>
    <row r="43" spans="1:9" x14ac:dyDescent="0.2">
      <c r="A43" s="7"/>
      <c r="B43" s="7"/>
      <c r="C43" s="7"/>
      <c r="D43" s="7"/>
      <c r="E43" s="7"/>
      <c r="F43" s="7"/>
      <c r="G43" s="7"/>
      <c r="H43" s="7"/>
      <c r="I43" s="7"/>
    </row>
    <row r="44" spans="1:9" x14ac:dyDescent="0.2">
      <c r="A44" s="7"/>
      <c r="B44" s="7"/>
      <c r="C44" s="7"/>
      <c r="D44" s="7"/>
      <c r="E44" s="7"/>
      <c r="F44" s="7"/>
      <c r="G44" s="7"/>
      <c r="H44" s="7"/>
      <c r="I44" s="7"/>
    </row>
    <row r="45" spans="1:9" x14ac:dyDescent="0.2">
      <c r="A45" s="7"/>
      <c r="B45" s="7"/>
      <c r="C45" s="7"/>
      <c r="D45" s="7"/>
      <c r="E45" s="7"/>
      <c r="F45" s="7"/>
      <c r="G45" s="7"/>
      <c r="H45" s="7"/>
      <c r="I45" s="7"/>
    </row>
    <row r="46" spans="1:9" x14ac:dyDescent="0.2">
      <c r="A46" s="7"/>
      <c r="B46" s="7"/>
      <c r="C46" s="7"/>
      <c r="D46" s="7"/>
      <c r="E46" s="7"/>
      <c r="F46" s="7"/>
      <c r="G46" s="7"/>
      <c r="H46" s="7"/>
      <c r="I46" s="7"/>
    </row>
    <row r="47" spans="1:9" x14ac:dyDescent="0.2">
      <c r="A47" s="7"/>
      <c r="B47" s="7"/>
      <c r="C47" s="7"/>
      <c r="D47" s="7"/>
      <c r="E47" s="7"/>
      <c r="F47" s="7"/>
      <c r="G47" s="7"/>
      <c r="H47" s="7"/>
      <c r="I47" s="7"/>
    </row>
    <row r="48" spans="1:9" x14ac:dyDescent="0.2">
      <c r="A48" s="7"/>
      <c r="B48" s="7"/>
      <c r="C48" s="7"/>
      <c r="D48" s="7"/>
      <c r="E48" s="7"/>
      <c r="F48" s="7"/>
      <c r="G48" s="7"/>
      <c r="H48" s="7"/>
      <c r="I48" s="7"/>
    </row>
    <row r="49" spans="1:9" x14ac:dyDescent="0.2">
      <c r="A49" s="7"/>
      <c r="B49" s="7"/>
      <c r="C49" s="7"/>
      <c r="D49" s="7"/>
      <c r="E49" s="7"/>
      <c r="F49" s="7"/>
      <c r="G49" s="7"/>
      <c r="H49" s="7"/>
      <c r="I49" s="7"/>
    </row>
    <row r="50" spans="1:9" x14ac:dyDescent="0.2">
      <c r="A50" s="7"/>
      <c r="B50" s="7"/>
      <c r="C50" s="7"/>
      <c r="D50" s="7"/>
      <c r="E50" s="7"/>
      <c r="F50" s="7"/>
      <c r="G50" s="7"/>
      <c r="H50" s="7"/>
      <c r="I50" s="7"/>
    </row>
    <row r="51" spans="1:9" x14ac:dyDescent="0.2">
      <c r="A51" s="7"/>
      <c r="B51" s="7"/>
      <c r="C51" s="7"/>
      <c r="D51" s="7"/>
      <c r="E51" s="7"/>
      <c r="F51" s="7"/>
      <c r="G51" s="7"/>
      <c r="H51" s="7"/>
      <c r="I51" s="7"/>
    </row>
    <row r="52" spans="1:9" x14ac:dyDescent="0.2">
      <c r="A52" s="7"/>
      <c r="B52" s="7"/>
      <c r="C52" s="7"/>
      <c r="D52" s="7"/>
      <c r="E52" s="7"/>
      <c r="F52" s="7"/>
      <c r="G52" s="7"/>
      <c r="H52" s="7"/>
      <c r="I52" s="7"/>
    </row>
    <row r="53" spans="1:9" x14ac:dyDescent="0.2">
      <c r="A53" s="7"/>
      <c r="B53" s="7"/>
      <c r="C53" s="7"/>
      <c r="D53" s="7"/>
      <c r="E53" s="7"/>
      <c r="F53" s="7"/>
      <c r="G53" s="7"/>
      <c r="H53" s="7"/>
      <c r="I53" s="7"/>
    </row>
    <row r="54" spans="1:9" x14ac:dyDescent="0.2">
      <c r="A54" s="7"/>
      <c r="B54" s="7"/>
      <c r="C54" s="7"/>
      <c r="D54" s="7"/>
      <c r="E54" s="7"/>
      <c r="F54" s="7"/>
      <c r="G54" s="7"/>
      <c r="H54" s="7"/>
      <c r="I54" s="7"/>
    </row>
    <row r="55" spans="1:9" x14ac:dyDescent="0.2">
      <c r="A55" s="7"/>
      <c r="B55" s="7"/>
      <c r="C55" s="7"/>
      <c r="D55" s="7"/>
      <c r="E55" s="7"/>
      <c r="F55" s="7"/>
      <c r="G55" s="7"/>
      <c r="H55" s="7"/>
      <c r="I55" s="7"/>
    </row>
    <row r="56" spans="1:9" x14ac:dyDescent="0.2">
      <c r="A56" s="7"/>
      <c r="B56" s="7"/>
      <c r="C56" s="7"/>
      <c r="D56" s="7"/>
      <c r="E56" s="7"/>
      <c r="F56" s="7"/>
      <c r="G56" s="7"/>
      <c r="H56" s="7"/>
      <c r="I56" s="7"/>
    </row>
    <row r="57" spans="1:9" x14ac:dyDescent="0.2">
      <c r="A57" s="7"/>
      <c r="B57" s="7"/>
      <c r="C57" s="7"/>
      <c r="D57" s="7"/>
      <c r="E57" s="7"/>
      <c r="F57" s="7"/>
      <c r="G57" s="7"/>
      <c r="H57" s="7"/>
      <c r="I57" s="7"/>
    </row>
    <row r="58" spans="1:9" x14ac:dyDescent="0.2">
      <c r="A58" s="7"/>
      <c r="B58" s="7"/>
      <c r="C58" s="7"/>
      <c r="D58" s="7"/>
      <c r="E58" s="7"/>
      <c r="F58" s="7"/>
      <c r="G58" s="7"/>
      <c r="H58" s="7"/>
      <c r="I58" s="7"/>
    </row>
    <row r="59" spans="1:9" x14ac:dyDescent="0.2">
      <c r="A59" s="7"/>
      <c r="B59" s="7"/>
      <c r="C59" s="7"/>
      <c r="D59" s="7"/>
      <c r="E59" s="7"/>
      <c r="F59" s="7"/>
      <c r="G59" s="7"/>
      <c r="H59" s="7"/>
      <c r="I59" s="7"/>
    </row>
    <row r="60" spans="1:9" x14ac:dyDescent="0.2">
      <c r="A60" s="7"/>
      <c r="B60" s="7"/>
      <c r="C60" s="7"/>
      <c r="D60" s="7"/>
      <c r="E60" s="7"/>
      <c r="F60" s="7"/>
      <c r="G60" s="7"/>
      <c r="H60" s="7"/>
      <c r="I60" s="7"/>
    </row>
    <row r="61" spans="1:9" x14ac:dyDescent="0.2">
      <c r="A61" s="7"/>
      <c r="B61" s="7"/>
      <c r="C61" s="7"/>
      <c r="D61" s="7"/>
      <c r="E61" s="7"/>
      <c r="F61" s="7"/>
      <c r="G61" s="7"/>
      <c r="H61" s="7"/>
      <c r="I61" s="7"/>
    </row>
    <row r="62" spans="1:9" x14ac:dyDescent="0.2">
      <c r="A62" s="7"/>
      <c r="B62" s="7"/>
      <c r="C62" s="7"/>
      <c r="D62" s="7"/>
      <c r="E62" s="7"/>
      <c r="F62" s="7"/>
      <c r="G62" s="7"/>
      <c r="H62" s="7"/>
      <c r="I62" s="7"/>
    </row>
    <row r="63" spans="1:9" x14ac:dyDescent="0.2">
      <c r="A63" s="7"/>
      <c r="B63" s="7"/>
      <c r="C63" s="7"/>
      <c r="D63" s="7"/>
      <c r="E63" s="7"/>
      <c r="F63" s="7"/>
      <c r="G63" s="7"/>
      <c r="H63" s="7"/>
      <c r="I63" s="7"/>
    </row>
    <row r="64" spans="1:9" x14ac:dyDescent="0.2">
      <c r="A64" s="7"/>
      <c r="B64" s="7"/>
      <c r="C64" s="7"/>
      <c r="D64" s="7"/>
      <c r="E64" s="7"/>
      <c r="F64" s="7"/>
      <c r="G64" s="7"/>
      <c r="H64" s="7"/>
      <c r="I64" s="7"/>
    </row>
    <row r="65" spans="1:9" x14ac:dyDescent="0.2">
      <c r="A65" s="7"/>
      <c r="B65" s="7"/>
      <c r="C65" s="7"/>
      <c r="D65" s="7"/>
      <c r="E65" s="7"/>
      <c r="F65" s="7"/>
      <c r="G65" s="7"/>
      <c r="H65" s="7"/>
      <c r="I65" s="7"/>
    </row>
    <row r="66" spans="1:9" x14ac:dyDescent="0.2">
      <c r="A66" s="7"/>
      <c r="B66" s="7"/>
      <c r="C66" s="7"/>
      <c r="D66" s="7"/>
      <c r="E66" s="7"/>
      <c r="F66" s="7"/>
      <c r="G66" s="7"/>
      <c r="H66" s="7"/>
      <c r="I66" s="7"/>
    </row>
    <row r="67" spans="1:9" x14ac:dyDescent="0.2">
      <c r="A67" s="7"/>
      <c r="B67" s="7"/>
      <c r="C67" s="7"/>
      <c r="D67" s="7"/>
      <c r="E67" s="7"/>
      <c r="F67" s="7"/>
      <c r="G67" s="7"/>
      <c r="H67" s="7"/>
      <c r="I67" s="7"/>
    </row>
    <row r="68" spans="1:9" x14ac:dyDescent="0.2">
      <c r="A68" s="7"/>
      <c r="B68" s="7"/>
      <c r="C68" s="7"/>
      <c r="D68" s="7"/>
      <c r="E68" s="7"/>
      <c r="F68" s="7"/>
      <c r="G68" s="7"/>
      <c r="H68" s="7"/>
      <c r="I68" s="7"/>
    </row>
    <row r="69" spans="1:9" x14ac:dyDescent="0.2">
      <c r="A69" s="7"/>
      <c r="B69" s="7"/>
      <c r="C69" s="7"/>
      <c r="D69" s="7"/>
      <c r="E69" s="7"/>
      <c r="F69" s="7"/>
      <c r="G69" s="7"/>
      <c r="H69" s="7"/>
      <c r="I69" s="7"/>
    </row>
    <row r="70" spans="1:9" x14ac:dyDescent="0.2">
      <c r="A70" s="7"/>
      <c r="B70" s="7"/>
      <c r="C70" s="7"/>
      <c r="D70" s="7"/>
      <c r="E70" s="7"/>
      <c r="F70" s="7"/>
      <c r="G70" s="7"/>
      <c r="H70" s="7"/>
      <c r="I70" s="7"/>
    </row>
    <row r="71" spans="1:9" x14ac:dyDescent="0.2">
      <c r="A71" s="7"/>
      <c r="B71" s="7"/>
      <c r="C71" s="7"/>
      <c r="D71" s="7"/>
      <c r="E71" s="7"/>
      <c r="F71" s="7"/>
      <c r="G71" s="7"/>
      <c r="H71" s="7"/>
      <c r="I71" s="7"/>
    </row>
    <row r="72" spans="1:9" x14ac:dyDescent="0.2">
      <c r="A72" s="7"/>
      <c r="B72" s="7"/>
      <c r="C72" s="7"/>
      <c r="D72" s="7"/>
      <c r="E72" s="7"/>
      <c r="F72" s="7"/>
      <c r="G72" s="7"/>
      <c r="H72" s="7"/>
      <c r="I72" s="7"/>
    </row>
    <row r="73" spans="1:9" x14ac:dyDescent="0.2">
      <c r="A73" s="7"/>
      <c r="B73" s="7"/>
      <c r="C73" s="7"/>
      <c r="D73" s="7"/>
      <c r="E73" s="7"/>
      <c r="F73" s="7"/>
      <c r="G73" s="7"/>
      <c r="H73" s="7"/>
      <c r="I73" s="7"/>
    </row>
    <row r="74" spans="1:9" x14ac:dyDescent="0.2">
      <c r="A74" s="7"/>
      <c r="B74" s="7"/>
      <c r="C74" s="7"/>
      <c r="D74" s="7"/>
      <c r="E74" s="7"/>
      <c r="F74" s="7"/>
      <c r="G74" s="7"/>
      <c r="H74" s="7"/>
      <c r="I74" s="7"/>
    </row>
    <row r="75" spans="1:9" x14ac:dyDescent="0.2">
      <c r="A75" s="7"/>
      <c r="B75" s="7"/>
      <c r="C75" s="7"/>
      <c r="D75" s="7"/>
      <c r="E75" s="7"/>
      <c r="F75" s="7"/>
      <c r="G75" s="7"/>
      <c r="H75" s="7"/>
      <c r="I75" s="7"/>
    </row>
    <row r="76" spans="1:9" x14ac:dyDescent="0.2">
      <c r="A76" s="7"/>
      <c r="B76" s="7"/>
      <c r="C76" s="7"/>
      <c r="D76" s="7"/>
      <c r="E76" s="7"/>
      <c r="F76" s="7"/>
      <c r="G76" s="7"/>
      <c r="H76" s="7"/>
      <c r="I76" s="7"/>
    </row>
    <row r="77" spans="1:9" x14ac:dyDescent="0.2">
      <c r="A77" s="7"/>
      <c r="B77" s="7"/>
      <c r="C77" s="7"/>
      <c r="D77" s="7"/>
      <c r="E77" s="7"/>
      <c r="F77" s="7"/>
      <c r="G77" s="7"/>
      <c r="H77" s="7"/>
      <c r="I77" s="7"/>
    </row>
    <row r="78" spans="1:9" x14ac:dyDescent="0.2">
      <c r="A78" s="7"/>
      <c r="B78" s="7"/>
      <c r="C78" s="7"/>
      <c r="D78" s="7"/>
      <c r="E78" s="7"/>
      <c r="F78" s="7"/>
      <c r="G78" s="7"/>
      <c r="H78" s="7"/>
      <c r="I78" s="7"/>
    </row>
    <row r="79" spans="1:9" x14ac:dyDescent="0.2">
      <c r="A79" s="7"/>
      <c r="B79" s="7"/>
      <c r="C79" s="7"/>
      <c r="D79" s="7"/>
      <c r="E79" s="7"/>
      <c r="F79" s="7"/>
      <c r="G79" s="7"/>
      <c r="H79" s="7"/>
      <c r="I79" s="7"/>
    </row>
    <row r="80" spans="1:9" x14ac:dyDescent="0.2">
      <c r="A80" s="7"/>
      <c r="B80" s="7"/>
      <c r="C80" s="7"/>
      <c r="D80" s="7"/>
      <c r="E80" s="7"/>
      <c r="F80" s="7"/>
      <c r="G80" s="7"/>
      <c r="H80" s="7"/>
      <c r="I80" s="7"/>
    </row>
    <row r="81" spans="1:9" x14ac:dyDescent="0.2">
      <c r="A81" s="7"/>
      <c r="B81" s="7"/>
      <c r="C81" s="7"/>
      <c r="D81" s="7"/>
      <c r="E81" s="7"/>
      <c r="F81" s="7"/>
      <c r="G81" s="7"/>
      <c r="H81" s="7"/>
      <c r="I81" s="7"/>
    </row>
    <row r="82" spans="1:9" x14ac:dyDescent="0.2">
      <c r="A82" s="7"/>
      <c r="B82" s="7"/>
      <c r="C82" s="7"/>
      <c r="D82" s="7"/>
      <c r="E82" s="7"/>
      <c r="F82" s="7"/>
      <c r="G82" s="7"/>
      <c r="H82" s="7"/>
      <c r="I82" s="7"/>
    </row>
    <row r="83" spans="1:9" x14ac:dyDescent="0.2">
      <c r="A83" s="7"/>
      <c r="B83" s="7"/>
      <c r="C83" s="7"/>
      <c r="D83" s="7"/>
      <c r="E83" s="7"/>
      <c r="F83" s="7"/>
      <c r="G83" s="7"/>
      <c r="H83" s="7"/>
      <c r="I83" s="7"/>
    </row>
    <row r="84" spans="1:9" x14ac:dyDescent="0.2">
      <c r="A84" s="7"/>
      <c r="B84" s="7"/>
      <c r="C84" s="7"/>
      <c r="D84" s="7"/>
      <c r="E84" s="7"/>
      <c r="F84" s="7"/>
      <c r="G84" s="7"/>
      <c r="H84" s="7"/>
      <c r="I84" s="7"/>
    </row>
    <row r="85" spans="1:9" x14ac:dyDescent="0.2">
      <c r="A85" s="7"/>
      <c r="B85" s="7"/>
      <c r="C85" s="7"/>
      <c r="D85" s="7"/>
      <c r="E85" s="7"/>
      <c r="F85" s="7"/>
      <c r="G85" s="7"/>
      <c r="H85" s="7"/>
      <c r="I85" s="7"/>
    </row>
    <row r="86" spans="1:9" x14ac:dyDescent="0.2">
      <c r="A86" s="7"/>
      <c r="B86" s="7"/>
      <c r="C86" s="7"/>
      <c r="D86" s="7"/>
      <c r="E86" s="7"/>
      <c r="F86" s="7"/>
      <c r="G86" s="7"/>
      <c r="H86" s="7"/>
      <c r="I86" s="7"/>
    </row>
    <row r="87" spans="1:9" x14ac:dyDescent="0.2">
      <c r="A87" s="7"/>
      <c r="B87" s="7"/>
      <c r="C87" s="7"/>
      <c r="D87" s="7"/>
      <c r="E87" s="7"/>
      <c r="F87" s="7"/>
      <c r="G87" s="7"/>
      <c r="H87" s="7"/>
      <c r="I87" s="7"/>
    </row>
    <row r="88" spans="1:9" x14ac:dyDescent="0.2">
      <c r="A88" s="7"/>
      <c r="B88" s="7"/>
      <c r="C88" s="7"/>
      <c r="D88" s="7"/>
      <c r="E88" s="7"/>
      <c r="F88" s="7"/>
      <c r="G88" s="7"/>
      <c r="H88" s="7"/>
      <c r="I88" s="7"/>
    </row>
    <row r="89" spans="1:9" x14ac:dyDescent="0.2">
      <c r="A89" s="7"/>
      <c r="B89" s="7"/>
      <c r="C89" s="7"/>
      <c r="D89" s="7"/>
      <c r="E89" s="7"/>
      <c r="F89" s="7"/>
      <c r="G89" s="7"/>
      <c r="H89" s="7"/>
      <c r="I89" s="7"/>
    </row>
    <row r="90" spans="1:9" x14ac:dyDescent="0.2">
      <c r="A90" s="7"/>
      <c r="B90" s="7"/>
      <c r="C90" s="7"/>
      <c r="D90" s="7"/>
      <c r="E90" s="7"/>
      <c r="F90" s="7"/>
      <c r="G90" s="7"/>
      <c r="H90" s="7"/>
      <c r="I90" s="7"/>
    </row>
    <row r="91" spans="1:9" x14ac:dyDescent="0.2">
      <c r="A91" s="7"/>
      <c r="B91" s="7"/>
      <c r="C91" s="7"/>
      <c r="D91" s="7"/>
      <c r="E91" s="7"/>
      <c r="F91" s="7"/>
      <c r="G91" s="7"/>
      <c r="H91" s="7"/>
      <c r="I91" s="7"/>
    </row>
    <row r="92" spans="1:9" x14ac:dyDescent="0.2">
      <c r="A92" s="7"/>
      <c r="B92" s="7"/>
      <c r="C92" s="7"/>
      <c r="D92" s="7"/>
      <c r="E92" s="7"/>
      <c r="F92" s="7"/>
      <c r="G92" s="7"/>
      <c r="H92" s="7"/>
      <c r="I92" s="7"/>
    </row>
    <row r="93" spans="1:9" x14ac:dyDescent="0.2">
      <c r="A93" s="7"/>
      <c r="B93" s="7"/>
      <c r="C93" s="7"/>
      <c r="D93" s="7"/>
      <c r="E93" s="7"/>
      <c r="F93" s="7"/>
      <c r="G93" s="7"/>
      <c r="H93" s="7"/>
      <c r="I93" s="7"/>
    </row>
    <row r="94" spans="1:9" x14ac:dyDescent="0.2">
      <c r="A94" s="7"/>
      <c r="B94" s="7"/>
      <c r="C94" s="7"/>
      <c r="D94" s="7"/>
      <c r="E94" s="7"/>
      <c r="F94" s="7"/>
      <c r="G94" s="7"/>
      <c r="H94" s="7"/>
      <c r="I94" s="7"/>
    </row>
    <row r="95" spans="1:9" x14ac:dyDescent="0.2">
      <c r="A95" s="7"/>
      <c r="B95" s="7"/>
      <c r="C95" s="7"/>
      <c r="D95" s="7"/>
      <c r="E95" s="7"/>
      <c r="F95" s="7"/>
      <c r="G95" s="7"/>
      <c r="H95" s="7"/>
      <c r="I95" s="7"/>
    </row>
    <row r="96" spans="1:9" x14ac:dyDescent="0.2">
      <c r="A96" s="7"/>
      <c r="B96" s="7"/>
      <c r="C96" s="7"/>
      <c r="D96" s="7"/>
      <c r="E96" s="7"/>
      <c r="F96" s="7"/>
      <c r="G96" s="7"/>
      <c r="H96" s="7"/>
      <c r="I96" s="7"/>
    </row>
    <row r="97" spans="1:9" x14ac:dyDescent="0.2">
      <c r="A97" s="7"/>
      <c r="B97" s="7"/>
      <c r="C97" s="7"/>
      <c r="D97" s="7"/>
      <c r="E97" s="7"/>
      <c r="F97" s="7"/>
      <c r="G97" s="7"/>
      <c r="H97" s="7"/>
      <c r="I97" s="7"/>
    </row>
    <row r="98" spans="1:9" x14ac:dyDescent="0.2">
      <c r="A98" s="7"/>
      <c r="B98" s="7"/>
      <c r="C98" s="7"/>
      <c r="D98" s="7"/>
      <c r="E98" s="7"/>
      <c r="F98" s="7"/>
      <c r="G98" s="7"/>
      <c r="H98" s="7"/>
      <c r="I98" s="7"/>
    </row>
    <row r="99" spans="1:9" x14ac:dyDescent="0.2">
      <c r="A99" s="7"/>
      <c r="B99" s="7"/>
      <c r="C99" s="7"/>
      <c r="D99" s="7"/>
      <c r="E99" s="7"/>
      <c r="F99" s="7"/>
      <c r="G99" s="7"/>
      <c r="H99" s="7"/>
      <c r="I99" s="7"/>
    </row>
    <row r="100" spans="1:9" x14ac:dyDescent="0.2">
      <c r="A100" s="7"/>
      <c r="B100" s="7"/>
      <c r="C100" s="7"/>
      <c r="D100" s="7"/>
      <c r="E100" s="7"/>
      <c r="F100" s="7"/>
      <c r="G100" s="7"/>
      <c r="H100" s="7"/>
      <c r="I100" s="7"/>
    </row>
    <row r="101" spans="1:9" x14ac:dyDescent="0.2">
      <c r="A101" s="7"/>
      <c r="B101" s="7"/>
      <c r="C101" s="7"/>
      <c r="D101" s="7"/>
      <c r="E101" s="7"/>
      <c r="F101" s="7"/>
      <c r="G101" s="7"/>
      <c r="H101" s="7"/>
      <c r="I101" s="7"/>
    </row>
    <row r="102" spans="1:9" x14ac:dyDescent="0.2">
      <c r="A102" s="11" t="s">
        <v>1</v>
      </c>
      <c r="B102" s="12"/>
      <c r="C102" s="12"/>
      <c r="D102" s="13"/>
      <c r="E102" s="8"/>
      <c r="F102" s="8"/>
      <c r="G102" s="8"/>
      <c r="H102" s="8"/>
      <c r="I102" s="1"/>
    </row>
    <row r="103" spans="1:9" x14ac:dyDescent="0.2">
      <c r="A103" s="14" t="s">
        <v>15</v>
      </c>
      <c r="B103" s="15"/>
      <c r="C103" s="15"/>
      <c r="D103" s="16"/>
      <c r="E103" s="8"/>
      <c r="F103" s="8"/>
      <c r="G103" s="8"/>
      <c r="H103" s="8"/>
      <c r="I103" s="1"/>
    </row>
    <row r="104" spans="1:9" x14ac:dyDescent="0.2">
      <c r="A104" s="17" t="s">
        <v>62</v>
      </c>
      <c r="B104" s="18"/>
      <c r="C104" s="18"/>
      <c r="D104" s="19"/>
      <c r="E104" s="8"/>
      <c r="F104" s="8"/>
      <c r="G104" s="8"/>
      <c r="H104" s="8"/>
      <c r="I104" s="1"/>
    </row>
    <row r="105" spans="1:9" x14ac:dyDescent="0.2">
      <c r="A105" s="20"/>
      <c r="B105" s="21"/>
      <c r="C105" s="22"/>
      <c r="D105" s="23"/>
      <c r="E105" s="8"/>
      <c r="F105" s="8" t="s">
        <v>34</v>
      </c>
      <c r="G105" s="8"/>
      <c r="H105" s="8"/>
      <c r="I105" s="1"/>
    </row>
    <row r="106" spans="1:9" ht="15.75" x14ac:dyDescent="0.25">
      <c r="A106" s="24" t="s">
        <v>2</v>
      </c>
      <c r="B106" s="25" t="str">
        <f>[1]Charters!B111</f>
        <v>Kairos Academy</v>
      </c>
      <c r="C106" s="26"/>
      <c r="D106" s="27"/>
      <c r="E106" s="8"/>
      <c r="F106" s="8"/>
      <c r="G106" s="8"/>
      <c r="H106" s="8"/>
      <c r="I106" s="1"/>
    </row>
    <row r="107" spans="1:9" x14ac:dyDescent="0.2">
      <c r="A107" s="24"/>
      <c r="B107" s="28"/>
      <c r="C107" s="26"/>
      <c r="D107" s="27"/>
      <c r="E107" s="8"/>
      <c r="F107" s="8"/>
      <c r="G107" s="8"/>
      <c r="H107" s="8"/>
      <c r="I107" s="1"/>
    </row>
    <row r="108" spans="1:9" x14ac:dyDescent="0.2">
      <c r="A108" s="29" t="s">
        <v>0</v>
      </c>
      <c r="B108" s="30">
        <f>[1]Charters!$E$6</f>
        <v>3184</v>
      </c>
      <c r="C108" s="26"/>
      <c r="D108" s="31"/>
      <c r="E108" s="8"/>
      <c r="F108" s="8"/>
      <c r="G108" s="8"/>
      <c r="H108" s="8"/>
      <c r="I108" s="1"/>
    </row>
    <row r="109" spans="1:9" x14ac:dyDescent="0.2">
      <c r="A109" s="32"/>
      <c r="B109" s="6"/>
      <c r="C109" s="33"/>
      <c r="D109" s="34" t="s">
        <v>3</v>
      </c>
      <c r="E109" s="8"/>
      <c r="F109" s="8"/>
      <c r="G109" s="8"/>
      <c r="H109" s="8"/>
      <c r="I109" s="1"/>
    </row>
    <row r="110" spans="1:9" x14ac:dyDescent="0.2">
      <c r="A110" s="29" t="s">
        <v>19</v>
      </c>
      <c r="B110" s="35" t="str">
        <f>[1]Charters!A111</f>
        <v>4J</v>
      </c>
      <c r="C110" s="36" t="s">
        <v>4</v>
      </c>
      <c r="D110" s="37" t="s">
        <v>5</v>
      </c>
      <c r="E110" s="8"/>
      <c r="F110" s="8"/>
      <c r="G110" s="8"/>
      <c r="H110" s="8"/>
      <c r="I110" s="1"/>
    </row>
    <row r="111" spans="1:9" x14ac:dyDescent="0.2">
      <c r="A111" s="38" t="s">
        <v>6</v>
      </c>
      <c r="B111" s="39"/>
      <c r="C111" s="40"/>
      <c r="D111" s="41"/>
      <c r="E111" s="8"/>
      <c r="F111" s="8"/>
      <c r="G111" s="8"/>
      <c r="H111" s="8"/>
      <c r="I111" s="1"/>
    </row>
    <row r="112" spans="1:9" x14ac:dyDescent="0.2">
      <c r="A112" s="38" t="s">
        <v>7</v>
      </c>
      <c r="B112" s="39"/>
      <c r="C112" s="40"/>
      <c r="D112" s="41"/>
      <c r="E112" s="8"/>
      <c r="F112" s="42" t="s">
        <v>23</v>
      </c>
      <c r="G112" s="8"/>
      <c r="H112" s="42" t="s">
        <v>26</v>
      </c>
      <c r="I112" s="1"/>
    </row>
    <row r="113" spans="1:9" x14ac:dyDescent="0.2">
      <c r="A113" s="20" t="s">
        <v>8</v>
      </c>
      <c r="B113" s="43"/>
      <c r="C113" s="44">
        <f>[1]Charters!C571</f>
        <v>108.63200000000001</v>
      </c>
      <c r="D113" s="45">
        <f>[1]Charters!E571</f>
        <v>345884.24</v>
      </c>
      <c r="E113" s="8"/>
      <c r="F113" s="42">
        <f>[1]Charters!E727</f>
        <v>354514.67</v>
      </c>
      <c r="G113" s="8"/>
      <c r="H113" s="42">
        <f>[2]Charters!E265</f>
        <v>399593.77</v>
      </c>
      <c r="I113" s="1"/>
    </row>
    <row r="114" spans="1:9" x14ac:dyDescent="0.2">
      <c r="A114" s="20" t="s">
        <v>14</v>
      </c>
      <c r="B114" s="43"/>
      <c r="C114" s="44">
        <f>[1]Charters!F571</f>
        <v>2.7109999999999999</v>
      </c>
      <c r="D114" s="45">
        <f>[1]Charters!H571</f>
        <v>8630.43</v>
      </c>
      <c r="E114" s="8"/>
      <c r="F114" s="42">
        <f>SUM(D113:D115)</f>
        <v>354514.67</v>
      </c>
      <c r="G114" s="8"/>
      <c r="H114" s="42">
        <f>D126</f>
        <v>399593.77</v>
      </c>
      <c r="I114" s="1"/>
    </row>
    <row r="115" spans="1:9" x14ac:dyDescent="0.2">
      <c r="A115" s="20" t="s">
        <v>32</v>
      </c>
      <c r="B115" s="43"/>
      <c r="C115" s="44">
        <f>[1]Charters!C264</f>
        <v>0</v>
      </c>
      <c r="D115" s="45">
        <f>[1]Charters!E264</f>
        <v>0</v>
      </c>
      <c r="E115" s="8"/>
      <c r="F115" s="42">
        <f>+F113-F114</f>
        <v>0</v>
      </c>
      <c r="G115" s="8"/>
      <c r="H115" s="42">
        <f>+H113-H114</f>
        <v>0</v>
      </c>
      <c r="I115" s="1"/>
    </row>
    <row r="116" spans="1:9" x14ac:dyDescent="0.2">
      <c r="A116" s="38" t="s">
        <v>9</v>
      </c>
      <c r="B116" s="39"/>
      <c r="C116" s="46"/>
      <c r="D116" s="47"/>
      <c r="E116" s="8"/>
      <c r="F116" s="8"/>
      <c r="G116" s="8"/>
      <c r="H116" s="8"/>
      <c r="I116" s="1"/>
    </row>
    <row r="117" spans="1:9" x14ac:dyDescent="0.2">
      <c r="A117" s="20" t="s">
        <v>10</v>
      </c>
      <c r="B117" s="43"/>
      <c r="C117" s="40">
        <f>[3]Charters!C110</f>
        <v>13.085000000000001</v>
      </c>
      <c r="D117" s="41">
        <f>[3]Charters!E110</f>
        <v>41663.230000000003</v>
      </c>
      <c r="E117" s="8"/>
      <c r="F117" s="42" t="s">
        <v>24</v>
      </c>
      <c r="G117" s="8"/>
      <c r="H117" s="8"/>
      <c r="I117" s="1"/>
    </row>
    <row r="118" spans="1:9" x14ac:dyDescent="0.2">
      <c r="A118" s="48" t="s">
        <v>11</v>
      </c>
      <c r="B118" s="43"/>
      <c r="C118" s="40">
        <f>[3]Charters!F110</f>
        <v>0.222</v>
      </c>
      <c r="D118" s="49">
        <f>[3]Charters!H110</f>
        <v>706.85</v>
      </c>
      <c r="E118" s="8"/>
      <c r="F118" s="42">
        <f>[3]Charters!N423</f>
        <v>45079.1</v>
      </c>
      <c r="G118" s="8"/>
      <c r="H118" s="8"/>
      <c r="I118" s="1"/>
    </row>
    <row r="119" spans="1:9" x14ac:dyDescent="0.2">
      <c r="A119" s="48" t="s">
        <v>12</v>
      </c>
      <c r="B119" s="43"/>
      <c r="C119" s="40">
        <f>[3]Charters!C265</f>
        <v>0</v>
      </c>
      <c r="D119" s="41">
        <f>[3]Charters!E265</f>
        <v>0</v>
      </c>
      <c r="E119" s="8"/>
      <c r="F119" s="42">
        <f>SUM(D117:D123)</f>
        <v>45079.1</v>
      </c>
      <c r="G119" s="8"/>
      <c r="H119" s="8"/>
      <c r="I119" s="1"/>
    </row>
    <row r="120" spans="1:9" x14ac:dyDescent="0.2">
      <c r="A120" s="20" t="s">
        <v>13</v>
      </c>
      <c r="B120" s="43"/>
      <c r="C120" s="40">
        <f>[3]Charters!F265</f>
        <v>0.70899999999999996</v>
      </c>
      <c r="D120" s="41">
        <f>[3]Charters!H265</f>
        <v>2259</v>
      </c>
      <c r="E120" s="8"/>
      <c r="F120" s="42">
        <f>+F118-F119</f>
        <v>0</v>
      </c>
      <c r="G120" s="8"/>
      <c r="H120" s="8"/>
      <c r="I120" s="1"/>
    </row>
    <row r="121" spans="1:9" x14ac:dyDescent="0.2">
      <c r="A121" s="48" t="s">
        <v>54</v>
      </c>
      <c r="B121" s="43"/>
      <c r="C121" s="40">
        <f>[3]Charters!C423</f>
        <v>0.14099999999999999</v>
      </c>
      <c r="D121" s="41">
        <f>[3]Charters!E423</f>
        <v>450.02</v>
      </c>
      <c r="E121" s="8"/>
      <c r="F121" s="8"/>
      <c r="G121" s="8"/>
      <c r="H121" s="8"/>
      <c r="I121" s="1"/>
    </row>
    <row r="122" spans="1:9" x14ac:dyDescent="0.2">
      <c r="A122" s="48" t="s">
        <v>55</v>
      </c>
      <c r="B122" s="43"/>
      <c r="C122" s="40">
        <f>[3]Charters!F423</f>
        <v>0</v>
      </c>
      <c r="D122" s="41">
        <f>[3]Charters!H423</f>
        <v>0</v>
      </c>
      <c r="E122" s="8"/>
      <c r="F122" s="42" t="s">
        <v>25</v>
      </c>
      <c r="G122" s="8"/>
      <c r="H122" s="8"/>
      <c r="I122" s="1"/>
    </row>
    <row r="123" spans="1:9" x14ac:dyDescent="0.2">
      <c r="A123" s="48" t="s">
        <v>56</v>
      </c>
      <c r="B123" s="43"/>
      <c r="C123" s="40">
        <f>[3]Charters!I423</f>
        <v>0</v>
      </c>
      <c r="D123" s="41">
        <f>[3]Charters!K423</f>
        <v>0</v>
      </c>
      <c r="E123" s="8"/>
      <c r="F123" s="42">
        <f>[2]Charters!H111</f>
        <v>45079.1</v>
      </c>
      <c r="G123" s="8"/>
      <c r="H123" s="8"/>
      <c r="I123" s="1"/>
    </row>
    <row r="124" spans="1:9" x14ac:dyDescent="0.2">
      <c r="A124" s="20" t="s">
        <v>49</v>
      </c>
      <c r="B124" s="43"/>
      <c r="C124" s="40">
        <f>[3]Charters!C578</f>
        <v>0</v>
      </c>
      <c r="D124" s="41">
        <f>[3]Charters!E578</f>
        <v>0</v>
      </c>
      <c r="E124" s="8"/>
      <c r="F124" s="42">
        <f>SUM(D117:D125)</f>
        <v>45079.1</v>
      </c>
      <c r="G124" s="8"/>
      <c r="H124" s="8"/>
      <c r="I124" s="1"/>
    </row>
    <row r="125" spans="1:9" x14ac:dyDescent="0.2">
      <c r="A125" s="20" t="s">
        <v>50</v>
      </c>
      <c r="B125" s="43"/>
      <c r="C125" s="40">
        <f>[2]Charters!C111</f>
        <v>0</v>
      </c>
      <c r="D125" s="41">
        <f>[2]Charters!E111</f>
        <v>0</v>
      </c>
      <c r="E125" s="8"/>
      <c r="F125" s="42">
        <f>+F123-F124</f>
        <v>0</v>
      </c>
      <c r="G125" s="8"/>
      <c r="H125" s="8"/>
      <c r="I125" s="1"/>
    </row>
    <row r="126" spans="1:9" x14ac:dyDescent="0.2">
      <c r="A126" s="50"/>
      <c r="B126" s="51" t="s">
        <v>16</v>
      </c>
      <c r="C126" s="52">
        <f>SUM(C113:C125)</f>
        <v>125.5</v>
      </c>
      <c r="D126" s="53">
        <f>SUM(D113:D125)</f>
        <v>399593.77</v>
      </c>
      <c r="E126" s="8"/>
      <c r="F126" s="8"/>
      <c r="G126" s="8"/>
      <c r="H126" s="8"/>
      <c r="I126" s="1"/>
    </row>
    <row r="127" spans="1:9" x14ac:dyDescent="0.2">
      <c r="A127" s="54" t="s">
        <v>17</v>
      </c>
      <c r="B127" s="39"/>
      <c r="C127" s="55"/>
      <c r="D127" s="47"/>
      <c r="E127" s="8"/>
      <c r="F127" s="8"/>
      <c r="G127" s="8"/>
      <c r="H127" s="42" t="s">
        <v>29</v>
      </c>
      <c r="I127" s="1"/>
    </row>
    <row r="128" spans="1:9" x14ac:dyDescent="0.2">
      <c r="A128" s="20" t="s">
        <v>33</v>
      </c>
      <c r="B128" s="43"/>
      <c r="C128" s="56"/>
      <c r="D128" s="57">
        <f>[4]Charters!C112</f>
        <v>1158.21</v>
      </c>
      <c r="E128" s="8"/>
      <c r="F128" s="8"/>
      <c r="G128" s="8"/>
      <c r="H128" s="42">
        <f>[4]Charters!F1051</f>
        <v>640800.04</v>
      </c>
      <c r="I128" s="1"/>
    </row>
    <row r="129" spans="1:9" x14ac:dyDescent="0.2">
      <c r="A129" s="58" t="s">
        <v>35</v>
      </c>
      <c r="B129" s="43"/>
      <c r="C129" s="56"/>
      <c r="D129" s="41">
        <f>+[4]Charters!F433</f>
        <v>0</v>
      </c>
      <c r="E129" s="8"/>
      <c r="F129" s="8"/>
      <c r="G129" s="8"/>
      <c r="H129" s="42">
        <f>SUM(D126:D145)</f>
        <v>640800.04</v>
      </c>
      <c r="I129" s="1"/>
    </row>
    <row r="130" spans="1:9" x14ac:dyDescent="0.2">
      <c r="A130" s="59" t="s">
        <v>36</v>
      </c>
      <c r="B130" s="43"/>
      <c r="C130" s="56"/>
      <c r="D130" s="41">
        <f>[4]Charters!E272</f>
        <v>9040</v>
      </c>
      <c r="E130" s="8"/>
      <c r="F130" s="8"/>
      <c r="G130" s="8"/>
      <c r="H130" s="42">
        <f>+H128-H129</f>
        <v>0</v>
      </c>
      <c r="I130" s="1"/>
    </row>
    <row r="131" spans="1:9" x14ac:dyDescent="0.2">
      <c r="A131" s="59" t="s">
        <v>52</v>
      </c>
      <c r="B131" s="43"/>
      <c r="C131" s="56"/>
      <c r="D131" s="41">
        <f>[4]Charters!G433</f>
        <v>0</v>
      </c>
      <c r="E131" s="8"/>
      <c r="F131" s="42" t="s">
        <v>27</v>
      </c>
      <c r="G131" s="8"/>
      <c r="H131" s="42"/>
      <c r="I131" s="1"/>
    </row>
    <row r="132" spans="1:9" x14ac:dyDescent="0.2">
      <c r="A132" s="20" t="s">
        <v>37</v>
      </c>
      <c r="B132" s="43"/>
      <c r="C132" s="56"/>
      <c r="D132" s="41">
        <f>[4]Charters!E589</f>
        <v>20996</v>
      </c>
      <c r="E132" s="8"/>
      <c r="F132" s="42">
        <f>[4]Charters!E272</f>
        <v>9040</v>
      </c>
      <c r="G132" s="8"/>
      <c r="H132" s="8"/>
      <c r="I132" s="1"/>
    </row>
    <row r="133" spans="1:9" x14ac:dyDescent="0.2">
      <c r="A133" s="20" t="s">
        <v>38</v>
      </c>
      <c r="B133" s="43"/>
      <c r="C133" s="56"/>
      <c r="D133" s="41">
        <f>[4]Charters!F589</f>
        <v>0</v>
      </c>
      <c r="E133" s="8"/>
      <c r="F133" s="42">
        <f>SUM(D130:D130)</f>
        <v>9040</v>
      </c>
      <c r="G133" s="8"/>
      <c r="H133" s="8"/>
      <c r="I133" s="1"/>
    </row>
    <row r="134" spans="1:9" x14ac:dyDescent="0.2">
      <c r="A134" s="59" t="s">
        <v>40</v>
      </c>
      <c r="B134" s="43"/>
      <c r="C134" s="56"/>
      <c r="D134" s="41">
        <f>[4]Charters!G589</f>
        <v>0</v>
      </c>
      <c r="E134" s="8"/>
      <c r="F134" s="42">
        <f>+F132-F133</f>
        <v>0</v>
      </c>
      <c r="G134" s="8"/>
      <c r="H134" s="8"/>
      <c r="I134" s="1"/>
    </row>
    <row r="135" spans="1:9" x14ac:dyDescent="0.2">
      <c r="A135" s="20" t="s">
        <v>41</v>
      </c>
      <c r="B135" s="43"/>
      <c r="C135" s="56"/>
      <c r="D135" s="41">
        <f>[4]Charters!C742</f>
        <v>186093</v>
      </c>
      <c r="E135" s="8"/>
      <c r="F135" s="42" t="s">
        <v>28</v>
      </c>
      <c r="G135" s="8"/>
      <c r="H135" s="8"/>
      <c r="I135" s="1"/>
    </row>
    <row r="136" spans="1:9" x14ac:dyDescent="0.2">
      <c r="A136" s="20" t="s">
        <v>42</v>
      </c>
      <c r="B136" s="43"/>
      <c r="C136" s="56"/>
      <c r="D136" s="41">
        <f>[4]Charters!D742</f>
        <v>14340.48</v>
      </c>
      <c r="E136" s="8"/>
      <c r="F136" s="42">
        <f>[4]Charters!D589</f>
        <v>9040</v>
      </c>
      <c r="G136" s="8"/>
      <c r="H136" s="8"/>
      <c r="I136" s="1"/>
    </row>
    <row r="137" spans="1:9" x14ac:dyDescent="0.2">
      <c r="A137" s="20" t="s">
        <v>44</v>
      </c>
      <c r="B137" s="43"/>
      <c r="C137" s="56"/>
      <c r="D137" s="41">
        <f>[4]Charters!E742</f>
        <v>9300</v>
      </c>
      <c r="E137" s="8"/>
      <c r="F137" s="42">
        <f>SUM(D129:D131)</f>
        <v>9040</v>
      </c>
      <c r="G137" s="8"/>
      <c r="H137" s="8"/>
      <c r="I137" s="1"/>
    </row>
    <row r="138" spans="1:9" x14ac:dyDescent="0.2">
      <c r="A138" s="59" t="s">
        <v>43</v>
      </c>
      <c r="B138" s="43"/>
      <c r="C138" s="56"/>
      <c r="D138" s="41">
        <f>[4]Charters!F742</f>
        <v>0</v>
      </c>
      <c r="E138" s="8"/>
      <c r="F138" s="42">
        <f>+F136-F137</f>
        <v>0</v>
      </c>
      <c r="G138" s="8"/>
      <c r="H138" s="8"/>
      <c r="I138" s="1"/>
    </row>
    <row r="139" spans="1:9" x14ac:dyDescent="0.2">
      <c r="A139" s="59" t="s">
        <v>45</v>
      </c>
      <c r="B139" s="43"/>
      <c r="C139" s="56"/>
      <c r="D139" s="41">
        <f>[4]Charters!C589</f>
        <v>0</v>
      </c>
      <c r="E139" s="8"/>
      <c r="F139" s="8"/>
      <c r="G139" s="8"/>
      <c r="H139" s="8"/>
      <c r="I139" s="1"/>
    </row>
    <row r="140" spans="1:9" x14ac:dyDescent="0.2">
      <c r="A140" s="59" t="s">
        <v>46</v>
      </c>
      <c r="B140" s="43"/>
      <c r="C140" s="56"/>
      <c r="D140" s="41">
        <f>[4]Charters!C898</f>
        <v>0</v>
      </c>
      <c r="E140" s="42"/>
      <c r="F140" s="42"/>
      <c r="G140" s="42"/>
      <c r="H140" s="42" t="s">
        <v>31</v>
      </c>
      <c r="I140" s="82"/>
    </row>
    <row r="141" spans="1:9" x14ac:dyDescent="0.2">
      <c r="A141" s="59" t="s">
        <v>51</v>
      </c>
      <c r="B141" s="43"/>
      <c r="C141" s="56"/>
      <c r="D141" s="60">
        <f>[4]Charters!D898</f>
        <v>278.58</v>
      </c>
      <c r="E141" s="42"/>
      <c r="F141" s="42"/>
      <c r="G141" s="42"/>
      <c r="H141" s="42">
        <f>[4]Charters!D1357</f>
        <v>641351.02</v>
      </c>
      <c r="I141" s="82"/>
    </row>
    <row r="142" spans="1:9" x14ac:dyDescent="0.2">
      <c r="A142" s="20" t="s">
        <v>47</v>
      </c>
      <c r="B142" s="43"/>
      <c r="C142" s="56"/>
      <c r="D142" s="60">
        <f>[4]Charters!E898</f>
        <v>0</v>
      </c>
      <c r="E142" s="42"/>
      <c r="F142" s="42"/>
      <c r="G142" s="42"/>
      <c r="H142" s="42">
        <f>D151</f>
        <v>641351.02</v>
      </c>
      <c r="I142" s="82"/>
    </row>
    <row r="143" spans="1:9" x14ac:dyDescent="0.2">
      <c r="A143" s="20" t="s">
        <v>57</v>
      </c>
      <c r="B143" s="43"/>
      <c r="C143" s="56"/>
      <c r="D143" s="60">
        <f>[4]Charters!C1051</f>
        <v>0</v>
      </c>
      <c r="E143" s="42"/>
      <c r="F143" s="42"/>
      <c r="G143" s="42"/>
      <c r="H143" s="42">
        <f>+H141-H142</f>
        <v>0</v>
      </c>
      <c r="I143" s="82"/>
    </row>
    <row r="144" spans="1:9" x14ac:dyDescent="0.2">
      <c r="A144" s="59" t="s">
        <v>53</v>
      </c>
      <c r="B144" s="43"/>
      <c r="C144" s="56"/>
      <c r="D144" s="60">
        <f>[4]Charters!D1051</f>
        <v>0</v>
      </c>
      <c r="E144" s="42"/>
      <c r="F144" s="42" t="s">
        <v>30</v>
      </c>
      <c r="G144" s="42"/>
      <c r="H144" s="42"/>
      <c r="I144" s="82"/>
    </row>
    <row r="145" spans="1:9" x14ac:dyDescent="0.2">
      <c r="A145" s="59" t="s">
        <v>59</v>
      </c>
      <c r="B145" s="43"/>
      <c r="C145" s="56"/>
      <c r="D145" s="60">
        <f>[4]Charters!E1051</f>
        <v>0</v>
      </c>
      <c r="E145" s="42"/>
      <c r="F145" s="42"/>
      <c r="G145" s="42"/>
      <c r="H145" s="42"/>
      <c r="I145" s="82"/>
    </row>
    <row r="146" spans="1:9" x14ac:dyDescent="0.2">
      <c r="A146" s="38" t="s">
        <v>18</v>
      </c>
      <c r="B146" s="61"/>
      <c r="C146" s="62"/>
      <c r="D146" s="87"/>
      <c r="E146" s="42"/>
      <c r="F146" s="42">
        <f>[4]Charters!C1357</f>
        <v>550.98</v>
      </c>
      <c r="G146" s="42"/>
      <c r="H146" s="42"/>
      <c r="I146" s="82"/>
    </row>
    <row r="147" spans="1:9" x14ac:dyDescent="0.2">
      <c r="A147" s="59" t="s">
        <v>39</v>
      </c>
      <c r="B147" s="43"/>
      <c r="C147" s="56"/>
      <c r="D147" s="41">
        <f>[4]Charters!C1204</f>
        <v>550.98</v>
      </c>
      <c r="E147" s="42"/>
      <c r="F147" s="42">
        <f>SUM(D147:D150)</f>
        <v>550.98</v>
      </c>
      <c r="G147" s="42"/>
      <c r="H147" s="42"/>
      <c r="I147" s="82"/>
    </row>
    <row r="148" spans="1:9" x14ac:dyDescent="0.2">
      <c r="A148" s="59" t="s">
        <v>48</v>
      </c>
      <c r="B148" s="43"/>
      <c r="C148" s="56"/>
      <c r="D148" s="41">
        <f>[4]Charters!D1204</f>
        <v>0</v>
      </c>
      <c r="E148" s="42"/>
      <c r="F148" s="42">
        <f>+F146-F147</f>
        <v>0</v>
      </c>
      <c r="G148" s="42"/>
      <c r="H148" s="42"/>
      <c r="I148" s="82"/>
    </row>
    <row r="149" spans="1:9" x14ac:dyDescent="0.2">
      <c r="A149" s="59" t="s">
        <v>60</v>
      </c>
      <c r="B149" s="43"/>
      <c r="C149" s="56"/>
      <c r="D149" s="41">
        <f>[4]Charters!E1204</f>
        <v>0</v>
      </c>
      <c r="E149" s="42"/>
      <c r="F149" s="42"/>
      <c r="G149" s="42"/>
      <c r="H149" s="42"/>
      <c r="I149" s="82"/>
    </row>
    <row r="150" spans="1:9" x14ac:dyDescent="0.2">
      <c r="A150" s="59" t="s">
        <v>61</v>
      </c>
      <c r="B150" s="43"/>
      <c r="C150" s="56"/>
      <c r="D150" s="41">
        <f>[4]Charters!F1204</f>
        <v>0</v>
      </c>
      <c r="E150" s="42"/>
      <c r="F150" s="42"/>
      <c r="G150" s="42"/>
      <c r="H150" s="42"/>
      <c r="I150" s="82"/>
    </row>
    <row r="151" spans="1:9" ht="13.5" thickBot="1" x14ac:dyDescent="0.25">
      <c r="A151" s="64"/>
      <c r="B151" s="65"/>
      <c r="C151" s="66"/>
      <c r="D151" s="67">
        <f>SUM(D126:D150)</f>
        <v>641351.02</v>
      </c>
      <c r="E151" s="42"/>
      <c r="F151" s="42"/>
      <c r="G151" s="42"/>
      <c r="H151" s="42"/>
      <c r="I151" s="82"/>
    </row>
    <row r="152" spans="1:9" ht="13.5" thickTop="1" x14ac:dyDescent="0.2">
      <c r="A152" s="68"/>
      <c r="B152" s="43"/>
      <c r="C152" s="56"/>
      <c r="D152" s="86"/>
      <c r="E152" s="42"/>
      <c r="F152" s="42"/>
      <c r="G152" s="42"/>
      <c r="H152" s="42"/>
      <c r="I152" s="82"/>
    </row>
    <row r="153" spans="1:9" x14ac:dyDescent="0.2">
      <c r="A153" s="38" t="s">
        <v>20</v>
      </c>
      <c r="B153" s="39"/>
      <c r="C153" s="70"/>
      <c r="D153" s="71" t="s">
        <v>21</v>
      </c>
      <c r="E153" s="42"/>
      <c r="F153" s="42"/>
      <c r="G153" s="42"/>
      <c r="H153" s="42"/>
      <c r="I153" s="82"/>
    </row>
    <row r="154" spans="1:9" x14ac:dyDescent="0.2">
      <c r="A154" s="72" t="s">
        <v>22</v>
      </c>
      <c r="B154" s="73"/>
      <c r="C154" s="74"/>
      <c r="D154" s="41">
        <f>[5]Charters!C110</f>
        <v>235.06</v>
      </c>
      <c r="E154" s="42"/>
      <c r="F154" s="42"/>
      <c r="G154" s="42"/>
      <c r="H154" s="42"/>
      <c r="I154" s="82"/>
    </row>
    <row r="155" spans="1:9" x14ac:dyDescent="0.2">
      <c r="A155" s="75"/>
      <c r="B155" s="61"/>
      <c r="C155" s="76"/>
      <c r="D155" s="77">
        <f>SUM(D154:D154)</f>
        <v>235.06</v>
      </c>
      <c r="E155" s="42"/>
      <c r="F155" s="42"/>
      <c r="G155" s="42"/>
      <c r="H155" s="42"/>
      <c r="I155" s="82"/>
    </row>
    <row r="156" spans="1:9" x14ac:dyDescent="0.2">
      <c r="A156" s="78" t="s">
        <v>58</v>
      </c>
      <c r="B156" s="79"/>
      <c r="C156" s="80"/>
      <c r="D156" s="77">
        <f>D155+D151</f>
        <v>641586.07999999996</v>
      </c>
      <c r="E156" s="42"/>
      <c r="F156" s="42"/>
      <c r="G156" s="42"/>
      <c r="H156" s="42"/>
      <c r="I156" s="82"/>
    </row>
    <row r="157" spans="1:9" x14ac:dyDescent="0.2">
      <c r="A157" s="84"/>
      <c r="B157" s="84"/>
      <c r="C157" s="85"/>
      <c r="D157" s="81"/>
      <c r="E157" s="42"/>
      <c r="F157" s="42"/>
      <c r="G157" s="42"/>
      <c r="H157" s="42"/>
      <c r="I157" s="82"/>
    </row>
    <row r="158" spans="1:9" x14ac:dyDescent="0.2">
      <c r="A158" s="84"/>
      <c r="B158" s="84"/>
      <c r="C158" s="85"/>
      <c r="D158" s="81">
        <f>[5]Charters!E266</f>
        <v>641586.07999999996</v>
      </c>
      <c r="E158" s="42"/>
      <c r="F158" s="42"/>
      <c r="G158" s="42"/>
      <c r="H158" s="42"/>
      <c r="I158" s="82"/>
    </row>
    <row r="159" spans="1:9" x14ac:dyDescent="0.2">
      <c r="A159" s="84"/>
      <c r="B159" s="84"/>
      <c r="C159" s="85"/>
      <c r="D159" s="81">
        <f>D156</f>
        <v>641586.07999999996</v>
      </c>
      <c r="E159" s="42"/>
      <c r="F159" s="42"/>
      <c r="G159" s="42"/>
      <c r="H159" s="42"/>
      <c r="I159" s="82"/>
    </row>
    <row r="160" spans="1:9" x14ac:dyDescent="0.2">
      <c r="A160" s="82"/>
      <c r="B160" s="82"/>
      <c r="C160" s="83"/>
      <c r="D160" s="42">
        <f>D158-D159</f>
        <v>0</v>
      </c>
      <c r="E160" s="42"/>
      <c r="F160" s="42"/>
      <c r="G160" s="42"/>
      <c r="H160" s="42"/>
      <c r="I160" s="82"/>
    </row>
  </sheetData>
  <mergeCells count="4">
    <mergeCell ref="A102:D102"/>
    <mergeCell ref="A103:D103"/>
    <mergeCell ref="A104:D104"/>
    <mergeCell ref="A156:C156"/>
  </mergeCells>
  <printOptions horizontalCentered="1" verticalCentered="1"/>
  <pageMargins left="0.5" right="0.5" top="0.5" bottom="0.5" header="0.25" footer="0.25"/>
  <pageSetup orientation="portrait" r:id="rId1"/>
  <headerFooter alignWithMargins="0">
    <oddHeader>&amp;R&amp;8Current as of: &amp;D</oddHeader>
    <oddFooter>&amp;L&amp;8USOE, School Finance</oddFooter>
  </headerFooter>
  <picture r:id="rId2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E00-000000000000}">
  <sheetPr>
    <pageSetUpPr fitToPage="1"/>
  </sheetPr>
  <dimension ref="A1:I161"/>
  <sheetViews>
    <sheetView topLeftCell="A98" workbookViewId="0">
      <selection activeCell="C12" sqref="C12"/>
    </sheetView>
  </sheetViews>
  <sheetFormatPr defaultRowHeight="12.75" x14ac:dyDescent="0.2"/>
  <cols>
    <col min="1" max="1" width="32.5703125" style="89" customWidth="1"/>
    <col min="2" max="2" width="16.140625" style="89" customWidth="1"/>
    <col min="3" max="4" width="14.85546875" style="89" customWidth="1"/>
    <col min="5" max="5" width="9.140625" style="89"/>
    <col min="6" max="6" width="18" style="89" customWidth="1"/>
    <col min="7" max="7" width="8.85546875" style="89" customWidth="1"/>
    <col min="8" max="8" width="15.5703125" style="89" customWidth="1"/>
    <col min="9" max="16384" width="9.140625" style="89"/>
  </cols>
  <sheetData>
    <row r="1" spans="1:9" x14ac:dyDescent="0.2">
      <c r="A1" s="7"/>
      <c r="B1" s="7"/>
      <c r="C1" s="7"/>
      <c r="D1" s="7"/>
      <c r="E1" s="7"/>
      <c r="F1" s="7"/>
      <c r="G1" s="7"/>
      <c r="H1" s="7"/>
      <c r="I1" s="7"/>
    </row>
    <row r="2" spans="1:9" x14ac:dyDescent="0.2">
      <c r="A2" s="7"/>
      <c r="B2" s="7"/>
      <c r="C2" s="7"/>
      <c r="D2" s="7"/>
      <c r="E2" s="7"/>
      <c r="F2" s="7"/>
      <c r="G2" s="7"/>
      <c r="H2" s="7"/>
      <c r="I2" s="7"/>
    </row>
    <row r="3" spans="1:9" x14ac:dyDescent="0.2">
      <c r="A3" s="7"/>
      <c r="B3" s="7"/>
      <c r="C3" s="7"/>
      <c r="D3" s="7"/>
      <c r="E3" s="7"/>
      <c r="F3" s="7"/>
      <c r="G3" s="7"/>
      <c r="H3" s="7"/>
      <c r="I3" s="7"/>
    </row>
    <row r="4" spans="1:9" x14ac:dyDescent="0.2">
      <c r="A4" s="7"/>
      <c r="B4" s="7"/>
      <c r="C4" s="7"/>
      <c r="D4" s="7"/>
      <c r="E4" s="7"/>
      <c r="F4" s="7"/>
      <c r="G4" s="7"/>
      <c r="H4" s="7"/>
      <c r="I4" s="7"/>
    </row>
    <row r="5" spans="1:9" x14ac:dyDescent="0.2">
      <c r="A5" s="7"/>
      <c r="B5" s="7"/>
      <c r="C5" s="7"/>
      <c r="D5" s="7"/>
      <c r="E5" s="7"/>
      <c r="F5" s="7"/>
      <c r="G5" s="7"/>
      <c r="H5" s="7"/>
      <c r="I5" s="7"/>
    </row>
    <row r="6" spans="1:9" x14ac:dyDescent="0.2">
      <c r="A6" s="7"/>
      <c r="B6" s="7"/>
      <c r="C6" s="7"/>
      <c r="D6" s="7"/>
      <c r="E6" s="7"/>
      <c r="F6" s="7"/>
      <c r="G6" s="7"/>
      <c r="H6" s="7"/>
      <c r="I6" s="7"/>
    </row>
    <row r="7" spans="1:9" x14ac:dyDescent="0.2">
      <c r="A7" s="7"/>
      <c r="B7" s="7"/>
      <c r="C7" s="7"/>
      <c r="D7" s="7"/>
      <c r="E7" s="7"/>
      <c r="F7" s="7"/>
      <c r="G7" s="7"/>
      <c r="H7" s="7"/>
      <c r="I7" s="7"/>
    </row>
    <row r="8" spans="1:9" x14ac:dyDescent="0.2">
      <c r="A8" s="7"/>
      <c r="B8" s="7"/>
      <c r="C8" s="7"/>
      <c r="D8" s="7"/>
      <c r="E8" s="7"/>
      <c r="F8" s="7"/>
      <c r="G8" s="7"/>
      <c r="H8" s="7"/>
      <c r="I8" s="7"/>
    </row>
    <row r="9" spans="1:9" x14ac:dyDescent="0.2">
      <c r="A9" s="7"/>
      <c r="B9" s="7"/>
      <c r="C9" s="7"/>
      <c r="D9" s="7"/>
      <c r="E9" s="7"/>
      <c r="F9" s="7"/>
      <c r="G9" s="7"/>
      <c r="H9" s="7"/>
      <c r="I9" s="7"/>
    </row>
    <row r="10" spans="1:9" x14ac:dyDescent="0.2">
      <c r="A10" s="7"/>
      <c r="B10" s="7"/>
      <c r="C10" s="7"/>
      <c r="D10" s="7"/>
      <c r="E10" s="7"/>
      <c r="F10" s="7"/>
      <c r="G10" s="7"/>
      <c r="H10" s="7"/>
      <c r="I10" s="7"/>
    </row>
    <row r="11" spans="1:9" x14ac:dyDescent="0.2">
      <c r="A11" s="7"/>
      <c r="B11" s="7"/>
      <c r="C11" s="7"/>
      <c r="D11" s="7"/>
      <c r="E11" s="7"/>
      <c r="F11" s="7"/>
      <c r="G11" s="7"/>
      <c r="H11" s="7"/>
      <c r="I11" s="7"/>
    </row>
    <row r="12" spans="1:9" x14ac:dyDescent="0.2">
      <c r="A12" s="7"/>
      <c r="B12" s="7"/>
      <c r="C12" s="7"/>
      <c r="D12" s="7"/>
      <c r="E12" s="7"/>
      <c r="F12" s="7"/>
      <c r="G12" s="7"/>
      <c r="H12" s="7"/>
      <c r="I12" s="7"/>
    </row>
    <row r="13" spans="1:9" x14ac:dyDescent="0.2">
      <c r="A13" s="7"/>
      <c r="B13" s="7"/>
      <c r="C13" s="7"/>
      <c r="D13" s="7"/>
      <c r="E13" s="7"/>
      <c r="F13" s="7"/>
      <c r="G13" s="7"/>
      <c r="H13" s="7"/>
      <c r="I13" s="7"/>
    </row>
    <row r="14" spans="1:9" x14ac:dyDescent="0.2">
      <c r="A14" s="7"/>
      <c r="B14" s="7"/>
      <c r="C14" s="7"/>
      <c r="D14" s="7"/>
      <c r="E14" s="7"/>
      <c r="F14" s="7"/>
      <c r="G14" s="7"/>
      <c r="H14" s="7"/>
      <c r="I14" s="7"/>
    </row>
    <row r="15" spans="1:9" x14ac:dyDescent="0.2">
      <c r="A15" s="7"/>
      <c r="B15" s="7"/>
      <c r="C15" s="7"/>
      <c r="D15" s="7"/>
      <c r="E15" s="7"/>
      <c r="F15" s="7"/>
      <c r="G15" s="7"/>
      <c r="H15" s="7"/>
      <c r="I15" s="7"/>
    </row>
    <row r="16" spans="1:9" x14ac:dyDescent="0.2">
      <c r="A16" s="7"/>
      <c r="B16" s="7"/>
      <c r="C16" s="7"/>
      <c r="D16" s="7"/>
      <c r="E16" s="7"/>
      <c r="F16" s="7"/>
      <c r="G16" s="7"/>
      <c r="H16" s="7"/>
      <c r="I16" s="7"/>
    </row>
    <row r="17" spans="1:9" x14ac:dyDescent="0.2">
      <c r="A17" s="7"/>
      <c r="B17" s="7"/>
      <c r="C17" s="7"/>
      <c r="D17" s="7"/>
      <c r="E17" s="7"/>
      <c r="F17" s="7"/>
      <c r="G17" s="7"/>
      <c r="H17" s="7"/>
      <c r="I17" s="7"/>
    </row>
    <row r="18" spans="1:9" x14ac:dyDescent="0.2">
      <c r="A18" s="7"/>
      <c r="B18" s="7"/>
      <c r="C18" s="7"/>
      <c r="D18" s="7"/>
      <c r="E18" s="7"/>
      <c r="F18" s="7"/>
      <c r="G18" s="7"/>
      <c r="H18" s="7"/>
      <c r="I18" s="7"/>
    </row>
    <row r="19" spans="1:9" x14ac:dyDescent="0.2">
      <c r="A19" s="7"/>
      <c r="B19" s="7"/>
      <c r="C19" s="7"/>
      <c r="D19" s="7"/>
      <c r="E19" s="7"/>
      <c r="F19" s="7"/>
      <c r="G19" s="7"/>
      <c r="H19" s="7"/>
      <c r="I19" s="7"/>
    </row>
    <row r="20" spans="1:9" x14ac:dyDescent="0.2">
      <c r="A20" s="7"/>
      <c r="B20" s="7"/>
      <c r="C20" s="7"/>
      <c r="D20" s="7"/>
      <c r="E20" s="7"/>
      <c r="F20" s="7"/>
      <c r="G20" s="7"/>
      <c r="H20" s="7"/>
      <c r="I20" s="7"/>
    </row>
    <row r="21" spans="1:9" x14ac:dyDescent="0.2">
      <c r="A21" s="7"/>
      <c r="B21" s="7"/>
      <c r="C21" s="7"/>
      <c r="D21" s="7"/>
      <c r="E21" s="7"/>
      <c r="F21" s="7"/>
      <c r="G21" s="7"/>
      <c r="H21" s="7"/>
      <c r="I21" s="7"/>
    </row>
    <row r="22" spans="1:9" x14ac:dyDescent="0.2">
      <c r="A22" s="7"/>
      <c r="B22" s="7"/>
      <c r="C22" s="7"/>
      <c r="D22" s="4"/>
      <c r="E22" s="7"/>
      <c r="F22" s="7"/>
      <c r="G22" s="7"/>
      <c r="H22" s="7"/>
      <c r="I22" s="7"/>
    </row>
    <row r="23" spans="1:9" x14ac:dyDescent="0.2">
      <c r="A23" s="7"/>
      <c r="B23" s="7"/>
      <c r="C23" s="7"/>
      <c r="D23" s="7"/>
      <c r="E23" s="7"/>
      <c r="F23" s="7"/>
      <c r="G23" s="7"/>
      <c r="H23" s="7"/>
      <c r="I23" s="7"/>
    </row>
    <row r="24" spans="1:9" x14ac:dyDescent="0.2">
      <c r="A24" s="7"/>
      <c r="B24" s="7"/>
      <c r="C24" s="7"/>
      <c r="D24" s="7"/>
      <c r="E24" s="7"/>
      <c r="F24" s="7"/>
      <c r="G24" s="7"/>
      <c r="H24" s="7"/>
      <c r="I24" s="7"/>
    </row>
    <row r="25" spans="1:9" x14ac:dyDescent="0.2">
      <c r="A25" s="7"/>
      <c r="B25" s="7"/>
      <c r="C25" s="7"/>
      <c r="D25" s="7"/>
      <c r="E25" s="7"/>
      <c r="F25" s="7"/>
      <c r="G25" s="7"/>
      <c r="H25" s="7"/>
      <c r="I25" s="7"/>
    </row>
    <row r="26" spans="1:9" x14ac:dyDescent="0.2">
      <c r="A26" s="7"/>
      <c r="B26" s="7"/>
      <c r="C26" s="7"/>
      <c r="D26" s="7"/>
      <c r="E26" s="7"/>
      <c r="F26" s="7"/>
      <c r="G26" s="7"/>
      <c r="H26" s="7"/>
      <c r="I26" s="7"/>
    </row>
    <row r="27" spans="1:9" x14ac:dyDescent="0.2">
      <c r="A27" s="7"/>
      <c r="B27" s="7"/>
      <c r="C27" s="7"/>
      <c r="D27" s="7"/>
      <c r="E27" s="7"/>
      <c r="F27" s="7"/>
      <c r="G27" s="7"/>
      <c r="H27" s="7"/>
      <c r="I27" s="7"/>
    </row>
    <row r="28" spans="1:9" x14ac:dyDescent="0.2">
      <c r="A28" s="7"/>
      <c r="B28" s="7"/>
      <c r="C28" s="7"/>
      <c r="D28" s="7"/>
      <c r="E28" s="7"/>
      <c r="F28" s="7"/>
      <c r="G28" s="7"/>
      <c r="H28" s="7"/>
      <c r="I28" s="7"/>
    </row>
    <row r="29" spans="1:9" x14ac:dyDescent="0.2">
      <c r="A29" s="7"/>
      <c r="B29" s="7"/>
      <c r="C29" s="7"/>
      <c r="D29" s="7"/>
      <c r="E29" s="7"/>
      <c r="F29" s="7"/>
      <c r="G29" s="7"/>
      <c r="H29" s="7"/>
      <c r="I29" s="7"/>
    </row>
    <row r="30" spans="1:9" x14ac:dyDescent="0.2">
      <c r="A30" s="7"/>
      <c r="B30" s="7"/>
      <c r="C30" s="7"/>
      <c r="D30" s="7"/>
      <c r="E30" s="7"/>
      <c r="F30" s="7"/>
      <c r="G30" s="7"/>
      <c r="H30" s="7"/>
      <c r="I30" s="7"/>
    </row>
    <row r="31" spans="1:9" x14ac:dyDescent="0.2">
      <c r="A31" s="7"/>
      <c r="B31" s="7"/>
      <c r="C31" s="7"/>
      <c r="D31" s="7"/>
      <c r="E31" s="7"/>
      <c r="F31" s="7"/>
      <c r="G31" s="7"/>
      <c r="H31" s="7"/>
      <c r="I31" s="7"/>
    </row>
    <row r="32" spans="1:9" x14ac:dyDescent="0.2">
      <c r="A32" s="7"/>
      <c r="B32" s="7"/>
      <c r="C32" s="7"/>
      <c r="D32" s="7"/>
      <c r="E32" s="7"/>
      <c r="F32" s="7"/>
      <c r="G32" s="7"/>
      <c r="H32" s="7"/>
      <c r="I32" s="7"/>
    </row>
    <row r="33" spans="1:9" x14ac:dyDescent="0.2">
      <c r="A33" s="7"/>
      <c r="B33" s="7"/>
      <c r="C33" s="7"/>
      <c r="D33" s="7"/>
      <c r="E33" s="7"/>
      <c r="F33" s="7"/>
      <c r="G33" s="7"/>
      <c r="H33" s="7"/>
      <c r="I33" s="7"/>
    </row>
    <row r="34" spans="1:9" x14ac:dyDescent="0.2">
      <c r="A34" s="7"/>
      <c r="B34" s="7"/>
      <c r="C34" s="7"/>
      <c r="D34" s="7"/>
      <c r="E34" s="7"/>
      <c r="F34" s="7"/>
      <c r="G34" s="7"/>
      <c r="H34" s="7"/>
      <c r="I34" s="7"/>
    </row>
    <row r="35" spans="1:9" x14ac:dyDescent="0.2">
      <c r="A35" s="7"/>
      <c r="B35" s="7"/>
      <c r="C35" s="7"/>
      <c r="D35" s="7"/>
      <c r="E35" s="7"/>
      <c r="F35" s="7"/>
      <c r="G35" s="7"/>
      <c r="H35" s="7"/>
      <c r="I35" s="7"/>
    </row>
    <row r="36" spans="1:9" x14ac:dyDescent="0.2">
      <c r="A36" s="7"/>
      <c r="B36" s="7"/>
      <c r="C36" s="7"/>
      <c r="D36" s="7"/>
      <c r="E36" s="7"/>
      <c r="F36" s="7"/>
      <c r="G36" s="7"/>
      <c r="H36" s="7"/>
      <c r="I36" s="7"/>
    </row>
    <row r="37" spans="1:9" x14ac:dyDescent="0.2">
      <c r="A37" s="7"/>
      <c r="B37" s="7"/>
      <c r="C37" s="7"/>
      <c r="D37" s="7"/>
      <c r="E37" s="7"/>
      <c r="F37" s="7"/>
      <c r="G37" s="7"/>
      <c r="H37" s="7"/>
      <c r="I37" s="7"/>
    </row>
    <row r="38" spans="1:9" x14ac:dyDescent="0.2">
      <c r="A38" s="7"/>
      <c r="B38" s="7"/>
      <c r="C38" s="7"/>
      <c r="D38" s="7"/>
      <c r="E38" s="7"/>
      <c r="F38" s="7"/>
      <c r="G38" s="7"/>
      <c r="H38" s="7"/>
      <c r="I38" s="7"/>
    </row>
    <row r="39" spans="1:9" x14ac:dyDescent="0.2">
      <c r="A39" s="7"/>
      <c r="B39" s="7"/>
      <c r="C39" s="7"/>
      <c r="D39" s="7"/>
      <c r="E39" s="7"/>
      <c r="F39" s="7"/>
      <c r="G39" s="7"/>
      <c r="H39" s="7"/>
      <c r="I39" s="7"/>
    </row>
    <row r="40" spans="1:9" x14ac:dyDescent="0.2">
      <c r="A40" s="7"/>
      <c r="B40" s="7"/>
      <c r="C40" s="7"/>
      <c r="D40" s="7"/>
      <c r="E40" s="7"/>
      <c r="F40" s="7"/>
      <c r="G40" s="7"/>
      <c r="H40" s="7"/>
      <c r="I40" s="7"/>
    </row>
    <row r="41" spans="1:9" x14ac:dyDescent="0.2">
      <c r="A41" s="7"/>
      <c r="B41" s="7"/>
      <c r="C41" s="7"/>
      <c r="D41" s="7"/>
      <c r="E41" s="7"/>
      <c r="F41" s="7"/>
      <c r="G41" s="7"/>
      <c r="H41" s="7"/>
      <c r="I41" s="7"/>
    </row>
    <row r="42" spans="1:9" x14ac:dyDescent="0.2">
      <c r="A42" s="7"/>
      <c r="B42" s="7"/>
      <c r="C42" s="7"/>
      <c r="D42" s="7"/>
      <c r="E42" s="7"/>
      <c r="F42" s="7"/>
      <c r="G42" s="7"/>
      <c r="H42" s="7"/>
      <c r="I42" s="7"/>
    </row>
    <row r="43" spans="1:9" x14ac:dyDescent="0.2">
      <c r="A43" s="7"/>
      <c r="B43" s="7"/>
      <c r="C43" s="7"/>
      <c r="D43" s="7"/>
      <c r="E43" s="7"/>
      <c r="F43" s="7"/>
      <c r="G43" s="7"/>
      <c r="H43" s="7"/>
      <c r="I43" s="7"/>
    </row>
    <row r="44" spans="1:9" x14ac:dyDescent="0.2">
      <c r="A44" s="7"/>
      <c r="B44" s="7"/>
      <c r="C44" s="7"/>
      <c r="D44" s="7"/>
      <c r="E44" s="7"/>
      <c r="F44" s="7"/>
      <c r="G44" s="7"/>
      <c r="H44" s="7"/>
      <c r="I44" s="7"/>
    </row>
    <row r="45" spans="1:9" x14ac:dyDescent="0.2">
      <c r="A45" s="7"/>
      <c r="B45" s="7"/>
      <c r="C45" s="7"/>
      <c r="D45" s="7"/>
      <c r="E45" s="7"/>
      <c r="F45" s="7"/>
      <c r="G45" s="7"/>
      <c r="H45" s="7"/>
      <c r="I45" s="7"/>
    </row>
    <row r="46" spans="1:9" x14ac:dyDescent="0.2">
      <c r="A46" s="7"/>
      <c r="B46" s="7"/>
      <c r="C46" s="7"/>
      <c r="D46" s="7"/>
      <c r="E46" s="7"/>
      <c r="F46" s="7"/>
      <c r="G46" s="7"/>
      <c r="H46" s="7"/>
      <c r="I46" s="7"/>
    </row>
    <row r="47" spans="1:9" x14ac:dyDescent="0.2">
      <c r="A47" s="7"/>
      <c r="B47" s="7"/>
      <c r="C47" s="7"/>
      <c r="D47" s="7"/>
      <c r="E47" s="7"/>
      <c r="F47" s="7"/>
      <c r="G47" s="7"/>
      <c r="H47" s="7"/>
      <c r="I47" s="7"/>
    </row>
    <row r="48" spans="1:9" x14ac:dyDescent="0.2">
      <c r="A48" s="7"/>
      <c r="B48" s="7"/>
      <c r="C48" s="7"/>
      <c r="D48" s="7"/>
      <c r="E48" s="7"/>
      <c r="F48" s="7"/>
      <c r="G48" s="7"/>
      <c r="H48" s="7"/>
      <c r="I48" s="7"/>
    </row>
    <row r="49" spans="1:9" x14ac:dyDescent="0.2">
      <c r="A49" s="7"/>
      <c r="B49" s="7"/>
      <c r="C49" s="7"/>
      <c r="D49" s="7"/>
      <c r="E49" s="7"/>
      <c r="F49" s="7"/>
      <c r="G49" s="7"/>
      <c r="H49" s="7"/>
      <c r="I49" s="7"/>
    </row>
    <row r="50" spans="1:9" x14ac:dyDescent="0.2">
      <c r="A50" s="7"/>
      <c r="B50" s="7"/>
      <c r="C50" s="7"/>
      <c r="D50" s="7"/>
      <c r="E50" s="7"/>
      <c r="F50" s="7"/>
      <c r="G50" s="7"/>
      <c r="H50" s="7"/>
      <c r="I50" s="7"/>
    </row>
    <row r="51" spans="1:9" x14ac:dyDescent="0.2">
      <c r="A51" s="7"/>
      <c r="B51" s="7"/>
      <c r="C51" s="7"/>
      <c r="D51" s="7"/>
      <c r="E51" s="7"/>
      <c r="F51" s="7"/>
      <c r="G51" s="7"/>
      <c r="H51" s="7"/>
      <c r="I51" s="7"/>
    </row>
    <row r="52" spans="1:9" x14ac:dyDescent="0.2">
      <c r="A52" s="7"/>
      <c r="B52" s="7"/>
      <c r="C52" s="7"/>
      <c r="D52" s="7"/>
      <c r="E52" s="7"/>
      <c r="F52" s="7"/>
      <c r="G52" s="7"/>
      <c r="H52" s="7"/>
      <c r="I52" s="7"/>
    </row>
    <row r="53" spans="1:9" x14ac:dyDescent="0.2">
      <c r="A53" s="7"/>
      <c r="B53" s="7"/>
      <c r="C53" s="7"/>
      <c r="D53" s="7"/>
      <c r="E53" s="7"/>
      <c r="F53" s="7"/>
      <c r="G53" s="7"/>
      <c r="H53" s="7"/>
      <c r="I53" s="7"/>
    </row>
    <row r="54" spans="1:9" x14ac:dyDescent="0.2">
      <c r="A54" s="7"/>
      <c r="B54" s="7"/>
      <c r="C54" s="7"/>
      <c r="D54" s="7"/>
      <c r="E54" s="7"/>
      <c r="F54" s="7"/>
      <c r="G54" s="7"/>
      <c r="H54" s="7"/>
      <c r="I54" s="7"/>
    </row>
    <row r="55" spans="1:9" x14ac:dyDescent="0.2">
      <c r="A55" s="7"/>
      <c r="B55" s="7"/>
      <c r="C55" s="7"/>
      <c r="D55" s="7"/>
      <c r="E55" s="7"/>
      <c r="F55" s="7"/>
      <c r="G55" s="7"/>
      <c r="H55" s="7"/>
      <c r="I55" s="7"/>
    </row>
    <row r="56" spans="1:9" x14ac:dyDescent="0.2">
      <c r="A56" s="7"/>
      <c r="B56" s="7"/>
      <c r="C56" s="7"/>
      <c r="D56" s="7"/>
      <c r="E56" s="7"/>
      <c r="F56" s="7"/>
      <c r="G56" s="7"/>
      <c r="H56" s="7"/>
      <c r="I56" s="7"/>
    </row>
    <row r="57" spans="1:9" x14ac:dyDescent="0.2">
      <c r="A57" s="7"/>
      <c r="B57" s="7"/>
      <c r="C57" s="7"/>
      <c r="D57" s="7"/>
      <c r="E57" s="7"/>
      <c r="F57" s="7"/>
      <c r="G57" s="7"/>
      <c r="H57" s="7"/>
      <c r="I57" s="7"/>
    </row>
    <row r="58" spans="1:9" x14ac:dyDescent="0.2">
      <c r="A58" s="7"/>
      <c r="B58" s="7"/>
      <c r="C58" s="7"/>
      <c r="D58" s="7"/>
      <c r="E58" s="7"/>
      <c r="F58" s="7"/>
      <c r="G58" s="7"/>
      <c r="H58" s="7"/>
      <c r="I58" s="7"/>
    </row>
    <row r="59" spans="1:9" x14ac:dyDescent="0.2">
      <c r="A59" s="7"/>
      <c r="B59" s="7"/>
      <c r="C59" s="7"/>
      <c r="D59" s="7"/>
      <c r="E59" s="7"/>
      <c r="F59" s="7"/>
      <c r="G59" s="7"/>
      <c r="H59" s="7"/>
      <c r="I59" s="7"/>
    </row>
    <row r="60" spans="1:9" x14ac:dyDescent="0.2">
      <c r="A60" s="7"/>
      <c r="B60" s="7"/>
      <c r="C60" s="7"/>
      <c r="D60" s="7"/>
      <c r="E60" s="7"/>
      <c r="F60" s="7"/>
      <c r="G60" s="7"/>
      <c r="H60" s="7"/>
      <c r="I60" s="7"/>
    </row>
    <row r="61" spans="1:9" x14ac:dyDescent="0.2">
      <c r="A61" s="7"/>
      <c r="B61" s="7"/>
      <c r="C61" s="7"/>
      <c r="D61" s="7"/>
      <c r="E61" s="7"/>
      <c r="F61" s="7"/>
      <c r="G61" s="7"/>
      <c r="H61" s="7"/>
      <c r="I61" s="7"/>
    </row>
    <row r="62" spans="1:9" x14ac:dyDescent="0.2">
      <c r="A62" s="7"/>
      <c r="B62" s="7"/>
      <c r="C62" s="7"/>
      <c r="D62" s="7"/>
      <c r="E62" s="7"/>
      <c r="F62" s="7"/>
      <c r="G62" s="7"/>
      <c r="H62" s="7"/>
      <c r="I62" s="7"/>
    </row>
    <row r="63" spans="1:9" x14ac:dyDescent="0.2">
      <c r="A63" s="7"/>
      <c r="B63" s="7"/>
      <c r="C63" s="7"/>
      <c r="D63" s="7"/>
      <c r="E63" s="7"/>
      <c r="F63" s="7"/>
      <c r="G63" s="7"/>
      <c r="H63" s="7"/>
      <c r="I63" s="7"/>
    </row>
    <row r="64" spans="1:9" x14ac:dyDescent="0.2">
      <c r="A64" s="7"/>
      <c r="B64" s="7"/>
      <c r="C64" s="7"/>
      <c r="D64" s="7"/>
      <c r="E64" s="7"/>
      <c r="F64" s="7"/>
      <c r="G64" s="7"/>
      <c r="H64" s="7"/>
      <c r="I64" s="7"/>
    </row>
    <row r="65" spans="1:9" x14ac:dyDescent="0.2">
      <c r="A65" s="7"/>
      <c r="B65" s="7"/>
      <c r="C65" s="7"/>
      <c r="D65" s="7"/>
      <c r="E65" s="7"/>
      <c r="F65" s="7"/>
      <c r="G65" s="7"/>
      <c r="H65" s="7"/>
      <c r="I65" s="7"/>
    </row>
    <row r="66" spans="1:9" x14ac:dyDescent="0.2">
      <c r="A66" s="7"/>
      <c r="B66" s="7"/>
      <c r="C66" s="7"/>
      <c r="D66" s="7"/>
      <c r="E66" s="7"/>
      <c r="F66" s="7"/>
      <c r="G66" s="7"/>
      <c r="H66" s="7"/>
      <c r="I66" s="7"/>
    </row>
    <row r="67" spans="1:9" x14ac:dyDescent="0.2">
      <c r="A67" s="7"/>
      <c r="B67" s="7"/>
      <c r="C67" s="7"/>
      <c r="D67" s="7"/>
      <c r="E67" s="7"/>
      <c r="F67" s="7"/>
      <c r="G67" s="7"/>
      <c r="H67" s="7"/>
      <c r="I67" s="7"/>
    </row>
    <row r="68" spans="1:9" x14ac:dyDescent="0.2">
      <c r="A68" s="7"/>
      <c r="B68" s="7"/>
      <c r="C68" s="7"/>
      <c r="D68" s="7"/>
      <c r="E68" s="7"/>
      <c r="F68" s="7"/>
      <c r="G68" s="7"/>
      <c r="H68" s="7"/>
      <c r="I68" s="7"/>
    </row>
    <row r="69" spans="1:9" x14ac:dyDescent="0.2">
      <c r="A69" s="7"/>
      <c r="B69" s="7"/>
      <c r="C69" s="7"/>
      <c r="D69" s="7"/>
      <c r="E69" s="7"/>
      <c r="F69" s="7"/>
      <c r="G69" s="7"/>
      <c r="H69" s="7"/>
      <c r="I69" s="7"/>
    </row>
    <row r="70" spans="1:9" x14ac:dyDescent="0.2">
      <c r="A70" s="7"/>
      <c r="B70" s="7"/>
      <c r="C70" s="7"/>
      <c r="D70" s="7"/>
      <c r="E70" s="7"/>
      <c r="F70" s="7"/>
      <c r="G70" s="7"/>
      <c r="H70" s="7"/>
      <c r="I70" s="7"/>
    </row>
    <row r="71" spans="1:9" x14ac:dyDescent="0.2">
      <c r="A71" s="7"/>
      <c r="B71" s="7"/>
      <c r="C71" s="7"/>
      <c r="D71" s="7"/>
      <c r="E71" s="7"/>
      <c r="F71" s="7"/>
      <c r="G71" s="7"/>
      <c r="H71" s="7"/>
      <c r="I71" s="7"/>
    </row>
    <row r="72" spans="1:9" x14ac:dyDescent="0.2">
      <c r="A72" s="7"/>
      <c r="B72" s="7"/>
      <c r="C72" s="7"/>
      <c r="D72" s="7"/>
      <c r="E72" s="7"/>
      <c r="F72" s="7"/>
      <c r="G72" s="7"/>
      <c r="H72" s="7"/>
      <c r="I72" s="7"/>
    </row>
    <row r="73" spans="1:9" x14ac:dyDescent="0.2">
      <c r="A73" s="7"/>
      <c r="B73" s="7"/>
      <c r="C73" s="7"/>
      <c r="D73" s="7"/>
      <c r="E73" s="7"/>
      <c r="F73" s="7"/>
      <c r="G73" s="7"/>
      <c r="H73" s="7"/>
      <c r="I73" s="7"/>
    </row>
    <row r="74" spans="1:9" x14ac:dyDescent="0.2">
      <c r="A74" s="7"/>
      <c r="B74" s="7"/>
      <c r="C74" s="7"/>
      <c r="D74" s="7"/>
      <c r="E74" s="7"/>
      <c r="F74" s="7"/>
      <c r="G74" s="7"/>
      <c r="H74" s="7"/>
      <c r="I74" s="7"/>
    </row>
    <row r="75" spans="1:9" x14ac:dyDescent="0.2">
      <c r="A75" s="7"/>
      <c r="B75" s="7"/>
      <c r="C75" s="7"/>
      <c r="D75" s="7"/>
      <c r="E75" s="7"/>
      <c r="F75" s="7"/>
      <c r="G75" s="7"/>
      <c r="H75" s="7"/>
      <c r="I75" s="7"/>
    </row>
    <row r="76" spans="1:9" x14ac:dyDescent="0.2">
      <c r="A76" s="7"/>
      <c r="B76" s="7"/>
      <c r="C76" s="7"/>
      <c r="D76" s="7"/>
      <c r="E76" s="7"/>
      <c r="F76" s="7"/>
      <c r="G76" s="7"/>
      <c r="H76" s="7"/>
      <c r="I76" s="7"/>
    </row>
    <row r="77" spans="1:9" x14ac:dyDescent="0.2">
      <c r="A77" s="7"/>
      <c r="B77" s="7"/>
      <c r="C77" s="7"/>
      <c r="D77" s="7"/>
      <c r="E77" s="7"/>
      <c r="F77" s="7"/>
      <c r="G77" s="7"/>
      <c r="H77" s="7"/>
      <c r="I77" s="7"/>
    </row>
    <row r="78" spans="1:9" x14ac:dyDescent="0.2">
      <c r="A78" s="7"/>
      <c r="B78" s="7"/>
      <c r="C78" s="7"/>
      <c r="D78" s="7"/>
      <c r="E78" s="7"/>
      <c r="F78" s="7"/>
      <c r="G78" s="7"/>
      <c r="H78" s="7"/>
      <c r="I78" s="7"/>
    </row>
    <row r="79" spans="1:9" x14ac:dyDescent="0.2">
      <c r="A79" s="7"/>
      <c r="B79" s="7"/>
      <c r="C79" s="7"/>
      <c r="D79" s="7"/>
      <c r="E79" s="7"/>
      <c r="F79" s="7"/>
      <c r="G79" s="7"/>
      <c r="H79" s="7"/>
      <c r="I79" s="7"/>
    </row>
    <row r="80" spans="1:9" x14ac:dyDescent="0.2">
      <c r="A80" s="7"/>
      <c r="B80" s="7"/>
      <c r="C80" s="7"/>
      <c r="D80" s="7"/>
      <c r="E80" s="7"/>
      <c r="F80" s="7"/>
      <c r="G80" s="7"/>
      <c r="H80" s="7"/>
      <c r="I80" s="7"/>
    </row>
    <row r="81" spans="1:9" x14ac:dyDescent="0.2">
      <c r="A81" s="7"/>
      <c r="B81" s="7"/>
      <c r="C81" s="7"/>
      <c r="D81" s="7"/>
      <c r="E81" s="7"/>
      <c r="F81" s="7"/>
      <c r="G81" s="7"/>
      <c r="H81" s="7"/>
      <c r="I81" s="7"/>
    </row>
    <row r="82" spans="1:9" x14ac:dyDescent="0.2">
      <c r="A82" s="7"/>
      <c r="B82" s="7"/>
      <c r="C82" s="7"/>
      <c r="D82" s="7"/>
      <c r="E82" s="7"/>
      <c r="F82" s="7"/>
      <c r="G82" s="7"/>
      <c r="H82" s="7"/>
      <c r="I82" s="7"/>
    </row>
    <row r="83" spans="1:9" x14ac:dyDescent="0.2">
      <c r="A83" s="7"/>
      <c r="B83" s="7"/>
      <c r="C83" s="7"/>
      <c r="D83" s="7"/>
      <c r="E83" s="7"/>
      <c r="F83" s="7"/>
      <c r="G83" s="7"/>
      <c r="H83" s="7"/>
      <c r="I83" s="7"/>
    </row>
    <row r="84" spans="1:9" x14ac:dyDescent="0.2">
      <c r="A84" s="7"/>
      <c r="B84" s="7"/>
      <c r="C84" s="7"/>
      <c r="D84" s="7"/>
      <c r="E84" s="7"/>
      <c r="F84" s="7"/>
      <c r="G84" s="7"/>
      <c r="H84" s="7"/>
      <c r="I84" s="7"/>
    </row>
    <row r="85" spans="1:9" x14ac:dyDescent="0.2">
      <c r="A85" s="7"/>
      <c r="B85" s="7"/>
      <c r="C85" s="7"/>
      <c r="D85" s="7"/>
      <c r="E85" s="7"/>
      <c r="F85" s="7"/>
      <c r="G85" s="7"/>
      <c r="H85" s="7"/>
      <c r="I85" s="7"/>
    </row>
    <row r="86" spans="1:9" x14ac:dyDescent="0.2">
      <c r="A86" s="7"/>
      <c r="B86" s="7"/>
      <c r="C86" s="7"/>
      <c r="D86" s="7"/>
      <c r="E86" s="7"/>
      <c r="F86" s="7"/>
      <c r="G86" s="7"/>
      <c r="H86" s="7"/>
      <c r="I86" s="7"/>
    </row>
    <row r="87" spans="1:9" x14ac:dyDescent="0.2">
      <c r="A87" s="7"/>
      <c r="B87" s="7"/>
      <c r="C87" s="7"/>
      <c r="D87" s="7"/>
      <c r="E87" s="7"/>
      <c r="F87" s="7"/>
      <c r="G87" s="7"/>
      <c r="H87" s="7"/>
      <c r="I87" s="7"/>
    </row>
    <row r="88" spans="1:9" x14ac:dyDescent="0.2">
      <c r="A88" s="7"/>
      <c r="B88" s="7"/>
      <c r="C88" s="7"/>
      <c r="D88" s="7"/>
      <c r="E88" s="7"/>
      <c r="F88" s="7"/>
      <c r="G88" s="7"/>
      <c r="H88" s="7"/>
      <c r="I88" s="7"/>
    </row>
    <row r="89" spans="1:9" x14ac:dyDescent="0.2">
      <c r="A89" s="7"/>
      <c r="B89" s="7"/>
      <c r="C89" s="7"/>
      <c r="D89" s="7"/>
      <c r="E89" s="7"/>
      <c r="F89" s="7"/>
      <c r="G89" s="7"/>
      <c r="H89" s="7"/>
      <c r="I89" s="7"/>
    </row>
    <row r="90" spans="1:9" x14ac:dyDescent="0.2">
      <c r="A90" s="7"/>
      <c r="B90" s="7"/>
      <c r="C90" s="7"/>
      <c r="D90" s="7"/>
      <c r="E90" s="7"/>
      <c r="F90" s="7"/>
      <c r="G90" s="7"/>
      <c r="H90" s="7"/>
      <c r="I90" s="7"/>
    </row>
    <row r="91" spans="1:9" x14ac:dyDescent="0.2">
      <c r="A91" s="7"/>
      <c r="B91" s="7"/>
      <c r="C91" s="7"/>
      <c r="D91" s="7"/>
      <c r="E91" s="7"/>
      <c r="F91" s="7"/>
      <c r="G91" s="7"/>
      <c r="H91" s="7"/>
      <c r="I91" s="7"/>
    </row>
    <row r="92" spans="1:9" x14ac:dyDescent="0.2">
      <c r="A92" s="7"/>
      <c r="B92" s="7"/>
      <c r="C92" s="7"/>
      <c r="D92" s="7"/>
      <c r="E92" s="7"/>
      <c r="F92" s="7"/>
      <c r="G92" s="7"/>
      <c r="H92" s="7"/>
      <c r="I92" s="7"/>
    </row>
    <row r="93" spans="1:9" x14ac:dyDescent="0.2">
      <c r="A93" s="7"/>
      <c r="B93" s="7"/>
      <c r="C93" s="7"/>
      <c r="D93" s="7"/>
      <c r="E93" s="7"/>
      <c r="F93" s="7"/>
      <c r="G93" s="7"/>
      <c r="H93" s="7"/>
      <c r="I93" s="7"/>
    </row>
    <row r="94" spans="1:9" x14ac:dyDescent="0.2">
      <c r="A94" s="7"/>
      <c r="B94" s="7"/>
      <c r="C94" s="7"/>
      <c r="D94" s="7"/>
      <c r="E94" s="7"/>
      <c r="F94" s="7"/>
      <c r="G94" s="7"/>
      <c r="H94" s="7"/>
      <c r="I94" s="7"/>
    </row>
    <row r="95" spans="1:9" x14ac:dyDescent="0.2">
      <c r="A95" s="7"/>
      <c r="B95" s="7"/>
      <c r="C95" s="7"/>
      <c r="D95" s="7"/>
      <c r="E95" s="7"/>
      <c r="F95" s="7"/>
      <c r="G95" s="7"/>
      <c r="H95" s="7"/>
      <c r="I95" s="7"/>
    </row>
    <row r="96" spans="1:9" x14ac:dyDescent="0.2">
      <c r="A96" s="7"/>
      <c r="B96" s="7"/>
      <c r="C96" s="7"/>
      <c r="D96" s="7"/>
      <c r="E96" s="7"/>
      <c r="F96" s="7"/>
      <c r="G96" s="7"/>
      <c r="H96" s="7"/>
      <c r="I96" s="7"/>
    </row>
    <row r="97" spans="1:9" x14ac:dyDescent="0.2">
      <c r="A97" s="7"/>
      <c r="B97" s="7"/>
      <c r="C97" s="7"/>
      <c r="D97" s="7"/>
      <c r="E97" s="7"/>
      <c r="F97" s="7"/>
      <c r="G97" s="7"/>
      <c r="H97" s="7"/>
      <c r="I97" s="7"/>
    </row>
    <row r="98" spans="1:9" x14ac:dyDescent="0.2">
      <c r="A98" s="7"/>
      <c r="B98" s="7"/>
      <c r="C98" s="7"/>
      <c r="D98" s="7"/>
      <c r="E98" s="7"/>
      <c r="F98" s="7"/>
      <c r="G98" s="7"/>
      <c r="H98" s="7"/>
      <c r="I98" s="7"/>
    </row>
    <row r="99" spans="1:9" x14ac:dyDescent="0.2">
      <c r="A99" s="7"/>
      <c r="B99" s="7"/>
      <c r="C99" s="7"/>
      <c r="D99" s="7"/>
      <c r="E99" s="7"/>
      <c r="F99" s="7"/>
      <c r="G99" s="7"/>
      <c r="H99" s="7"/>
      <c r="I99" s="7"/>
    </row>
    <row r="100" spans="1:9" x14ac:dyDescent="0.2">
      <c r="A100" s="7"/>
      <c r="B100" s="7"/>
      <c r="C100" s="7"/>
      <c r="D100" s="7"/>
      <c r="E100" s="7"/>
      <c r="F100" s="7"/>
      <c r="G100" s="7"/>
      <c r="H100" s="7"/>
      <c r="I100" s="7"/>
    </row>
    <row r="101" spans="1:9" x14ac:dyDescent="0.2">
      <c r="A101" s="7"/>
      <c r="B101" s="7"/>
      <c r="C101" s="7"/>
      <c r="D101" s="7"/>
      <c r="E101" s="7"/>
      <c r="F101" s="7"/>
      <c r="G101" s="7"/>
      <c r="H101" s="7"/>
      <c r="I101" s="7"/>
    </row>
    <row r="102" spans="1:9" x14ac:dyDescent="0.2">
      <c r="A102" s="7"/>
      <c r="B102" s="7"/>
      <c r="C102" s="7"/>
      <c r="D102" s="7"/>
      <c r="E102" s="7"/>
      <c r="F102" s="7"/>
      <c r="G102" s="7"/>
      <c r="H102" s="7"/>
      <c r="I102" s="7"/>
    </row>
    <row r="103" spans="1:9" x14ac:dyDescent="0.2">
      <c r="A103" s="11" t="s">
        <v>1</v>
      </c>
      <c r="B103" s="12"/>
      <c r="C103" s="12"/>
      <c r="D103" s="13"/>
      <c r="E103" s="8"/>
      <c r="F103" s="8"/>
      <c r="G103" s="8"/>
      <c r="H103" s="8"/>
      <c r="I103" s="1"/>
    </row>
    <row r="104" spans="1:9" x14ac:dyDescent="0.2">
      <c r="A104" s="14" t="s">
        <v>15</v>
      </c>
      <c r="B104" s="15"/>
      <c r="C104" s="15"/>
      <c r="D104" s="16"/>
      <c r="E104" s="8"/>
      <c r="F104" s="8"/>
      <c r="G104" s="8"/>
      <c r="H104" s="8"/>
      <c r="I104" s="1"/>
    </row>
    <row r="105" spans="1:9" x14ac:dyDescent="0.2">
      <c r="A105" s="17" t="s">
        <v>62</v>
      </c>
      <c r="B105" s="18"/>
      <c r="C105" s="18"/>
      <c r="D105" s="19"/>
      <c r="E105" s="8"/>
      <c r="F105" s="8"/>
      <c r="G105" s="8"/>
      <c r="H105" s="8"/>
      <c r="I105" s="1"/>
    </row>
    <row r="106" spans="1:9" x14ac:dyDescent="0.2">
      <c r="A106" s="20"/>
      <c r="B106" s="21"/>
      <c r="C106" s="22"/>
      <c r="D106" s="23"/>
      <c r="E106" s="8"/>
      <c r="F106" s="8" t="s">
        <v>34</v>
      </c>
      <c r="G106" s="8"/>
      <c r="H106" s="8"/>
      <c r="I106" s="1"/>
    </row>
    <row r="107" spans="1:9" ht="15.75" x14ac:dyDescent="0.25">
      <c r="A107" s="24" t="s">
        <v>2</v>
      </c>
      <c r="B107" s="25" t="str">
        <f>[1]Charters!B112</f>
        <v>Mountain West Montessori Acad</v>
      </c>
      <c r="C107" s="26"/>
      <c r="D107" s="27"/>
      <c r="E107" s="8"/>
      <c r="F107" s="8"/>
      <c r="G107" s="8"/>
      <c r="H107" s="8"/>
      <c r="I107" s="1"/>
    </row>
    <row r="108" spans="1:9" x14ac:dyDescent="0.2">
      <c r="A108" s="24"/>
      <c r="B108" s="28"/>
      <c r="C108" s="26"/>
      <c r="D108" s="27"/>
      <c r="E108" s="8"/>
      <c r="F108" s="8"/>
      <c r="G108" s="8"/>
      <c r="H108" s="8"/>
      <c r="I108" s="1"/>
    </row>
    <row r="109" spans="1:9" x14ac:dyDescent="0.2">
      <c r="A109" s="29" t="s">
        <v>0</v>
      </c>
      <c r="B109" s="30">
        <f>[1]Charters!$E$6</f>
        <v>3184</v>
      </c>
      <c r="C109" s="26"/>
      <c r="D109" s="31"/>
      <c r="E109" s="8"/>
      <c r="F109" s="8"/>
      <c r="G109" s="8"/>
      <c r="H109" s="8"/>
      <c r="I109" s="1"/>
    </row>
    <row r="110" spans="1:9" x14ac:dyDescent="0.2">
      <c r="A110" s="32"/>
      <c r="B110" s="6"/>
      <c r="C110" s="33"/>
      <c r="D110" s="34" t="s">
        <v>3</v>
      </c>
      <c r="E110" s="8"/>
      <c r="F110" s="8"/>
      <c r="G110" s="8"/>
      <c r="H110" s="8"/>
      <c r="I110" s="1"/>
    </row>
    <row r="111" spans="1:9" x14ac:dyDescent="0.2">
      <c r="A111" s="29" t="s">
        <v>19</v>
      </c>
      <c r="B111" s="35" t="str">
        <f>[1]Charters!A112</f>
        <v>5J</v>
      </c>
      <c r="C111" s="36" t="s">
        <v>4</v>
      </c>
      <c r="D111" s="37" t="s">
        <v>5</v>
      </c>
      <c r="E111" s="8"/>
      <c r="F111" s="8"/>
      <c r="G111" s="8"/>
      <c r="H111" s="8"/>
      <c r="I111" s="1"/>
    </row>
    <row r="112" spans="1:9" x14ac:dyDescent="0.2">
      <c r="A112" s="38" t="s">
        <v>6</v>
      </c>
      <c r="B112" s="39"/>
      <c r="C112" s="40"/>
      <c r="D112" s="41"/>
      <c r="E112" s="8"/>
      <c r="F112" s="8"/>
      <c r="G112" s="8"/>
      <c r="H112" s="8"/>
      <c r="I112" s="1"/>
    </row>
    <row r="113" spans="1:9" x14ac:dyDescent="0.2">
      <c r="A113" s="38" t="s">
        <v>7</v>
      </c>
      <c r="B113" s="39"/>
      <c r="C113" s="40"/>
      <c r="D113" s="41"/>
      <c r="E113" s="8"/>
      <c r="F113" s="42" t="s">
        <v>23</v>
      </c>
      <c r="G113" s="8"/>
      <c r="H113" s="42" t="s">
        <v>26</v>
      </c>
      <c r="I113" s="1"/>
    </row>
    <row r="114" spans="1:9" x14ac:dyDescent="0.2">
      <c r="A114" s="20" t="s">
        <v>8</v>
      </c>
      <c r="B114" s="43"/>
      <c r="C114" s="44">
        <f>[1]Charters!C572</f>
        <v>429.15300000000002</v>
      </c>
      <c r="D114" s="45">
        <f>[1]Charters!E572</f>
        <v>1366422.62</v>
      </c>
      <c r="E114" s="8"/>
      <c r="F114" s="42">
        <f>[1]Charters!E728</f>
        <v>1426203.61</v>
      </c>
      <c r="G114" s="8"/>
      <c r="H114" s="42">
        <f>[2]Charters!E266</f>
        <v>1727056.46</v>
      </c>
      <c r="I114" s="1"/>
    </row>
    <row r="115" spans="1:9" x14ac:dyDescent="0.2">
      <c r="A115" s="20" t="s">
        <v>14</v>
      </c>
      <c r="B115" s="43"/>
      <c r="C115" s="44">
        <f>[1]Charters!F572</f>
        <v>18.774999999999999</v>
      </c>
      <c r="D115" s="45">
        <f>[1]Charters!H572</f>
        <v>59780.99</v>
      </c>
      <c r="E115" s="8"/>
      <c r="F115" s="42">
        <f>SUM(D114:D116)</f>
        <v>1426203.61</v>
      </c>
      <c r="G115" s="8"/>
      <c r="H115" s="42">
        <f>D127</f>
        <v>1727056.46</v>
      </c>
      <c r="I115" s="1"/>
    </row>
    <row r="116" spans="1:9" x14ac:dyDescent="0.2">
      <c r="A116" s="20" t="s">
        <v>32</v>
      </c>
      <c r="B116" s="43"/>
      <c r="C116" s="44">
        <f>[1]Charters!C265</f>
        <v>0</v>
      </c>
      <c r="D116" s="45">
        <f>[1]Charters!E265</f>
        <v>0</v>
      </c>
      <c r="E116" s="8"/>
      <c r="F116" s="42">
        <f>+F114-F115</f>
        <v>0</v>
      </c>
      <c r="G116" s="8"/>
      <c r="H116" s="42">
        <f>+H114-H115</f>
        <v>0</v>
      </c>
      <c r="I116" s="1"/>
    </row>
    <row r="117" spans="1:9" x14ac:dyDescent="0.2">
      <c r="A117" s="38" t="s">
        <v>9</v>
      </c>
      <c r="B117" s="39"/>
      <c r="C117" s="46"/>
      <c r="D117" s="47"/>
      <c r="E117" s="8"/>
      <c r="F117" s="8"/>
      <c r="G117" s="8"/>
      <c r="H117" s="8"/>
      <c r="I117" s="1"/>
    </row>
    <row r="118" spans="1:9" x14ac:dyDescent="0.2">
      <c r="A118" s="20" t="s">
        <v>10</v>
      </c>
      <c r="B118" s="43"/>
      <c r="C118" s="40">
        <f>[3]Charters!C111</f>
        <v>46.055999999999997</v>
      </c>
      <c r="D118" s="41">
        <f>[3]Charters!E111</f>
        <v>146642.71</v>
      </c>
      <c r="E118" s="8"/>
      <c r="F118" s="42" t="s">
        <v>24</v>
      </c>
      <c r="G118" s="8"/>
      <c r="H118" s="8"/>
      <c r="I118" s="1"/>
    </row>
    <row r="119" spans="1:9" x14ac:dyDescent="0.2">
      <c r="A119" s="48" t="s">
        <v>11</v>
      </c>
      <c r="B119" s="43"/>
      <c r="C119" s="40">
        <f>[3]Charters!F111</f>
        <v>2.65</v>
      </c>
      <c r="D119" s="49">
        <f>[3]Charters!H111</f>
        <v>8437.6</v>
      </c>
      <c r="E119" s="8"/>
      <c r="F119" s="42">
        <f>[3]Charters!N424</f>
        <v>162439.51999999999</v>
      </c>
      <c r="G119" s="8"/>
      <c r="H119" s="8"/>
      <c r="I119" s="1"/>
    </row>
    <row r="120" spans="1:9" x14ac:dyDescent="0.2">
      <c r="A120" s="48" t="s">
        <v>12</v>
      </c>
      <c r="B120" s="43"/>
      <c r="C120" s="40">
        <f>[3]Charters!C266</f>
        <v>0</v>
      </c>
      <c r="D120" s="41">
        <f>[3]Charters!E266</f>
        <v>0</v>
      </c>
      <c r="E120" s="8"/>
      <c r="F120" s="42">
        <f>SUM(D118:D124)</f>
        <v>162439.51999999999</v>
      </c>
      <c r="G120" s="8"/>
      <c r="H120" s="8"/>
      <c r="I120" s="1"/>
    </row>
    <row r="121" spans="1:9" x14ac:dyDescent="0.2">
      <c r="A121" s="20" t="s">
        <v>13</v>
      </c>
      <c r="B121" s="43"/>
      <c r="C121" s="40">
        <f>[3]Charters!F266</f>
        <v>0.70899999999999996</v>
      </c>
      <c r="D121" s="41">
        <f>[3]Charters!H266</f>
        <v>2259</v>
      </c>
      <c r="E121" s="8"/>
      <c r="F121" s="42">
        <f>+F119-F120</f>
        <v>0</v>
      </c>
      <c r="G121" s="8"/>
      <c r="H121" s="8"/>
      <c r="I121" s="1"/>
    </row>
    <row r="122" spans="1:9" x14ac:dyDescent="0.2">
      <c r="A122" s="48" t="s">
        <v>54</v>
      </c>
      <c r="B122" s="43"/>
      <c r="C122" s="40">
        <f>[3]Charters!C424</f>
        <v>1.6020000000000001</v>
      </c>
      <c r="D122" s="41">
        <f>[3]Charters!E424</f>
        <v>5100.21</v>
      </c>
      <c r="E122" s="8"/>
      <c r="F122" s="8"/>
      <c r="G122" s="8"/>
      <c r="H122" s="8"/>
      <c r="I122" s="1"/>
    </row>
    <row r="123" spans="1:9" x14ac:dyDescent="0.2">
      <c r="A123" s="48" t="s">
        <v>55</v>
      </c>
      <c r="B123" s="43"/>
      <c r="C123" s="40">
        <f>[3]Charters!F424</f>
        <v>0</v>
      </c>
      <c r="D123" s="41">
        <f>[3]Charters!H424</f>
        <v>0</v>
      </c>
      <c r="E123" s="8"/>
      <c r="F123" s="42" t="s">
        <v>25</v>
      </c>
      <c r="G123" s="8"/>
      <c r="H123" s="8"/>
      <c r="I123" s="1"/>
    </row>
    <row r="124" spans="1:9" x14ac:dyDescent="0.2">
      <c r="A124" s="48" t="s">
        <v>56</v>
      </c>
      <c r="B124" s="43"/>
      <c r="C124" s="40">
        <f>[3]Charters!I424</f>
        <v>0</v>
      </c>
      <c r="D124" s="41">
        <f>[3]Charters!K424</f>
        <v>0</v>
      </c>
      <c r="E124" s="8"/>
      <c r="F124" s="42">
        <f>[2]Charters!H112</f>
        <v>300852.84999999998</v>
      </c>
      <c r="G124" s="8"/>
      <c r="H124" s="8"/>
      <c r="I124" s="1"/>
    </row>
    <row r="125" spans="1:9" x14ac:dyDescent="0.2">
      <c r="A125" s="20" t="s">
        <v>49</v>
      </c>
      <c r="B125" s="43"/>
      <c r="C125" s="40">
        <f>[3]Charters!C579</f>
        <v>1.4690000000000001</v>
      </c>
      <c r="D125" s="41">
        <f>[3]Charters!E579</f>
        <v>4677.82</v>
      </c>
      <c r="E125" s="8"/>
      <c r="F125" s="42">
        <f>SUM(D118:D126)</f>
        <v>300852.84999999998</v>
      </c>
      <c r="G125" s="8"/>
      <c r="H125" s="8"/>
      <c r="I125" s="1"/>
    </row>
    <row r="126" spans="1:9" x14ac:dyDescent="0.2">
      <c r="A126" s="20" t="s">
        <v>50</v>
      </c>
      <c r="B126" s="43"/>
      <c r="C126" s="40">
        <f>[2]Charters!C112</f>
        <v>42.002000000000002</v>
      </c>
      <c r="D126" s="41">
        <f>[2]Charters!E112</f>
        <v>133735.51</v>
      </c>
      <c r="E126" s="8"/>
      <c r="F126" s="42">
        <f>+F124-F125</f>
        <v>0</v>
      </c>
      <c r="G126" s="8"/>
      <c r="H126" s="8"/>
      <c r="I126" s="1"/>
    </row>
    <row r="127" spans="1:9" x14ac:dyDescent="0.2">
      <c r="A127" s="50"/>
      <c r="B127" s="51" t="s">
        <v>16</v>
      </c>
      <c r="C127" s="52">
        <f>SUM(C114:C126)</f>
        <v>542.41600000000005</v>
      </c>
      <c r="D127" s="53">
        <f>SUM(D114:D126)</f>
        <v>1727056.46</v>
      </c>
      <c r="E127" s="8"/>
      <c r="F127" s="8"/>
      <c r="G127" s="8"/>
      <c r="H127" s="8"/>
      <c r="I127" s="1"/>
    </row>
    <row r="128" spans="1:9" x14ac:dyDescent="0.2">
      <c r="A128" s="54" t="s">
        <v>17</v>
      </c>
      <c r="B128" s="39"/>
      <c r="C128" s="55"/>
      <c r="D128" s="47"/>
      <c r="E128" s="8"/>
      <c r="F128" s="8"/>
      <c r="G128" s="8"/>
      <c r="H128" s="42" t="s">
        <v>29</v>
      </c>
      <c r="I128" s="1"/>
    </row>
    <row r="129" spans="1:9" x14ac:dyDescent="0.2">
      <c r="A129" s="20" t="s">
        <v>33</v>
      </c>
      <c r="B129" s="43"/>
      <c r="C129" s="56"/>
      <c r="D129" s="57">
        <f>[4]Charters!C113</f>
        <v>5005.82</v>
      </c>
      <c r="E129" s="8"/>
      <c r="F129" s="8"/>
      <c r="G129" s="8"/>
      <c r="H129" s="42">
        <f>[4]Charters!F1052</f>
        <v>2960631.6</v>
      </c>
      <c r="I129" s="1"/>
    </row>
    <row r="130" spans="1:9" x14ac:dyDescent="0.2">
      <c r="A130" s="58" t="s">
        <v>35</v>
      </c>
      <c r="B130" s="43"/>
      <c r="C130" s="56"/>
      <c r="D130" s="41">
        <f>+[4]Charters!F434</f>
        <v>2065.5100000000002</v>
      </c>
      <c r="E130" s="8"/>
      <c r="F130" s="8"/>
      <c r="G130" s="8"/>
      <c r="H130" s="42">
        <f>SUM(D127:D146)</f>
        <v>2960631.6</v>
      </c>
      <c r="I130" s="1"/>
    </row>
    <row r="131" spans="1:9" x14ac:dyDescent="0.2">
      <c r="A131" s="59" t="s">
        <v>36</v>
      </c>
      <c r="B131" s="43"/>
      <c r="C131" s="56"/>
      <c r="D131" s="41">
        <f>[4]Charters!E273</f>
        <v>19084</v>
      </c>
      <c r="E131" s="8"/>
      <c r="F131" s="8"/>
      <c r="G131" s="8"/>
      <c r="H131" s="42">
        <f>+H129-H130</f>
        <v>0</v>
      </c>
      <c r="I131" s="1"/>
    </row>
    <row r="132" spans="1:9" x14ac:dyDescent="0.2">
      <c r="A132" s="59" t="s">
        <v>52</v>
      </c>
      <c r="B132" s="43"/>
      <c r="C132" s="56"/>
      <c r="D132" s="41">
        <f>[4]Charters!G434</f>
        <v>0</v>
      </c>
      <c r="E132" s="8"/>
      <c r="F132" s="42" t="s">
        <v>27</v>
      </c>
      <c r="G132" s="8"/>
      <c r="H132" s="42"/>
      <c r="I132" s="1"/>
    </row>
    <row r="133" spans="1:9" x14ac:dyDescent="0.2">
      <c r="A133" s="20" t="s">
        <v>37</v>
      </c>
      <c r="B133" s="43"/>
      <c r="C133" s="56"/>
      <c r="D133" s="41">
        <f>[4]Charters!E590</f>
        <v>35318</v>
      </c>
      <c r="E133" s="8"/>
      <c r="F133" s="42">
        <f>[4]Charters!E273</f>
        <v>19084</v>
      </c>
      <c r="G133" s="8"/>
      <c r="H133" s="8"/>
      <c r="I133" s="1"/>
    </row>
    <row r="134" spans="1:9" x14ac:dyDescent="0.2">
      <c r="A134" s="20" t="s">
        <v>38</v>
      </c>
      <c r="B134" s="43"/>
      <c r="C134" s="56"/>
      <c r="D134" s="41">
        <f>[4]Charters!F590</f>
        <v>0</v>
      </c>
      <c r="E134" s="8"/>
      <c r="F134" s="42">
        <f>SUM(D131:D131)</f>
        <v>19084</v>
      </c>
      <c r="G134" s="8"/>
      <c r="H134" s="8"/>
      <c r="I134" s="1"/>
    </row>
    <row r="135" spans="1:9" x14ac:dyDescent="0.2">
      <c r="A135" s="59" t="s">
        <v>40</v>
      </c>
      <c r="B135" s="43"/>
      <c r="C135" s="56"/>
      <c r="D135" s="41">
        <f>[4]Charters!G590</f>
        <v>0</v>
      </c>
      <c r="E135" s="8"/>
      <c r="F135" s="42">
        <f>+F133-F134</f>
        <v>0</v>
      </c>
      <c r="G135" s="8"/>
      <c r="H135" s="8"/>
      <c r="I135" s="1"/>
    </row>
    <row r="136" spans="1:9" x14ac:dyDescent="0.2">
      <c r="A136" s="20" t="s">
        <v>41</v>
      </c>
      <c r="B136" s="43"/>
      <c r="C136" s="56"/>
      <c r="D136" s="41">
        <f>[4]Charters!C743</f>
        <v>982491</v>
      </c>
      <c r="E136" s="8"/>
      <c r="F136" s="42" t="s">
        <v>28</v>
      </c>
      <c r="G136" s="8"/>
      <c r="H136" s="8"/>
      <c r="I136" s="1"/>
    </row>
    <row r="137" spans="1:9" x14ac:dyDescent="0.2">
      <c r="A137" s="20" t="s">
        <v>42</v>
      </c>
      <c r="B137" s="43"/>
      <c r="C137" s="56"/>
      <c r="D137" s="41">
        <f>[4]Charters!D743</f>
        <v>124274.23</v>
      </c>
      <c r="E137" s="8"/>
      <c r="F137" s="42">
        <f>[4]Charters!D590</f>
        <v>21149.51</v>
      </c>
      <c r="G137" s="8"/>
      <c r="H137" s="8"/>
      <c r="I137" s="1"/>
    </row>
    <row r="138" spans="1:9" x14ac:dyDescent="0.2">
      <c r="A138" s="20" t="s">
        <v>44</v>
      </c>
      <c r="B138" s="43"/>
      <c r="C138" s="56"/>
      <c r="D138" s="41">
        <f>[4]Charters!E743</f>
        <v>49100</v>
      </c>
      <c r="E138" s="8"/>
      <c r="F138" s="42">
        <f>SUM(D130:D132)</f>
        <v>21149.51</v>
      </c>
      <c r="G138" s="8"/>
      <c r="H138" s="8"/>
      <c r="I138" s="1"/>
    </row>
    <row r="139" spans="1:9" x14ac:dyDescent="0.2">
      <c r="A139" s="59" t="s">
        <v>43</v>
      </c>
      <c r="B139" s="43"/>
      <c r="C139" s="56"/>
      <c r="D139" s="41">
        <f>[4]Charters!F743</f>
        <v>12824.37</v>
      </c>
      <c r="E139" s="8"/>
      <c r="F139" s="42">
        <f>+F137-F138</f>
        <v>0</v>
      </c>
      <c r="G139" s="8"/>
      <c r="H139" s="8"/>
      <c r="I139" s="1"/>
    </row>
    <row r="140" spans="1:9" x14ac:dyDescent="0.2">
      <c r="A140" s="59" t="s">
        <v>45</v>
      </c>
      <c r="B140" s="43"/>
      <c r="C140" s="56"/>
      <c r="D140" s="41">
        <f>[4]Charters!C590</f>
        <v>0</v>
      </c>
      <c r="E140" s="8"/>
      <c r="F140" s="8"/>
      <c r="G140" s="8"/>
      <c r="H140" s="8"/>
      <c r="I140" s="1"/>
    </row>
    <row r="141" spans="1:9" x14ac:dyDescent="0.2">
      <c r="A141" s="59" t="s">
        <v>46</v>
      </c>
      <c r="B141" s="43"/>
      <c r="C141" s="56"/>
      <c r="D141" s="41">
        <f>[4]Charters!C899</f>
        <v>0</v>
      </c>
      <c r="E141" s="42"/>
      <c r="F141" s="42"/>
      <c r="G141" s="42"/>
      <c r="H141" s="42" t="s">
        <v>31</v>
      </c>
      <c r="I141" s="82"/>
    </row>
    <row r="142" spans="1:9" x14ac:dyDescent="0.2">
      <c r="A142" s="59" t="s">
        <v>51</v>
      </c>
      <c r="B142" s="43"/>
      <c r="C142" s="56"/>
      <c r="D142" s="60">
        <f>[4]Charters!D899</f>
        <v>703.34</v>
      </c>
      <c r="E142" s="42"/>
      <c r="F142" s="42"/>
      <c r="G142" s="42"/>
      <c r="H142" s="42">
        <f>[4]Charters!D1358</f>
        <v>2965091.52</v>
      </c>
      <c r="I142" s="82"/>
    </row>
    <row r="143" spans="1:9" x14ac:dyDescent="0.2">
      <c r="A143" s="20" t="s">
        <v>47</v>
      </c>
      <c r="B143" s="43"/>
      <c r="C143" s="56"/>
      <c r="D143" s="60">
        <f>[4]Charters!E899</f>
        <v>0</v>
      </c>
      <c r="E143" s="42"/>
      <c r="F143" s="42"/>
      <c r="G143" s="42"/>
      <c r="H143" s="42">
        <f>D152</f>
        <v>2965091.52</v>
      </c>
      <c r="I143" s="82"/>
    </row>
    <row r="144" spans="1:9" x14ac:dyDescent="0.2">
      <c r="A144" s="20" t="s">
        <v>57</v>
      </c>
      <c r="B144" s="43"/>
      <c r="C144" s="56"/>
      <c r="D144" s="60">
        <f>[4]Charters!C1052</f>
        <v>2708.87</v>
      </c>
      <c r="E144" s="42"/>
      <c r="F144" s="42"/>
      <c r="G144" s="42"/>
      <c r="H144" s="42">
        <f>+H142-H143</f>
        <v>0</v>
      </c>
      <c r="I144" s="82"/>
    </row>
    <row r="145" spans="1:9" x14ac:dyDescent="0.2">
      <c r="A145" s="59" t="s">
        <v>53</v>
      </c>
      <c r="B145" s="43"/>
      <c r="C145" s="56"/>
      <c r="D145" s="60">
        <f>[4]Charters!D1052</f>
        <v>0</v>
      </c>
      <c r="E145" s="42"/>
      <c r="F145" s="42" t="s">
        <v>30</v>
      </c>
      <c r="G145" s="42"/>
      <c r="H145" s="42"/>
      <c r="I145" s="82"/>
    </row>
    <row r="146" spans="1:9" x14ac:dyDescent="0.2">
      <c r="A146" s="59" t="s">
        <v>59</v>
      </c>
      <c r="B146" s="43"/>
      <c r="C146" s="56"/>
      <c r="D146" s="60">
        <f>[4]Charters!E1052</f>
        <v>0</v>
      </c>
      <c r="E146" s="42"/>
      <c r="F146" s="42"/>
      <c r="G146" s="42"/>
      <c r="H146" s="42"/>
      <c r="I146" s="82"/>
    </row>
    <row r="147" spans="1:9" x14ac:dyDescent="0.2">
      <c r="A147" s="38" t="s">
        <v>18</v>
      </c>
      <c r="B147" s="61"/>
      <c r="C147" s="62"/>
      <c r="D147" s="87"/>
      <c r="E147" s="42"/>
      <c r="F147" s="42">
        <f>[4]Charters!C1358</f>
        <v>4459.92</v>
      </c>
      <c r="G147" s="42"/>
      <c r="H147" s="42"/>
      <c r="I147" s="82"/>
    </row>
    <row r="148" spans="1:9" x14ac:dyDescent="0.2">
      <c r="A148" s="59" t="s">
        <v>39</v>
      </c>
      <c r="B148" s="43"/>
      <c r="C148" s="56"/>
      <c r="D148" s="41">
        <f>[4]Charters!C1205</f>
        <v>4459.92</v>
      </c>
      <c r="E148" s="42"/>
      <c r="F148" s="42">
        <f>SUM(D148:D151)</f>
        <v>4459.92</v>
      </c>
      <c r="G148" s="42"/>
      <c r="H148" s="42"/>
      <c r="I148" s="82"/>
    </row>
    <row r="149" spans="1:9" x14ac:dyDescent="0.2">
      <c r="A149" s="59" t="s">
        <v>48</v>
      </c>
      <c r="B149" s="43"/>
      <c r="C149" s="56"/>
      <c r="D149" s="41">
        <f>[4]Charters!D1205</f>
        <v>0</v>
      </c>
      <c r="E149" s="42"/>
      <c r="F149" s="42">
        <f>+F147-F148</f>
        <v>0</v>
      </c>
      <c r="G149" s="42"/>
      <c r="H149" s="42"/>
      <c r="I149" s="82"/>
    </row>
    <row r="150" spans="1:9" x14ac:dyDescent="0.2">
      <c r="A150" s="59" t="s">
        <v>60</v>
      </c>
      <c r="B150" s="43"/>
      <c r="C150" s="56"/>
      <c r="D150" s="41">
        <f>[4]Charters!E1205</f>
        <v>0</v>
      </c>
      <c r="E150" s="42"/>
      <c r="F150" s="42"/>
      <c r="G150" s="42"/>
      <c r="H150" s="42"/>
      <c r="I150" s="82"/>
    </row>
    <row r="151" spans="1:9" x14ac:dyDescent="0.2">
      <c r="A151" s="59" t="s">
        <v>61</v>
      </c>
      <c r="B151" s="43"/>
      <c r="C151" s="56"/>
      <c r="D151" s="41">
        <f>[4]Charters!F1205</f>
        <v>0</v>
      </c>
      <c r="E151" s="42"/>
      <c r="F151" s="42"/>
      <c r="G151" s="42"/>
      <c r="H151" s="42"/>
      <c r="I151" s="82"/>
    </row>
    <row r="152" spans="1:9" ht="13.5" thickBot="1" x14ac:dyDescent="0.25">
      <c r="A152" s="64"/>
      <c r="B152" s="65"/>
      <c r="C152" s="66"/>
      <c r="D152" s="67">
        <f>SUM(D127:D151)</f>
        <v>2965091.52</v>
      </c>
      <c r="E152" s="42"/>
      <c r="F152" s="42"/>
      <c r="G152" s="42"/>
      <c r="H152" s="42"/>
      <c r="I152" s="82"/>
    </row>
    <row r="153" spans="1:9" ht="13.5" thickTop="1" x14ac:dyDescent="0.2">
      <c r="A153" s="68"/>
      <c r="B153" s="43"/>
      <c r="C153" s="56"/>
      <c r="D153" s="86"/>
      <c r="E153" s="42"/>
      <c r="F153" s="42"/>
      <c r="G153" s="42"/>
      <c r="H153" s="42"/>
      <c r="I153" s="82"/>
    </row>
    <row r="154" spans="1:9" x14ac:dyDescent="0.2">
      <c r="A154" s="38" t="s">
        <v>20</v>
      </c>
      <c r="B154" s="39"/>
      <c r="C154" s="70"/>
      <c r="D154" s="71" t="s">
        <v>21</v>
      </c>
      <c r="E154" s="42"/>
      <c r="F154" s="42"/>
      <c r="G154" s="42"/>
      <c r="H154" s="42"/>
      <c r="I154" s="82"/>
    </row>
    <row r="155" spans="1:9" x14ac:dyDescent="0.2">
      <c r="A155" s="72" t="s">
        <v>22</v>
      </c>
      <c r="B155" s="73"/>
      <c r="C155" s="74"/>
      <c r="D155" s="41">
        <f>[5]Charters!C111</f>
        <v>1147.8</v>
      </c>
      <c r="E155" s="42"/>
      <c r="F155" s="42"/>
      <c r="G155" s="42"/>
      <c r="H155" s="42"/>
      <c r="I155" s="82"/>
    </row>
    <row r="156" spans="1:9" x14ac:dyDescent="0.2">
      <c r="A156" s="75"/>
      <c r="B156" s="61"/>
      <c r="C156" s="76"/>
      <c r="D156" s="77">
        <f>SUM(D155:D155)</f>
        <v>1147.8</v>
      </c>
      <c r="E156" s="42"/>
      <c r="F156" s="42"/>
      <c r="G156" s="42"/>
      <c r="H156" s="42"/>
      <c r="I156" s="82"/>
    </row>
    <row r="157" spans="1:9" x14ac:dyDescent="0.2">
      <c r="A157" s="78" t="s">
        <v>58</v>
      </c>
      <c r="B157" s="79"/>
      <c r="C157" s="80"/>
      <c r="D157" s="77">
        <f>D156+D152</f>
        <v>2966239.32</v>
      </c>
      <c r="E157" s="42"/>
      <c r="F157" s="42"/>
      <c r="G157" s="42"/>
      <c r="H157" s="42"/>
      <c r="I157" s="82"/>
    </row>
    <row r="158" spans="1:9" x14ac:dyDescent="0.2">
      <c r="A158" s="84"/>
      <c r="B158" s="84"/>
      <c r="C158" s="85"/>
      <c r="D158" s="81"/>
      <c r="E158" s="42"/>
      <c r="F158" s="42"/>
      <c r="G158" s="42"/>
      <c r="H158" s="42"/>
      <c r="I158" s="82"/>
    </row>
    <row r="159" spans="1:9" x14ac:dyDescent="0.2">
      <c r="A159" s="84"/>
      <c r="B159" s="84"/>
      <c r="C159" s="85"/>
      <c r="D159" s="81">
        <f>[5]Charters!E267</f>
        <v>2966239.32</v>
      </c>
      <c r="E159" s="42"/>
      <c r="F159" s="42"/>
      <c r="G159" s="42"/>
      <c r="H159" s="42"/>
      <c r="I159" s="82"/>
    </row>
    <row r="160" spans="1:9" x14ac:dyDescent="0.2">
      <c r="A160" s="84"/>
      <c r="B160" s="84"/>
      <c r="C160" s="85"/>
      <c r="D160" s="81">
        <f>D157</f>
        <v>2966239.32</v>
      </c>
      <c r="E160" s="42"/>
      <c r="F160" s="42"/>
      <c r="G160" s="42"/>
      <c r="H160" s="42"/>
      <c r="I160" s="82"/>
    </row>
    <row r="161" spans="1:9" x14ac:dyDescent="0.2">
      <c r="A161" s="82"/>
      <c r="B161" s="82"/>
      <c r="C161" s="83"/>
      <c r="D161" s="42">
        <f>D159-D160</f>
        <v>0</v>
      </c>
      <c r="E161" s="42"/>
      <c r="F161" s="42"/>
      <c r="G161" s="42"/>
      <c r="H161" s="42"/>
      <c r="I161" s="82"/>
    </row>
  </sheetData>
  <mergeCells count="4">
    <mergeCell ref="A103:D103"/>
    <mergeCell ref="A104:D104"/>
    <mergeCell ref="A105:D105"/>
    <mergeCell ref="A157:C157"/>
  </mergeCells>
  <printOptions horizontalCentered="1" verticalCentered="1"/>
  <pageMargins left="0.5" right="0.5" top="0.5" bottom="0.5" header="0.25" footer="0.25"/>
  <pageSetup orientation="portrait" r:id="rId1"/>
  <headerFooter alignWithMargins="0">
    <oddHeader>&amp;R&amp;8Current as of: &amp;D</oddHeader>
    <oddFooter>&amp;L&amp;8USOE, School Finance</oddFooter>
  </headerFooter>
  <picture r:id="rId2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F00-000000000000}">
  <sheetPr>
    <pageSetUpPr fitToPage="1"/>
  </sheetPr>
  <dimension ref="A1:I162"/>
  <sheetViews>
    <sheetView topLeftCell="A105" workbookViewId="0">
      <selection activeCell="C12" sqref="C12"/>
    </sheetView>
  </sheetViews>
  <sheetFormatPr defaultRowHeight="12.75" x14ac:dyDescent="0.2"/>
  <cols>
    <col min="1" max="1" width="32.5703125" style="89" customWidth="1"/>
    <col min="2" max="2" width="16.140625" style="89" customWidth="1"/>
    <col min="3" max="4" width="15" style="89" customWidth="1"/>
    <col min="5" max="5" width="9.140625" style="89"/>
    <col min="6" max="6" width="15.140625" style="89" customWidth="1"/>
    <col min="7" max="7" width="9.140625" style="89"/>
    <col min="8" max="8" width="16.140625" style="89" customWidth="1"/>
    <col min="9" max="16384" width="9.140625" style="89"/>
  </cols>
  <sheetData>
    <row r="1" spans="1:9" x14ac:dyDescent="0.2">
      <c r="A1" s="7"/>
      <c r="B1" s="7"/>
      <c r="C1" s="7"/>
      <c r="D1" s="7"/>
      <c r="E1" s="7"/>
      <c r="F1" s="7"/>
      <c r="G1" s="7"/>
      <c r="H1" s="7"/>
      <c r="I1" s="7"/>
    </row>
    <row r="2" spans="1:9" x14ac:dyDescent="0.2">
      <c r="A2" s="7"/>
      <c r="B2" s="7"/>
      <c r="C2" s="7"/>
      <c r="D2" s="7"/>
      <c r="E2" s="7"/>
      <c r="F2" s="7"/>
      <c r="G2" s="7"/>
      <c r="H2" s="7"/>
      <c r="I2" s="7"/>
    </row>
    <row r="3" spans="1:9" x14ac:dyDescent="0.2">
      <c r="A3" s="7"/>
      <c r="B3" s="7"/>
      <c r="C3" s="7"/>
      <c r="D3" s="7"/>
      <c r="E3" s="7"/>
      <c r="F3" s="7"/>
      <c r="G3" s="7"/>
      <c r="H3" s="7"/>
      <c r="I3" s="7"/>
    </row>
    <row r="4" spans="1:9" x14ac:dyDescent="0.2">
      <c r="A4" s="7"/>
      <c r="B4" s="7"/>
      <c r="C4" s="7"/>
      <c r="D4" s="7"/>
      <c r="E4" s="7"/>
      <c r="F4" s="7"/>
      <c r="G4" s="7"/>
      <c r="H4" s="7"/>
      <c r="I4" s="7"/>
    </row>
    <row r="5" spans="1:9" x14ac:dyDescent="0.2">
      <c r="A5" s="7"/>
      <c r="B5" s="7"/>
      <c r="C5" s="7"/>
      <c r="D5" s="7"/>
      <c r="E5" s="7"/>
      <c r="F5" s="7"/>
      <c r="G5" s="7"/>
      <c r="H5" s="7"/>
      <c r="I5" s="7"/>
    </row>
    <row r="6" spans="1:9" x14ac:dyDescent="0.2">
      <c r="A6" s="7"/>
      <c r="B6" s="7"/>
      <c r="C6" s="7"/>
      <c r="D6" s="7"/>
      <c r="E6" s="7"/>
      <c r="F6" s="7"/>
      <c r="G6" s="7"/>
      <c r="H6" s="7"/>
      <c r="I6" s="7"/>
    </row>
    <row r="7" spans="1:9" x14ac:dyDescent="0.2">
      <c r="A7" s="7"/>
      <c r="B7" s="7"/>
      <c r="C7" s="7"/>
      <c r="D7" s="7"/>
      <c r="E7" s="7"/>
      <c r="F7" s="7"/>
      <c r="G7" s="7"/>
      <c r="H7" s="7"/>
      <c r="I7" s="7"/>
    </row>
    <row r="8" spans="1:9" x14ac:dyDescent="0.2">
      <c r="A8" s="7"/>
      <c r="B8" s="7"/>
      <c r="C8" s="7"/>
      <c r="D8" s="7"/>
      <c r="E8" s="7"/>
      <c r="F8" s="7"/>
      <c r="G8" s="7"/>
      <c r="H8" s="7"/>
      <c r="I8" s="7"/>
    </row>
    <row r="9" spans="1:9" x14ac:dyDescent="0.2">
      <c r="A9" s="7"/>
      <c r="B9" s="7"/>
      <c r="C9" s="7"/>
      <c r="D9" s="7"/>
      <c r="E9" s="7"/>
      <c r="F9" s="7"/>
      <c r="G9" s="7"/>
      <c r="H9" s="7"/>
      <c r="I9" s="7"/>
    </row>
    <row r="10" spans="1:9" x14ac:dyDescent="0.2">
      <c r="A10" s="7"/>
      <c r="B10" s="7"/>
      <c r="C10" s="7"/>
      <c r="D10" s="7"/>
      <c r="E10" s="7"/>
      <c r="F10" s="7"/>
      <c r="G10" s="7"/>
      <c r="H10" s="7"/>
      <c r="I10" s="7"/>
    </row>
    <row r="11" spans="1:9" x14ac:dyDescent="0.2">
      <c r="A11" s="7"/>
      <c r="B11" s="7"/>
      <c r="C11" s="7"/>
      <c r="D11" s="7"/>
      <c r="E11" s="7"/>
      <c r="F11" s="7"/>
      <c r="G11" s="7"/>
      <c r="H11" s="7"/>
      <c r="I11" s="7"/>
    </row>
    <row r="12" spans="1:9" x14ac:dyDescent="0.2">
      <c r="A12" s="7"/>
      <c r="B12" s="7"/>
      <c r="C12" s="7"/>
      <c r="D12" s="7"/>
      <c r="E12" s="7"/>
      <c r="F12" s="7"/>
      <c r="G12" s="7"/>
      <c r="H12" s="7"/>
      <c r="I12" s="7"/>
    </row>
    <row r="13" spans="1:9" x14ac:dyDescent="0.2">
      <c r="A13" s="7"/>
      <c r="B13" s="7"/>
      <c r="C13" s="7"/>
      <c r="D13" s="7"/>
      <c r="E13" s="7"/>
      <c r="F13" s="7"/>
      <c r="G13" s="7"/>
      <c r="H13" s="7"/>
      <c r="I13" s="7"/>
    </row>
    <row r="14" spans="1:9" x14ac:dyDescent="0.2">
      <c r="A14" s="7"/>
      <c r="B14" s="7"/>
      <c r="C14" s="7"/>
      <c r="D14" s="7"/>
      <c r="E14" s="7"/>
      <c r="F14" s="7"/>
      <c r="G14" s="7"/>
      <c r="H14" s="7"/>
      <c r="I14" s="7"/>
    </row>
    <row r="15" spans="1:9" x14ac:dyDescent="0.2">
      <c r="A15" s="7"/>
      <c r="B15" s="7"/>
      <c r="C15" s="7"/>
      <c r="D15" s="7"/>
      <c r="E15" s="7"/>
      <c r="F15" s="7"/>
      <c r="G15" s="7"/>
      <c r="H15" s="7"/>
      <c r="I15" s="7"/>
    </row>
    <row r="16" spans="1:9" x14ac:dyDescent="0.2">
      <c r="A16" s="7"/>
      <c r="B16" s="7"/>
      <c r="C16" s="7"/>
      <c r="D16" s="7"/>
      <c r="E16" s="7"/>
      <c r="F16" s="7"/>
      <c r="G16" s="7"/>
      <c r="H16" s="7"/>
      <c r="I16" s="7"/>
    </row>
    <row r="17" spans="1:9" x14ac:dyDescent="0.2">
      <c r="A17" s="7"/>
      <c r="B17" s="7"/>
      <c r="C17" s="7"/>
      <c r="D17" s="7"/>
      <c r="E17" s="7"/>
      <c r="F17" s="7"/>
      <c r="G17" s="7"/>
      <c r="H17" s="7"/>
      <c r="I17" s="7"/>
    </row>
    <row r="18" spans="1:9" x14ac:dyDescent="0.2">
      <c r="A18" s="7"/>
      <c r="B18" s="7"/>
      <c r="C18" s="7"/>
      <c r="D18" s="7"/>
      <c r="E18" s="7"/>
      <c r="F18" s="7"/>
      <c r="G18" s="7"/>
      <c r="H18" s="7"/>
      <c r="I18" s="7"/>
    </row>
    <row r="19" spans="1:9" x14ac:dyDescent="0.2">
      <c r="A19" s="7"/>
      <c r="B19" s="7"/>
      <c r="C19" s="7"/>
      <c r="D19" s="7"/>
      <c r="E19" s="7"/>
      <c r="F19" s="7"/>
      <c r="G19" s="7"/>
      <c r="H19" s="7"/>
      <c r="I19" s="7"/>
    </row>
    <row r="20" spans="1:9" x14ac:dyDescent="0.2">
      <c r="A20" s="7"/>
      <c r="B20" s="7"/>
      <c r="C20" s="7"/>
      <c r="D20" s="7"/>
      <c r="E20" s="7"/>
      <c r="F20" s="7"/>
      <c r="G20" s="7"/>
      <c r="H20" s="7"/>
      <c r="I20" s="7"/>
    </row>
    <row r="21" spans="1:9" x14ac:dyDescent="0.2">
      <c r="A21" s="7"/>
      <c r="B21" s="7"/>
      <c r="C21" s="7"/>
      <c r="D21" s="7"/>
      <c r="E21" s="7"/>
      <c r="F21" s="7"/>
      <c r="G21" s="7"/>
      <c r="H21" s="7"/>
      <c r="I21" s="7"/>
    </row>
    <row r="22" spans="1:9" x14ac:dyDescent="0.2">
      <c r="A22" s="7"/>
      <c r="B22" s="7"/>
      <c r="C22" s="7"/>
      <c r="D22" s="4"/>
      <c r="E22" s="7"/>
      <c r="F22" s="7"/>
      <c r="G22" s="7"/>
      <c r="H22" s="7"/>
      <c r="I22" s="7"/>
    </row>
    <row r="23" spans="1:9" x14ac:dyDescent="0.2">
      <c r="A23" s="7"/>
      <c r="B23" s="7"/>
      <c r="C23" s="7"/>
      <c r="D23" s="7"/>
      <c r="E23" s="7"/>
      <c r="F23" s="7"/>
      <c r="G23" s="7"/>
      <c r="H23" s="7"/>
      <c r="I23" s="7"/>
    </row>
    <row r="24" spans="1:9" x14ac:dyDescent="0.2">
      <c r="A24" s="7"/>
      <c r="B24" s="7"/>
      <c r="C24" s="7"/>
      <c r="D24" s="7"/>
      <c r="E24" s="7"/>
      <c r="F24" s="7"/>
      <c r="G24" s="7"/>
      <c r="H24" s="7"/>
      <c r="I24" s="7"/>
    </row>
    <row r="25" spans="1:9" x14ac:dyDescent="0.2">
      <c r="A25" s="7"/>
      <c r="B25" s="7"/>
      <c r="C25" s="7"/>
      <c r="D25" s="7"/>
      <c r="E25" s="7"/>
      <c r="F25" s="7"/>
      <c r="G25" s="7"/>
      <c r="H25" s="7"/>
      <c r="I25" s="7"/>
    </row>
    <row r="26" spans="1:9" x14ac:dyDescent="0.2">
      <c r="A26" s="7"/>
      <c r="B26" s="7"/>
      <c r="C26" s="7"/>
      <c r="D26" s="7"/>
      <c r="E26" s="7"/>
      <c r="F26" s="7"/>
      <c r="G26" s="7"/>
      <c r="H26" s="7"/>
      <c r="I26" s="7"/>
    </row>
    <row r="27" spans="1:9" x14ac:dyDescent="0.2">
      <c r="A27" s="7"/>
      <c r="B27" s="7"/>
      <c r="C27" s="7"/>
      <c r="D27" s="7"/>
      <c r="E27" s="7"/>
      <c r="F27" s="7"/>
      <c r="G27" s="7"/>
      <c r="H27" s="7"/>
      <c r="I27" s="7"/>
    </row>
    <row r="28" spans="1:9" x14ac:dyDescent="0.2">
      <c r="A28" s="7"/>
      <c r="B28" s="7"/>
      <c r="C28" s="7"/>
      <c r="D28" s="7"/>
      <c r="E28" s="7"/>
      <c r="F28" s="7"/>
      <c r="G28" s="7"/>
      <c r="H28" s="7"/>
      <c r="I28" s="7"/>
    </row>
    <row r="29" spans="1:9" x14ac:dyDescent="0.2">
      <c r="A29" s="7"/>
      <c r="B29" s="7"/>
      <c r="C29" s="7"/>
      <c r="D29" s="7"/>
      <c r="E29" s="7"/>
      <c r="F29" s="7"/>
      <c r="G29" s="7"/>
      <c r="H29" s="7"/>
      <c r="I29" s="7"/>
    </row>
    <row r="30" spans="1:9" x14ac:dyDescent="0.2">
      <c r="A30" s="7"/>
      <c r="B30" s="7"/>
      <c r="C30" s="7"/>
      <c r="D30" s="7"/>
      <c r="E30" s="7"/>
      <c r="F30" s="7"/>
      <c r="G30" s="7"/>
      <c r="H30" s="7"/>
      <c r="I30" s="7"/>
    </row>
    <row r="31" spans="1:9" x14ac:dyDescent="0.2">
      <c r="A31" s="7"/>
      <c r="B31" s="7"/>
      <c r="C31" s="7"/>
      <c r="D31" s="7"/>
      <c r="E31" s="7"/>
      <c r="F31" s="7"/>
      <c r="G31" s="7"/>
      <c r="H31" s="7"/>
      <c r="I31" s="7"/>
    </row>
    <row r="32" spans="1:9" x14ac:dyDescent="0.2">
      <c r="A32" s="7"/>
      <c r="B32" s="7"/>
      <c r="C32" s="7"/>
      <c r="D32" s="7"/>
      <c r="E32" s="7"/>
      <c r="F32" s="7"/>
      <c r="G32" s="7"/>
      <c r="H32" s="7"/>
      <c r="I32" s="7"/>
    </row>
    <row r="33" spans="1:9" x14ac:dyDescent="0.2">
      <c r="A33" s="7"/>
      <c r="B33" s="7"/>
      <c r="C33" s="7"/>
      <c r="D33" s="7"/>
      <c r="E33" s="7"/>
      <c r="F33" s="7"/>
      <c r="G33" s="7"/>
      <c r="H33" s="7"/>
      <c r="I33" s="7"/>
    </row>
    <row r="34" spans="1:9" x14ac:dyDescent="0.2">
      <c r="A34" s="7"/>
      <c r="B34" s="7"/>
      <c r="C34" s="7"/>
      <c r="D34" s="7"/>
      <c r="E34" s="7"/>
      <c r="F34" s="7"/>
      <c r="G34" s="7"/>
      <c r="H34" s="7"/>
      <c r="I34" s="7"/>
    </row>
    <row r="35" spans="1:9" x14ac:dyDescent="0.2">
      <c r="A35" s="7"/>
      <c r="B35" s="7"/>
      <c r="C35" s="7"/>
      <c r="D35" s="7"/>
      <c r="E35" s="7"/>
      <c r="F35" s="7"/>
      <c r="G35" s="7"/>
      <c r="H35" s="7"/>
      <c r="I35" s="7"/>
    </row>
    <row r="36" spans="1:9" x14ac:dyDescent="0.2">
      <c r="A36" s="7"/>
      <c r="B36" s="7"/>
      <c r="C36" s="7"/>
      <c r="D36" s="7"/>
      <c r="E36" s="7"/>
      <c r="F36" s="7"/>
      <c r="G36" s="7"/>
      <c r="H36" s="7"/>
      <c r="I36" s="7"/>
    </row>
    <row r="37" spans="1:9" x14ac:dyDescent="0.2">
      <c r="A37" s="7"/>
      <c r="B37" s="7"/>
      <c r="C37" s="7"/>
      <c r="D37" s="7"/>
      <c r="E37" s="7"/>
      <c r="F37" s="7"/>
      <c r="G37" s="7"/>
      <c r="H37" s="7"/>
      <c r="I37" s="7"/>
    </row>
    <row r="38" spans="1:9" x14ac:dyDescent="0.2">
      <c r="A38" s="7"/>
      <c r="B38" s="7"/>
      <c r="C38" s="7"/>
      <c r="D38" s="7"/>
      <c r="E38" s="7"/>
      <c r="F38" s="7"/>
      <c r="G38" s="7"/>
      <c r="H38" s="7"/>
      <c r="I38" s="7"/>
    </row>
    <row r="39" spans="1:9" x14ac:dyDescent="0.2">
      <c r="A39" s="7"/>
      <c r="B39" s="7"/>
      <c r="C39" s="7"/>
      <c r="D39" s="7"/>
      <c r="E39" s="7"/>
      <c r="F39" s="7"/>
      <c r="G39" s="7"/>
      <c r="H39" s="7"/>
      <c r="I39" s="7"/>
    </row>
    <row r="40" spans="1:9" x14ac:dyDescent="0.2">
      <c r="A40" s="7"/>
      <c r="B40" s="7"/>
      <c r="C40" s="7"/>
      <c r="D40" s="7"/>
      <c r="E40" s="7"/>
      <c r="F40" s="7"/>
      <c r="G40" s="7"/>
      <c r="H40" s="7"/>
      <c r="I40" s="7"/>
    </row>
    <row r="41" spans="1:9" x14ac:dyDescent="0.2">
      <c r="A41" s="7"/>
      <c r="B41" s="7"/>
      <c r="C41" s="7"/>
      <c r="D41" s="7"/>
      <c r="E41" s="7"/>
      <c r="F41" s="7"/>
      <c r="G41" s="7"/>
      <c r="H41" s="7"/>
      <c r="I41" s="7"/>
    </row>
    <row r="42" spans="1:9" x14ac:dyDescent="0.2">
      <c r="A42" s="7"/>
      <c r="B42" s="7"/>
      <c r="C42" s="7"/>
      <c r="D42" s="7"/>
      <c r="E42" s="7"/>
      <c r="F42" s="7"/>
      <c r="G42" s="7"/>
      <c r="H42" s="7"/>
      <c r="I42" s="7"/>
    </row>
    <row r="43" spans="1:9" x14ac:dyDescent="0.2">
      <c r="A43" s="7"/>
      <c r="B43" s="7"/>
      <c r="C43" s="7"/>
      <c r="D43" s="7"/>
      <c r="E43" s="7"/>
      <c r="F43" s="7"/>
      <c r="G43" s="7"/>
      <c r="H43" s="7"/>
      <c r="I43" s="7"/>
    </row>
    <row r="44" spans="1:9" x14ac:dyDescent="0.2">
      <c r="A44" s="7"/>
      <c r="B44" s="7"/>
      <c r="C44" s="7"/>
      <c r="D44" s="7"/>
      <c r="E44" s="7"/>
      <c r="F44" s="7"/>
      <c r="G44" s="7"/>
      <c r="H44" s="7"/>
      <c r="I44" s="7"/>
    </row>
    <row r="45" spans="1:9" x14ac:dyDescent="0.2">
      <c r="A45" s="7"/>
      <c r="B45" s="7"/>
      <c r="C45" s="7"/>
      <c r="D45" s="7"/>
      <c r="E45" s="7"/>
      <c r="F45" s="7"/>
      <c r="G45" s="7"/>
      <c r="H45" s="7"/>
      <c r="I45" s="7"/>
    </row>
    <row r="46" spans="1:9" x14ac:dyDescent="0.2">
      <c r="A46" s="7"/>
      <c r="B46" s="7"/>
      <c r="C46" s="7"/>
      <c r="D46" s="7"/>
      <c r="E46" s="7"/>
      <c r="F46" s="7"/>
      <c r="G46" s="7"/>
      <c r="H46" s="7"/>
      <c r="I46" s="7"/>
    </row>
    <row r="47" spans="1:9" x14ac:dyDescent="0.2">
      <c r="A47" s="7"/>
      <c r="B47" s="7"/>
      <c r="C47" s="7"/>
      <c r="D47" s="7"/>
      <c r="E47" s="7"/>
      <c r="F47" s="7"/>
      <c r="G47" s="7"/>
      <c r="H47" s="7"/>
      <c r="I47" s="7"/>
    </row>
    <row r="48" spans="1:9" x14ac:dyDescent="0.2">
      <c r="A48" s="7"/>
      <c r="B48" s="7"/>
      <c r="C48" s="7"/>
      <c r="D48" s="7"/>
      <c r="E48" s="7"/>
      <c r="F48" s="7"/>
      <c r="G48" s="7"/>
      <c r="H48" s="7"/>
      <c r="I48" s="7"/>
    </row>
    <row r="49" spans="1:9" x14ac:dyDescent="0.2">
      <c r="A49" s="7"/>
      <c r="B49" s="7"/>
      <c r="C49" s="7"/>
      <c r="D49" s="7"/>
      <c r="E49" s="7"/>
      <c r="F49" s="7"/>
      <c r="G49" s="7"/>
      <c r="H49" s="7"/>
      <c r="I49" s="7"/>
    </row>
    <row r="50" spans="1:9" x14ac:dyDescent="0.2">
      <c r="A50" s="7"/>
      <c r="B50" s="7"/>
      <c r="C50" s="7"/>
      <c r="D50" s="7"/>
      <c r="E50" s="7"/>
      <c r="F50" s="7"/>
      <c r="G50" s="7"/>
      <c r="H50" s="7"/>
      <c r="I50" s="7"/>
    </row>
    <row r="51" spans="1:9" x14ac:dyDescent="0.2">
      <c r="A51" s="7"/>
      <c r="B51" s="7"/>
      <c r="C51" s="7"/>
      <c r="D51" s="7"/>
      <c r="E51" s="7"/>
      <c r="F51" s="7"/>
      <c r="G51" s="7"/>
      <c r="H51" s="7"/>
      <c r="I51" s="7"/>
    </row>
    <row r="52" spans="1:9" x14ac:dyDescent="0.2">
      <c r="A52" s="7"/>
      <c r="B52" s="7"/>
      <c r="C52" s="7"/>
      <c r="D52" s="7"/>
      <c r="E52" s="7"/>
      <c r="F52" s="7"/>
      <c r="G52" s="7"/>
      <c r="H52" s="7"/>
      <c r="I52" s="7"/>
    </row>
    <row r="53" spans="1:9" x14ac:dyDescent="0.2">
      <c r="A53" s="7"/>
      <c r="B53" s="7"/>
      <c r="C53" s="7"/>
      <c r="D53" s="7"/>
      <c r="E53" s="7"/>
      <c r="F53" s="7"/>
      <c r="G53" s="7"/>
      <c r="H53" s="7"/>
      <c r="I53" s="7"/>
    </row>
    <row r="54" spans="1:9" x14ac:dyDescent="0.2">
      <c r="A54" s="7"/>
      <c r="B54" s="7"/>
      <c r="C54" s="7"/>
      <c r="D54" s="7"/>
      <c r="E54" s="7"/>
      <c r="F54" s="7"/>
      <c r="G54" s="7"/>
      <c r="H54" s="7"/>
      <c r="I54" s="7"/>
    </row>
    <row r="55" spans="1:9" x14ac:dyDescent="0.2">
      <c r="A55" s="7"/>
      <c r="B55" s="7"/>
      <c r="C55" s="7"/>
      <c r="D55" s="7"/>
      <c r="E55" s="7"/>
      <c r="F55" s="7"/>
      <c r="G55" s="7"/>
      <c r="H55" s="7"/>
      <c r="I55" s="7"/>
    </row>
    <row r="56" spans="1:9" x14ac:dyDescent="0.2">
      <c r="A56" s="7"/>
      <c r="B56" s="7"/>
      <c r="C56" s="7"/>
      <c r="D56" s="7"/>
      <c r="E56" s="7"/>
      <c r="F56" s="7"/>
      <c r="G56" s="7"/>
      <c r="H56" s="7"/>
      <c r="I56" s="7"/>
    </row>
    <row r="57" spans="1:9" x14ac:dyDescent="0.2">
      <c r="A57" s="7"/>
      <c r="B57" s="7"/>
      <c r="C57" s="7"/>
      <c r="D57" s="7"/>
      <c r="E57" s="7"/>
      <c r="F57" s="7"/>
      <c r="G57" s="7"/>
      <c r="H57" s="7"/>
      <c r="I57" s="7"/>
    </row>
    <row r="58" spans="1:9" x14ac:dyDescent="0.2">
      <c r="A58" s="7"/>
      <c r="B58" s="7"/>
      <c r="C58" s="7"/>
      <c r="D58" s="7"/>
      <c r="E58" s="7"/>
      <c r="F58" s="7"/>
      <c r="G58" s="7"/>
      <c r="H58" s="7"/>
      <c r="I58" s="7"/>
    </row>
    <row r="59" spans="1:9" x14ac:dyDescent="0.2">
      <c r="A59" s="7"/>
      <c r="B59" s="7"/>
      <c r="C59" s="7"/>
      <c r="D59" s="7"/>
      <c r="E59" s="7"/>
      <c r="F59" s="7"/>
      <c r="G59" s="7"/>
      <c r="H59" s="7"/>
      <c r="I59" s="7"/>
    </row>
    <row r="60" spans="1:9" x14ac:dyDescent="0.2">
      <c r="A60" s="7"/>
      <c r="B60" s="7"/>
      <c r="C60" s="7"/>
      <c r="D60" s="7"/>
      <c r="E60" s="7"/>
      <c r="F60" s="7"/>
      <c r="G60" s="7"/>
      <c r="H60" s="7"/>
      <c r="I60" s="7"/>
    </row>
    <row r="61" spans="1:9" x14ac:dyDescent="0.2">
      <c r="A61" s="7"/>
      <c r="B61" s="7"/>
      <c r="C61" s="7"/>
      <c r="D61" s="7"/>
      <c r="E61" s="7"/>
      <c r="F61" s="7"/>
      <c r="G61" s="7"/>
      <c r="H61" s="7"/>
      <c r="I61" s="7"/>
    </row>
    <row r="62" spans="1:9" x14ac:dyDescent="0.2">
      <c r="A62" s="7"/>
      <c r="B62" s="7"/>
      <c r="C62" s="7"/>
      <c r="D62" s="7"/>
      <c r="E62" s="7"/>
      <c r="F62" s="7"/>
      <c r="G62" s="7"/>
      <c r="H62" s="7"/>
      <c r="I62" s="7"/>
    </row>
    <row r="63" spans="1:9" x14ac:dyDescent="0.2">
      <c r="A63" s="7"/>
      <c r="B63" s="7"/>
      <c r="C63" s="7"/>
      <c r="D63" s="7"/>
      <c r="E63" s="7"/>
      <c r="F63" s="7"/>
      <c r="G63" s="7"/>
      <c r="H63" s="7"/>
      <c r="I63" s="7"/>
    </row>
    <row r="64" spans="1:9" x14ac:dyDescent="0.2">
      <c r="A64" s="7"/>
      <c r="B64" s="7"/>
      <c r="C64" s="7"/>
      <c r="D64" s="7"/>
      <c r="E64" s="7"/>
      <c r="F64" s="7"/>
      <c r="G64" s="7"/>
      <c r="H64" s="7"/>
      <c r="I64" s="7"/>
    </row>
    <row r="65" spans="1:9" x14ac:dyDescent="0.2">
      <c r="A65" s="7"/>
      <c r="B65" s="7"/>
      <c r="C65" s="7"/>
      <c r="D65" s="7"/>
      <c r="E65" s="7"/>
      <c r="F65" s="7"/>
      <c r="G65" s="7"/>
      <c r="H65" s="7"/>
      <c r="I65" s="7"/>
    </row>
    <row r="66" spans="1:9" x14ac:dyDescent="0.2">
      <c r="A66" s="7"/>
      <c r="B66" s="7"/>
      <c r="C66" s="7"/>
      <c r="D66" s="7"/>
      <c r="E66" s="7"/>
      <c r="F66" s="7"/>
      <c r="G66" s="7"/>
      <c r="H66" s="7"/>
      <c r="I66" s="7"/>
    </row>
    <row r="67" spans="1:9" x14ac:dyDescent="0.2">
      <c r="A67" s="7"/>
      <c r="B67" s="7"/>
      <c r="C67" s="7"/>
      <c r="D67" s="7"/>
      <c r="E67" s="7"/>
      <c r="F67" s="7"/>
      <c r="G67" s="7"/>
      <c r="H67" s="7"/>
      <c r="I67" s="7"/>
    </row>
    <row r="68" spans="1:9" x14ac:dyDescent="0.2">
      <c r="A68" s="7"/>
      <c r="B68" s="7"/>
      <c r="C68" s="7"/>
      <c r="D68" s="7"/>
      <c r="E68" s="7"/>
      <c r="F68" s="7"/>
      <c r="G68" s="7"/>
      <c r="H68" s="7"/>
      <c r="I68" s="7"/>
    </row>
    <row r="69" spans="1:9" x14ac:dyDescent="0.2">
      <c r="A69" s="7"/>
      <c r="B69" s="7"/>
      <c r="C69" s="7"/>
      <c r="D69" s="7"/>
      <c r="E69" s="7"/>
      <c r="F69" s="7"/>
      <c r="G69" s="7"/>
      <c r="H69" s="7"/>
      <c r="I69" s="7"/>
    </row>
    <row r="70" spans="1:9" x14ac:dyDescent="0.2">
      <c r="A70" s="7"/>
      <c r="B70" s="7"/>
      <c r="C70" s="7"/>
      <c r="D70" s="7"/>
      <c r="E70" s="7"/>
      <c r="F70" s="7"/>
      <c r="G70" s="7"/>
      <c r="H70" s="7"/>
      <c r="I70" s="7"/>
    </row>
    <row r="71" spans="1:9" x14ac:dyDescent="0.2">
      <c r="A71" s="7"/>
      <c r="B71" s="7"/>
      <c r="C71" s="7"/>
      <c r="D71" s="7"/>
      <c r="E71" s="7"/>
      <c r="F71" s="7"/>
      <c r="G71" s="7"/>
      <c r="H71" s="7"/>
      <c r="I71" s="7"/>
    </row>
    <row r="72" spans="1:9" x14ac:dyDescent="0.2">
      <c r="A72" s="7"/>
      <c r="B72" s="7"/>
      <c r="C72" s="7"/>
      <c r="D72" s="7"/>
      <c r="E72" s="7"/>
      <c r="F72" s="7"/>
      <c r="G72" s="7"/>
      <c r="H72" s="7"/>
      <c r="I72" s="7"/>
    </row>
    <row r="73" spans="1:9" x14ac:dyDescent="0.2">
      <c r="A73" s="7"/>
      <c r="B73" s="7"/>
      <c r="C73" s="7"/>
      <c r="D73" s="7"/>
      <c r="E73" s="7"/>
      <c r="F73" s="7"/>
      <c r="G73" s="7"/>
      <c r="H73" s="7"/>
      <c r="I73" s="7"/>
    </row>
    <row r="74" spans="1:9" x14ac:dyDescent="0.2">
      <c r="A74" s="7"/>
      <c r="B74" s="7"/>
      <c r="C74" s="7"/>
      <c r="D74" s="7"/>
      <c r="E74" s="7"/>
      <c r="F74" s="7"/>
      <c r="G74" s="7"/>
      <c r="H74" s="7"/>
      <c r="I74" s="7"/>
    </row>
    <row r="75" spans="1:9" x14ac:dyDescent="0.2">
      <c r="A75" s="7"/>
      <c r="B75" s="7"/>
      <c r="C75" s="7"/>
      <c r="D75" s="7"/>
      <c r="E75" s="7"/>
      <c r="F75" s="7"/>
      <c r="G75" s="7"/>
      <c r="H75" s="7"/>
      <c r="I75" s="7"/>
    </row>
    <row r="76" spans="1:9" x14ac:dyDescent="0.2">
      <c r="A76" s="7"/>
      <c r="B76" s="7"/>
      <c r="C76" s="7"/>
      <c r="D76" s="7"/>
      <c r="E76" s="7"/>
      <c r="F76" s="7"/>
      <c r="G76" s="7"/>
      <c r="H76" s="7"/>
      <c r="I76" s="7"/>
    </row>
    <row r="77" spans="1:9" x14ac:dyDescent="0.2">
      <c r="A77" s="7"/>
      <c r="B77" s="7"/>
      <c r="C77" s="7"/>
      <c r="D77" s="7"/>
      <c r="E77" s="7"/>
      <c r="F77" s="7"/>
      <c r="G77" s="7"/>
      <c r="H77" s="7"/>
      <c r="I77" s="7"/>
    </row>
    <row r="78" spans="1:9" x14ac:dyDescent="0.2">
      <c r="A78" s="7"/>
      <c r="B78" s="7"/>
      <c r="C78" s="7"/>
      <c r="D78" s="7"/>
      <c r="E78" s="7"/>
      <c r="F78" s="7"/>
      <c r="G78" s="7"/>
      <c r="H78" s="7"/>
      <c r="I78" s="7"/>
    </row>
    <row r="79" spans="1:9" x14ac:dyDescent="0.2">
      <c r="A79" s="7"/>
      <c r="B79" s="7"/>
      <c r="C79" s="7"/>
      <c r="D79" s="7"/>
      <c r="E79" s="7"/>
      <c r="F79" s="7"/>
      <c r="G79" s="7"/>
      <c r="H79" s="7"/>
      <c r="I79" s="7"/>
    </row>
    <row r="80" spans="1:9" x14ac:dyDescent="0.2">
      <c r="A80" s="7"/>
      <c r="B80" s="7"/>
      <c r="C80" s="7"/>
      <c r="D80" s="7"/>
      <c r="E80" s="7"/>
      <c r="F80" s="7"/>
      <c r="G80" s="7"/>
      <c r="H80" s="7"/>
      <c r="I80" s="7"/>
    </row>
    <row r="81" spans="1:9" x14ac:dyDescent="0.2">
      <c r="A81" s="7"/>
      <c r="B81" s="7"/>
      <c r="C81" s="7"/>
      <c r="D81" s="7"/>
      <c r="E81" s="7"/>
      <c r="F81" s="7"/>
      <c r="G81" s="7"/>
      <c r="H81" s="7"/>
      <c r="I81" s="7"/>
    </row>
    <row r="82" spans="1:9" x14ac:dyDescent="0.2">
      <c r="A82" s="7"/>
      <c r="B82" s="7"/>
      <c r="C82" s="7"/>
      <c r="D82" s="7"/>
      <c r="E82" s="7"/>
      <c r="F82" s="7"/>
      <c r="G82" s="7"/>
      <c r="H82" s="7"/>
      <c r="I82" s="7"/>
    </row>
    <row r="83" spans="1:9" x14ac:dyDescent="0.2">
      <c r="A83" s="7"/>
      <c r="B83" s="7"/>
      <c r="C83" s="7"/>
      <c r="D83" s="7"/>
      <c r="E83" s="7"/>
      <c r="F83" s="7"/>
      <c r="G83" s="7"/>
      <c r="H83" s="7"/>
      <c r="I83" s="7"/>
    </row>
    <row r="84" spans="1:9" x14ac:dyDescent="0.2">
      <c r="A84" s="7"/>
      <c r="B84" s="7"/>
      <c r="C84" s="7"/>
      <c r="D84" s="7"/>
      <c r="E84" s="7"/>
      <c r="F84" s="7"/>
      <c r="G84" s="7"/>
      <c r="H84" s="7"/>
      <c r="I84" s="7"/>
    </row>
    <row r="85" spans="1:9" x14ac:dyDescent="0.2">
      <c r="A85" s="7"/>
      <c r="B85" s="7"/>
      <c r="C85" s="7"/>
      <c r="D85" s="7"/>
      <c r="E85" s="7"/>
      <c r="F85" s="7"/>
      <c r="G85" s="7"/>
      <c r="H85" s="7"/>
      <c r="I85" s="7"/>
    </row>
    <row r="86" spans="1:9" x14ac:dyDescent="0.2">
      <c r="A86" s="7"/>
      <c r="B86" s="7"/>
      <c r="C86" s="7"/>
      <c r="D86" s="7"/>
      <c r="E86" s="7"/>
      <c r="F86" s="7"/>
      <c r="G86" s="7"/>
      <c r="H86" s="7"/>
      <c r="I86" s="7"/>
    </row>
    <row r="87" spans="1:9" x14ac:dyDescent="0.2">
      <c r="A87" s="7"/>
      <c r="B87" s="7"/>
      <c r="C87" s="7"/>
      <c r="D87" s="7"/>
      <c r="E87" s="7"/>
      <c r="F87" s="7"/>
      <c r="G87" s="7"/>
      <c r="H87" s="7"/>
      <c r="I87" s="7"/>
    </row>
    <row r="88" spans="1:9" x14ac:dyDescent="0.2">
      <c r="A88" s="7"/>
      <c r="B88" s="7"/>
      <c r="C88" s="7"/>
      <c r="D88" s="7"/>
      <c r="E88" s="7"/>
      <c r="F88" s="7"/>
      <c r="G88" s="7"/>
      <c r="H88" s="7"/>
      <c r="I88" s="7"/>
    </row>
    <row r="89" spans="1:9" x14ac:dyDescent="0.2">
      <c r="A89" s="7"/>
      <c r="B89" s="7"/>
      <c r="C89" s="7"/>
      <c r="D89" s="7"/>
      <c r="E89" s="7"/>
      <c r="F89" s="7"/>
      <c r="G89" s="7"/>
      <c r="H89" s="7"/>
      <c r="I89" s="7"/>
    </row>
    <row r="90" spans="1:9" x14ac:dyDescent="0.2">
      <c r="A90" s="7"/>
      <c r="B90" s="7"/>
      <c r="C90" s="7"/>
      <c r="D90" s="7"/>
      <c r="E90" s="7"/>
      <c r="F90" s="7"/>
      <c r="G90" s="7"/>
      <c r="H90" s="7"/>
      <c r="I90" s="7"/>
    </row>
    <row r="91" spans="1:9" x14ac:dyDescent="0.2">
      <c r="A91" s="7"/>
      <c r="B91" s="7"/>
      <c r="C91" s="7"/>
      <c r="D91" s="7"/>
      <c r="E91" s="7"/>
      <c r="F91" s="7"/>
      <c r="G91" s="7"/>
      <c r="H91" s="7"/>
      <c r="I91" s="7"/>
    </row>
    <row r="92" spans="1:9" x14ac:dyDescent="0.2">
      <c r="A92" s="7"/>
      <c r="B92" s="7"/>
      <c r="C92" s="7"/>
      <c r="D92" s="7"/>
      <c r="E92" s="7"/>
      <c r="F92" s="7"/>
      <c r="G92" s="7"/>
      <c r="H92" s="7"/>
      <c r="I92" s="7"/>
    </row>
    <row r="93" spans="1:9" x14ac:dyDescent="0.2">
      <c r="A93" s="7"/>
      <c r="B93" s="7"/>
      <c r="C93" s="7"/>
      <c r="D93" s="7"/>
      <c r="E93" s="7"/>
      <c r="F93" s="7"/>
      <c r="G93" s="7"/>
      <c r="H93" s="7"/>
      <c r="I93" s="7"/>
    </row>
    <row r="94" spans="1:9" x14ac:dyDescent="0.2">
      <c r="A94" s="7"/>
      <c r="B94" s="7"/>
      <c r="C94" s="7"/>
      <c r="D94" s="7"/>
      <c r="E94" s="7"/>
      <c r="F94" s="7"/>
      <c r="G94" s="7"/>
      <c r="H94" s="7"/>
      <c r="I94" s="7"/>
    </row>
    <row r="95" spans="1:9" x14ac:dyDescent="0.2">
      <c r="A95" s="7"/>
      <c r="B95" s="7"/>
      <c r="C95" s="7"/>
      <c r="D95" s="7"/>
      <c r="E95" s="7"/>
      <c r="F95" s="7"/>
      <c r="G95" s="7"/>
      <c r="H95" s="7"/>
      <c r="I95" s="7"/>
    </row>
    <row r="96" spans="1:9" x14ac:dyDescent="0.2">
      <c r="A96" s="7"/>
      <c r="B96" s="7"/>
      <c r="C96" s="7"/>
      <c r="D96" s="7"/>
      <c r="E96" s="7"/>
      <c r="F96" s="7"/>
      <c r="G96" s="7"/>
      <c r="H96" s="7"/>
      <c r="I96" s="7"/>
    </row>
    <row r="97" spans="1:9" x14ac:dyDescent="0.2">
      <c r="A97" s="7"/>
      <c r="B97" s="7"/>
      <c r="C97" s="7"/>
      <c r="D97" s="7"/>
      <c r="E97" s="7"/>
      <c r="F97" s="7"/>
      <c r="G97" s="7"/>
      <c r="H97" s="7"/>
      <c r="I97" s="7"/>
    </row>
    <row r="98" spans="1:9" x14ac:dyDescent="0.2">
      <c r="A98" s="7"/>
      <c r="B98" s="7"/>
      <c r="C98" s="7"/>
      <c r="D98" s="7"/>
      <c r="E98" s="7"/>
      <c r="F98" s="7"/>
      <c r="G98" s="7"/>
      <c r="H98" s="7"/>
      <c r="I98" s="7"/>
    </row>
    <row r="99" spans="1:9" x14ac:dyDescent="0.2">
      <c r="A99" s="7"/>
      <c r="B99" s="7"/>
      <c r="C99" s="7"/>
      <c r="D99" s="7"/>
      <c r="E99" s="7"/>
      <c r="F99" s="7"/>
      <c r="G99" s="7"/>
      <c r="H99" s="7"/>
      <c r="I99" s="7"/>
    </row>
    <row r="100" spans="1:9" x14ac:dyDescent="0.2">
      <c r="A100" s="7"/>
      <c r="B100" s="7"/>
      <c r="C100" s="7"/>
      <c r="D100" s="7"/>
      <c r="E100" s="7"/>
      <c r="F100" s="7"/>
      <c r="G100" s="7"/>
      <c r="H100" s="7"/>
      <c r="I100" s="7"/>
    </row>
    <row r="101" spans="1:9" x14ac:dyDescent="0.2">
      <c r="A101" s="7"/>
      <c r="B101" s="7"/>
      <c r="C101" s="7"/>
      <c r="D101" s="7"/>
      <c r="E101" s="7"/>
      <c r="F101" s="7"/>
      <c r="G101" s="7"/>
      <c r="H101" s="7"/>
      <c r="I101" s="7"/>
    </row>
    <row r="102" spans="1:9" x14ac:dyDescent="0.2">
      <c r="A102" s="7"/>
      <c r="B102" s="7"/>
      <c r="C102" s="7"/>
      <c r="D102" s="7"/>
      <c r="E102" s="7"/>
      <c r="F102" s="7"/>
      <c r="G102" s="7"/>
      <c r="H102" s="7"/>
      <c r="I102" s="7"/>
    </row>
    <row r="103" spans="1:9" x14ac:dyDescent="0.2">
      <c r="A103" s="7"/>
      <c r="B103" s="7"/>
      <c r="C103" s="7"/>
      <c r="D103" s="7"/>
      <c r="E103" s="7"/>
      <c r="F103" s="7"/>
      <c r="G103" s="7"/>
      <c r="H103" s="7"/>
      <c r="I103" s="7"/>
    </row>
    <row r="104" spans="1:9" x14ac:dyDescent="0.2">
      <c r="A104" s="11" t="s">
        <v>1</v>
      </c>
      <c r="B104" s="12"/>
      <c r="C104" s="12"/>
      <c r="D104" s="13"/>
      <c r="E104" s="8"/>
      <c r="F104" s="8"/>
      <c r="G104" s="8"/>
      <c r="H104" s="8"/>
      <c r="I104" s="1"/>
    </row>
    <row r="105" spans="1:9" x14ac:dyDescent="0.2">
      <c r="A105" s="14" t="s">
        <v>15</v>
      </c>
      <c r="B105" s="15"/>
      <c r="C105" s="15"/>
      <c r="D105" s="16"/>
      <c r="E105" s="8"/>
      <c r="F105" s="8"/>
      <c r="G105" s="8"/>
      <c r="H105" s="8"/>
      <c r="I105" s="1"/>
    </row>
    <row r="106" spans="1:9" x14ac:dyDescent="0.2">
      <c r="A106" s="17" t="s">
        <v>62</v>
      </c>
      <c r="B106" s="18"/>
      <c r="C106" s="18"/>
      <c r="D106" s="19"/>
      <c r="E106" s="8"/>
      <c r="F106" s="8"/>
      <c r="G106" s="8"/>
      <c r="H106" s="8"/>
      <c r="I106" s="1"/>
    </row>
    <row r="107" spans="1:9" x14ac:dyDescent="0.2">
      <c r="A107" s="20"/>
      <c r="B107" s="21"/>
      <c r="C107" s="22"/>
      <c r="D107" s="23"/>
      <c r="E107" s="8"/>
      <c r="F107" s="8" t="s">
        <v>34</v>
      </c>
      <c r="G107" s="8"/>
      <c r="H107" s="8"/>
      <c r="I107" s="1"/>
    </row>
    <row r="108" spans="1:9" ht="15.75" x14ac:dyDescent="0.25">
      <c r="A108" s="24" t="s">
        <v>2</v>
      </c>
      <c r="B108" s="25" t="str">
        <f>[1]Charters!B113</f>
        <v>Scholar Academy</v>
      </c>
      <c r="C108" s="26"/>
      <c r="D108" s="27"/>
      <c r="E108" s="8"/>
      <c r="F108" s="8"/>
      <c r="G108" s="8"/>
      <c r="H108" s="8"/>
      <c r="I108" s="1"/>
    </row>
    <row r="109" spans="1:9" x14ac:dyDescent="0.2">
      <c r="A109" s="24"/>
      <c r="B109" s="28"/>
      <c r="C109" s="26"/>
      <c r="D109" s="27"/>
      <c r="E109" s="8"/>
      <c r="F109" s="8"/>
      <c r="G109" s="8"/>
      <c r="H109" s="8"/>
      <c r="I109" s="1"/>
    </row>
    <row r="110" spans="1:9" x14ac:dyDescent="0.2">
      <c r="A110" s="29" t="s">
        <v>0</v>
      </c>
      <c r="B110" s="30">
        <f>[1]Charters!$E$6</f>
        <v>3184</v>
      </c>
      <c r="C110" s="26"/>
      <c r="D110" s="31"/>
      <c r="E110" s="8"/>
      <c r="F110" s="8"/>
      <c r="G110" s="8"/>
      <c r="H110" s="8"/>
      <c r="I110" s="1"/>
    </row>
    <row r="111" spans="1:9" x14ac:dyDescent="0.2">
      <c r="A111" s="32"/>
      <c r="B111" s="6"/>
      <c r="C111" s="33"/>
      <c r="D111" s="34" t="s">
        <v>3</v>
      </c>
      <c r="E111" s="8"/>
      <c r="F111" s="8"/>
      <c r="G111" s="8"/>
      <c r="H111" s="8"/>
      <c r="I111" s="1"/>
    </row>
    <row r="112" spans="1:9" x14ac:dyDescent="0.2">
      <c r="A112" s="29" t="s">
        <v>19</v>
      </c>
      <c r="B112" s="35" t="str">
        <f>[1]Charters!A113</f>
        <v>6J</v>
      </c>
      <c r="C112" s="36" t="s">
        <v>4</v>
      </c>
      <c r="D112" s="37" t="s">
        <v>5</v>
      </c>
      <c r="E112" s="8"/>
      <c r="F112" s="8"/>
      <c r="G112" s="8"/>
      <c r="H112" s="8"/>
      <c r="I112" s="1"/>
    </row>
    <row r="113" spans="1:9" x14ac:dyDescent="0.2">
      <c r="A113" s="38" t="s">
        <v>6</v>
      </c>
      <c r="B113" s="39"/>
      <c r="C113" s="40"/>
      <c r="D113" s="41"/>
      <c r="E113" s="8"/>
      <c r="F113" s="8"/>
      <c r="G113" s="8"/>
      <c r="H113" s="8"/>
      <c r="I113" s="1"/>
    </row>
    <row r="114" spans="1:9" x14ac:dyDescent="0.2">
      <c r="A114" s="38" t="s">
        <v>7</v>
      </c>
      <c r="B114" s="39"/>
      <c r="C114" s="40"/>
      <c r="D114" s="41"/>
      <c r="E114" s="8"/>
      <c r="F114" s="42" t="s">
        <v>23</v>
      </c>
      <c r="G114" s="8"/>
      <c r="H114" s="42" t="s">
        <v>26</v>
      </c>
      <c r="I114" s="1"/>
    </row>
    <row r="115" spans="1:9" x14ac:dyDescent="0.2">
      <c r="A115" s="20" t="s">
        <v>8</v>
      </c>
      <c r="B115" s="43"/>
      <c r="C115" s="44">
        <f>[1]Charters!C573</f>
        <v>457.50799999999998</v>
      </c>
      <c r="D115" s="45">
        <f>[1]Charters!E573</f>
        <v>1456707.05</v>
      </c>
      <c r="E115" s="8"/>
      <c r="F115" s="42">
        <f>[1]Charters!E729</f>
        <v>1524175.89</v>
      </c>
      <c r="G115" s="8"/>
      <c r="H115" s="42">
        <f>[2]Charters!E267</f>
        <v>1836196.49</v>
      </c>
      <c r="I115" s="1"/>
    </row>
    <row r="116" spans="1:9" x14ac:dyDescent="0.2">
      <c r="A116" s="20" t="s">
        <v>14</v>
      </c>
      <c r="B116" s="43"/>
      <c r="C116" s="44">
        <f>[1]Charters!F573</f>
        <v>21.19</v>
      </c>
      <c r="D116" s="45">
        <f>[1]Charters!H573</f>
        <v>67468.84</v>
      </c>
      <c r="E116" s="8"/>
      <c r="F116" s="42">
        <f>SUM(D115:D117)</f>
        <v>1524175.89</v>
      </c>
      <c r="G116" s="8"/>
      <c r="H116" s="42">
        <f>D128</f>
        <v>1836196.49</v>
      </c>
      <c r="I116" s="1"/>
    </row>
    <row r="117" spans="1:9" x14ac:dyDescent="0.2">
      <c r="A117" s="20" t="s">
        <v>32</v>
      </c>
      <c r="B117" s="43"/>
      <c r="C117" s="44">
        <f>[1]Charters!C266</f>
        <v>0</v>
      </c>
      <c r="D117" s="45">
        <f>[1]Charters!E266</f>
        <v>0</v>
      </c>
      <c r="E117" s="8"/>
      <c r="F117" s="42">
        <f>+F115-F116</f>
        <v>0</v>
      </c>
      <c r="G117" s="8"/>
      <c r="H117" s="42">
        <f>+H115-H116</f>
        <v>0</v>
      </c>
      <c r="I117" s="1"/>
    </row>
    <row r="118" spans="1:9" x14ac:dyDescent="0.2">
      <c r="A118" s="38" t="s">
        <v>9</v>
      </c>
      <c r="B118" s="39"/>
      <c r="C118" s="46"/>
      <c r="D118" s="47"/>
      <c r="E118" s="8"/>
      <c r="F118" s="8"/>
      <c r="G118" s="8"/>
      <c r="H118" s="8"/>
      <c r="I118" s="1"/>
    </row>
    <row r="119" spans="1:9" x14ac:dyDescent="0.2">
      <c r="A119" s="20" t="s">
        <v>10</v>
      </c>
      <c r="B119" s="43"/>
      <c r="C119" s="40">
        <f>[3]Charters!C112</f>
        <v>46.359000000000002</v>
      </c>
      <c r="D119" s="41">
        <f>[3]Charters!E112</f>
        <v>147606.71</v>
      </c>
      <c r="E119" s="8"/>
      <c r="F119" s="42" t="s">
        <v>24</v>
      </c>
      <c r="G119" s="8"/>
      <c r="H119" s="8"/>
      <c r="I119" s="1"/>
    </row>
    <row r="120" spans="1:9" x14ac:dyDescent="0.2">
      <c r="A120" s="48" t="s">
        <v>11</v>
      </c>
      <c r="B120" s="43"/>
      <c r="C120" s="40">
        <f>[3]Charters!F112</f>
        <v>2</v>
      </c>
      <c r="D120" s="49">
        <f>[3]Charters!H112</f>
        <v>6368</v>
      </c>
      <c r="E120" s="8"/>
      <c r="F120" s="42">
        <f>[3]Charters!N425</f>
        <v>160208.88</v>
      </c>
      <c r="G120" s="8"/>
      <c r="H120" s="8"/>
      <c r="I120" s="1"/>
    </row>
    <row r="121" spans="1:9" x14ac:dyDescent="0.2">
      <c r="A121" s="48" t="s">
        <v>12</v>
      </c>
      <c r="B121" s="43"/>
      <c r="C121" s="40">
        <f>[3]Charters!C267</f>
        <v>0</v>
      </c>
      <c r="D121" s="41">
        <f>[3]Charters!E267</f>
        <v>0</v>
      </c>
      <c r="E121" s="8"/>
      <c r="F121" s="42">
        <f>SUM(D119:D125)</f>
        <v>160208.88</v>
      </c>
      <c r="G121" s="8"/>
      <c r="H121" s="8"/>
      <c r="I121" s="1"/>
    </row>
    <row r="122" spans="1:9" x14ac:dyDescent="0.2">
      <c r="A122" s="20" t="s">
        <v>13</v>
      </c>
      <c r="B122" s="43"/>
      <c r="C122" s="40">
        <f>[3]Charters!F267</f>
        <v>0.70899999999999996</v>
      </c>
      <c r="D122" s="41">
        <f>[3]Charters!H267</f>
        <v>2259</v>
      </c>
      <c r="E122" s="8"/>
      <c r="F122" s="42">
        <f>+F120-F121</f>
        <v>0</v>
      </c>
      <c r="G122" s="8"/>
      <c r="H122" s="8"/>
      <c r="I122" s="1"/>
    </row>
    <row r="123" spans="1:9" x14ac:dyDescent="0.2">
      <c r="A123" s="48" t="s">
        <v>54</v>
      </c>
      <c r="B123" s="43"/>
      <c r="C123" s="40">
        <f>[3]Charters!C425</f>
        <v>1.248</v>
      </c>
      <c r="D123" s="41">
        <f>[3]Charters!E425</f>
        <v>3975.17</v>
      </c>
      <c r="E123" s="8"/>
      <c r="F123" s="8"/>
      <c r="G123" s="8"/>
      <c r="H123" s="8"/>
      <c r="I123" s="1"/>
    </row>
    <row r="124" spans="1:9" x14ac:dyDescent="0.2">
      <c r="A124" s="48" t="s">
        <v>55</v>
      </c>
      <c r="B124" s="43"/>
      <c r="C124" s="40">
        <f>[3]Charters!F425</f>
        <v>0</v>
      </c>
      <c r="D124" s="41">
        <f>[3]Charters!H425</f>
        <v>0</v>
      </c>
      <c r="E124" s="8"/>
      <c r="F124" s="42" t="s">
        <v>25</v>
      </c>
      <c r="G124" s="8"/>
      <c r="H124" s="8"/>
      <c r="I124" s="1"/>
    </row>
    <row r="125" spans="1:9" x14ac:dyDescent="0.2">
      <c r="A125" s="48" t="s">
        <v>56</v>
      </c>
      <c r="B125" s="43"/>
      <c r="C125" s="40">
        <f>[3]Charters!I425</f>
        <v>0</v>
      </c>
      <c r="D125" s="41">
        <f>[3]Charters!K425</f>
        <v>0</v>
      </c>
      <c r="E125" s="8"/>
      <c r="F125" s="42">
        <f>[2]Charters!H113</f>
        <v>312020.59999999998</v>
      </c>
      <c r="G125" s="8"/>
      <c r="H125" s="8"/>
      <c r="I125" s="1"/>
    </row>
    <row r="126" spans="1:9" x14ac:dyDescent="0.2">
      <c r="A126" s="20" t="s">
        <v>49</v>
      </c>
      <c r="B126" s="43"/>
      <c r="C126" s="40">
        <f>[3]Charters!C580</f>
        <v>0</v>
      </c>
      <c r="D126" s="41">
        <f>[3]Charters!E580</f>
        <v>0</v>
      </c>
      <c r="E126" s="8"/>
      <c r="F126" s="42">
        <f>SUM(D119:D127)</f>
        <v>312020.59999999998</v>
      </c>
      <c r="G126" s="8"/>
      <c r="H126" s="8"/>
      <c r="I126" s="1"/>
    </row>
    <row r="127" spans="1:9" x14ac:dyDescent="0.2">
      <c r="A127" s="20" t="s">
        <v>50</v>
      </c>
      <c r="B127" s="43"/>
      <c r="C127" s="40">
        <f>[2]Charters!C113</f>
        <v>47.68</v>
      </c>
      <c r="D127" s="41">
        <f>[2]Charters!E113</f>
        <v>151811.72</v>
      </c>
      <c r="E127" s="8"/>
      <c r="F127" s="42">
        <f>+F125-F126</f>
        <v>0</v>
      </c>
      <c r="G127" s="8"/>
      <c r="H127" s="8"/>
      <c r="I127" s="1"/>
    </row>
    <row r="128" spans="1:9" x14ac:dyDescent="0.2">
      <c r="A128" s="50"/>
      <c r="B128" s="51" t="s">
        <v>16</v>
      </c>
      <c r="C128" s="52">
        <f>SUM(C115:C127)</f>
        <v>576.69399999999996</v>
      </c>
      <c r="D128" s="53">
        <f>SUM(D115:D127)</f>
        <v>1836196.49</v>
      </c>
      <c r="E128" s="8"/>
      <c r="F128" s="8"/>
      <c r="G128" s="8"/>
      <c r="H128" s="8"/>
      <c r="I128" s="1"/>
    </row>
    <row r="129" spans="1:9" x14ac:dyDescent="0.2">
      <c r="A129" s="54" t="s">
        <v>17</v>
      </c>
      <c r="B129" s="39"/>
      <c r="C129" s="55"/>
      <c r="D129" s="47"/>
      <c r="E129" s="8"/>
      <c r="F129" s="8"/>
      <c r="G129" s="8"/>
      <c r="H129" s="42" t="s">
        <v>29</v>
      </c>
      <c r="I129" s="1"/>
    </row>
    <row r="130" spans="1:9" x14ac:dyDescent="0.2">
      <c r="A130" s="20" t="s">
        <v>33</v>
      </c>
      <c r="B130" s="43"/>
      <c r="C130" s="56"/>
      <c r="D130" s="57">
        <f>[4]Charters!C114</f>
        <v>5322.16</v>
      </c>
      <c r="E130" s="8"/>
      <c r="F130" s="8"/>
      <c r="G130" s="8"/>
      <c r="H130" s="42">
        <f>[4]Charters!F1053</f>
        <v>3298355.53</v>
      </c>
      <c r="I130" s="1"/>
    </row>
    <row r="131" spans="1:9" x14ac:dyDescent="0.2">
      <c r="A131" s="58" t="s">
        <v>35</v>
      </c>
      <c r="B131" s="43"/>
      <c r="C131" s="56"/>
      <c r="D131" s="41">
        <f>+[4]Charters!F435</f>
        <v>2201.98</v>
      </c>
      <c r="E131" s="8"/>
      <c r="F131" s="8"/>
      <c r="G131" s="8"/>
      <c r="H131" s="42">
        <f>SUM(D128:D147)</f>
        <v>3298355.53</v>
      </c>
      <c r="I131" s="1"/>
    </row>
    <row r="132" spans="1:9" x14ac:dyDescent="0.2">
      <c r="A132" s="59" t="s">
        <v>36</v>
      </c>
      <c r="B132" s="43"/>
      <c r="C132" s="56"/>
      <c r="D132" s="41">
        <f>[4]Charters!E274</f>
        <v>20098</v>
      </c>
      <c r="E132" s="8"/>
      <c r="F132" s="8"/>
      <c r="G132" s="8"/>
      <c r="H132" s="42">
        <f>+H130-H131</f>
        <v>0</v>
      </c>
      <c r="I132" s="1"/>
    </row>
    <row r="133" spans="1:9" x14ac:dyDescent="0.2">
      <c r="A133" s="59" t="s">
        <v>52</v>
      </c>
      <c r="B133" s="43"/>
      <c r="C133" s="56"/>
      <c r="D133" s="41">
        <f>[4]Charters!G435</f>
        <v>0</v>
      </c>
      <c r="E133" s="8"/>
      <c r="F133" s="42" t="s">
        <v>27</v>
      </c>
      <c r="G133" s="8"/>
      <c r="H133" s="42"/>
      <c r="I133" s="1"/>
    </row>
    <row r="134" spans="1:9" x14ac:dyDescent="0.2">
      <c r="A134" s="20" t="s">
        <v>37</v>
      </c>
      <c r="B134" s="43"/>
      <c r="C134" s="56"/>
      <c r="D134" s="41">
        <f>[4]Charters!E591</f>
        <v>37535</v>
      </c>
      <c r="E134" s="8"/>
      <c r="F134" s="42">
        <f>[4]Charters!E274</f>
        <v>20098</v>
      </c>
      <c r="G134" s="8"/>
      <c r="H134" s="8"/>
      <c r="I134" s="1"/>
    </row>
    <row r="135" spans="1:9" x14ac:dyDescent="0.2">
      <c r="A135" s="20" t="s">
        <v>38</v>
      </c>
      <c r="B135" s="43"/>
      <c r="C135" s="56"/>
      <c r="D135" s="41">
        <f>[4]Charters!F591</f>
        <v>0</v>
      </c>
      <c r="E135" s="8"/>
      <c r="F135" s="42">
        <f>SUM(D132:D132)</f>
        <v>20098</v>
      </c>
      <c r="G135" s="8"/>
      <c r="H135" s="8"/>
      <c r="I135" s="1"/>
    </row>
    <row r="136" spans="1:9" x14ac:dyDescent="0.2">
      <c r="A136" s="59" t="s">
        <v>40</v>
      </c>
      <c r="B136" s="43"/>
      <c r="C136" s="56"/>
      <c r="D136" s="41">
        <f>[4]Charters!G591</f>
        <v>61326</v>
      </c>
      <c r="E136" s="8"/>
      <c r="F136" s="42">
        <f>+F134-F135</f>
        <v>0</v>
      </c>
      <c r="G136" s="8"/>
      <c r="H136" s="8"/>
      <c r="I136" s="1"/>
    </row>
    <row r="137" spans="1:9" x14ac:dyDescent="0.2">
      <c r="A137" s="20" t="s">
        <v>41</v>
      </c>
      <c r="B137" s="43"/>
      <c r="C137" s="56"/>
      <c r="D137" s="41">
        <f>[4]Charters!C744</f>
        <v>1100550</v>
      </c>
      <c r="E137" s="8"/>
      <c r="F137" s="42" t="s">
        <v>28</v>
      </c>
      <c r="G137" s="8"/>
      <c r="H137" s="8"/>
      <c r="I137" s="1"/>
    </row>
    <row r="138" spans="1:9" x14ac:dyDescent="0.2">
      <c r="A138" s="20" t="s">
        <v>42</v>
      </c>
      <c r="B138" s="43"/>
      <c r="C138" s="56"/>
      <c r="D138" s="41">
        <f>[4]Charters!D744</f>
        <v>137904.51</v>
      </c>
      <c r="E138" s="8"/>
      <c r="F138" s="42">
        <f>[4]Charters!D591</f>
        <v>22299.98</v>
      </c>
      <c r="G138" s="8"/>
      <c r="H138" s="8"/>
      <c r="I138" s="1"/>
    </row>
    <row r="139" spans="1:9" x14ac:dyDescent="0.2">
      <c r="A139" s="20" t="s">
        <v>44</v>
      </c>
      <c r="B139" s="43"/>
      <c r="C139" s="56"/>
      <c r="D139" s="41">
        <f>[4]Charters!E744</f>
        <v>55000</v>
      </c>
      <c r="E139" s="8"/>
      <c r="F139" s="42">
        <f>SUM(D131:D133)</f>
        <v>22299.98</v>
      </c>
      <c r="G139" s="8"/>
      <c r="H139" s="8"/>
      <c r="I139" s="1"/>
    </row>
    <row r="140" spans="1:9" x14ac:dyDescent="0.2">
      <c r="A140" s="59" t="s">
        <v>43</v>
      </c>
      <c r="B140" s="43"/>
      <c r="C140" s="56"/>
      <c r="D140" s="41">
        <f>[4]Charters!F744</f>
        <v>16716.919999999998</v>
      </c>
      <c r="E140" s="8"/>
      <c r="F140" s="42">
        <f>+F138-F139</f>
        <v>0</v>
      </c>
      <c r="G140" s="8"/>
      <c r="H140" s="8"/>
      <c r="I140" s="1"/>
    </row>
    <row r="141" spans="1:9" x14ac:dyDescent="0.2">
      <c r="A141" s="59" t="s">
        <v>45</v>
      </c>
      <c r="B141" s="43"/>
      <c r="C141" s="56"/>
      <c r="D141" s="41">
        <f>[4]Charters!C591</f>
        <v>0</v>
      </c>
      <c r="E141" s="8"/>
      <c r="F141" s="8"/>
      <c r="G141" s="8"/>
      <c r="H141" s="8"/>
      <c r="I141" s="1"/>
    </row>
    <row r="142" spans="1:9" x14ac:dyDescent="0.2">
      <c r="A142" s="59" t="s">
        <v>46</v>
      </c>
      <c r="B142" s="43"/>
      <c r="C142" s="56"/>
      <c r="D142" s="41">
        <f>[4]Charters!C900</f>
        <v>0</v>
      </c>
      <c r="E142" s="42"/>
      <c r="F142" s="42"/>
      <c r="G142" s="42"/>
      <c r="H142" s="42" t="s">
        <v>31</v>
      </c>
      <c r="I142" s="82"/>
    </row>
    <row r="143" spans="1:9" x14ac:dyDescent="0.2">
      <c r="A143" s="59" t="s">
        <v>51</v>
      </c>
      <c r="B143" s="43"/>
      <c r="C143" s="56"/>
      <c r="D143" s="60">
        <f>[4]Charters!D900</f>
        <v>737.28</v>
      </c>
      <c r="E143" s="42"/>
      <c r="F143" s="42"/>
      <c r="G143" s="42"/>
      <c r="H143" s="42">
        <f>[4]Charters!D1359</f>
        <v>3309274.75</v>
      </c>
      <c r="I143" s="82"/>
    </row>
    <row r="144" spans="1:9" x14ac:dyDescent="0.2">
      <c r="A144" s="20" t="s">
        <v>47</v>
      </c>
      <c r="B144" s="43"/>
      <c r="C144" s="56"/>
      <c r="D144" s="60">
        <f>[4]Charters!E900</f>
        <v>0</v>
      </c>
      <c r="E144" s="42"/>
      <c r="F144" s="42"/>
      <c r="G144" s="42"/>
      <c r="H144" s="42">
        <f>D153</f>
        <v>3309274.75</v>
      </c>
      <c r="I144" s="82"/>
    </row>
    <row r="145" spans="1:9" x14ac:dyDescent="0.2">
      <c r="A145" s="20" t="s">
        <v>57</v>
      </c>
      <c r="B145" s="43"/>
      <c r="C145" s="56"/>
      <c r="D145" s="60">
        <f>[4]Charters!C1053</f>
        <v>0</v>
      </c>
      <c r="E145" s="42"/>
      <c r="F145" s="42"/>
      <c r="G145" s="42"/>
      <c r="H145" s="42">
        <f>+H143-H144</f>
        <v>0</v>
      </c>
      <c r="I145" s="82"/>
    </row>
    <row r="146" spans="1:9" x14ac:dyDescent="0.2">
      <c r="A146" s="59" t="s">
        <v>53</v>
      </c>
      <c r="B146" s="43"/>
      <c r="C146" s="56"/>
      <c r="D146" s="60">
        <f>[4]Charters!D1053</f>
        <v>0</v>
      </c>
      <c r="E146" s="42"/>
      <c r="F146" s="42" t="s">
        <v>30</v>
      </c>
      <c r="G146" s="42"/>
      <c r="H146" s="42"/>
      <c r="I146" s="82"/>
    </row>
    <row r="147" spans="1:9" x14ac:dyDescent="0.2">
      <c r="A147" s="59" t="s">
        <v>59</v>
      </c>
      <c r="B147" s="43"/>
      <c r="C147" s="56"/>
      <c r="D147" s="60">
        <f>[4]Charters!E1053</f>
        <v>24767.19</v>
      </c>
      <c r="E147" s="42"/>
      <c r="F147" s="42"/>
      <c r="G147" s="42"/>
      <c r="H147" s="42"/>
      <c r="I147" s="82"/>
    </row>
    <row r="148" spans="1:9" x14ac:dyDescent="0.2">
      <c r="A148" s="38" t="s">
        <v>18</v>
      </c>
      <c r="B148" s="61"/>
      <c r="C148" s="62"/>
      <c r="D148" s="87"/>
      <c r="E148" s="42"/>
      <c r="F148" s="42">
        <f>[4]Charters!C1359</f>
        <v>10919.22</v>
      </c>
      <c r="G148" s="42"/>
      <c r="H148" s="42"/>
      <c r="I148" s="82"/>
    </row>
    <row r="149" spans="1:9" x14ac:dyDescent="0.2">
      <c r="A149" s="59" t="s">
        <v>39</v>
      </c>
      <c r="B149" s="43"/>
      <c r="C149" s="56"/>
      <c r="D149" s="41">
        <f>[4]Charters!C1206</f>
        <v>5179.2</v>
      </c>
      <c r="E149" s="42"/>
      <c r="F149" s="42">
        <f>SUM(D149:D152)</f>
        <v>10919.22</v>
      </c>
      <c r="G149" s="42"/>
      <c r="H149" s="42"/>
      <c r="I149" s="82"/>
    </row>
    <row r="150" spans="1:9" x14ac:dyDescent="0.2">
      <c r="A150" s="59" t="s">
        <v>48</v>
      </c>
      <c r="B150" s="43"/>
      <c r="C150" s="56"/>
      <c r="D150" s="41">
        <f>[4]Charters!D1206</f>
        <v>0</v>
      </c>
      <c r="E150" s="42"/>
      <c r="F150" s="42">
        <f>+F148-F149</f>
        <v>0</v>
      </c>
      <c r="G150" s="42"/>
      <c r="H150" s="42"/>
      <c r="I150" s="82"/>
    </row>
    <row r="151" spans="1:9" x14ac:dyDescent="0.2">
      <c r="A151" s="59" t="s">
        <v>60</v>
      </c>
      <c r="B151" s="43"/>
      <c r="C151" s="56"/>
      <c r="D151" s="41">
        <f>[4]Charters!E1206</f>
        <v>0</v>
      </c>
      <c r="E151" s="42"/>
      <c r="F151" s="42"/>
      <c r="G151" s="42"/>
      <c r="H151" s="42"/>
      <c r="I151" s="82"/>
    </row>
    <row r="152" spans="1:9" x14ac:dyDescent="0.2">
      <c r="A152" s="59" t="s">
        <v>61</v>
      </c>
      <c r="B152" s="43"/>
      <c r="C152" s="56"/>
      <c r="D152" s="41">
        <f>[4]Charters!F1206</f>
        <v>5740.02</v>
      </c>
      <c r="E152" s="42"/>
      <c r="F152" s="42"/>
      <c r="G152" s="42"/>
      <c r="H152" s="42"/>
      <c r="I152" s="82"/>
    </row>
    <row r="153" spans="1:9" ht="13.5" thickBot="1" x14ac:dyDescent="0.25">
      <c r="A153" s="64"/>
      <c r="B153" s="65"/>
      <c r="C153" s="66"/>
      <c r="D153" s="67">
        <f>SUM(D128:D152)</f>
        <v>3309274.75</v>
      </c>
      <c r="E153" s="42"/>
      <c r="F153" s="42"/>
      <c r="G153" s="42"/>
      <c r="H153" s="42"/>
      <c r="I153" s="82"/>
    </row>
    <row r="154" spans="1:9" ht="13.5" thickTop="1" x14ac:dyDescent="0.2">
      <c r="A154" s="68"/>
      <c r="B154" s="43"/>
      <c r="C154" s="56"/>
      <c r="D154" s="86"/>
      <c r="E154" s="42"/>
      <c r="F154" s="42"/>
      <c r="G154" s="42"/>
      <c r="H154" s="42"/>
      <c r="I154" s="82"/>
    </row>
    <row r="155" spans="1:9" x14ac:dyDescent="0.2">
      <c r="A155" s="38" t="s">
        <v>20</v>
      </c>
      <c r="B155" s="39"/>
      <c r="C155" s="70"/>
      <c r="D155" s="71" t="s">
        <v>21</v>
      </c>
      <c r="E155" s="42"/>
      <c r="F155" s="42"/>
      <c r="G155" s="42"/>
      <c r="H155" s="42"/>
      <c r="I155" s="82"/>
    </row>
    <row r="156" spans="1:9" x14ac:dyDescent="0.2">
      <c r="A156" s="72" t="s">
        <v>22</v>
      </c>
      <c r="B156" s="73"/>
      <c r="C156" s="74"/>
      <c r="D156" s="41">
        <f>[5]Charters!C112</f>
        <v>1213.6099999999999</v>
      </c>
      <c r="E156" s="42"/>
      <c r="F156" s="42"/>
      <c r="G156" s="42"/>
      <c r="H156" s="42"/>
      <c r="I156" s="82"/>
    </row>
    <row r="157" spans="1:9" x14ac:dyDescent="0.2">
      <c r="A157" s="75"/>
      <c r="B157" s="61"/>
      <c r="C157" s="76"/>
      <c r="D157" s="77">
        <f>SUM(D156:D156)</f>
        <v>1213.6099999999999</v>
      </c>
      <c r="E157" s="42"/>
      <c r="F157" s="42"/>
      <c r="G157" s="42"/>
      <c r="H157" s="42"/>
      <c r="I157" s="82"/>
    </row>
    <row r="158" spans="1:9" x14ac:dyDescent="0.2">
      <c r="A158" s="78" t="s">
        <v>58</v>
      </c>
      <c r="B158" s="79"/>
      <c r="C158" s="80"/>
      <c r="D158" s="77">
        <f>D157+D153</f>
        <v>3310488.36</v>
      </c>
      <c r="E158" s="42"/>
      <c r="F158" s="42"/>
      <c r="G158" s="42"/>
      <c r="H158" s="42"/>
      <c r="I158" s="82"/>
    </row>
    <row r="159" spans="1:9" x14ac:dyDescent="0.2">
      <c r="A159" s="84"/>
      <c r="B159" s="84"/>
      <c r="C159" s="85"/>
      <c r="D159" s="81"/>
      <c r="E159" s="42"/>
      <c r="F159" s="42"/>
      <c r="G159" s="42"/>
      <c r="H159" s="42"/>
      <c r="I159" s="82"/>
    </row>
    <row r="160" spans="1:9" x14ac:dyDescent="0.2">
      <c r="A160" s="84"/>
      <c r="B160" s="84"/>
      <c r="C160" s="85"/>
      <c r="D160" s="81">
        <f>[5]Charters!E268</f>
        <v>3310488.36</v>
      </c>
      <c r="E160" s="42"/>
      <c r="F160" s="42"/>
      <c r="G160" s="42"/>
      <c r="H160" s="42"/>
      <c r="I160" s="82"/>
    </row>
    <row r="161" spans="1:9" x14ac:dyDescent="0.2">
      <c r="A161" s="84"/>
      <c r="B161" s="84"/>
      <c r="C161" s="85"/>
      <c r="D161" s="81">
        <f>D158</f>
        <v>3310488.36</v>
      </c>
      <c r="E161" s="42"/>
      <c r="F161" s="42"/>
      <c r="G161" s="42"/>
      <c r="H161" s="42"/>
      <c r="I161" s="82"/>
    </row>
    <row r="162" spans="1:9" x14ac:dyDescent="0.2">
      <c r="A162" s="82"/>
      <c r="B162" s="82"/>
      <c r="C162" s="83"/>
      <c r="D162" s="42">
        <f>D160-D161</f>
        <v>0</v>
      </c>
      <c r="E162" s="42"/>
      <c r="F162" s="42"/>
      <c r="G162" s="42"/>
      <c r="H162" s="42"/>
      <c r="I162" s="82"/>
    </row>
  </sheetData>
  <mergeCells count="4">
    <mergeCell ref="A104:D104"/>
    <mergeCell ref="A105:D105"/>
    <mergeCell ref="A106:D106"/>
    <mergeCell ref="A158:C158"/>
  </mergeCells>
  <printOptions horizontalCentered="1" verticalCentered="1"/>
  <pageMargins left="0.5" right="0.5" top="0.5" bottom="0.5" header="0.25" footer="0.25"/>
  <pageSetup orientation="portrait" r:id="rId1"/>
  <headerFooter alignWithMargins="0">
    <oddHeader>&amp;R&amp;8Current as of: &amp;D</oddHeader>
    <oddFooter>&amp;L&amp;8USOE, School Finance</oddFooter>
  </headerFooter>
  <picture r:id="rId2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000-000000000000}">
  <sheetPr>
    <pageSetUpPr fitToPage="1"/>
  </sheetPr>
  <dimension ref="A1:I163"/>
  <sheetViews>
    <sheetView topLeftCell="A103" workbookViewId="0">
      <selection activeCell="C12" sqref="C12"/>
    </sheetView>
  </sheetViews>
  <sheetFormatPr defaultRowHeight="12.75" x14ac:dyDescent="0.2"/>
  <cols>
    <col min="1" max="1" width="32.7109375" style="89" customWidth="1"/>
    <col min="2" max="2" width="16.140625" style="89" customWidth="1"/>
    <col min="3" max="4" width="15" style="89" customWidth="1"/>
    <col min="5" max="5" width="9.140625" style="89"/>
    <col min="6" max="6" width="16.42578125" style="89" customWidth="1"/>
    <col min="7" max="7" width="9.140625" style="89"/>
    <col min="8" max="8" width="15.28515625" style="89" customWidth="1"/>
    <col min="9" max="16384" width="9.140625" style="89"/>
  </cols>
  <sheetData>
    <row r="1" spans="1:9" x14ac:dyDescent="0.2">
      <c r="A1" s="7"/>
      <c r="B1" s="7"/>
      <c r="C1" s="7"/>
      <c r="D1" s="7"/>
      <c r="E1" s="7"/>
      <c r="F1" s="7"/>
      <c r="G1" s="7"/>
      <c r="H1" s="7"/>
      <c r="I1" s="7"/>
    </row>
    <row r="2" spans="1:9" x14ac:dyDescent="0.2">
      <c r="A2" s="7"/>
      <c r="B2" s="7"/>
      <c r="C2" s="7"/>
      <c r="D2" s="7"/>
      <c r="E2" s="7"/>
      <c r="F2" s="7"/>
      <c r="G2" s="7"/>
      <c r="H2" s="7"/>
      <c r="I2" s="7"/>
    </row>
    <row r="3" spans="1:9" x14ac:dyDescent="0.2">
      <c r="A3" s="7"/>
      <c r="B3" s="7"/>
      <c r="C3" s="7"/>
      <c r="D3" s="7"/>
      <c r="E3" s="7"/>
      <c r="F3" s="7"/>
      <c r="G3" s="7"/>
      <c r="H3" s="7"/>
      <c r="I3" s="7"/>
    </row>
    <row r="4" spans="1:9" x14ac:dyDescent="0.2">
      <c r="A4" s="7"/>
      <c r="B4" s="7"/>
      <c r="C4" s="7"/>
      <c r="D4" s="7"/>
      <c r="E4" s="7"/>
      <c r="F4" s="7"/>
      <c r="G4" s="7"/>
      <c r="H4" s="7"/>
      <c r="I4" s="7"/>
    </row>
    <row r="5" spans="1:9" x14ac:dyDescent="0.2">
      <c r="A5" s="7"/>
      <c r="B5" s="7"/>
      <c r="C5" s="7"/>
      <c r="D5" s="7"/>
      <c r="E5" s="7"/>
      <c r="F5" s="7"/>
      <c r="G5" s="7"/>
      <c r="H5" s="7"/>
      <c r="I5" s="7"/>
    </row>
    <row r="6" spans="1:9" x14ac:dyDescent="0.2">
      <c r="A6" s="7"/>
      <c r="B6" s="7"/>
      <c r="C6" s="7"/>
      <c r="D6" s="7"/>
      <c r="E6" s="7"/>
      <c r="F6" s="7"/>
      <c r="G6" s="7"/>
      <c r="H6" s="7"/>
      <c r="I6" s="7"/>
    </row>
    <row r="7" spans="1:9" x14ac:dyDescent="0.2">
      <c r="A7" s="7"/>
      <c r="B7" s="7"/>
      <c r="C7" s="7"/>
      <c r="D7" s="7"/>
      <c r="E7" s="7"/>
      <c r="F7" s="7"/>
      <c r="G7" s="7"/>
      <c r="H7" s="7"/>
      <c r="I7" s="7"/>
    </row>
    <row r="8" spans="1:9" x14ac:dyDescent="0.2">
      <c r="A8" s="7"/>
      <c r="B8" s="7"/>
      <c r="C8" s="7"/>
      <c r="D8" s="7"/>
      <c r="E8" s="7"/>
      <c r="F8" s="7"/>
      <c r="G8" s="7"/>
      <c r="H8" s="7"/>
      <c r="I8" s="7"/>
    </row>
    <row r="9" spans="1:9" x14ac:dyDescent="0.2">
      <c r="A9" s="7"/>
      <c r="B9" s="7"/>
      <c r="C9" s="7"/>
      <c r="D9" s="7"/>
      <c r="E9" s="7"/>
      <c r="F9" s="7"/>
      <c r="G9" s="7"/>
      <c r="H9" s="7"/>
      <c r="I9" s="7"/>
    </row>
    <row r="10" spans="1:9" x14ac:dyDescent="0.2">
      <c r="A10" s="7"/>
      <c r="B10" s="7"/>
      <c r="C10" s="7"/>
      <c r="D10" s="7"/>
      <c r="E10" s="7"/>
      <c r="F10" s="7"/>
      <c r="G10" s="7"/>
      <c r="H10" s="7"/>
      <c r="I10" s="7"/>
    </row>
    <row r="11" spans="1:9" x14ac:dyDescent="0.2">
      <c r="A11" s="7"/>
      <c r="B11" s="7"/>
      <c r="C11" s="7"/>
      <c r="D11" s="7"/>
      <c r="E11" s="7"/>
      <c r="F11" s="7"/>
      <c r="G11" s="7"/>
      <c r="H11" s="7"/>
      <c r="I11" s="7"/>
    </row>
    <row r="12" spans="1:9" x14ac:dyDescent="0.2">
      <c r="A12" s="7"/>
      <c r="B12" s="7"/>
      <c r="C12" s="7"/>
      <c r="D12" s="7"/>
      <c r="E12" s="7"/>
      <c r="F12" s="7"/>
      <c r="G12" s="7"/>
      <c r="H12" s="7"/>
      <c r="I12" s="7"/>
    </row>
    <row r="13" spans="1:9" x14ac:dyDescent="0.2">
      <c r="A13" s="7"/>
      <c r="B13" s="7"/>
      <c r="C13" s="7"/>
      <c r="D13" s="7"/>
      <c r="E13" s="7"/>
      <c r="F13" s="7"/>
      <c r="G13" s="7"/>
      <c r="H13" s="7"/>
      <c r="I13" s="7"/>
    </row>
    <row r="14" spans="1:9" x14ac:dyDescent="0.2">
      <c r="A14" s="7"/>
      <c r="B14" s="7"/>
      <c r="C14" s="7"/>
      <c r="D14" s="7"/>
      <c r="E14" s="7"/>
      <c r="F14" s="7"/>
      <c r="G14" s="7"/>
      <c r="H14" s="7"/>
      <c r="I14" s="7"/>
    </row>
    <row r="15" spans="1:9" x14ac:dyDescent="0.2">
      <c r="A15" s="7"/>
      <c r="B15" s="7"/>
      <c r="C15" s="7"/>
      <c r="D15" s="7"/>
      <c r="E15" s="7"/>
      <c r="F15" s="7"/>
      <c r="G15" s="7"/>
      <c r="H15" s="7"/>
      <c r="I15" s="7"/>
    </row>
    <row r="16" spans="1:9" x14ac:dyDescent="0.2">
      <c r="A16" s="7"/>
      <c r="B16" s="7"/>
      <c r="C16" s="7"/>
      <c r="D16" s="7"/>
      <c r="E16" s="7"/>
      <c r="F16" s="7"/>
      <c r="G16" s="7"/>
      <c r="H16" s="7"/>
      <c r="I16" s="7"/>
    </row>
    <row r="17" spans="1:9" x14ac:dyDescent="0.2">
      <c r="A17" s="7"/>
      <c r="B17" s="7"/>
      <c r="C17" s="7"/>
      <c r="D17" s="7"/>
      <c r="E17" s="7"/>
      <c r="F17" s="7"/>
      <c r="G17" s="7"/>
      <c r="H17" s="7"/>
      <c r="I17" s="7"/>
    </row>
    <row r="18" spans="1:9" x14ac:dyDescent="0.2">
      <c r="A18" s="7"/>
      <c r="B18" s="7"/>
      <c r="C18" s="7"/>
      <c r="D18" s="7"/>
      <c r="E18" s="7"/>
      <c r="F18" s="7"/>
      <c r="G18" s="7"/>
      <c r="H18" s="7"/>
      <c r="I18" s="7"/>
    </row>
    <row r="19" spans="1:9" x14ac:dyDescent="0.2">
      <c r="A19" s="7"/>
      <c r="B19" s="7"/>
      <c r="C19" s="7"/>
      <c r="D19" s="7"/>
      <c r="E19" s="7"/>
      <c r="F19" s="7"/>
      <c r="G19" s="7"/>
      <c r="H19" s="7"/>
      <c r="I19" s="7"/>
    </row>
    <row r="20" spans="1:9" x14ac:dyDescent="0.2">
      <c r="A20" s="7"/>
      <c r="B20" s="7"/>
      <c r="C20" s="7"/>
      <c r="D20" s="7"/>
      <c r="E20" s="7"/>
      <c r="F20" s="7"/>
      <c r="G20" s="7"/>
      <c r="H20" s="7"/>
      <c r="I20" s="7"/>
    </row>
    <row r="21" spans="1:9" x14ac:dyDescent="0.2">
      <c r="A21" s="7"/>
      <c r="B21" s="7"/>
      <c r="C21" s="7"/>
      <c r="D21" s="7"/>
      <c r="E21" s="7"/>
      <c r="F21" s="7"/>
      <c r="G21" s="7"/>
      <c r="H21" s="7"/>
      <c r="I21" s="7"/>
    </row>
    <row r="22" spans="1:9" x14ac:dyDescent="0.2">
      <c r="A22" s="7"/>
      <c r="B22" s="7"/>
      <c r="C22" s="7"/>
      <c r="D22" s="4"/>
      <c r="E22" s="7"/>
      <c r="F22" s="7"/>
      <c r="G22" s="7"/>
      <c r="H22" s="7"/>
      <c r="I22" s="7"/>
    </row>
    <row r="23" spans="1:9" x14ac:dyDescent="0.2">
      <c r="A23" s="7"/>
      <c r="B23" s="7"/>
      <c r="C23" s="7"/>
      <c r="D23" s="7"/>
      <c r="E23" s="7"/>
      <c r="F23" s="7"/>
      <c r="G23" s="7"/>
      <c r="H23" s="7"/>
      <c r="I23" s="7"/>
    </row>
    <row r="24" spans="1:9" x14ac:dyDescent="0.2">
      <c r="A24" s="7"/>
      <c r="B24" s="7"/>
      <c r="C24" s="7"/>
      <c r="D24" s="7"/>
      <c r="E24" s="7"/>
      <c r="F24" s="7"/>
      <c r="G24" s="7"/>
      <c r="H24" s="7"/>
      <c r="I24" s="7"/>
    </row>
    <row r="25" spans="1:9" x14ac:dyDescent="0.2">
      <c r="A25" s="7"/>
      <c r="B25" s="7"/>
      <c r="C25" s="7"/>
      <c r="D25" s="7"/>
      <c r="E25" s="7"/>
      <c r="F25" s="7"/>
      <c r="G25" s="7"/>
      <c r="H25" s="7"/>
      <c r="I25" s="7"/>
    </row>
    <row r="26" spans="1:9" x14ac:dyDescent="0.2">
      <c r="A26" s="7"/>
      <c r="B26" s="7"/>
      <c r="C26" s="7"/>
      <c r="D26" s="7"/>
      <c r="E26" s="7"/>
      <c r="F26" s="7"/>
      <c r="G26" s="7"/>
      <c r="H26" s="7"/>
      <c r="I26" s="7"/>
    </row>
    <row r="27" spans="1:9" x14ac:dyDescent="0.2">
      <c r="A27" s="7"/>
      <c r="B27" s="7"/>
      <c r="C27" s="7"/>
      <c r="D27" s="7"/>
      <c r="E27" s="7"/>
      <c r="F27" s="7"/>
      <c r="G27" s="7"/>
      <c r="H27" s="7"/>
      <c r="I27" s="7"/>
    </row>
    <row r="28" spans="1:9" x14ac:dyDescent="0.2">
      <c r="A28" s="7"/>
      <c r="B28" s="7"/>
      <c r="C28" s="7"/>
      <c r="D28" s="7"/>
      <c r="E28" s="7"/>
      <c r="F28" s="7"/>
      <c r="G28" s="7"/>
      <c r="H28" s="7"/>
      <c r="I28" s="7"/>
    </row>
    <row r="29" spans="1:9" x14ac:dyDescent="0.2">
      <c r="A29" s="7"/>
      <c r="B29" s="7"/>
      <c r="C29" s="7"/>
      <c r="D29" s="7"/>
      <c r="E29" s="7"/>
      <c r="F29" s="7"/>
      <c r="G29" s="7"/>
      <c r="H29" s="7"/>
      <c r="I29" s="7"/>
    </row>
    <row r="30" spans="1:9" x14ac:dyDescent="0.2">
      <c r="A30" s="7"/>
      <c r="B30" s="7"/>
      <c r="C30" s="7"/>
      <c r="D30" s="7"/>
      <c r="E30" s="7"/>
      <c r="F30" s="7"/>
      <c r="G30" s="7"/>
      <c r="H30" s="7"/>
      <c r="I30" s="7"/>
    </row>
    <row r="31" spans="1:9" x14ac:dyDescent="0.2">
      <c r="A31" s="7"/>
      <c r="B31" s="7"/>
      <c r="C31" s="7"/>
      <c r="D31" s="7"/>
      <c r="E31" s="7"/>
      <c r="F31" s="7"/>
      <c r="G31" s="7"/>
      <c r="H31" s="7"/>
      <c r="I31" s="7"/>
    </row>
    <row r="32" spans="1:9" x14ac:dyDescent="0.2">
      <c r="A32" s="7"/>
      <c r="B32" s="7"/>
      <c r="C32" s="7"/>
      <c r="D32" s="7"/>
      <c r="E32" s="7"/>
      <c r="F32" s="7"/>
      <c r="G32" s="7"/>
      <c r="H32" s="7"/>
      <c r="I32" s="7"/>
    </row>
    <row r="33" spans="1:9" x14ac:dyDescent="0.2">
      <c r="A33" s="7"/>
      <c r="B33" s="7"/>
      <c r="C33" s="7"/>
      <c r="D33" s="7"/>
      <c r="E33" s="7"/>
      <c r="F33" s="7"/>
      <c r="G33" s="7"/>
      <c r="H33" s="7"/>
      <c r="I33" s="7"/>
    </row>
    <row r="34" spans="1:9" x14ac:dyDescent="0.2">
      <c r="A34" s="7"/>
      <c r="B34" s="7"/>
      <c r="C34" s="7"/>
      <c r="D34" s="7"/>
      <c r="E34" s="7"/>
      <c r="F34" s="7"/>
      <c r="G34" s="7"/>
      <c r="H34" s="7"/>
      <c r="I34" s="7"/>
    </row>
    <row r="35" spans="1:9" x14ac:dyDescent="0.2">
      <c r="A35" s="7"/>
      <c r="B35" s="7"/>
      <c r="C35" s="7"/>
      <c r="D35" s="7"/>
      <c r="E35" s="7"/>
      <c r="F35" s="7"/>
      <c r="G35" s="7"/>
      <c r="H35" s="7"/>
      <c r="I35" s="7"/>
    </row>
    <row r="36" spans="1:9" x14ac:dyDescent="0.2">
      <c r="A36" s="7"/>
      <c r="B36" s="7"/>
      <c r="C36" s="7"/>
      <c r="D36" s="7"/>
      <c r="E36" s="7"/>
      <c r="F36" s="7"/>
      <c r="G36" s="7"/>
      <c r="H36" s="7"/>
      <c r="I36" s="7"/>
    </row>
    <row r="37" spans="1:9" x14ac:dyDescent="0.2">
      <c r="A37" s="7"/>
      <c r="B37" s="7"/>
      <c r="C37" s="7"/>
      <c r="D37" s="7"/>
      <c r="E37" s="7"/>
      <c r="F37" s="7"/>
      <c r="G37" s="7"/>
      <c r="H37" s="7"/>
      <c r="I37" s="7"/>
    </row>
    <row r="38" spans="1:9" x14ac:dyDescent="0.2">
      <c r="A38" s="7"/>
      <c r="B38" s="7"/>
      <c r="C38" s="7"/>
      <c r="D38" s="7"/>
      <c r="E38" s="7"/>
      <c r="F38" s="7"/>
      <c r="G38" s="7"/>
      <c r="H38" s="7"/>
      <c r="I38" s="7"/>
    </row>
    <row r="39" spans="1:9" x14ac:dyDescent="0.2">
      <c r="A39" s="7"/>
      <c r="B39" s="7"/>
      <c r="C39" s="7"/>
      <c r="D39" s="7"/>
      <c r="E39" s="7"/>
      <c r="F39" s="7"/>
      <c r="G39" s="7"/>
      <c r="H39" s="7"/>
      <c r="I39" s="7"/>
    </row>
    <row r="40" spans="1:9" x14ac:dyDescent="0.2">
      <c r="A40" s="7"/>
      <c r="B40" s="7"/>
      <c r="C40" s="7"/>
      <c r="D40" s="7"/>
      <c r="E40" s="7"/>
      <c r="F40" s="7"/>
      <c r="G40" s="7"/>
      <c r="H40" s="7"/>
      <c r="I40" s="7"/>
    </row>
    <row r="41" spans="1:9" x14ac:dyDescent="0.2">
      <c r="A41" s="7"/>
      <c r="B41" s="7"/>
      <c r="C41" s="7"/>
      <c r="D41" s="7"/>
      <c r="E41" s="7"/>
      <c r="F41" s="7"/>
      <c r="G41" s="7"/>
      <c r="H41" s="7"/>
      <c r="I41" s="7"/>
    </row>
    <row r="42" spans="1:9" x14ac:dyDescent="0.2">
      <c r="A42" s="7"/>
      <c r="B42" s="7"/>
      <c r="C42" s="7"/>
      <c r="D42" s="7"/>
      <c r="E42" s="7"/>
      <c r="F42" s="7"/>
      <c r="G42" s="7"/>
      <c r="H42" s="7"/>
      <c r="I42" s="7"/>
    </row>
    <row r="43" spans="1:9" x14ac:dyDescent="0.2">
      <c r="A43" s="7"/>
      <c r="B43" s="7"/>
      <c r="C43" s="7"/>
      <c r="D43" s="7"/>
      <c r="E43" s="7"/>
      <c r="F43" s="7"/>
      <c r="G43" s="7"/>
      <c r="H43" s="7"/>
      <c r="I43" s="7"/>
    </row>
    <row r="44" spans="1:9" x14ac:dyDescent="0.2">
      <c r="A44" s="7"/>
      <c r="B44" s="7"/>
      <c r="C44" s="7"/>
      <c r="D44" s="7"/>
      <c r="E44" s="7"/>
      <c r="F44" s="7"/>
      <c r="G44" s="7"/>
      <c r="H44" s="7"/>
      <c r="I44" s="7"/>
    </row>
    <row r="45" spans="1:9" x14ac:dyDescent="0.2">
      <c r="A45" s="7"/>
      <c r="B45" s="7"/>
      <c r="C45" s="7"/>
      <c r="D45" s="7"/>
      <c r="E45" s="7"/>
      <c r="F45" s="7"/>
      <c r="G45" s="7"/>
      <c r="H45" s="7"/>
      <c r="I45" s="7"/>
    </row>
    <row r="46" spans="1:9" x14ac:dyDescent="0.2">
      <c r="A46" s="7"/>
      <c r="B46" s="7"/>
      <c r="C46" s="7"/>
      <c r="D46" s="7"/>
      <c r="E46" s="7"/>
      <c r="F46" s="7"/>
      <c r="G46" s="7"/>
      <c r="H46" s="7"/>
      <c r="I46" s="7"/>
    </row>
    <row r="47" spans="1:9" x14ac:dyDescent="0.2">
      <c r="A47" s="7"/>
      <c r="B47" s="7"/>
      <c r="C47" s="7"/>
      <c r="D47" s="7"/>
      <c r="E47" s="7"/>
      <c r="F47" s="7"/>
      <c r="G47" s="7"/>
      <c r="H47" s="7"/>
      <c r="I47" s="7"/>
    </row>
    <row r="48" spans="1:9" x14ac:dyDescent="0.2">
      <c r="A48" s="7"/>
      <c r="B48" s="7"/>
      <c r="C48" s="7"/>
      <c r="D48" s="7"/>
      <c r="E48" s="7"/>
      <c r="F48" s="7"/>
      <c r="G48" s="7"/>
      <c r="H48" s="7"/>
      <c r="I48" s="7"/>
    </row>
    <row r="49" spans="1:9" x14ac:dyDescent="0.2">
      <c r="A49" s="7"/>
      <c r="B49" s="7"/>
      <c r="C49" s="7"/>
      <c r="D49" s="7"/>
      <c r="E49" s="7"/>
      <c r="F49" s="7"/>
      <c r="G49" s="7"/>
      <c r="H49" s="7"/>
      <c r="I49" s="7"/>
    </row>
    <row r="50" spans="1:9" x14ac:dyDescent="0.2">
      <c r="A50" s="7"/>
      <c r="B50" s="7"/>
      <c r="C50" s="7"/>
      <c r="D50" s="7"/>
      <c r="E50" s="7"/>
      <c r="F50" s="7"/>
      <c r="G50" s="7"/>
      <c r="H50" s="7"/>
      <c r="I50" s="7"/>
    </row>
    <row r="51" spans="1:9" x14ac:dyDescent="0.2">
      <c r="A51" s="7"/>
      <c r="B51" s="7"/>
      <c r="C51" s="7"/>
      <c r="D51" s="7"/>
      <c r="E51" s="7"/>
      <c r="F51" s="7"/>
      <c r="G51" s="7"/>
      <c r="H51" s="7"/>
      <c r="I51" s="7"/>
    </row>
    <row r="52" spans="1:9" x14ac:dyDescent="0.2">
      <c r="A52" s="7"/>
      <c r="B52" s="7"/>
      <c r="C52" s="7"/>
      <c r="D52" s="7"/>
      <c r="E52" s="7"/>
      <c r="F52" s="7"/>
      <c r="G52" s="7"/>
      <c r="H52" s="7"/>
      <c r="I52" s="7"/>
    </row>
    <row r="53" spans="1:9" x14ac:dyDescent="0.2">
      <c r="A53" s="7"/>
      <c r="B53" s="7"/>
      <c r="C53" s="7"/>
      <c r="D53" s="7"/>
      <c r="E53" s="7"/>
      <c r="F53" s="7"/>
      <c r="G53" s="7"/>
      <c r="H53" s="7"/>
      <c r="I53" s="7"/>
    </row>
    <row r="54" spans="1:9" x14ac:dyDescent="0.2">
      <c r="A54" s="7"/>
      <c r="B54" s="7"/>
      <c r="C54" s="7"/>
      <c r="D54" s="7"/>
      <c r="E54" s="7"/>
      <c r="F54" s="7"/>
      <c r="G54" s="7"/>
      <c r="H54" s="7"/>
      <c r="I54" s="7"/>
    </row>
    <row r="55" spans="1:9" x14ac:dyDescent="0.2">
      <c r="A55" s="7"/>
      <c r="B55" s="7"/>
      <c r="C55" s="7"/>
      <c r="D55" s="7"/>
      <c r="E55" s="7"/>
      <c r="F55" s="7"/>
      <c r="G55" s="7"/>
      <c r="H55" s="7"/>
      <c r="I55" s="7"/>
    </row>
    <row r="56" spans="1:9" x14ac:dyDescent="0.2">
      <c r="A56" s="7"/>
      <c r="B56" s="7"/>
      <c r="C56" s="7"/>
      <c r="D56" s="7"/>
      <c r="E56" s="7"/>
      <c r="F56" s="7"/>
      <c r="G56" s="7"/>
      <c r="H56" s="7"/>
      <c r="I56" s="7"/>
    </row>
    <row r="57" spans="1:9" x14ac:dyDescent="0.2">
      <c r="A57" s="7"/>
      <c r="B57" s="7"/>
      <c r="C57" s="7"/>
      <c r="D57" s="7"/>
      <c r="E57" s="7"/>
      <c r="F57" s="7"/>
      <c r="G57" s="7"/>
      <c r="H57" s="7"/>
      <c r="I57" s="7"/>
    </row>
    <row r="58" spans="1:9" x14ac:dyDescent="0.2">
      <c r="A58" s="7"/>
      <c r="B58" s="7"/>
      <c r="C58" s="7"/>
      <c r="D58" s="7"/>
      <c r="E58" s="7"/>
      <c r="F58" s="7"/>
      <c r="G58" s="7"/>
      <c r="H58" s="7"/>
      <c r="I58" s="7"/>
    </row>
    <row r="59" spans="1:9" x14ac:dyDescent="0.2">
      <c r="A59" s="7"/>
      <c r="B59" s="7"/>
      <c r="C59" s="7"/>
      <c r="D59" s="7"/>
      <c r="E59" s="7"/>
      <c r="F59" s="7"/>
      <c r="G59" s="7"/>
      <c r="H59" s="7"/>
      <c r="I59" s="7"/>
    </row>
    <row r="60" spans="1:9" x14ac:dyDescent="0.2">
      <c r="A60" s="7"/>
      <c r="B60" s="7"/>
      <c r="C60" s="7"/>
      <c r="D60" s="7"/>
      <c r="E60" s="7"/>
      <c r="F60" s="7"/>
      <c r="G60" s="7"/>
      <c r="H60" s="7"/>
      <c r="I60" s="7"/>
    </row>
    <row r="61" spans="1:9" x14ac:dyDescent="0.2">
      <c r="A61" s="7"/>
      <c r="B61" s="7"/>
      <c r="C61" s="7"/>
      <c r="D61" s="7"/>
      <c r="E61" s="7"/>
      <c r="F61" s="7"/>
      <c r="G61" s="7"/>
      <c r="H61" s="7"/>
      <c r="I61" s="7"/>
    </row>
    <row r="62" spans="1:9" x14ac:dyDescent="0.2">
      <c r="A62" s="7"/>
      <c r="B62" s="7"/>
      <c r="C62" s="7"/>
      <c r="D62" s="7"/>
      <c r="E62" s="7"/>
      <c r="F62" s="7"/>
      <c r="G62" s="7"/>
      <c r="H62" s="7"/>
      <c r="I62" s="7"/>
    </row>
    <row r="63" spans="1:9" x14ac:dyDescent="0.2">
      <c r="A63" s="7"/>
      <c r="B63" s="7"/>
      <c r="C63" s="7"/>
      <c r="D63" s="7"/>
      <c r="E63" s="7"/>
      <c r="F63" s="7"/>
      <c r="G63" s="7"/>
      <c r="H63" s="7"/>
      <c r="I63" s="7"/>
    </row>
    <row r="64" spans="1:9" x14ac:dyDescent="0.2">
      <c r="A64" s="7"/>
      <c r="B64" s="7"/>
      <c r="C64" s="7"/>
      <c r="D64" s="7"/>
      <c r="E64" s="7"/>
      <c r="F64" s="7"/>
      <c r="G64" s="7"/>
      <c r="H64" s="7"/>
      <c r="I64" s="7"/>
    </row>
    <row r="65" spans="1:9" x14ac:dyDescent="0.2">
      <c r="A65" s="7"/>
      <c r="B65" s="7"/>
      <c r="C65" s="7"/>
      <c r="D65" s="7"/>
      <c r="E65" s="7"/>
      <c r="F65" s="7"/>
      <c r="G65" s="7"/>
      <c r="H65" s="7"/>
      <c r="I65" s="7"/>
    </row>
    <row r="66" spans="1:9" x14ac:dyDescent="0.2">
      <c r="A66" s="7"/>
      <c r="B66" s="7"/>
      <c r="C66" s="7"/>
      <c r="D66" s="7"/>
      <c r="E66" s="7"/>
      <c r="F66" s="7"/>
      <c r="G66" s="7"/>
      <c r="H66" s="7"/>
      <c r="I66" s="7"/>
    </row>
    <row r="67" spans="1:9" x14ac:dyDescent="0.2">
      <c r="A67" s="7"/>
      <c r="B67" s="7"/>
      <c r="C67" s="7"/>
      <c r="D67" s="7"/>
      <c r="E67" s="7"/>
      <c r="F67" s="7"/>
      <c r="G67" s="7"/>
      <c r="H67" s="7"/>
      <c r="I67" s="7"/>
    </row>
    <row r="68" spans="1:9" x14ac:dyDescent="0.2">
      <c r="A68" s="7"/>
      <c r="B68" s="7"/>
      <c r="C68" s="7"/>
      <c r="D68" s="7"/>
      <c r="E68" s="7"/>
      <c r="F68" s="7"/>
      <c r="G68" s="7"/>
      <c r="H68" s="7"/>
      <c r="I68" s="7"/>
    </row>
    <row r="69" spans="1:9" x14ac:dyDescent="0.2">
      <c r="A69" s="7"/>
      <c r="B69" s="7"/>
      <c r="C69" s="7"/>
      <c r="D69" s="7"/>
      <c r="E69" s="7"/>
      <c r="F69" s="7"/>
      <c r="G69" s="7"/>
      <c r="H69" s="7"/>
      <c r="I69" s="7"/>
    </row>
    <row r="70" spans="1:9" x14ac:dyDescent="0.2">
      <c r="A70" s="7"/>
      <c r="B70" s="7"/>
      <c r="C70" s="7"/>
      <c r="D70" s="7"/>
      <c r="E70" s="7"/>
      <c r="F70" s="7"/>
      <c r="G70" s="7"/>
      <c r="H70" s="7"/>
      <c r="I70" s="7"/>
    </row>
    <row r="71" spans="1:9" x14ac:dyDescent="0.2">
      <c r="A71" s="7"/>
      <c r="B71" s="7"/>
      <c r="C71" s="7"/>
      <c r="D71" s="7"/>
      <c r="E71" s="7"/>
      <c r="F71" s="7"/>
      <c r="G71" s="7"/>
      <c r="H71" s="7"/>
      <c r="I71" s="7"/>
    </row>
    <row r="72" spans="1:9" x14ac:dyDescent="0.2">
      <c r="A72" s="7"/>
      <c r="B72" s="7"/>
      <c r="C72" s="7"/>
      <c r="D72" s="7"/>
      <c r="E72" s="7"/>
      <c r="F72" s="7"/>
      <c r="G72" s="7"/>
      <c r="H72" s="7"/>
      <c r="I72" s="7"/>
    </row>
    <row r="73" spans="1:9" x14ac:dyDescent="0.2">
      <c r="A73" s="7"/>
      <c r="B73" s="7"/>
      <c r="C73" s="7"/>
      <c r="D73" s="7"/>
      <c r="E73" s="7"/>
      <c r="F73" s="7"/>
      <c r="G73" s="7"/>
      <c r="H73" s="7"/>
      <c r="I73" s="7"/>
    </row>
    <row r="74" spans="1:9" x14ac:dyDescent="0.2">
      <c r="A74" s="7"/>
      <c r="B74" s="7"/>
      <c r="C74" s="7"/>
      <c r="D74" s="7"/>
      <c r="E74" s="7"/>
      <c r="F74" s="7"/>
      <c r="G74" s="7"/>
      <c r="H74" s="7"/>
      <c r="I74" s="7"/>
    </row>
    <row r="75" spans="1:9" x14ac:dyDescent="0.2">
      <c r="A75" s="7"/>
      <c r="B75" s="7"/>
      <c r="C75" s="7"/>
      <c r="D75" s="7"/>
      <c r="E75" s="7"/>
      <c r="F75" s="7"/>
      <c r="G75" s="7"/>
      <c r="H75" s="7"/>
      <c r="I75" s="7"/>
    </row>
    <row r="76" spans="1:9" x14ac:dyDescent="0.2">
      <c r="A76" s="7"/>
      <c r="B76" s="7"/>
      <c r="C76" s="7"/>
      <c r="D76" s="7"/>
      <c r="E76" s="7"/>
      <c r="F76" s="7"/>
      <c r="G76" s="7"/>
      <c r="H76" s="7"/>
      <c r="I76" s="7"/>
    </row>
    <row r="77" spans="1:9" x14ac:dyDescent="0.2">
      <c r="A77" s="7"/>
      <c r="B77" s="7"/>
      <c r="C77" s="7"/>
      <c r="D77" s="7"/>
      <c r="E77" s="7"/>
      <c r="F77" s="7"/>
      <c r="G77" s="7"/>
      <c r="H77" s="7"/>
      <c r="I77" s="7"/>
    </row>
    <row r="78" spans="1:9" x14ac:dyDescent="0.2">
      <c r="A78" s="7"/>
      <c r="B78" s="7"/>
      <c r="C78" s="7"/>
      <c r="D78" s="7"/>
      <c r="E78" s="7"/>
      <c r="F78" s="7"/>
      <c r="G78" s="7"/>
      <c r="H78" s="7"/>
      <c r="I78" s="7"/>
    </row>
    <row r="79" spans="1:9" x14ac:dyDescent="0.2">
      <c r="A79" s="7"/>
      <c r="B79" s="7"/>
      <c r="C79" s="7"/>
      <c r="D79" s="7"/>
      <c r="E79" s="7"/>
      <c r="F79" s="7"/>
      <c r="G79" s="7"/>
      <c r="H79" s="7"/>
      <c r="I79" s="7"/>
    </row>
    <row r="80" spans="1:9" x14ac:dyDescent="0.2">
      <c r="A80" s="7"/>
      <c r="B80" s="7"/>
      <c r="C80" s="7"/>
      <c r="D80" s="7"/>
      <c r="E80" s="7"/>
      <c r="F80" s="7"/>
      <c r="G80" s="7"/>
      <c r="H80" s="7"/>
      <c r="I80" s="7"/>
    </row>
    <row r="81" spans="1:9" x14ac:dyDescent="0.2">
      <c r="A81" s="7"/>
      <c r="B81" s="7"/>
      <c r="C81" s="7"/>
      <c r="D81" s="7"/>
      <c r="E81" s="7"/>
      <c r="F81" s="7"/>
      <c r="G81" s="7"/>
      <c r="H81" s="7"/>
      <c r="I81" s="7"/>
    </row>
    <row r="82" spans="1:9" x14ac:dyDescent="0.2">
      <c r="A82" s="7"/>
      <c r="B82" s="7"/>
      <c r="C82" s="7"/>
      <c r="D82" s="7"/>
      <c r="E82" s="7"/>
      <c r="F82" s="7"/>
      <c r="G82" s="7"/>
      <c r="H82" s="7"/>
      <c r="I82" s="7"/>
    </row>
    <row r="83" spans="1:9" x14ac:dyDescent="0.2">
      <c r="A83" s="7"/>
      <c r="B83" s="7"/>
      <c r="C83" s="7"/>
      <c r="D83" s="7"/>
      <c r="E83" s="7"/>
      <c r="F83" s="7"/>
      <c r="G83" s="7"/>
      <c r="H83" s="7"/>
      <c r="I83" s="7"/>
    </row>
    <row r="84" spans="1:9" x14ac:dyDescent="0.2">
      <c r="A84" s="7"/>
      <c r="B84" s="7"/>
      <c r="C84" s="7"/>
      <c r="D84" s="7"/>
      <c r="E84" s="7"/>
      <c r="F84" s="7"/>
      <c r="G84" s="7"/>
      <c r="H84" s="7"/>
      <c r="I84" s="7"/>
    </row>
    <row r="85" spans="1:9" x14ac:dyDescent="0.2">
      <c r="A85" s="7"/>
      <c r="B85" s="7"/>
      <c r="C85" s="7"/>
      <c r="D85" s="7"/>
      <c r="E85" s="7"/>
      <c r="F85" s="7"/>
      <c r="G85" s="7"/>
      <c r="H85" s="7"/>
      <c r="I85" s="7"/>
    </row>
    <row r="86" spans="1:9" x14ac:dyDescent="0.2">
      <c r="A86" s="7"/>
      <c r="B86" s="7"/>
      <c r="C86" s="7"/>
      <c r="D86" s="7"/>
      <c r="E86" s="7"/>
      <c r="F86" s="7"/>
      <c r="G86" s="7"/>
      <c r="H86" s="7"/>
      <c r="I86" s="7"/>
    </row>
    <row r="87" spans="1:9" x14ac:dyDescent="0.2">
      <c r="A87" s="7"/>
      <c r="B87" s="7"/>
      <c r="C87" s="7"/>
      <c r="D87" s="7"/>
      <c r="E87" s="7"/>
      <c r="F87" s="7"/>
      <c r="G87" s="7"/>
      <c r="H87" s="7"/>
      <c r="I87" s="7"/>
    </row>
    <row r="88" spans="1:9" x14ac:dyDescent="0.2">
      <c r="A88" s="7"/>
      <c r="B88" s="7"/>
      <c r="C88" s="7"/>
      <c r="D88" s="7"/>
      <c r="E88" s="7"/>
      <c r="F88" s="7"/>
      <c r="G88" s="7"/>
      <c r="H88" s="7"/>
      <c r="I88" s="7"/>
    </row>
    <row r="89" spans="1:9" x14ac:dyDescent="0.2">
      <c r="A89" s="7"/>
      <c r="B89" s="7"/>
      <c r="C89" s="7"/>
      <c r="D89" s="7"/>
      <c r="E89" s="7"/>
      <c r="F89" s="7"/>
      <c r="G89" s="7"/>
      <c r="H89" s="7"/>
      <c r="I89" s="7"/>
    </row>
    <row r="90" spans="1:9" x14ac:dyDescent="0.2">
      <c r="A90" s="7"/>
      <c r="B90" s="7"/>
      <c r="C90" s="7"/>
      <c r="D90" s="7"/>
      <c r="E90" s="7"/>
      <c r="F90" s="7"/>
      <c r="G90" s="7"/>
      <c r="H90" s="7"/>
      <c r="I90" s="7"/>
    </row>
    <row r="91" spans="1:9" x14ac:dyDescent="0.2">
      <c r="A91" s="7"/>
      <c r="B91" s="7"/>
      <c r="C91" s="7"/>
      <c r="D91" s="7"/>
      <c r="E91" s="7"/>
      <c r="F91" s="7"/>
      <c r="G91" s="7"/>
      <c r="H91" s="7"/>
      <c r="I91" s="7"/>
    </row>
    <row r="92" spans="1:9" x14ac:dyDescent="0.2">
      <c r="A92" s="7"/>
      <c r="B92" s="7"/>
      <c r="C92" s="7"/>
      <c r="D92" s="7"/>
      <c r="E92" s="7"/>
      <c r="F92" s="7"/>
      <c r="G92" s="7"/>
      <c r="H92" s="7"/>
      <c r="I92" s="7"/>
    </row>
    <row r="93" spans="1:9" x14ac:dyDescent="0.2">
      <c r="A93" s="7"/>
      <c r="B93" s="7"/>
      <c r="C93" s="7"/>
      <c r="D93" s="7"/>
      <c r="E93" s="7"/>
      <c r="F93" s="7"/>
      <c r="G93" s="7"/>
      <c r="H93" s="7"/>
      <c r="I93" s="7"/>
    </row>
    <row r="94" spans="1:9" x14ac:dyDescent="0.2">
      <c r="A94" s="7"/>
      <c r="B94" s="7"/>
      <c r="C94" s="7"/>
      <c r="D94" s="7"/>
      <c r="E94" s="7"/>
      <c r="F94" s="7"/>
      <c r="G94" s="7"/>
      <c r="H94" s="7"/>
      <c r="I94" s="7"/>
    </row>
    <row r="95" spans="1:9" x14ac:dyDescent="0.2">
      <c r="A95" s="7"/>
      <c r="B95" s="7"/>
      <c r="C95" s="7"/>
      <c r="D95" s="7"/>
      <c r="E95" s="7"/>
      <c r="F95" s="7"/>
      <c r="G95" s="7"/>
      <c r="H95" s="7"/>
      <c r="I95" s="7"/>
    </row>
    <row r="96" spans="1:9" x14ac:dyDescent="0.2">
      <c r="A96" s="7"/>
      <c r="B96" s="7"/>
      <c r="C96" s="7"/>
      <c r="D96" s="7"/>
      <c r="E96" s="7"/>
      <c r="F96" s="7"/>
      <c r="G96" s="7"/>
      <c r="H96" s="7"/>
      <c r="I96" s="7"/>
    </row>
    <row r="97" spans="1:9" x14ac:dyDescent="0.2">
      <c r="A97" s="7"/>
      <c r="B97" s="7"/>
      <c r="C97" s="7"/>
      <c r="D97" s="7"/>
      <c r="E97" s="7"/>
      <c r="F97" s="7"/>
      <c r="G97" s="7"/>
      <c r="H97" s="7"/>
      <c r="I97" s="7"/>
    </row>
    <row r="98" spans="1:9" x14ac:dyDescent="0.2">
      <c r="A98" s="7"/>
      <c r="B98" s="7"/>
      <c r="C98" s="7"/>
      <c r="D98" s="7"/>
      <c r="E98" s="7"/>
      <c r="F98" s="7"/>
      <c r="G98" s="7"/>
      <c r="H98" s="7"/>
      <c r="I98" s="7"/>
    </row>
    <row r="99" spans="1:9" x14ac:dyDescent="0.2">
      <c r="A99" s="7"/>
      <c r="B99" s="7"/>
      <c r="C99" s="7"/>
      <c r="D99" s="7"/>
      <c r="E99" s="7"/>
      <c r="F99" s="7"/>
      <c r="G99" s="7"/>
      <c r="H99" s="7"/>
      <c r="I99" s="7"/>
    </row>
    <row r="100" spans="1:9" x14ac:dyDescent="0.2">
      <c r="A100" s="7"/>
      <c r="B100" s="7"/>
      <c r="C100" s="7"/>
      <c r="D100" s="7"/>
      <c r="E100" s="7"/>
      <c r="F100" s="7"/>
      <c r="G100" s="7"/>
      <c r="H100" s="7"/>
      <c r="I100" s="7"/>
    </row>
    <row r="101" spans="1:9" x14ac:dyDescent="0.2">
      <c r="A101" s="7"/>
      <c r="B101" s="7"/>
      <c r="C101" s="7"/>
      <c r="D101" s="7"/>
      <c r="E101" s="7"/>
      <c r="F101" s="7"/>
      <c r="G101" s="7"/>
      <c r="H101" s="7"/>
      <c r="I101" s="7"/>
    </row>
    <row r="102" spans="1:9" x14ac:dyDescent="0.2">
      <c r="A102" s="7"/>
      <c r="B102" s="7"/>
      <c r="C102" s="7"/>
      <c r="D102" s="7"/>
      <c r="E102" s="7"/>
      <c r="F102" s="7"/>
      <c r="G102" s="7"/>
      <c r="H102" s="7"/>
      <c r="I102" s="7"/>
    </row>
    <row r="103" spans="1:9" x14ac:dyDescent="0.2">
      <c r="A103" s="7"/>
      <c r="B103" s="7"/>
      <c r="C103" s="7"/>
      <c r="D103" s="7"/>
      <c r="E103" s="7"/>
      <c r="F103" s="7"/>
      <c r="G103" s="7"/>
      <c r="H103" s="7"/>
      <c r="I103" s="7"/>
    </row>
    <row r="104" spans="1:9" x14ac:dyDescent="0.2">
      <c r="A104" s="7"/>
      <c r="B104" s="7"/>
      <c r="C104" s="7"/>
      <c r="D104" s="7"/>
      <c r="E104" s="7"/>
      <c r="F104" s="7"/>
      <c r="G104" s="7"/>
      <c r="H104" s="7"/>
      <c r="I104" s="7"/>
    </row>
    <row r="105" spans="1:9" x14ac:dyDescent="0.2">
      <c r="A105" s="11" t="s">
        <v>1</v>
      </c>
      <c r="B105" s="12"/>
      <c r="C105" s="12"/>
      <c r="D105" s="13"/>
      <c r="E105" s="8"/>
      <c r="F105" s="8"/>
      <c r="G105" s="8"/>
      <c r="H105" s="8"/>
      <c r="I105" s="1"/>
    </row>
    <row r="106" spans="1:9" x14ac:dyDescent="0.2">
      <c r="A106" s="14" t="s">
        <v>15</v>
      </c>
      <c r="B106" s="15"/>
      <c r="C106" s="15"/>
      <c r="D106" s="16"/>
      <c r="E106" s="8"/>
      <c r="F106" s="8"/>
      <c r="G106" s="8"/>
      <c r="H106" s="8"/>
      <c r="I106" s="1"/>
    </row>
    <row r="107" spans="1:9" x14ac:dyDescent="0.2">
      <c r="A107" s="17" t="s">
        <v>62</v>
      </c>
      <c r="B107" s="18"/>
      <c r="C107" s="18"/>
      <c r="D107" s="19"/>
      <c r="E107" s="8"/>
      <c r="F107" s="8"/>
      <c r="G107" s="8"/>
      <c r="H107" s="8"/>
      <c r="I107" s="1"/>
    </row>
    <row r="108" spans="1:9" x14ac:dyDescent="0.2">
      <c r="A108" s="20"/>
      <c r="B108" s="21"/>
      <c r="C108" s="22"/>
      <c r="D108" s="23"/>
      <c r="E108" s="8"/>
      <c r="F108" s="8" t="s">
        <v>34</v>
      </c>
      <c r="G108" s="8"/>
      <c r="H108" s="8"/>
      <c r="I108" s="1"/>
    </row>
    <row r="109" spans="1:9" ht="15.75" x14ac:dyDescent="0.25">
      <c r="A109" s="24" t="s">
        <v>2</v>
      </c>
      <c r="B109" s="25" t="str">
        <f>[1]Charters!B114</f>
        <v>Greenwood</v>
      </c>
      <c r="C109" s="26"/>
      <c r="D109" s="27"/>
      <c r="E109" s="8"/>
      <c r="F109" s="8"/>
      <c r="G109" s="8"/>
      <c r="H109" s="8"/>
      <c r="I109" s="1"/>
    </row>
    <row r="110" spans="1:9" x14ac:dyDescent="0.2">
      <c r="A110" s="24"/>
      <c r="B110" s="28"/>
      <c r="C110" s="26"/>
      <c r="D110" s="27"/>
      <c r="E110" s="8"/>
      <c r="F110" s="8"/>
      <c r="G110" s="8"/>
      <c r="H110" s="8"/>
      <c r="I110" s="1"/>
    </row>
    <row r="111" spans="1:9" x14ac:dyDescent="0.2">
      <c r="A111" s="29" t="s">
        <v>0</v>
      </c>
      <c r="B111" s="30">
        <f>[1]Charters!$E$6</f>
        <v>3184</v>
      </c>
      <c r="C111" s="26"/>
      <c r="D111" s="31"/>
      <c r="E111" s="8"/>
      <c r="F111" s="8"/>
      <c r="G111" s="8"/>
      <c r="H111" s="8"/>
      <c r="I111" s="1"/>
    </row>
    <row r="112" spans="1:9" x14ac:dyDescent="0.2">
      <c r="A112" s="32"/>
      <c r="B112" s="6"/>
      <c r="C112" s="33"/>
      <c r="D112" s="34" t="s">
        <v>3</v>
      </c>
      <c r="E112" s="8"/>
      <c r="F112" s="8"/>
      <c r="G112" s="8"/>
      <c r="H112" s="8"/>
      <c r="I112" s="1"/>
    </row>
    <row r="113" spans="1:9" x14ac:dyDescent="0.2">
      <c r="A113" s="29" t="s">
        <v>19</v>
      </c>
      <c r="B113" s="35" t="str">
        <f>[1]Charters!A114</f>
        <v>7J</v>
      </c>
      <c r="C113" s="36" t="s">
        <v>4</v>
      </c>
      <c r="D113" s="37" t="s">
        <v>5</v>
      </c>
      <c r="E113" s="8"/>
      <c r="F113" s="8"/>
      <c r="G113" s="8"/>
      <c r="H113" s="8"/>
      <c r="I113" s="1"/>
    </row>
    <row r="114" spans="1:9" x14ac:dyDescent="0.2">
      <c r="A114" s="38" t="s">
        <v>6</v>
      </c>
      <c r="B114" s="39"/>
      <c r="C114" s="40"/>
      <c r="D114" s="41"/>
      <c r="E114" s="8"/>
      <c r="F114" s="8"/>
      <c r="G114" s="8"/>
      <c r="H114" s="8"/>
      <c r="I114" s="1"/>
    </row>
    <row r="115" spans="1:9" x14ac:dyDescent="0.2">
      <c r="A115" s="38" t="s">
        <v>7</v>
      </c>
      <c r="B115" s="39"/>
      <c r="C115" s="40"/>
      <c r="D115" s="41"/>
      <c r="E115" s="8"/>
      <c r="F115" s="42" t="s">
        <v>23</v>
      </c>
      <c r="G115" s="8"/>
      <c r="H115" s="42" t="s">
        <v>26</v>
      </c>
      <c r="I115" s="1"/>
    </row>
    <row r="116" spans="1:9" x14ac:dyDescent="0.2">
      <c r="A116" s="20" t="s">
        <v>8</v>
      </c>
      <c r="B116" s="43"/>
      <c r="C116" s="44">
        <f>[1]Charters!C574</f>
        <v>320.40800000000002</v>
      </c>
      <c r="D116" s="45">
        <f>[1]Charters!E574</f>
        <v>1020180.13</v>
      </c>
      <c r="E116" s="8"/>
      <c r="F116" s="42">
        <f>[1]Charters!E730</f>
        <v>1056423.05</v>
      </c>
      <c r="G116" s="8"/>
      <c r="H116" s="42">
        <f>[2]Charters!E268</f>
        <v>1323125.6299999999</v>
      </c>
      <c r="I116" s="1"/>
    </row>
    <row r="117" spans="1:9" x14ac:dyDescent="0.2">
      <c r="A117" s="20" t="s">
        <v>14</v>
      </c>
      <c r="B117" s="43"/>
      <c r="C117" s="44">
        <f>[1]Charters!F574</f>
        <v>11.382999999999999</v>
      </c>
      <c r="D117" s="45">
        <f>[1]Charters!H574</f>
        <v>36242.92</v>
      </c>
      <c r="E117" s="8"/>
      <c r="F117" s="42">
        <f>SUM(D116:D118)</f>
        <v>1056423.05</v>
      </c>
      <c r="G117" s="8"/>
      <c r="H117" s="42">
        <f>D129</f>
        <v>1323125.6299999999</v>
      </c>
      <c r="I117" s="1"/>
    </row>
    <row r="118" spans="1:9" x14ac:dyDescent="0.2">
      <c r="A118" s="20" t="s">
        <v>32</v>
      </c>
      <c r="B118" s="43"/>
      <c r="C118" s="44">
        <f>[1]Charters!C267</f>
        <v>0</v>
      </c>
      <c r="D118" s="45">
        <f>[1]Charters!E267</f>
        <v>0</v>
      </c>
      <c r="E118" s="8"/>
      <c r="F118" s="42">
        <f>+F116-F117</f>
        <v>0</v>
      </c>
      <c r="G118" s="8"/>
      <c r="H118" s="42">
        <f>+H116-H117</f>
        <v>0</v>
      </c>
      <c r="I118" s="1"/>
    </row>
    <row r="119" spans="1:9" x14ac:dyDescent="0.2">
      <c r="A119" s="38" t="s">
        <v>9</v>
      </c>
      <c r="B119" s="39"/>
      <c r="C119" s="46"/>
      <c r="D119" s="47"/>
      <c r="E119" s="8"/>
      <c r="F119" s="8"/>
      <c r="G119" s="8"/>
      <c r="H119" s="8"/>
      <c r="I119" s="1"/>
    </row>
    <row r="120" spans="1:9" x14ac:dyDescent="0.2">
      <c r="A120" s="20" t="s">
        <v>10</v>
      </c>
      <c r="B120" s="43"/>
      <c r="C120" s="40">
        <f>[3]Charters!C113</f>
        <v>44.05</v>
      </c>
      <c r="D120" s="41">
        <f>[3]Charters!E113</f>
        <v>140255.20000000001</v>
      </c>
      <c r="E120" s="8"/>
      <c r="F120" s="42" t="s">
        <v>24</v>
      </c>
      <c r="G120" s="8"/>
      <c r="H120" s="8"/>
      <c r="I120" s="1"/>
    </row>
    <row r="121" spans="1:9" x14ac:dyDescent="0.2">
      <c r="A121" s="48" t="s">
        <v>11</v>
      </c>
      <c r="B121" s="43"/>
      <c r="C121" s="40">
        <f>[3]Charters!F113</f>
        <v>3.73</v>
      </c>
      <c r="D121" s="49">
        <f>[3]Charters!H113</f>
        <v>11877.05</v>
      </c>
      <c r="E121" s="8"/>
      <c r="F121" s="42">
        <f>[3]Charters!N426</f>
        <v>158516.42000000001</v>
      </c>
      <c r="G121" s="8"/>
      <c r="H121" s="8"/>
      <c r="I121" s="1"/>
    </row>
    <row r="122" spans="1:9" x14ac:dyDescent="0.2">
      <c r="A122" s="48" t="s">
        <v>12</v>
      </c>
      <c r="B122" s="43"/>
      <c r="C122" s="40">
        <f>[3]Charters!C268</f>
        <v>0</v>
      </c>
      <c r="D122" s="41">
        <f>[3]Charters!E268</f>
        <v>0</v>
      </c>
      <c r="E122" s="8"/>
      <c r="F122" s="42">
        <f>SUM(D120:D126)</f>
        <v>158516.42000000001</v>
      </c>
      <c r="G122" s="8"/>
      <c r="H122" s="8"/>
      <c r="I122" s="1"/>
    </row>
    <row r="123" spans="1:9" x14ac:dyDescent="0.2">
      <c r="A123" s="20" t="s">
        <v>13</v>
      </c>
      <c r="B123" s="43"/>
      <c r="C123" s="40">
        <f>[3]Charters!F268</f>
        <v>0.70899999999999996</v>
      </c>
      <c r="D123" s="41">
        <f>[3]Charters!H268</f>
        <v>2259</v>
      </c>
      <c r="E123" s="8"/>
      <c r="F123" s="42">
        <f>+F121-F122</f>
        <v>0</v>
      </c>
      <c r="G123" s="8"/>
      <c r="H123" s="8"/>
      <c r="I123" s="1"/>
    </row>
    <row r="124" spans="1:9" x14ac:dyDescent="0.2">
      <c r="A124" s="48" t="s">
        <v>54</v>
      </c>
      <c r="B124" s="43"/>
      <c r="C124" s="40">
        <f>[3]Charters!C426</f>
        <v>1.296</v>
      </c>
      <c r="D124" s="41">
        <f>[3]Charters!E426</f>
        <v>4125.17</v>
      </c>
      <c r="E124" s="8"/>
      <c r="F124" s="8"/>
      <c r="G124" s="8"/>
      <c r="H124" s="8"/>
      <c r="I124" s="1"/>
    </row>
    <row r="125" spans="1:9" x14ac:dyDescent="0.2">
      <c r="A125" s="48" t="s">
        <v>55</v>
      </c>
      <c r="B125" s="43"/>
      <c r="C125" s="40">
        <f>[3]Charters!F426</f>
        <v>0</v>
      </c>
      <c r="D125" s="41">
        <f>[3]Charters!H426</f>
        <v>0</v>
      </c>
      <c r="E125" s="8"/>
      <c r="F125" s="42" t="s">
        <v>25</v>
      </c>
      <c r="G125" s="8"/>
      <c r="H125" s="8"/>
      <c r="I125" s="1"/>
    </row>
    <row r="126" spans="1:9" x14ac:dyDescent="0.2">
      <c r="A126" s="48" t="s">
        <v>56</v>
      </c>
      <c r="B126" s="43"/>
      <c r="C126" s="40">
        <f>[3]Charters!I426</f>
        <v>0</v>
      </c>
      <c r="D126" s="41">
        <f>[3]Charters!K426</f>
        <v>0</v>
      </c>
      <c r="E126" s="8"/>
      <c r="F126" s="42">
        <f>[2]Charters!H114</f>
        <v>266702.58</v>
      </c>
      <c r="G126" s="8"/>
      <c r="H126" s="8"/>
      <c r="I126" s="1"/>
    </row>
    <row r="127" spans="1:9" x14ac:dyDescent="0.2">
      <c r="A127" s="20" t="s">
        <v>49</v>
      </c>
      <c r="B127" s="43"/>
      <c r="C127" s="40">
        <f>[3]Charters!C581</f>
        <v>0</v>
      </c>
      <c r="D127" s="41">
        <f>[3]Charters!E581</f>
        <v>0</v>
      </c>
      <c r="E127" s="8"/>
      <c r="F127" s="42">
        <f>SUM(D120:D128)</f>
        <v>266702.58</v>
      </c>
      <c r="G127" s="8"/>
      <c r="H127" s="8"/>
      <c r="I127" s="1"/>
    </row>
    <row r="128" spans="1:9" x14ac:dyDescent="0.2">
      <c r="A128" s="20" t="s">
        <v>50</v>
      </c>
      <c r="B128" s="43"/>
      <c r="C128" s="40">
        <f>[2]Charters!C114</f>
        <v>33.978000000000002</v>
      </c>
      <c r="D128" s="41">
        <f>[2]Charters!E114</f>
        <v>108186.16</v>
      </c>
      <c r="E128" s="8"/>
      <c r="F128" s="42">
        <f>+F126-F127</f>
        <v>0</v>
      </c>
      <c r="G128" s="8"/>
      <c r="H128" s="8"/>
      <c r="I128" s="1"/>
    </row>
    <row r="129" spans="1:9" x14ac:dyDescent="0.2">
      <c r="A129" s="50"/>
      <c r="B129" s="51" t="s">
        <v>16</v>
      </c>
      <c r="C129" s="52">
        <f>SUM(C116:C128)</f>
        <v>415.55399999999997</v>
      </c>
      <c r="D129" s="53">
        <f>SUM(D116:D128)</f>
        <v>1323125.6299999999</v>
      </c>
      <c r="E129" s="8"/>
      <c r="F129" s="8"/>
      <c r="G129" s="8"/>
      <c r="H129" s="8"/>
      <c r="I129" s="1"/>
    </row>
    <row r="130" spans="1:9" x14ac:dyDescent="0.2">
      <c r="A130" s="54" t="s">
        <v>17</v>
      </c>
      <c r="B130" s="39"/>
      <c r="C130" s="55"/>
      <c r="D130" s="47"/>
      <c r="E130" s="8"/>
      <c r="F130" s="8"/>
      <c r="G130" s="8"/>
      <c r="H130" s="42" t="s">
        <v>29</v>
      </c>
      <c r="I130" s="1"/>
    </row>
    <row r="131" spans="1:9" x14ac:dyDescent="0.2">
      <c r="A131" s="20" t="s">
        <v>33</v>
      </c>
      <c r="B131" s="43"/>
      <c r="C131" s="56"/>
      <c r="D131" s="57">
        <f>[4]Charters!C115</f>
        <v>3835.04</v>
      </c>
      <c r="E131" s="8"/>
      <c r="F131" s="8"/>
      <c r="G131" s="8"/>
      <c r="H131" s="42">
        <f>[4]Charters!F1054</f>
        <v>2298723.52</v>
      </c>
      <c r="I131" s="1"/>
    </row>
    <row r="132" spans="1:9" x14ac:dyDescent="0.2">
      <c r="A132" s="58" t="s">
        <v>35</v>
      </c>
      <c r="B132" s="43"/>
      <c r="C132" s="56"/>
      <c r="D132" s="41">
        <f>+[4]Charters!F436</f>
        <v>1542.12</v>
      </c>
      <c r="E132" s="8"/>
      <c r="F132" s="8"/>
      <c r="G132" s="8"/>
      <c r="H132" s="42">
        <f>SUM(D129:D148)</f>
        <v>2298723.52</v>
      </c>
      <c r="I132" s="1"/>
    </row>
    <row r="133" spans="1:9" x14ac:dyDescent="0.2">
      <c r="A133" s="59" t="s">
        <v>36</v>
      </c>
      <c r="B133" s="43"/>
      <c r="C133" s="56"/>
      <c r="D133" s="41">
        <f>[4]Charters!E275</f>
        <v>10195</v>
      </c>
      <c r="E133" s="8"/>
      <c r="F133" s="8"/>
      <c r="G133" s="8"/>
      <c r="H133" s="42">
        <f>+H131-H132</f>
        <v>0</v>
      </c>
      <c r="I133" s="1"/>
    </row>
    <row r="134" spans="1:9" x14ac:dyDescent="0.2">
      <c r="A134" s="59" t="s">
        <v>52</v>
      </c>
      <c r="B134" s="43"/>
      <c r="C134" s="56"/>
      <c r="D134" s="41">
        <f>[4]Charters!G436</f>
        <v>0</v>
      </c>
      <c r="E134" s="8"/>
      <c r="F134" s="42" t="s">
        <v>27</v>
      </c>
      <c r="G134" s="8"/>
      <c r="H134" s="42"/>
      <c r="I134" s="1"/>
    </row>
    <row r="135" spans="1:9" x14ac:dyDescent="0.2">
      <c r="A135" s="20" t="s">
        <v>37</v>
      </c>
      <c r="B135" s="43"/>
      <c r="C135" s="56"/>
      <c r="D135" s="41">
        <f>[4]Charters!E592</f>
        <v>28955</v>
      </c>
      <c r="E135" s="8"/>
      <c r="F135" s="42">
        <f>[4]Charters!E275</f>
        <v>10195</v>
      </c>
      <c r="G135" s="8"/>
      <c r="H135" s="8"/>
      <c r="I135" s="1"/>
    </row>
    <row r="136" spans="1:9" x14ac:dyDescent="0.2">
      <c r="A136" s="20" t="s">
        <v>38</v>
      </c>
      <c r="B136" s="43"/>
      <c r="C136" s="56"/>
      <c r="D136" s="41">
        <f>[4]Charters!F592</f>
        <v>0</v>
      </c>
      <c r="E136" s="8"/>
      <c r="F136" s="42">
        <f>SUM(D133:D133)</f>
        <v>10195</v>
      </c>
      <c r="G136" s="8"/>
      <c r="H136" s="8"/>
      <c r="I136" s="1"/>
    </row>
    <row r="137" spans="1:9" x14ac:dyDescent="0.2">
      <c r="A137" s="59" t="s">
        <v>40</v>
      </c>
      <c r="B137" s="43"/>
      <c r="C137" s="56"/>
      <c r="D137" s="41">
        <f>[4]Charters!G592</f>
        <v>0</v>
      </c>
      <c r="E137" s="8"/>
      <c r="F137" s="42">
        <f>+F135-F136</f>
        <v>0</v>
      </c>
      <c r="G137" s="8"/>
      <c r="H137" s="8"/>
      <c r="I137" s="1"/>
    </row>
    <row r="138" spans="1:9" x14ac:dyDescent="0.2">
      <c r="A138" s="20" t="s">
        <v>41</v>
      </c>
      <c r="B138" s="43"/>
      <c r="C138" s="56"/>
      <c r="D138" s="41">
        <f>[4]Charters!C745</f>
        <v>756378</v>
      </c>
      <c r="E138" s="8"/>
      <c r="F138" s="42" t="s">
        <v>28</v>
      </c>
      <c r="G138" s="8"/>
      <c r="H138" s="8"/>
      <c r="I138" s="1"/>
    </row>
    <row r="139" spans="1:9" x14ac:dyDescent="0.2">
      <c r="A139" s="20" t="s">
        <v>42</v>
      </c>
      <c r="B139" s="43"/>
      <c r="C139" s="56"/>
      <c r="D139" s="41">
        <f>[4]Charters!D745</f>
        <v>102183.67999999999</v>
      </c>
      <c r="E139" s="8"/>
      <c r="F139" s="42">
        <f>[4]Charters!D592</f>
        <v>11737.12</v>
      </c>
      <c r="G139" s="8"/>
      <c r="H139" s="8"/>
      <c r="I139" s="1"/>
    </row>
    <row r="140" spans="1:9" x14ac:dyDescent="0.2">
      <c r="A140" s="20" t="s">
        <v>44</v>
      </c>
      <c r="B140" s="43"/>
      <c r="C140" s="56"/>
      <c r="D140" s="41">
        <f>[4]Charters!E745</f>
        <v>37800</v>
      </c>
      <c r="E140" s="8"/>
      <c r="F140" s="42">
        <f>SUM(D132:D134)</f>
        <v>11737.12</v>
      </c>
      <c r="G140" s="8"/>
      <c r="H140" s="8"/>
      <c r="I140" s="1"/>
    </row>
    <row r="141" spans="1:9" x14ac:dyDescent="0.2">
      <c r="A141" s="59" t="s">
        <v>43</v>
      </c>
      <c r="B141" s="43"/>
      <c r="C141" s="56"/>
      <c r="D141" s="41">
        <f>[4]Charters!F745</f>
        <v>15271.93</v>
      </c>
      <c r="E141" s="8"/>
      <c r="F141" s="42">
        <f>+F139-F140</f>
        <v>0</v>
      </c>
      <c r="G141" s="8"/>
      <c r="H141" s="8"/>
      <c r="I141" s="1"/>
    </row>
    <row r="142" spans="1:9" x14ac:dyDescent="0.2">
      <c r="A142" s="59" t="s">
        <v>45</v>
      </c>
      <c r="B142" s="43"/>
      <c r="C142" s="56"/>
      <c r="D142" s="41">
        <f>[4]Charters!C592</f>
        <v>0</v>
      </c>
      <c r="E142" s="8"/>
      <c r="F142" s="8"/>
      <c r="G142" s="8"/>
      <c r="H142" s="8"/>
      <c r="I142" s="1"/>
    </row>
    <row r="143" spans="1:9" x14ac:dyDescent="0.2">
      <c r="A143" s="59" t="s">
        <v>46</v>
      </c>
      <c r="B143" s="43"/>
      <c r="C143" s="56"/>
      <c r="D143" s="41">
        <f>[4]Charters!C901</f>
        <v>0</v>
      </c>
      <c r="E143" s="42"/>
      <c r="F143" s="42"/>
      <c r="G143" s="42"/>
      <c r="H143" s="42" t="s">
        <v>31</v>
      </c>
      <c r="I143" s="82"/>
    </row>
    <row r="144" spans="1:9" x14ac:dyDescent="0.2">
      <c r="A144" s="59" t="s">
        <v>51</v>
      </c>
      <c r="B144" s="43"/>
      <c r="C144" s="56"/>
      <c r="D144" s="60">
        <f>[4]Charters!D901</f>
        <v>605.12</v>
      </c>
      <c r="E144" s="42"/>
      <c r="F144" s="42"/>
      <c r="G144" s="42"/>
      <c r="H144" s="42">
        <f>[4]Charters!D1360</f>
        <v>2302329.9300000002</v>
      </c>
      <c r="I144" s="82"/>
    </row>
    <row r="145" spans="1:9" x14ac:dyDescent="0.2">
      <c r="A145" s="20" t="s">
        <v>47</v>
      </c>
      <c r="B145" s="43"/>
      <c r="C145" s="56"/>
      <c r="D145" s="60">
        <f>[4]Charters!E901</f>
        <v>18832</v>
      </c>
      <c r="E145" s="42"/>
      <c r="F145" s="42"/>
      <c r="G145" s="42"/>
      <c r="H145" s="42">
        <f>D154</f>
        <v>2302329.9300000002</v>
      </c>
      <c r="I145" s="82"/>
    </row>
    <row r="146" spans="1:9" x14ac:dyDescent="0.2">
      <c r="A146" s="20" t="s">
        <v>57</v>
      </c>
      <c r="B146" s="43"/>
      <c r="C146" s="56"/>
      <c r="D146" s="60">
        <f>[4]Charters!C1054</f>
        <v>0</v>
      </c>
      <c r="E146" s="42"/>
      <c r="F146" s="42"/>
      <c r="G146" s="42"/>
      <c r="H146" s="42">
        <f>+H144-H145</f>
        <v>0</v>
      </c>
      <c r="I146" s="82"/>
    </row>
    <row r="147" spans="1:9" x14ac:dyDescent="0.2">
      <c r="A147" s="59" t="s">
        <v>53</v>
      </c>
      <c r="B147" s="43"/>
      <c r="C147" s="56"/>
      <c r="D147" s="60">
        <f>[4]Charters!D1054</f>
        <v>0</v>
      </c>
      <c r="E147" s="42"/>
      <c r="F147" s="42" t="s">
        <v>30</v>
      </c>
      <c r="G147" s="42"/>
      <c r="H147" s="42"/>
      <c r="I147" s="82"/>
    </row>
    <row r="148" spans="1:9" x14ac:dyDescent="0.2">
      <c r="A148" s="59" t="s">
        <v>59</v>
      </c>
      <c r="B148" s="43"/>
      <c r="C148" s="56"/>
      <c r="D148" s="60">
        <f>[4]Charters!E1054</f>
        <v>0</v>
      </c>
      <c r="E148" s="42"/>
      <c r="F148" s="42"/>
      <c r="G148" s="42"/>
      <c r="H148" s="42"/>
      <c r="I148" s="82"/>
    </row>
    <row r="149" spans="1:9" x14ac:dyDescent="0.2">
      <c r="A149" s="38" t="s">
        <v>18</v>
      </c>
      <c r="B149" s="61"/>
      <c r="C149" s="62"/>
      <c r="D149" s="87"/>
      <c r="E149" s="42"/>
      <c r="F149" s="42">
        <f>[4]Charters!C1360</f>
        <v>3606.41</v>
      </c>
      <c r="G149" s="42"/>
      <c r="H149" s="42"/>
      <c r="I149" s="82"/>
    </row>
    <row r="150" spans="1:9" x14ac:dyDescent="0.2">
      <c r="A150" s="59" t="s">
        <v>39</v>
      </c>
      <c r="B150" s="43"/>
      <c r="C150" s="56"/>
      <c r="D150" s="41">
        <f>[4]Charters!C1207</f>
        <v>3606.41</v>
      </c>
      <c r="E150" s="42"/>
      <c r="F150" s="42">
        <f>SUM(D150:D153)</f>
        <v>3606.41</v>
      </c>
      <c r="G150" s="42"/>
      <c r="H150" s="42"/>
      <c r="I150" s="82"/>
    </row>
    <row r="151" spans="1:9" x14ac:dyDescent="0.2">
      <c r="A151" s="59" t="s">
        <v>48</v>
      </c>
      <c r="B151" s="43"/>
      <c r="C151" s="56"/>
      <c r="D151" s="41">
        <f>[4]Charters!D1207</f>
        <v>0</v>
      </c>
      <c r="E151" s="42"/>
      <c r="F151" s="42">
        <f>+F149-F150</f>
        <v>0</v>
      </c>
      <c r="G151" s="42"/>
      <c r="H151" s="42"/>
      <c r="I151" s="82"/>
    </row>
    <row r="152" spans="1:9" x14ac:dyDescent="0.2">
      <c r="A152" s="59" t="s">
        <v>60</v>
      </c>
      <c r="B152" s="43"/>
      <c r="C152" s="56"/>
      <c r="D152" s="41">
        <f>[4]Charters!E1207</f>
        <v>0</v>
      </c>
      <c r="E152" s="42"/>
      <c r="F152" s="42"/>
      <c r="G152" s="42"/>
      <c r="H152" s="42"/>
      <c r="I152" s="82"/>
    </row>
    <row r="153" spans="1:9" x14ac:dyDescent="0.2">
      <c r="A153" s="59" t="s">
        <v>61</v>
      </c>
      <c r="B153" s="43"/>
      <c r="C153" s="56"/>
      <c r="D153" s="41">
        <f>[4]Charters!F1207</f>
        <v>0</v>
      </c>
      <c r="E153" s="42"/>
      <c r="F153" s="42"/>
      <c r="G153" s="42"/>
      <c r="H153" s="42"/>
      <c r="I153" s="82"/>
    </row>
    <row r="154" spans="1:9" ht="13.5" thickBot="1" x14ac:dyDescent="0.25">
      <c r="A154" s="64"/>
      <c r="B154" s="65"/>
      <c r="C154" s="66"/>
      <c r="D154" s="67">
        <f>SUM(D129:D153)</f>
        <v>2302329.9300000002</v>
      </c>
      <c r="E154" s="42"/>
      <c r="F154" s="42"/>
      <c r="G154" s="42"/>
      <c r="H154" s="42"/>
      <c r="I154" s="82"/>
    </row>
    <row r="155" spans="1:9" ht="13.5" thickTop="1" x14ac:dyDescent="0.2">
      <c r="A155" s="68"/>
      <c r="B155" s="43"/>
      <c r="C155" s="56"/>
      <c r="D155" s="86"/>
      <c r="E155" s="42"/>
      <c r="F155" s="42"/>
      <c r="G155" s="42"/>
      <c r="H155" s="42"/>
      <c r="I155" s="82"/>
    </row>
    <row r="156" spans="1:9" x14ac:dyDescent="0.2">
      <c r="A156" s="38" t="s">
        <v>20</v>
      </c>
      <c r="B156" s="39"/>
      <c r="C156" s="70"/>
      <c r="D156" s="71" t="s">
        <v>21</v>
      </c>
      <c r="E156" s="42"/>
      <c r="F156" s="42"/>
      <c r="G156" s="42"/>
      <c r="H156" s="42"/>
      <c r="I156" s="82"/>
    </row>
    <row r="157" spans="1:9" x14ac:dyDescent="0.2">
      <c r="A157" s="72" t="s">
        <v>22</v>
      </c>
      <c r="B157" s="73"/>
      <c r="C157" s="74"/>
      <c r="D157" s="41">
        <f>[5]Charters!C113</f>
        <v>958.89</v>
      </c>
      <c r="E157" s="42"/>
      <c r="F157" s="42"/>
      <c r="G157" s="42"/>
      <c r="H157" s="42"/>
      <c r="I157" s="82"/>
    </row>
    <row r="158" spans="1:9" x14ac:dyDescent="0.2">
      <c r="A158" s="75"/>
      <c r="B158" s="61"/>
      <c r="C158" s="76"/>
      <c r="D158" s="77">
        <f>SUM(D157:D157)</f>
        <v>958.89</v>
      </c>
      <c r="E158" s="42"/>
      <c r="F158" s="42"/>
      <c r="G158" s="42"/>
      <c r="H158" s="42"/>
      <c r="I158" s="82"/>
    </row>
    <row r="159" spans="1:9" x14ac:dyDescent="0.2">
      <c r="A159" s="78" t="s">
        <v>58</v>
      </c>
      <c r="B159" s="79"/>
      <c r="C159" s="80"/>
      <c r="D159" s="77">
        <f>D158+D154</f>
        <v>2303288.8199999998</v>
      </c>
      <c r="E159" s="42"/>
      <c r="F159" s="42"/>
      <c r="G159" s="42"/>
      <c r="H159" s="42"/>
      <c r="I159" s="82"/>
    </row>
    <row r="160" spans="1:9" x14ac:dyDescent="0.2">
      <c r="A160" s="84"/>
      <c r="B160" s="84"/>
      <c r="C160" s="85"/>
      <c r="D160" s="81"/>
      <c r="E160" s="42"/>
      <c r="F160" s="42"/>
      <c r="G160" s="42"/>
      <c r="H160" s="42"/>
      <c r="I160" s="82"/>
    </row>
    <row r="161" spans="1:9" x14ac:dyDescent="0.2">
      <c r="A161" s="84"/>
      <c r="B161" s="84"/>
      <c r="C161" s="85"/>
      <c r="D161" s="81">
        <f>[5]Charters!E269</f>
        <v>2303288.8199999998</v>
      </c>
      <c r="E161" s="42"/>
      <c r="F161" s="42"/>
      <c r="G161" s="42"/>
      <c r="H161" s="42"/>
      <c r="I161" s="82"/>
    </row>
    <row r="162" spans="1:9" x14ac:dyDescent="0.2">
      <c r="A162" s="84"/>
      <c r="B162" s="84"/>
      <c r="C162" s="85"/>
      <c r="D162" s="81">
        <f>D159</f>
        <v>2303288.8199999998</v>
      </c>
      <c r="E162" s="42"/>
      <c r="F162" s="42"/>
      <c r="G162" s="42"/>
      <c r="H162" s="42"/>
      <c r="I162" s="82"/>
    </row>
    <row r="163" spans="1:9" x14ac:dyDescent="0.2">
      <c r="A163" s="82"/>
      <c r="B163" s="82"/>
      <c r="C163" s="83"/>
      <c r="D163" s="42">
        <f>D161-D162</f>
        <v>0</v>
      </c>
      <c r="E163" s="42"/>
      <c r="F163" s="42"/>
      <c r="G163" s="42"/>
      <c r="H163" s="42"/>
      <c r="I163" s="82"/>
    </row>
  </sheetData>
  <mergeCells count="4">
    <mergeCell ref="A105:D105"/>
    <mergeCell ref="A106:D106"/>
    <mergeCell ref="A107:D107"/>
    <mergeCell ref="A159:C159"/>
  </mergeCells>
  <printOptions horizontalCentered="1" verticalCentered="1"/>
  <pageMargins left="0.5" right="0.5" top="0.5" bottom="0.5" header="0.25" footer="0.25"/>
  <pageSetup orientation="portrait" r:id="rId1"/>
  <headerFooter alignWithMargins="0">
    <oddHeader>&amp;R&amp;8Current as of: &amp;D</oddHeader>
    <oddFooter>&amp;L&amp;8USOE, School Finance</oddFooter>
  </headerFooter>
  <picture r:id="rId2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100-000000000000}">
  <dimension ref="A1:I164"/>
  <sheetViews>
    <sheetView topLeftCell="A101" workbookViewId="0">
      <selection activeCell="C12" sqref="C12"/>
    </sheetView>
  </sheetViews>
  <sheetFormatPr defaultRowHeight="12.75" x14ac:dyDescent="0.2"/>
  <cols>
    <col min="1" max="1" width="31.85546875" style="89" customWidth="1"/>
    <col min="2" max="2" width="16.140625" style="89" customWidth="1"/>
    <col min="3" max="3" width="15.42578125" style="89" customWidth="1"/>
    <col min="4" max="4" width="15" style="89" customWidth="1"/>
    <col min="5" max="5" width="9.140625" style="89"/>
    <col min="6" max="6" width="21.42578125" style="89" customWidth="1"/>
    <col min="7" max="7" width="4.140625" style="89" customWidth="1"/>
    <col min="8" max="8" width="23" style="89" bestFit="1" customWidth="1"/>
    <col min="9" max="16384" width="9.140625" style="89"/>
  </cols>
  <sheetData>
    <row r="1" spans="1:9" x14ac:dyDescent="0.2">
      <c r="A1" s="7"/>
      <c r="B1" s="7"/>
      <c r="C1" s="7"/>
      <c r="D1" s="7"/>
      <c r="E1" s="7"/>
      <c r="F1" s="7"/>
      <c r="G1" s="7"/>
      <c r="H1" s="7"/>
      <c r="I1" s="7"/>
    </row>
    <row r="2" spans="1:9" x14ac:dyDescent="0.2">
      <c r="A2" s="7"/>
      <c r="B2" s="7"/>
      <c r="C2" s="7"/>
      <c r="D2" s="7"/>
      <c r="E2" s="7"/>
      <c r="F2" s="7"/>
      <c r="G2" s="7"/>
      <c r="H2" s="7"/>
      <c r="I2" s="7"/>
    </row>
    <row r="3" spans="1:9" x14ac:dyDescent="0.2">
      <c r="A3" s="7"/>
      <c r="B3" s="7"/>
      <c r="C3" s="7"/>
      <c r="D3" s="7"/>
      <c r="E3" s="7"/>
      <c r="F3" s="7"/>
      <c r="G3" s="7"/>
      <c r="H3" s="7"/>
      <c r="I3" s="7"/>
    </row>
    <row r="4" spans="1:9" x14ac:dyDescent="0.2">
      <c r="A4" s="7"/>
      <c r="B4" s="7"/>
      <c r="C4" s="7"/>
      <c r="D4" s="7"/>
      <c r="E4" s="7"/>
      <c r="F4" s="7"/>
      <c r="G4" s="7"/>
      <c r="H4" s="7"/>
      <c r="I4" s="7"/>
    </row>
    <row r="5" spans="1:9" x14ac:dyDescent="0.2">
      <c r="A5" s="7"/>
      <c r="B5" s="7"/>
      <c r="C5" s="7"/>
      <c r="D5" s="7"/>
      <c r="E5" s="7"/>
      <c r="F5" s="7"/>
      <c r="G5" s="7"/>
      <c r="H5" s="7"/>
      <c r="I5" s="7"/>
    </row>
    <row r="6" spans="1:9" x14ac:dyDescent="0.2">
      <c r="A6" s="7"/>
      <c r="B6" s="7"/>
      <c r="C6" s="7"/>
      <c r="D6" s="7"/>
      <c r="E6" s="7"/>
      <c r="F6" s="7"/>
      <c r="G6" s="7"/>
      <c r="H6" s="7"/>
      <c r="I6" s="7"/>
    </row>
    <row r="7" spans="1:9" x14ac:dyDescent="0.2">
      <c r="A7" s="7"/>
      <c r="B7" s="7"/>
      <c r="C7" s="7"/>
      <c r="D7" s="7"/>
      <c r="E7" s="7"/>
      <c r="F7" s="7"/>
      <c r="G7" s="7"/>
      <c r="H7" s="7"/>
      <c r="I7" s="7"/>
    </row>
    <row r="8" spans="1:9" x14ac:dyDescent="0.2">
      <c r="A8" s="7"/>
      <c r="B8" s="7"/>
      <c r="C8" s="7"/>
      <c r="D8" s="7"/>
      <c r="E8" s="7"/>
      <c r="F8" s="7"/>
      <c r="G8" s="7"/>
      <c r="H8" s="7"/>
      <c r="I8" s="7"/>
    </row>
    <row r="9" spans="1:9" x14ac:dyDescent="0.2">
      <c r="A9" s="7"/>
      <c r="B9" s="7"/>
      <c r="C9" s="7"/>
      <c r="D9" s="7"/>
      <c r="E9" s="7"/>
      <c r="F9" s="7"/>
      <c r="G9" s="7"/>
      <c r="H9" s="7"/>
      <c r="I9" s="7"/>
    </row>
    <row r="10" spans="1:9" x14ac:dyDescent="0.2">
      <c r="A10" s="7"/>
      <c r="B10" s="7"/>
      <c r="C10" s="7"/>
      <c r="D10" s="7"/>
      <c r="E10" s="7"/>
      <c r="F10" s="7"/>
      <c r="G10" s="7"/>
      <c r="H10" s="7"/>
      <c r="I10" s="7"/>
    </row>
    <row r="11" spans="1:9" x14ac:dyDescent="0.2">
      <c r="A11" s="7"/>
      <c r="B11" s="7"/>
      <c r="C11" s="7"/>
      <c r="D11" s="7"/>
      <c r="E11" s="7"/>
      <c r="F11" s="7"/>
      <c r="G11" s="7"/>
      <c r="H11" s="7"/>
      <c r="I11" s="7"/>
    </row>
    <row r="12" spans="1:9" x14ac:dyDescent="0.2">
      <c r="A12" s="7"/>
      <c r="B12" s="7"/>
      <c r="C12" s="7"/>
      <c r="D12" s="7"/>
      <c r="E12" s="7"/>
      <c r="F12" s="7"/>
      <c r="G12" s="7"/>
      <c r="H12" s="7"/>
      <c r="I12" s="7"/>
    </row>
    <row r="13" spans="1:9" x14ac:dyDescent="0.2">
      <c r="A13" s="7"/>
      <c r="B13" s="7"/>
      <c r="C13" s="7"/>
      <c r="D13" s="7"/>
      <c r="E13" s="7"/>
      <c r="F13" s="7"/>
      <c r="G13" s="7"/>
      <c r="H13" s="7"/>
      <c r="I13" s="7"/>
    </row>
    <row r="14" spans="1:9" x14ac:dyDescent="0.2">
      <c r="A14" s="7"/>
      <c r="B14" s="7"/>
      <c r="C14" s="7"/>
      <c r="D14" s="7"/>
      <c r="E14" s="7"/>
      <c r="F14" s="7"/>
      <c r="G14" s="7"/>
      <c r="H14" s="7"/>
      <c r="I14" s="7"/>
    </row>
    <row r="15" spans="1:9" x14ac:dyDescent="0.2">
      <c r="A15" s="7"/>
      <c r="B15" s="7"/>
      <c r="C15" s="7"/>
      <c r="D15" s="7"/>
      <c r="E15" s="7"/>
      <c r="F15" s="7"/>
      <c r="G15" s="7"/>
      <c r="H15" s="7"/>
      <c r="I15" s="7"/>
    </row>
    <row r="16" spans="1:9" x14ac:dyDescent="0.2">
      <c r="A16" s="7"/>
      <c r="B16" s="7"/>
      <c r="C16" s="7"/>
      <c r="D16" s="7"/>
      <c r="E16" s="7"/>
      <c r="F16" s="7"/>
      <c r="G16" s="7"/>
      <c r="H16" s="7"/>
      <c r="I16" s="7"/>
    </row>
    <row r="17" spans="1:9" x14ac:dyDescent="0.2">
      <c r="A17" s="7"/>
      <c r="B17" s="7"/>
      <c r="C17" s="7"/>
      <c r="D17" s="7"/>
      <c r="E17" s="7"/>
      <c r="F17" s="7"/>
      <c r="G17" s="7"/>
      <c r="H17" s="7"/>
      <c r="I17" s="7"/>
    </row>
    <row r="18" spans="1:9" x14ac:dyDescent="0.2">
      <c r="A18" s="7"/>
      <c r="B18" s="7"/>
      <c r="C18" s="7"/>
      <c r="D18" s="7"/>
      <c r="E18" s="7"/>
      <c r="F18" s="7"/>
      <c r="G18" s="7"/>
      <c r="H18" s="7"/>
      <c r="I18" s="7"/>
    </row>
    <row r="19" spans="1:9" x14ac:dyDescent="0.2">
      <c r="A19" s="7"/>
      <c r="B19" s="7"/>
      <c r="C19" s="7"/>
      <c r="D19" s="7"/>
      <c r="E19" s="7"/>
      <c r="F19" s="7"/>
      <c r="G19" s="7"/>
      <c r="H19" s="7"/>
      <c r="I19" s="7"/>
    </row>
    <row r="20" spans="1:9" x14ac:dyDescent="0.2">
      <c r="A20" s="7"/>
      <c r="B20" s="7"/>
      <c r="C20" s="7"/>
      <c r="D20" s="7"/>
      <c r="E20" s="7"/>
      <c r="F20" s="7"/>
      <c r="G20" s="7"/>
      <c r="H20" s="7"/>
      <c r="I20" s="7"/>
    </row>
    <row r="21" spans="1:9" x14ac:dyDescent="0.2">
      <c r="A21" s="7"/>
      <c r="B21" s="7"/>
      <c r="C21" s="7"/>
      <c r="D21" s="7"/>
      <c r="E21" s="7"/>
      <c r="F21" s="7"/>
      <c r="G21" s="7"/>
      <c r="H21" s="7"/>
      <c r="I21" s="7"/>
    </row>
    <row r="22" spans="1:9" x14ac:dyDescent="0.2">
      <c r="A22" s="7"/>
      <c r="B22" s="7"/>
      <c r="C22" s="7"/>
      <c r="D22" s="4"/>
      <c r="E22" s="7"/>
      <c r="F22" s="7"/>
      <c r="G22" s="7"/>
      <c r="H22" s="7"/>
      <c r="I22" s="7"/>
    </row>
    <row r="23" spans="1:9" x14ac:dyDescent="0.2">
      <c r="A23" s="7"/>
      <c r="B23" s="7"/>
      <c r="C23" s="7"/>
      <c r="D23" s="7"/>
      <c r="E23" s="7"/>
      <c r="F23" s="7"/>
      <c r="G23" s="7"/>
      <c r="H23" s="7"/>
      <c r="I23" s="7"/>
    </row>
    <row r="24" spans="1:9" x14ac:dyDescent="0.2">
      <c r="A24" s="7"/>
      <c r="B24" s="7"/>
      <c r="C24" s="7"/>
      <c r="D24" s="7"/>
      <c r="E24" s="7"/>
      <c r="F24" s="7"/>
      <c r="G24" s="7"/>
      <c r="H24" s="7"/>
      <c r="I24" s="7"/>
    </row>
    <row r="25" spans="1:9" x14ac:dyDescent="0.2">
      <c r="A25" s="7"/>
      <c r="B25" s="7"/>
      <c r="C25" s="7"/>
      <c r="D25" s="7"/>
      <c r="E25" s="7"/>
      <c r="F25" s="7"/>
      <c r="G25" s="7"/>
      <c r="H25" s="7"/>
      <c r="I25" s="7"/>
    </row>
    <row r="26" spans="1:9" x14ac:dyDescent="0.2">
      <c r="A26" s="7"/>
      <c r="B26" s="7"/>
      <c r="C26" s="7"/>
      <c r="D26" s="7"/>
      <c r="E26" s="7"/>
      <c r="F26" s="7"/>
      <c r="G26" s="7"/>
      <c r="H26" s="7"/>
      <c r="I26" s="7"/>
    </row>
    <row r="27" spans="1:9" x14ac:dyDescent="0.2">
      <c r="A27" s="7"/>
      <c r="B27" s="7"/>
      <c r="C27" s="7"/>
      <c r="D27" s="7"/>
      <c r="E27" s="7"/>
      <c r="F27" s="7"/>
      <c r="G27" s="7"/>
      <c r="H27" s="7"/>
      <c r="I27" s="7"/>
    </row>
    <row r="28" spans="1:9" x14ac:dyDescent="0.2">
      <c r="A28" s="7"/>
      <c r="B28" s="7"/>
      <c r="C28" s="7"/>
      <c r="D28" s="7"/>
      <c r="E28" s="7"/>
      <c r="F28" s="7"/>
      <c r="G28" s="7"/>
      <c r="H28" s="7"/>
      <c r="I28" s="7"/>
    </row>
    <row r="29" spans="1:9" x14ac:dyDescent="0.2">
      <c r="A29" s="7"/>
      <c r="B29" s="7"/>
      <c r="C29" s="7"/>
      <c r="D29" s="7"/>
      <c r="E29" s="7"/>
      <c r="F29" s="7"/>
      <c r="G29" s="7"/>
      <c r="H29" s="7"/>
      <c r="I29" s="7"/>
    </row>
    <row r="30" spans="1:9" x14ac:dyDescent="0.2">
      <c r="A30" s="7"/>
      <c r="B30" s="7"/>
      <c r="C30" s="7"/>
      <c r="D30" s="7"/>
      <c r="E30" s="7"/>
      <c r="F30" s="7"/>
      <c r="G30" s="7"/>
      <c r="H30" s="7"/>
      <c r="I30" s="7"/>
    </row>
    <row r="31" spans="1:9" x14ac:dyDescent="0.2">
      <c r="A31" s="7"/>
      <c r="B31" s="7"/>
      <c r="C31" s="7"/>
      <c r="D31" s="7"/>
      <c r="E31" s="7"/>
      <c r="F31" s="7"/>
      <c r="G31" s="7"/>
      <c r="H31" s="7"/>
      <c r="I31" s="7"/>
    </row>
    <row r="32" spans="1:9" x14ac:dyDescent="0.2">
      <c r="A32" s="7"/>
      <c r="B32" s="7"/>
      <c r="C32" s="7"/>
      <c r="D32" s="7"/>
      <c r="E32" s="7"/>
      <c r="F32" s="7"/>
      <c r="G32" s="7"/>
      <c r="H32" s="7"/>
      <c r="I32" s="7"/>
    </row>
    <row r="33" spans="1:9" x14ac:dyDescent="0.2">
      <c r="A33" s="7"/>
      <c r="B33" s="7"/>
      <c r="C33" s="7"/>
      <c r="D33" s="7"/>
      <c r="E33" s="7"/>
      <c r="F33" s="7"/>
      <c r="G33" s="7"/>
      <c r="H33" s="7"/>
      <c r="I33" s="7"/>
    </row>
    <row r="34" spans="1:9" x14ac:dyDescent="0.2">
      <c r="A34" s="7"/>
      <c r="B34" s="7"/>
      <c r="C34" s="7"/>
      <c r="D34" s="7"/>
      <c r="E34" s="7"/>
      <c r="F34" s="7"/>
      <c r="G34" s="7"/>
      <c r="H34" s="7"/>
      <c r="I34" s="7"/>
    </row>
    <row r="35" spans="1:9" x14ac:dyDescent="0.2">
      <c r="A35" s="7"/>
      <c r="B35" s="7"/>
      <c r="C35" s="7"/>
      <c r="D35" s="7"/>
      <c r="E35" s="7"/>
      <c r="F35" s="7"/>
      <c r="G35" s="7"/>
      <c r="H35" s="7"/>
      <c r="I35" s="7"/>
    </row>
    <row r="36" spans="1:9" x14ac:dyDescent="0.2">
      <c r="A36" s="7"/>
      <c r="B36" s="7"/>
      <c r="C36" s="7"/>
      <c r="D36" s="7"/>
      <c r="E36" s="7"/>
      <c r="F36" s="7"/>
      <c r="G36" s="7"/>
      <c r="H36" s="7"/>
      <c r="I36" s="7"/>
    </row>
    <row r="37" spans="1:9" x14ac:dyDescent="0.2">
      <c r="A37" s="7"/>
      <c r="B37" s="7"/>
      <c r="C37" s="7"/>
      <c r="D37" s="7"/>
      <c r="E37" s="7"/>
      <c r="F37" s="7"/>
      <c r="G37" s="7"/>
      <c r="H37" s="7"/>
      <c r="I37" s="7"/>
    </row>
    <row r="38" spans="1:9" x14ac:dyDescent="0.2">
      <c r="A38" s="7"/>
      <c r="B38" s="7"/>
      <c r="C38" s="7"/>
      <c r="D38" s="7"/>
      <c r="E38" s="7"/>
      <c r="F38" s="7"/>
      <c r="G38" s="7"/>
      <c r="H38" s="7"/>
      <c r="I38" s="7"/>
    </row>
    <row r="39" spans="1:9" x14ac:dyDescent="0.2">
      <c r="A39" s="7"/>
      <c r="B39" s="7"/>
      <c r="C39" s="7"/>
      <c r="D39" s="7"/>
      <c r="E39" s="7"/>
      <c r="F39" s="7"/>
      <c r="G39" s="7"/>
      <c r="H39" s="7"/>
      <c r="I39" s="7"/>
    </row>
    <row r="40" spans="1:9" x14ac:dyDescent="0.2">
      <c r="A40" s="7"/>
      <c r="B40" s="7"/>
      <c r="C40" s="7"/>
      <c r="D40" s="7"/>
      <c r="E40" s="7"/>
      <c r="F40" s="7"/>
      <c r="G40" s="7"/>
      <c r="H40" s="7"/>
      <c r="I40" s="7"/>
    </row>
    <row r="41" spans="1:9" x14ac:dyDescent="0.2">
      <c r="A41" s="7"/>
      <c r="B41" s="7"/>
      <c r="C41" s="7"/>
      <c r="D41" s="7"/>
      <c r="E41" s="7"/>
      <c r="F41" s="7"/>
      <c r="G41" s="7"/>
      <c r="H41" s="7"/>
      <c r="I41" s="7"/>
    </row>
    <row r="42" spans="1:9" x14ac:dyDescent="0.2">
      <c r="A42" s="7"/>
      <c r="B42" s="7"/>
      <c r="C42" s="7"/>
      <c r="D42" s="7"/>
      <c r="E42" s="7"/>
      <c r="F42" s="7"/>
      <c r="G42" s="7"/>
      <c r="H42" s="7"/>
      <c r="I42" s="7"/>
    </row>
    <row r="43" spans="1:9" x14ac:dyDescent="0.2">
      <c r="A43" s="7"/>
      <c r="B43" s="7"/>
      <c r="C43" s="7"/>
      <c r="D43" s="7"/>
      <c r="E43" s="7"/>
      <c r="F43" s="7"/>
      <c r="G43" s="7"/>
      <c r="H43" s="7"/>
      <c r="I43" s="7"/>
    </row>
    <row r="44" spans="1:9" x14ac:dyDescent="0.2">
      <c r="A44" s="7"/>
      <c r="B44" s="7"/>
      <c r="C44" s="7"/>
      <c r="D44" s="7"/>
      <c r="E44" s="7"/>
      <c r="F44" s="7"/>
      <c r="G44" s="7"/>
      <c r="H44" s="7"/>
      <c r="I44" s="7"/>
    </row>
    <row r="45" spans="1:9" x14ac:dyDescent="0.2">
      <c r="A45" s="7"/>
      <c r="B45" s="7"/>
      <c r="C45" s="7"/>
      <c r="D45" s="7"/>
      <c r="E45" s="7"/>
      <c r="F45" s="7"/>
      <c r="G45" s="7"/>
      <c r="H45" s="7"/>
      <c r="I45" s="7"/>
    </row>
    <row r="46" spans="1:9" x14ac:dyDescent="0.2">
      <c r="A46" s="7"/>
      <c r="B46" s="7"/>
      <c r="C46" s="7"/>
      <c r="D46" s="7"/>
      <c r="E46" s="7"/>
      <c r="F46" s="7"/>
      <c r="G46" s="7"/>
      <c r="H46" s="7"/>
      <c r="I46" s="7"/>
    </row>
    <row r="47" spans="1:9" x14ac:dyDescent="0.2">
      <c r="A47" s="7"/>
      <c r="B47" s="7"/>
      <c r="C47" s="7"/>
      <c r="D47" s="7"/>
      <c r="E47" s="7"/>
      <c r="F47" s="7"/>
      <c r="G47" s="7"/>
      <c r="H47" s="7"/>
      <c r="I47" s="7"/>
    </row>
    <row r="48" spans="1:9" x14ac:dyDescent="0.2">
      <c r="A48" s="7"/>
      <c r="B48" s="7"/>
      <c r="C48" s="7"/>
      <c r="D48" s="7"/>
      <c r="E48" s="7"/>
      <c r="F48" s="7"/>
      <c r="G48" s="7"/>
      <c r="H48" s="7"/>
      <c r="I48" s="7"/>
    </row>
    <row r="49" spans="1:9" x14ac:dyDescent="0.2">
      <c r="A49" s="7"/>
      <c r="B49" s="7"/>
      <c r="C49" s="7"/>
      <c r="D49" s="7"/>
      <c r="E49" s="7"/>
      <c r="F49" s="7"/>
      <c r="G49" s="7"/>
      <c r="H49" s="7"/>
      <c r="I49" s="7"/>
    </row>
    <row r="50" spans="1:9" x14ac:dyDescent="0.2">
      <c r="A50" s="7"/>
      <c r="B50" s="7"/>
      <c r="C50" s="7"/>
      <c r="D50" s="7"/>
      <c r="E50" s="7"/>
      <c r="F50" s="7"/>
      <c r="G50" s="7"/>
      <c r="H50" s="7"/>
      <c r="I50" s="7"/>
    </row>
    <row r="51" spans="1:9" x14ac:dyDescent="0.2">
      <c r="A51" s="7"/>
      <c r="B51" s="7"/>
      <c r="C51" s="7"/>
      <c r="D51" s="7"/>
      <c r="E51" s="7"/>
      <c r="F51" s="7"/>
      <c r="G51" s="7"/>
      <c r="H51" s="7"/>
      <c r="I51" s="7"/>
    </row>
    <row r="52" spans="1:9" x14ac:dyDescent="0.2">
      <c r="A52" s="7"/>
      <c r="B52" s="7"/>
      <c r="C52" s="7"/>
      <c r="D52" s="7"/>
      <c r="E52" s="7"/>
      <c r="F52" s="7"/>
      <c r="G52" s="7"/>
      <c r="H52" s="7"/>
      <c r="I52" s="7"/>
    </row>
    <row r="53" spans="1:9" x14ac:dyDescent="0.2">
      <c r="A53" s="7"/>
      <c r="B53" s="7"/>
      <c r="C53" s="7"/>
      <c r="D53" s="7"/>
      <c r="E53" s="7"/>
      <c r="F53" s="7"/>
      <c r="G53" s="7"/>
      <c r="H53" s="7"/>
      <c r="I53" s="7"/>
    </row>
    <row r="54" spans="1:9" x14ac:dyDescent="0.2">
      <c r="A54" s="7"/>
      <c r="B54" s="7"/>
      <c r="C54" s="7"/>
      <c r="D54" s="7"/>
      <c r="E54" s="7"/>
      <c r="F54" s="7"/>
      <c r="G54" s="7"/>
      <c r="H54" s="7"/>
      <c r="I54" s="7"/>
    </row>
    <row r="55" spans="1:9" x14ac:dyDescent="0.2">
      <c r="A55" s="7"/>
      <c r="B55" s="7"/>
      <c r="C55" s="7"/>
      <c r="D55" s="7"/>
      <c r="E55" s="7"/>
      <c r="F55" s="7"/>
      <c r="G55" s="7"/>
      <c r="H55" s="7"/>
      <c r="I55" s="7"/>
    </row>
    <row r="56" spans="1:9" x14ac:dyDescent="0.2">
      <c r="A56" s="7"/>
      <c r="B56" s="7"/>
      <c r="C56" s="7"/>
      <c r="D56" s="7"/>
      <c r="E56" s="7"/>
      <c r="F56" s="7"/>
      <c r="G56" s="7"/>
      <c r="H56" s="7"/>
      <c r="I56" s="7"/>
    </row>
    <row r="57" spans="1:9" x14ac:dyDescent="0.2">
      <c r="A57" s="7"/>
      <c r="B57" s="7"/>
      <c r="C57" s="7"/>
      <c r="D57" s="7"/>
      <c r="E57" s="7"/>
      <c r="F57" s="7"/>
      <c r="G57" s="7"/>
      <c r="H57" s="7"/>
      <c r="I57" s="7"/>
    </row>
    <row r="58" spans="1:9" x14ac:dyDescent="0.2">
      <c r="A58" s="7"/>
      <c r="B58" s="7"/>
      <c r="C58" s="7"/>
      <c r="D58" s="7"/>
      <c r="E58" s="7"/>
      <c r="F58" s="7"/>
      <c r="G58" s="7"/>
      <c r="H58" s="7"/>
      <c r="I58" s="7"/>
    </row>
    <row r="59" spans="1:9" x14ac:dyDescent="0.2">
      <c r="A59" s="7"/>
      <c r="B59" s="7"/>
      <c r="C59" s="7"/>
      <c r="D59" s="7"/>
      <c r="E59" s="7"/>
      <c r="F59" s="7"/>
      <c r="G59" s="7"/>
      <c r="H59" s="7"/>
      <c r="I59" s="7"/>
    </row>
    <row r="60" spans="1:9" x14ac:dyDescent="0.2">
      <c r="A60" s="7"/>
      <c r="B60" s="7"/>
      <c r="C60" s="7"/>
      <c r="D60" s="7"/>
      <c r="E60" s="7"/>
      <c r="F60" s="7"/>
      <c r="G60" s="7"/>
      <c r="H60" s="7"/>
      <c r="I60" s="7"/>
    </row>
    <row r="61" spans="1:9" x14ac:dyDescent="0.2">
      <c r="A61" s="7"/>
      <c r="B61" s="7"/>
      <c r="C61" s="7"/>
      <c r="D61" s="7"/>
      <c r="E61" s="7"/>
      <c r="F61" s="7"/>
      <c r="G61" s="7"/>
      <c r="H61" s="7"/>
      <c r="I61" s="7"/>
    </row>
    <row r="62" spans="1:9" x14ac:dyDescent="0.2">
      <c r="A62" s="7"/>
      <c r="B62" s="7"/>
      <c r="C62" s="7"/>
      <c r="D62" s="7"/>
      <c r="E62" s="7"/>
      <c r="F62" s="7"/>
      <c r="G62" s="7"/>
      <c r="H62" s="7"/>
      <c r="I62" s="7"/>
    </row>
    <row r="63" spans="1:9" x14ac:dyDescent="0.2">
      <c r="A63" s="7"/>
      <c r="B63" s="7"/>
      <c r="C63" s="7"/>
      <c r="D63" s="7"/>
      <c r="E63" s="7"/>
      <c r="F63" s="7"/>
      <c r="G63" s="7"/>
      <c r="H63" s="7"/>
      <c r="I63" s="7"/>
    </row>
    <row r="64" spans="1:9" x14ac:dyDescent="0.2">
      <c r="A64" s="7"/>
      <c r="B64" s="7"/>
      <c r="C64" s="7"/>
      <c r="D64" s="7"/>
      <c r="E64" s="7"/>
      <c r="F64" s="7"/>
      <c r="G64" s="7"/>
      <c r="H64" s="7"/>
      <c r="I64" s="7"/>
    </row>
    <row r="65" spans="1:9" x14ac:dyDescent="0.2">
      <c r="A65" s="7"/>
      <c r="B65" s="7"/>
      <c r="C65" s="7"/>
      <c r="D65" s="7"/>
      <c r="E65" s="7"/>
      <c r="F65" s="7"/>
      <c r="G65" s="7"/>
      <c r="H65" s="7"/>
      <c r="I65" s="7"/>
    </row>
    <row r="66" spans="1:9" x14ac:dyDescent="0.2">
      <c r="A66" s="7"/>
      <c r="B66" s="7"/>
      <c r="C66" s="7"/>
      <c r="D66" s="7"/>
      <c r="E66" s="7"/>
      <c r="F66" s="7"/>
      <c r="G66" s="7"/>
      <c r="H66" s="7"/>
      <c r="I66" s="7"/>
    </row>
    <row r="67" spans="1:9" x14ac:dyDescent="0.2">
      <c r="A67" s="7"/>
      <c r="B67" s="7"/>
      <c r="C67" s="7"/>
      <c r="D67" s="7"/>
      <c r="E67" s="7"/>
      <c r="F67" s="7"/>
      <c r="G67" s="7"/>
      <c r="H67" s="7"/>
      <c r="I67" s="7"/>
    </row>
    <row r="68" spans="1:9" x14ac:dyDescent="0.2">
      <c r="A68" s="7"/>
      <c r="B68" s="7"/>
      <c r="C68" s="7"/>
      <c r="D68" s="7"/>
      <c r="E68" s="7"/>
      <c r="F68" s="7"/>
      <c r="G68" s="7"/>
      <c r="H68" s="7"/>
      <c r="I68" s="7"/>
    </row>
    <row r="69" spans="1:9" x14ac:dyDescent="0.2">
      <c r="A69" s="7"/>
      <c r="B69" s="7"/>
      <c r="C69" s="7"/>
      <c r="D69" s="7"/>
      <c r="E69" s="7"/>
      <c r="F69" s="7"/>
      <c r="G69" s="7"/>
      <c r="H69" s="7"/>
      <c r="I69" s="7"/>
    </row>
    <row r="70" spans="1:9" x14ac:dyDescent="0.2">
      <c r="A70" s="7"/>
      <c r="B70" s="7"/>
      <c r="C70" s="7"/>
      <c r="D70" s="7"/>
      <c r="E70" s="7"/>
      <c r="F70" s="7"/>
      <c r="G70" s="7"/>
      <c r="H70" s="7"/>
      <c r="I70" s="7"/>
    </row>
    <row r="71" spans="1:9" x14ac:dyDescent="0.2">
      <c r="A71" s="7"/>
      <c r="B71" s="7"/>
      <c r="C71" s="7"/>
      <c r="D71" s="7"/>
      <c r="E71" s="7"/>
      <c r="F71" s="7"/>
      <c r="G71" s="7"/>
      <c r="H71" s="7"/>
      <c r="I71" s="7"/>
    </row>
    <row r="72" spans="1:9" x14ac:dyDescent="0.2">
      <c r="A72" s="7"/>
      <c r="B72" s="7"/>
      <c r="C72" s="7"/>
      <c r="D72" s="7"/>
      <c r="E72" s="7"/>
      <c r="F72" s="7"/>
      <c r="G72" s="7"/>
      <c r="H72" s="7"/>
      <c r="I72" s="7"/>
    </row>
    <row r="73" spans="1:9" x14ac:dyDescent="0.2">
      <c r="A73" s="7"/>
      <c r="B73" s="7"/>
      <c r="C73" s="7"/>
      <c r="D73" s="7"/>
      <c r="E73" s="7"/>
      <c r="F73" s="7"/>
      <c r="G73" s="7"/>
      <c r="H73" s="7"/>
      <c r="I73" s="7"/>
    </row>
    <row r="74" spans="1:9" x14ac:dyDescent="0.2">
      <c r="A74" s="7"/>
      <c r="B74" s="7"/>
      <c r="C74" s="7"/>
      <c r="D74" s="7"/>
      <c r="E74" s="7"/>
      <c r="F74" s="7"/>
      <c r="G74" s="7"/>
      <c r="H74" s="7"/>
      <c r="I74" s="7"/>
    </row>
    <row r="75" spans="1:9" x14ac:dyDescent="0.2">
      <c r="A75" s="7"/>
      <c r="B75" s="7"/>
      <c r="C75" s="7"/>
      <c r="D75" s="7"/>
      <c r="E75" s="7"/>
      <c r="F75" s="7"/>
      <c r="G75" s="7"/>
      <c r="H75" s="7"/>
      <c r="I75" s="7"/>
    </row>
    <row r="76" spans="1:9" x14ac:dyDescent="0.2">
      <c r="A76" s="7"/>
      <c r="B76" s="7"/>
      <c r="C76" s="7"/>
      <c r="D76" s="7"/>
      <c r="E76" s="7"/>
      <c r="F76" s="7"/>
      <c r="G76" s="7"/>
      <c r="H76" s="7"/>
      <c r="I76" s="7"/>
    </row>
    <row r="77" spans="1:9" x14ac:dyDescent="0.2">
      <c r="A77" s="7"/>
      <c r="B77" s="7"/>
      <c r="C77" s="7"/>
      <c r="D77" s="7"/>
      <c r="E77" s="7"/>
      <c r="F77" s="7"/>
      <c r="G77" s="7"/>
      <c r="H77" s="7"/>
      <c r="I77" s="7"/>
    </row>
    <row r="78" spans="1:9" x14ac:dyDescent="0.2">
      <c r="A78" s="7"/>
      <c r="B78" s="7"/>
      <c r="C78" s="7"/>
      <c r="D78" s="7"/>
      <c r="E78" s="7"/>
      <c r="F78" s="7"/>
      <c r="G78" s="7"/>
      <c r="H78" s="7"/>
      <c r="I78" s="7"/>
    </row>
    <row r="79" spans="1:9" x14ac:dyDescent="0.2">
      <c r="A79" s="7"/>
      <c r="B79" s="7"/>
      <c r="C79" s="7"/>
      <c r="D79" s="7"/>
      <c r="E79" s="7"/>
      <c r="F79" s="7"/>
      <c r="G79" s="7"/>
      <c r="H79" s="7"/>
      <c r="I79" s="7"/>
    </row>
    <row r="80" spans="1:9" x14ac:dyDescent="0.2">
      <c r="A80" s="7"/>
      <c r="B80" s="7"/>
      <c r="C80" s="7"/>
      <c r="D80" s="7"/>
      <c r="E80" s="7"/>
      <c r="F80" s="7"/>
      <c r="G80" s="7"/>
      <c r="H80" s="7"/>
      <c r="I80" s="7"/>
    </row>
    <row r="81" spans="1:9" x14ac:dyDescent="0.2">
      <c r="A81" s="7"/>
      <c r="B81" s="7"/>
      <c r="C81" s="7"/>
      <c r="D81" s="7"/>
      <c r="E81" s="7"/>
      <c r="F81" s="7"/>
      <c r="G81" s="7"/>
      <c r="H81" s="7"/>
      <c r="I81" s="7"/>
    </row>
    <row r="82" spans="1:9" x14ac:dyDescent="0.2">
      <c r="A82" s="7"/>
      <c r="B82" s="7"/>
      <c r="C82" s="7"/>
      <c r="D82" s="7"/>
      <c r="E82" s="7"/>
      <c r="F82" s="7"/>
      <c r="G82" s="7"/>
      <c r="H82" s="7"/>
      <c r="I82" s="7"/>
    </row>
    <row r="83" spans="1:9" x14ac:dyDescent="0.2">
      <c r="A83" s="7"/>
      <c r="B83" s="7"/>
      <c r="C83" s="7"/>
      <c r="D83" s="7"/>
      <c r="E83" s="7"/>
      <c r="F83" s="7"/>
      <c r="G83" s="7"/>
      <c r="H83" s="7"/>
      <c r="I83" s="7"/>
    </row>
    <row r="84" spans="1:9" x14ac:dyDescent="0.2">
      <c r="A84" s="7"/>
      <c r="B84" s="7"/>
      <c r="C84" s="7"/>
      <c r="D84" s="7"/>
      <c r="E84" s="7"/>
      <c r="F84" s="7"/>
      <c r="G84" s="7"/>
      <c r="H84" s="7"/>
      <c r="I84" s="7"/>
    </row>
    <row r="85" spans="1:9" x14ac:dyDescent="0.2">
      <c r="A85" s="7"/>
      <c r="B85" s="7"/>
      <c r="C85" s="7"/>
      <c r="D85" s="7"/>
      <c r="E85" s="7"/>
      <c r="F85" s="7"/>
      <c r="G85" s="7"/>
      <c r="H85" s="7"/>
      <c r="I85" s="7"/>
    </row>
    <row r="86" spans="1:9" x14ac:dyDescent="0.2">
      <c r="A86" s="7"/>
      <c r="B86" s="7"/>
      <c r="C86" s="7"/>
      <c r="D86" s="7"/>
      <c r="E86" s="7"/>
      <c r="F86" s="7"/>
      <c r="G86" s="7"/>
      <c r="H86" s="7"/>
      <c r="I86" s="7"/>
    </row>
    <row r="87" spans="1:9" x14ac:dyDescent="0.2">
      <c r="A87" s="7"/>
      <c r="B87" s="7"/>
      <c r="C87" s="7"/>
      <c r="D87" s="7"/>
      <c r="E87" s="7"/>
      <c r="F87" s="7"/>
      <c r="G87" s="7"/>
      <c r="H87" s="7"/>
      <c r="I87" s="7"/>
    </row>
    <row r="88" spans="1:9" x14ac:dyDescent="0.2">
      <c r="A88" s="7"/>
      <c r="B88" s="7"/>
      <c r="C88" s="7"/>
      <c r="D88" s="7"/>
      <c r="E88" s="7"/>
      <c r="F88" s="7"/>
      <c r="G88" s="7"/>
      <c r="H88" s="7"/>
      <c r="I88" s="7"/>
    </row>
    <row r="89" spans="1:9" x14ac:dyDescent="0.2">
      <c r="A89" s="7"/>
      <c r="B89" s="7"/>
      <c r="C89" s="7"/>
      <c r="D89" s="7"/>
      <c r="E89" s="7"/>
      <c r="F89" s="7"/>
      <c r="G89" s="7"/>
      <c r="H89" s="7"/>
      <c r="I89" s="7"/>
    </row>
    <row r="90" spans="1:9" x14ac:dyDescent="0.2">
      <c r="A90" s="7"/>
      <c r="B90" s="7"/>
      <c r="C90" s="7"/>
      <c r="D90" s="7"/>
      <c r="E90" s="7"/>
      <c r="F90" s="7"/>
      <c r="G90" s="7"/>
      <c r="H90" s="7"/>
      <c r="I90" s="7"/>
    </row>
    <row r="91" spans="1:9" x14ac:dyDescent="0.2">
      <c r="A91" s="7"/>
      <c r="B91" s="7"/>
      <c r="C91" s="7"/>
      <c r="D91" s="7"/>
      <c r="E91" s="7"/>
      <c r="F91" s="7"/>
      <c r="G91" s="7"/>
      <c r="H91" s="7"/>
      <c r="I91" s="7"/>
    </row>
    <row r="92" spans="1:9" x14ac:dyDescent="0.2">
      <c r="A92" s="7"/>
      <c r="B92" s="7"/>
      <c r="C92" s="7"/>
      <c r="D92" s="7"/>
      <c r="E92" s="7"/>
      <c r="F92" s="7"/>
      <c r="G92" s="7"/>
      <c r="H92" s="7"/>
      <c r="I92" s="7"/>
    </row>
    <row r="93" spans="1:9" x14ac:dyDescent="0.2">
      <c r="A93" s="7"/>
      <c r="B93" s="7"/>
      <c r="C93" s="7"/>
      <c r="D93" s="7"/>
      <c r="E93" s="7"/>
      <c r="F93" s="7"/>
      <c r="G93" s="7"/>
      <c r="H93" s="7"/>
      <c r="I93" s="7"/>
    </row>
    <row r="94" spans="1:9" x14ac:dyDescent="0.2">
      <c r="A94" s="7"/>
      <c r="B94" s="7"/>
      <c r="C94" s="7"/>
      <c r="D94" s="7"/>
      <c r="E94" s="7"/>
      <c r="F94" s="7"/>
      <c r="G94" s="7"/>
      <c r="H94" s="7"/>
      <c r="I94" s="7"/>
    </row>
    <row r="95" spans="1:9" x14ac:dyDescent="0.2">
      <c r="A95" s="7"/>
      <c r="B95" s="7"/>
      <c r="C95" s="7"/>
      <c r="D95" s="7"/>
      <c r="E95" s="7"/>
      <c r="F95" s="7"/>
      <c r="G95" s="7"/>
      <c r="H95" s="7"/>
      <c r="I95" s="7"/>
    </row>
    <row r="96" spans="1:9" x14ac:dyDescent="0.2">
      <c r="A96" s="7"/>
      <c r="B96" s="7"/>
      <c r="C96" s="7"/>
      <c r="D96" s="7"/>
      <c r="E96" s="7"/>
      <c r="F96" s="7"/>
      <c r="G96" s="7"/>
      <c r="H96" s="7"/>
      <c r="I96" s="7"/>
    </row>
    <row r="97" spans="1:9" x14ac:dyDescent="0.2">
      <c r="A97" s="7"/>
      <c r="B97" s="7"/>
      <c r="C97" s="7"/>
      <c r="D97" s="7"/>
      <c r="E97" s="7"/>
      <c r="F97" s="7"/>
      <c r="G97" s="7"/>
      <c r="H97" s="7"/>
      <c r="I97" s="7"/>
    </row>
    <row r="98" spans="1:9" x14ac:dyDescent="0.2">
      <c r="A98" s="7"/>
      <c r="B98" s="7"/>
      <c r="C98" s="7"/>
      <c r="D98" s="7"/>
      <c r="E98" s="7"/>
      <c r="F98" s="7"/>
      <c r="G98" s="7"/>
      <c r="H98" s="7"/>
      <c r="I98" s="7"/>
    </row>
    <row r="99" spans="1:9" x14ac:dyDescent="0.2">
      <c r="A99" s="7"/>
      <c r="B99" s="7"/>
      <c r="C99" s="7"/>
      <c r="D99" s="7"/>
      <c r="E99" s="7"/>
      <c r="F99" s="7"/>
      <c r="G99" s="7"/>
      <c r="H99" s="7"/>
      <c r="I99" s="7"/>
    </row>
    <row r="100" spans="1:9" x14ac:dyDescent="0.2">
      <c r="A100" s="7"/>
      <c r="B100" s="7"/>
      <c r="C100" s="7"/>
      <c r="D100" s="7"/>
      <c r="E100" s="7"/>
      <c r="F100" s="7"/>
      <c r="G100" s="7"/>
      <c r="H100" s="7"/>
      <c r="I100" s="7"/>
    </row>
    <row r="101" spans="1:9" x14ac:dyDescent="0.2">
      <c r="A101" s="7"/>
      <c r="B101" s="7"/>
      <c r="C101" s="7"/>
      <c r="D101" s="7"/>
      <c r="E101" s="7"/>
      <c r="F101" s="7"/>
      <c r="G101" s="7"/>
      <c r="H101" s="7"/>
      <c r="I101" s="7"/>
    </row>
    <row r="102" spans="1:9" x14ac:dyDescent="0.2">
      <c r="A102" s="7"/>
      <c r="B102" s="7"/>
      <c r="C102" s="7"/>
      <c r="D102" s="7"/>
      <c r="E102" s="7"/>
      <c r="F102" s="7"/>
      <c r="G102" s="7"/>
      <c r="H102" s="7"/>
      <c r="I102" s="7"/>
    </row>
    <row r="103" spans="1:9" x14ac:dyDescent="0.2">
      <c r="A103" s="7"/>
      <c r="B103" s="7"/>
      <c r="C103" s="7"/>
      <c r="D103" s="7"/>
      <c r="E103" s="7"/>
      <c r="F103" s="7"/>
      <c r="G103" s="7"/>
      <c r="H103" s="7"/>
      <c r="I103" s="7"/>
    </row>
    <row r="104" spans="1:9" x14ac:dyDescent="0.2">
      <c r="A104" s="7"/>
      <c r="B104" s="7"/>
      <c r="C104" s="7"/>
      <c r="D104" s="7"/>
      <c r="E104" s="7"/>
      <c r="F104" s="7"/>
      <c r="G104" s="7"/>
      <c r="H104" s="7"/>
      <c r="I104" s="7"/>
    </row>
    <row r="105" spans="1:9" x14ac:dyDescent="0.2">
      <c r="A105" s="7"/>
      <c r="B105" s="7"/>
      <c r="C105" s="7"/>
      <c r="D105" s="7"/>
      <c r="E105" s="7"/>
      <c r="F105" s="7"/>
      <c r="G105" s="7"/>
      <c r="H105" s="7"/>
      <c r="I105" s="7"/>
    </row>
    <row r="106" spans="1:9" x14ac:dyDescent="0.2">
      <c r="A106" s="11" t="s">
        <v>1</v>
      </c>
      <c r="B106" s="12"/>
      <c r="C106" s="12"/>
      <c r="D106" s="13"/>
      <c r="E106" s="8"/>
      <c r="F106" s="8"/>
      <c r="G106" s="8"/>
      <c r="H106" s="8"/>
      <c r="I106" s="1"/>
    </row>
    <row r="107" spans="1:9" x14ac:dyDescent="0.2">
      <c r="A107" s="14" t="s">
        <v>15</v>
      </c>
      <c r="B107" s="15"/>
      <c r="C107" s="15"/>
      <c r="D107" s="16"/>
      <c r="E107" s="8"/>
      <c r="F107" s="8"/>
      <c r="G107" s="8"/>
      <c r="H107" s="8"/>
      <c r="I107" s="1"/>
    </row>
    <row r="108" spans="1:9" x14ac:dyDescent="0.2">
      <c r="A108" s="17" t="s">
        <v>62</v>
      </c>
      <c r="B108" s="18"/>
      <c r="C108" s="18"/>
      <c r="D108" s="19"/>
      <c r="E108" s="8"/>
      <c r="F108" s="8"/>
      <c r="G108" s="8"/>
      <c r="H108" s="8"/>
      <c r="I108" s="1"/>
    </row>
    <row r="109" spans="1:9" x14ac:dyDescent="0.2">
      <c r="A109" s="20"/>
      <c r="B109" s="21"/>
      <c r="C109" s="22"/>
      <c r="D109" s="23"/>
      <c r="E109" s="8"/>
      <c r="F109" s="8" t="s">
        <v>34</v>
      </c>
      <c r="G109" s="8"/>
      <c r="H109" s="8"/>
      <c r="I109" s="1"/>
    </row>
    <row r="110" spans="1:9" ht="15.75" x14ac:dyDescent="0.25">
      <c r="A110" s="24" t="s">
        <v>2</v>
      </c>
      <c r="B110" s="25" t="str">
        <f>[1]Charters!B115</f>
        <v>Terra Academy</v>
      </c>
      <c r="C110" s="26"/>
      <c r="D110" s="27"/>
      <c r="E110" s="8"/>
      <c r="F110" s="8"/>
      <c r="G110" s="8"/>
      <c r="H110" s="8"/>
      <c r="I110" s="1"/>
    </row>
    <row r="111" spans="1:9" x14ac:dyDescent="0.2">
      <c r="A111" s="24"/>
      <c r="B111" s="28"/>
      <c r="C111" s="26"/>
      <c r="D111" s="27"/>
      <c r="E111" s="8"/>
      <c r="F111" s="8"/>
      <c r="G111" s="8"/>
      <c r="H111" s="8"/>
      <c r="I111" s="1"/>
    </row>
    <row r="112" spans="1:9" x14ac:dyDescent="0.2">
      <c r="A112" s="29" t="s">
        <v>0</v>
      </c>
      <c r="B112" s="30">
        <f>[1]Charters!$E$6</f>
        <v>3184</v>
      </c>
      <c r="C112" s="26"/>
      <c r="D112" s="31"/>
      <c r="E112" s="8"/>
      <c r="F112" s="8"/>
      <c r="G112" s="8"/>
      <c r="H112" s="8"/>
      <c r="I112" s="1"/>
    </row>
    <row r="113" spans="1:9" x14ac:dyDescent="0.2">
      <c r="A113" s="32"/>
      <c r="B113" s="6"/>
      <c r="C113" s="33"/>
      <c r="D113" s="34" t="s">
        <v>3</v>
      </c>
      <c r="E113" s="8"/>
      <c r="F113" s="8"/>
      <c r="G113" s="8"/>
      <c r="H113" s="8"/>
      <c r="I113" s="1"/>
    </row>
    <row r="114" spans="1:9" x14ac:dyDescent="0.2">
      <c r="A114" s="29" t="s">
        <v>19</v>
      </c>
      <c r="B114" s="35" t="str">
        <f>[1]Charters!A115</f>
        <v>8J</v>
      </c>
      <c r="C114" s="36" t="s">
        <v>4</v>
      </c>
      <c r="D114" s="37" t="s">
        <v>5</v>
      </c>
      <c r="E114" s="8"/>
      <c r="F114" s="8"/>
      <c r="G114" s="8"/>
      <c r="H114" s="8"/>
      <c r="I114" s="1"/>
    </row>
    <row r="115" spans="1:9" x14ac:dyDescent="0.2">
      <c r="A115" s="38" t="s">
        <v>6</v>
      </c>
      <c r="B115" s="39"/>
      <c r="C115" s="40"/>
      <c r="D115" s="41"/>
      <c r="E115" s="8"/>
      <c r="F115" s="8"/>
      <c r="G115" s="8"/>
      <c r="H115" s="8"/>
      <c r="I115" s="1"/>
    </row>
    <row r="116" spans="1:9" x14ac:dyDescent="0.2">
      <c r="A116" s="38" t="s">
        <v>7</v>
      </c>
      <c r="B116" s="39"/>
      <c r="C116" s="40"/>
      <c r="D116" s="41"/>
      <c r="E116" s="8"/>
      <c r="F116" s="42" t="s">
        <v>23</v>
      </c>
      <c r="G116" s="8"/>
      <c r="H116" s="42" t="s">
        <v>26</v>
      </c>
      <c r="I116" s="1"/>
    </row>
    <row r="117" spans="1:9" x14ac:dyDescent="0.2">
      <c r="A117" s="20" t="s">
        <v>8</v>
      </c>
      <c r="B117" s="43"/>
      <c r="C117" s="44">
        <f>[1]Charters!C575</f>
        <v>609.16300000000001</v>
      </c>
      <c r="D117" s="45">
        <f>[1]Charters!E575</f>
        <v>1939574.84</v>
      </c>
      <c r="E117" s="8"/>
      <c r="F117" s="42">
        <f>[1]Charters!E731</f>
        <v>2080864.58</v>
      </c>
      <c r="G117" s="8"/>
      <c r="H117" s="42">
        <f>[2]Charters!E269</f>
        <v>2494754.36</v>
      </c>
      <c r="I117" s="1"/>
    </row>
    <row r="118" spans="1:9" x14ac:dyDescent="0.2">
      <c r="A118" s="20" t="s">
        <v>14</v>
      </c>
      <c r="B118" s="43"/>
      <c r="C118" s="44">
        <f>[1]Charters!F575</f>
        <v>44.375</v>
      </c>
      <c r="D118" s="45">
        <f>[1]Charters!H575</f>
        <v>141289.74</v>
      </c>
      <c r="E118" s="8"/>
      <c r="F118" s="42">
        <f>SUM(D117:D119)</f>
        <v>2080864.58</v>
      </c>
      <c r="G118" s="8"/>
      <c r="H118" s="42">
        <f>D130</f>
        <v>2494754.36</v>
      </c>
      <c r="I118" s="1"/>
    </row>
    <row r="119" spans="1:9" x14ac:dyDescent="0.2">
      <c r="A119" s="20" t="s">
        <v>32</v>
      </c>
      <c r="B119" s="43"/>
      <c r="C119" s="44">
        <f>[1]Charters!C268</f>
        <v>0</v>
      </c>
      <c r="D119" s="45">
        <f>[1]Charters!E268</f>
        <v>0</v>
      </c>
      <c r="E119" s="8"/>
      <c r="F119" s="42">
        <f>+F117-F118</f>
        <v>0</v>
      </c>
      <c r="G119" s="8"/>
      <c r="H119" s="42">
        <f>+H117-H118</f>
        <v>0</v>
      </c>
      <c r="I119" s="1"/>
    </row>
    <row r="120" spans="1:9" x14ac:dyDescent="0.2">
      <c r="A120" s="38" t="s">
        <v>9</v>
      </c>
      <c r="B120" s="39"/>
      <c r="C120" s="46"/>
      <c r="D120" s="47"/>
      <c r="E120" s="8"/>
      <c r="F120" s="8"/>
      <c r="G120" s="8"/>
      <c r="H120" s="8"/>
      <c r="I120" s="1"/>
    </row>
    <row r="121" spans="1:9" x14ac:dyDescent="0.2">
      <c r="A121" s="20" t="s">
        <v>10</v>
      </c>
      <c r="B121" s="43"/>
      <c r="C121" s="40">
        <f>[3]Charters!C114</f>
        <v>81.213999999999999</v>
      </c>
      <c r="D121" s="41">
        <f>[3]Charters!E114</f>
        <v>258585.78</v>
      </c>
      <c r="E121" s="8"/>
      <c r="F121" s="42" t="s">
        <v>24</v>
      </c>
      <c r="G121" s="8"/>
      <c r="H121" s="8"/>
      <c r="I121" s="1"/>
    </row>
    <row r="122" spans="1:9" x14ac:dyDescent="0.2">
      <c r="A122" s="48" t="s">
        <v>11</v>
      </c>
      <c r="B122" s="43"/>
      <c r="C122" s="40">
        <f>[3]Charters!F114</f>
        <v>5.5869999999999997</v>
      </c>
      <c r="D122" s="49">
        <f>[3]Charters!H114</f>
        <v>17787.96</v>
      </c>
      <c r="E122" s="8"/>
      <c r="F122" s="42">
        <f>[3]Charters!N427</f>
        <v>283957.96000000002</v>
      </c>
      <c r="G122" s="8"/>
      <c r="H122" s="8"/>
      <c r="I122" s="1"/>
    </row>
    <row r="123" spans="1:9" x14ac:dyDescent="0.2">
      <c r="A123" s="48" t="s">
        <v>12</v>
      </c>
      <c r="B123" s="43"/>
      <c r="C123" s="40">
        <f>[3]Charters!C269</f>
        <v>0</v>
      </c>
      <c r="D123" s="41">
        <f>[3]Charters!E269</f>
        <v>0</v>
      </c>
      <c r="E123" s="8"/>
      <c r="F123" s="42">
        <f>SUM(D121:D127)</f>
        <v>283957.96000000002</v>
      </c>
      <c r="G123" s="8"/>
      <c r="H123" s="8"/>
      <c r="I123" s="1"/>
    </row>
    <row r="124" spans="1:9" x14ac:dyDescent="0.2">
      <c r="A124" s="20" t="s">
        <v>13</v>
      </c>
      <c r="B124" s="43"/>
      <c r="C124" s="40">
        <f>[3]Charters!F269</f>
        <v>0.70899999999999996</v>
      </c>
      <c r="D124" s="41">
        <f>[3]Charters!H269</f>
        <v>2259</v>
      </c>
      <c r="E124" s="8"/>
      <c r="F124" s="42">
        <f>+F122-F123</f>
        <v>0</v>
      </c>
      <c r="G124" s="8"/>
      <c r="H124" s="8"/>
      <c r="I124" s="1"/>
    </row>
    <row r="125" spans="1:9" x14ac:dyDescent="0.2">
      <c r="A125" s="48" t="s">
        <v>54</v>
      </c>
      <c r="B125" s="43"/>
      <c r="C125" s="40">
        <f>[3]Charters!C427</f>
        <v>1.6719999999999999</v>
      </c>
      <c r="D125" s="41">
        <f>[3]Charters!E427</f>
        <v>5325.22</v>
      </c>
      <c r="E125" s="8"/>
      <c r="F125" s="8"/>
      <c r="G125" s="8"/>
      <c r="H125" s="8"/>
      <c r="I125" s="1"/>
    </row>
    <row r="126" spans="1:9" x14ac:dyDescent="0.2">
      <c r="A126" s="48" t="s">
        <v>55</v>
      </c>
      <c r="B126" s="43"/>
      <c r="C126" s="40">
        <f>[3]Charters!F427</f>
        <v>0</v>
      </c>
      <c r="D126" s="41">
        <f>[3]Charters!H427</f>
        <v>0</v>
      </c>
      <c r="E126" s="8"/>
      <c r="F126" s="42" t="s">
        <v>25</v>
      </c>
      <c r="G126" s="8"/>
      <c r="H126" s="8"/>
      <c r="I126" s="1"/>
    </row>
    <row r="127" spans="1:9" x14ac:dyDescent="0.2">
      <c r="A127" s="48" t="s">
        <v>56</v>
      </c>
      <c r="B127" s="43"/>
      <c r="C127" s="40">
        <f>[3]Charters!I427</f>
        <v>0</v>
      </c>
      <c r="D127" s="41">
        <f>[3]Charters!K427</f>
        <v>0</v>
      </c>
      <c r="E127" s="8"/>
      <c r="F127" s="42">
        <f>[2]Charters!H115</f>
        <v>413889.78</v>
      </c>
      <c r="G127" s="8"/>
      <c r="H127" s="8"/>
      <c r="I127" s="1"/>
    </row>
    <row r="128" spans="1:9" x14ac:dyDescent="0.2">
      <c r="A128" s="20" t="s">
        <v>49</v>
      </c>
      <c r="B128" s="43"/>
      <c r="C128" s="40">
        <f>[3]Charters!C582</f>
        <v>1.411</v>
      </c>
      <c r="D128" s="41">
        <f>[3]Charters!E582</f>
        <v>4491.13</v>
      </c>
      <c r="E128" s="8"/>
      <c r="F128" s="42">
        <f>SUM(D121:D129)</f>
        <v>413889.78</v>
      </c>
      <c r="G128" s="8"/>
      <c r="H128" s="8"/>
      <c r="I128" s="1"/>
    </row>
    <row r="129" spans="1:9" x14ac:dyDescent="0.2">
      <c r="A129" s="20" t="s">
        <v>50</v>
      </c>
      <c r="B129" s="43"/>
      <c r="C129" s="40">
        <f>[2]Charters!C115</f>
        <v>39.396999999999998</v>
      </c>
      <c r="D129" s="41">
        <f>[2]Charters!E115</f>
        <v>125440.69</v>
      </c>
      <c r="E129" s="8"/>
      <c r="F129" s="42">
        <f>+F127-F128</f>
        <v>0</v>
      </c>
      <c r="G129" s="8"/>
      <c r="H129" s="8"/>
      <c r="I129" s="1"/>
    </row>
    <row r="130" spans="1:9" x14ac:dyDescent="0.2">
      <c r="A130" s="50"/>
      <c r="B130" s="51" t="s">
        <v>16</v>
      </c>
      <c r="C130" s="52">
        <f>SUM(C117:C129)</f>
        <v>783.52800000000002</v>
      </c>
      <c r="D130" s="53">
        <f>SUM(D117:D129)</f>
        <v>2494754.36</v>
      </c>
      <c r="E130" s="8"/>
      <c r="F130" s="8"/>
      <c r="G130" s="8"/>
      <c r="H130" s="8"/>
      <c r="I130" s="1"/>
    </row>
    <row r="131" spans="1:9" x14ac:dyDescent="0.2">
      <c r="A131" s="54" t="s">
        <v>17</v>
      </c>
      <c r="B131" s="39"/>
      <c r="C131" s="55"/>
      <c r="D131" s="47"/>
      <c r="E131" s="8"/>
      <c r="F131" s="8"/>
      <c r="G131" s="8"/>
      <c r="H131" s="42" t="s">
        <v>29</v>
      </c>
      <c r="I131" s="1"/>
    </row>
    <row r="132" spans="1:9" x14ac:dyDescent="0.2">
      <c r="A132" s="20" t="s">
        <v>33</v>
      </c>
      <c r="B132" s="43"/>
      <c r="C132" s="56"/>
      <c r="D132" s="57">
        <f>[4]Charters!C116</f>
        <v>7230.97</v>
      </c>
      <c r="E132" s="8"/>
      <c r="F132" s="8"/>
      <c r="G132" s="8"/>
      <c r="H132" s="42">
        <f>[4]Charters!F1055</f>
        <v>4019699.16</v>
      </c>
      <c r="I132" s="1"/>
    </row>
    <row r="133" spans="1:9" x14ac:dyDescent="0.2">
      <c r="A133" s="58" t="s">
        <v>35</v>
      </c>
      <c r="B133" s="43"/>
      <c r="C133" s="56"/>
      <c r="D133" s="41">
        <f>+[4]Charters!F437</f>
        <v>2931.89</v>
      </c>
      <c r="E133" s="8"/>
      <c r="F133" s="8"/>
      <c r="G133" s="8"/>
      <c r="H133" s="42">
        <f>SUM(D130:D149)</f>
        <v>4019699.16</v>
      </c>
      <c r="I133" s="1"/>
    </row>
    <row r="134" spans="1:9" x14ac:dyDescent="0.2">
      <c r="A134" s="59" t="s">
        <v>36</v>
      </c>
      <c r="B134" s="43"/>
      <c r="C134" s="56"/>
      <c r="D134" s="41">
        <f>[4]Charters!E276</f>
        <v>6757</v>
      </c>
      <c r="E134" s="8"/>
      <c r="F134" s="8"/>
      <c r="G134" s="8"/>
      <c r="H134" s="42">
        <f>+H132-H133</f>
        <v>0</v>
      </c>
      <c r="I134" s="1"/>
    </row>
    <row r="135" spans="1:9" x14ac:dyDescent="0.2">
      <c r="A135" s="59" t="s">
        <v>52</v>
      </c>
      <c r="B135" s="43"/>
      <c r="C135" s="56"/>
      <c r="D135" s="41">
        <f>[4]Charters!G437</f>
        <v>5273.96</v>
      </c>
      <c r="E135" s="8"/>
      <c r="F135" s="42" t="s">
        <v>27</v>
      </c>
      <c r="G135" s="8"/>
      <c r="H135" s="42"/>
      <c r="I135" s="1"/>
    </row>
    <row r="136" spans="1:9" x14ac:dyDescent="0.2">
      <c r="A136" s="20" t="s">
        <v>37</v>
      </c>
      <c r="B136" s="43"/>
      <c r="C136" s="56"/>
      <c r="D136" s="41">
        <f>[4]Charters!E593</f>
        <v>45971</v>
      </c>
      <c r="E136" s="8"/>
      <c r="F136" s="42">
        <f>[4]Charters!E276</f>
        <v>6757</v>
      </c>
      <c r="G136" s="8"/>
      <c r="H136" s="8"/>
      <c r="I136" s="1"/>
    </row>
    <row r="137" spans="1:9" x14ac:dyDescent="0.2">
      <c r="A137" s="20" t="s">
        <v>38</v>
      </c>
      <c r="B137" s="43"/>
      <c r="C137" s="56"/>
      <c r="D137" s="41">
        <f>[4]Charters!F593</f>
        <v>4681</v>
      </c>
      <c r="E137" s="8"/>
      <c r="F137" s="42">
        <f>SUM(D134:D134)</f>
        <v>6757</v>
      </c>
      <c r="G137" s="8"/>
      <c r="H137" s="8"/>
      <c r="I137" s="1"/>
    </row>
    <row r="138" spans="1:9" x14ac:dyDescent="0.2">
      <c r="A138" s="59" t="s">
        <v>40</v>
      </c>
      <c r="B138" s="43"/>
      <c r="C138" s="56"/>
      <c r="D138" s="41">
        <f>[4]Charters!G593</f>
        <v>0</v>
      </c>
      <c r="E138" s="8"/>
      <c r="F138" s="42">
        <f>+F136-F137</f>
        <v>0</v>
      </c>
      <c r="G138" s="8"/>
      <c r="H138" s="8"/>
      <c r="I138" s="1"/>
    </row>
    <row r="139" spans="1:9" x14ac:dyDescent="0.2">
      <c r="A139" s="20" t="s">
        <v>41</v>
      </c>
      <c r="B139" s="43"/>
      <c r="C139" s="56"/>
      <c r="D139" s="41">
        <f>[4]Charters!C746</f>
        <v>1232616</v>
      </c>
      <c r="E139" s="8"/>
      <c r="F139" s="42" t="s">
        <v>28</v>
      </c>
      <c r="G139" s="8"/>
      <c r="H139" s="8"/>
      <c r="I139" s="1"/>
    </row>
    <row r="140" spans="1:9" x14ac:dyDescent="0.2">
      <c r="A140" s="20" t="s">
        <v>42</v>
      </c>
      <c r="B140" s="43"/>
      <c r="C140" s="56"/>
      <c r="D140" s="41">
        <f>[4]Charters!D746</f>
        <v>136552.65</v>
      </c>
      <c r="E140" s="8"/>
      <c r="F140" s="42">
        <f>[4]Charters!D593</f>
        <v>14962.85</v>
      </c>
      <c r="G140" s="8"/>
      <c r="H140" s="8"/>
      <c r="I140" s="1"/>
    </row>
    <row r="141" spans="1:9" x14ac:dyDescent="0.2">
      <c r="A141" s="20" t="s">
        <v>44</v>
      </c>
      <c r="B141" s="43"/>
      <c r="C141" s="56"/>
      <c r="D141" s="41">
        <f>[4]Charters!E746</f>
        <v>61600</v>
      </c>
      <c r="E141" s="8"/>
      <c r="F141" s="42">
        <f>SUM(D133:D135)</f>
        <v>14962.85</v>
      </c>
      <c r="G141" s="8"/>
      <c r="H141" s="8"/>
      <c r="I141" s="1"/>
    </row>
    <row r="142" spans="1:9" x14ac:dyDescent="0.2">
      <c r="A142" s="59" t="s">
        <v>43</v>
      </c>
      <c r="B142" s="43"/>
      <c r="C142" s="56"/>
      <c r="D142" s="41">
        <f>[4]Charters!F746</f>
        <v>20476.21</v>
      </c>
      <c r="E142" s="8"/>
      <c r="F142" s="42">
        <f>+F140-F141</f>
        <v>0</v>
      </c>
      <c r="G142" s="8"/>
      <c r="H142" s="8"/>
      <c r="I142" s="1"/>
    </row>
    <row r="143" spans="1:9" x14ac:dyDescent="0.2">
      <c r="A143" s="59" t="s">
        <v>45</v>
      </c>
      <c r="B143" s="43"/>
      <c r="C143" s="56"/>
      <c r="D143" s="41">
        <f>[4]Charters!C593</f>
        <v>0</v>
      </c>
      <c r="E143" s="8"/>
      <c r="F143" s="8"/>
      <c r="G143" s="8"/>
      <c r="H143" s="8"/>
      <c r="I143" s="1"/>
    </row>
    <row r="144" spans="1:9" x14ac:dyDescent="0.2">
      <c r="A144" s="59" t="s">
        <v>46</v>
      </c>
      <c r="B144" s="43"/>
      <c r="C144" s="56"/>
      <c r="D144" s="41">
        <f>[4]Charters!C902</f>
        <v>0</v>
      </c>
      <c r="E144" s="42"/>
      <c r="F144" s="42"/>
      <c r="G144" s="42"/>
      <c r="H144" s="42" t="s">
        <v>31</v>
      </c>
      <c r="I144" s="82"/>
    </row>
    <row r="145" spans="1:9" x14ac:dyDescent="0.2">
      <c r="A145" s="59" t="s">
        <v>51</v>
      </c>
      <c r="B145" s="43"/>
      <c r="C145" s="56"/>
      <c r="D145" s="60">
        <f>[4]Charters!D902</f>
        <v>854.12</v>
      </c>
      <c r="E145" s="42"/>
      <c r="F145" s="42"/>
      <c r="G145" s="42"/>
      <c r="H145" s="42">
        <f>[4]Charters!D1361</f>
        <v>4024745.33</v>
      </c>
      <c r="I145" s="82"/>
    </row>
    <row r="146" spans="1:9" x14ac:dyDescent="0.2">
      <c r="A146" s="20" t="s">
        <v>47</v>
      </c>
      <c r="B146" s="43"/>
      <c r="C146" s="56"/>
      <c r="D146" s="60">
        <f>[4]Charters!E902</f>
        <v>0</v>
      </c>
      <c r="E146" s="42"/>
      <c r="F146" s="42"/>
      <c r="G146" s="42"/>
      <c r="H146" s="42">
        <f>D155</f>
        <v>4024745.33</v>
      </c>
      <c r="I146" s="82"/>
    </row>
    <row r="147" spans="1:9" x14ac:dyDescent="0.2">
      <c r="A147" s="20" t="s">
        <v>57</v>
      </c>
      <c r="B147" s="43"/>
      <c r="C147" s="56"/>
      <c r="D147" s="60">
        <f>[4]Charters!C1055</f>
        <v>0</v>
      </c>
      <c r="E147" s="42"/>
      <c r="F147" s="42"/>
      <c r="G147" s="42"/>
      <c r="H147" s="42">
        <f>+H145-H146</f>
        <v>0</v>
      </c>
      <c r="I147" s="82"/>
    </row>
    <row r="148" spans="1:9" x14ac:dyDescent="0.2">
      <c r="A148" s="59" t="s">
        <v>53</v>
      </c>
      <c r="B148" s="43"/>
      <c r="C148" s="56"/>
      <c r="D148" s="60">
        <f>[4]Charters!D1055</f>
        <v>0</v>
      </c>
      <c r="E148" s="42"/>
      <c r="F148" s="42" t="s">
        <v>30</v>
      </c>
      <c r="G148" s="42"/>
      <c r="H148" s="42"/>
      <c r="I148" s="82"/>
    </row>
    <row r="149" spans="1:9" x14ac:dyDescent="0.2">
      <c r="A149" s="59" t="s">
        <v>59</v>
      </c>
      <c r="B149" s="43"/>
      <c r="C149" s="56"/>
      <c r="D149" s="60">
        <f>[4]Charters!E1055</f>
        <v>0</v>
      </c>
      <c r="E149" s="42"/>
      <c r="F149" s="42"/>
      <c r="G149" s="42"/>
      <c r="H149" s="42"/>
      <c r="I149" s="82"/>
    </row>
    <row r="150" spans="1:9" x14ac:dyDescent="0.2">
      <c r="A150" s="38" t="s">
        <v>18</v>
      </c>
      <c r="B150" s="61"/>
      <c r="C150" s="62"/>
      <c r="D150" s="87"/>
      <c r="E150" s="42"/>
      <c r="F150" s="42">
        <f>[4]Charters!C1361</f>
        <v>5046.17</v>
      </c>
      <c r="G150" s="42"/>
      <c r="H150" s="42"/>
      <c r="I150" s="82"/>
    </row>
    <row r="151" spans="1:9" x14ac:dyDescent="0.2">
      <c r="A151" s="59" t="s">
        <v>39</v>
      </c>
      <c r="B151" s="43"/>
      <c r="C151" s="56"/>
      <c r="D151" s="41">
        <f>[4]Charters!C1208</f>
        <v>5046.17</v>
      </c>
      <c r="E151" s="42"/>
      <c r="F151" s="42">
        <f>SUM(D151:D154)</f>
        <v>5046.17</v>
      </c>
      <c r="G151" s="42"/>
      <c r="H151" s="42"/>
      <c r="I151" s="82"/>
    </row>
    <row r="152" spans="1:9" x14ac:dyDescent="0.2">
      <c r="A152" s="59" t="s">
        <v>48</v>
      </c>
      <c r="B152" s="43"/>
      <c r="C152" s="56"/>
      <c r="D152" s="41">
        <f>[4]Charters!D1208</f>
        <v>0</v>
      </c>
      <c r="E152" s="42"/>
      <c r="F152" s="42">
        <f>+F150-F151</f>
        <v>0</v>
      </c>
      <c r="G152" s="42"/>
      <c r="H152" s="42"/>
      <c r="I152" s="82"/>
    </row>
    <row r="153" spans="1:9" x14ac:dyDescent="0.2">
      <c r="A153" s="59" t="s">
        <v>60</v>
      </c>
      <c r="B153" s="43"/>
      <c r="C153" s="56"/>
      <c r="D153" s="41">
        <f>[4]Charters!E1208</f>
        <v>0</v>
      </c>
      <c r="E153" s="42"/>
      <c r="F153" s="42"/>
      <c r="G153" s="42"/>
      <c r="H153" s="42"/>
      <c r="I153" s="82"/>
    </row>
    <row r="154" spans="1:9" x14ac:dyDescent="0.2">
      <c r="A154" s="59" t="s">
        <v>61</v>
      </c>
      <c r="B154" s="43"/>
      <c r="C154" s="56"/>
      <c r="D154" s="41">
        <f>[4]Charters!F1208</f>
        <v>0</v>
      </c>
      <c r="E154" s="42"/>
      <c r="F154" s="42"/>
      <c r="G154" s="42"/>
      <c r="H154" s="42"/>
      <c r="I154" s="82"/>
    </row>
    <row r="155" spans="1:9" ht="13.5" thickBot="1" x14ac:dyDescent="0.25">
      <c r="A155" s="64"/>
      <c r="B155" s="65"/>
      <c r="C155" s="66"/>
      <c r="D155" s="67">
        <f>SUM(D130:D154)</f>
        <v>4024745.33</v>
      </c>
      <c r="E155" s="42"/>
      <c r="F155" s="42"/>
      <c r="G155" s="42"/>
      <c r="H155" s="42"/>
      <c r="I155" s="82"/>
    </row>
    <row r="156" spans="1:9" ht="13.5" thickTop="1" x14ac:dyDescent="0.2">
      <c r="A156" s="68"/>
      <c r="B156" s="43"/>
      <c r="C156" s="56"/>
      <c r="D156" s="86"/>
      <c r="E156" s="42"/>
      <c r="F156" s="42"/>
      <c r="G156" s="42"/>
      <c r="H156" s="42"/>
      <c r="I156" s="82"/>
    </row>
    <row r="157" spans="1:9" x14ac:dyDescent="0.2">
      <c r="A157" s="38" t="s">
        <v>20</v>
      </c>
      <c r="B157" s="39"/>
      <c r="C157" s="70"/>
      <c r="D157" s="71" t="s">
        <v>21</v>
      </c>
      <c r="E157" s="42"/>
      <c r="F157" s="42"/>
      <c r="G157" s="42"/>
      <c r="H157" s="42"/>
      <c r="I157" s="82"/>
    </row>
    <row r="158" spans="1:9" x14ac:dyDescent="0.2">
      <c r="A158" s="72" t="s">
        <v>22</v>
      </c>
      <c r="B158" s="73"/>
      <c r="C158" s="74"/>
      <c r="D158" s="41">
        <f>[5]Charters!C114</f>
        <v>1464.08</v>
      </c>
      <c r="E158" s="42"/>
      <c r="F158" s="42"/>
      <c r="G158" s="42"/>
      <c r="H158" s="42"/>
      <c r="I158" s="82"/>
    </row>
    <row r="159" spans="1:9" x14ac:dyDescent="0.2">
      <c r="A159" s="75"/>
      <c r="B159" s="61"/>
      <c r="C159" s="76"/>
      <c r="D159" s="77">
        <f>SUM(D158:D158)</f>
        <v>1464.08</v>
      </c>
      <c r="E159" s="42"/>
      <c r="F159" s="42"/>
      <c r="G159" s="42"/>
      <c r="H159" s="42"/>
      <c r="I159" s="82"/>
    </row>
    <row r="160" spans="1:9" x14ac:dyDescent="0.2">
      <c r="A160" s="78" t="s">
        <v>58</v>
      </c>
      <c r="B160" s="79"/>
      <c r="C160" s="80"/>
      <c r="D160" s="77">
        <f>D159+D155</f>
        <v>4026209.41</v>
      </c>
      <c r="E160" s="42"/>
      <c r="F160" s="42"/>
      <c r="G160" s="42"/>
      <c r="H160" s="42"/>
      <c r="I160" s="82"/>
    </row>
    <row r="161" spans="1:9" x14ac:dyDescent="0.2">
      <c r="A161" s="84"/>
      <c r="B161" s="84"/>
      <c r="C161" s="85"/>
      <c r="D161" s="81"/>
      <c r="E161" s="42"/>
      <c r="F161" s="42"/>
      <c r="G161" s="42"/>
      <c r="H161" s="42"/>
      <c r="I161" s="82"/>
    </row>
    <row r="162" spans="1:9" x14ac:dyDescent="0.2">
      <c r="A162" s="84"/>
      <c r="B162" s="84"/>
      <c r="C162" s="85"/>
      <c r="D162" s="81">
        <f>[5]Charters!E270</f>
        <v>4026209.41</v>
      </c>
      <c r="E162" s="42"/>
      <c r="F162" s="42"/>
      <c r="G162" s="42"/>
      <c r="H162" s="42"/>
      <c r="I162" s="82"/>
    </row>
    <row r="163" spans="1:9" x14ac:dyDescent="0.2">
      <c r="A163" s="84"/>
      <c r="B163" s="84"/>
      <c r="C163" s="85"/>
      <c r="D163" s="81">
        <f>D160</f>
        <v>4026209.41</v>
      </c>
      <c r="E163" s="42"/>
      <c r="F163" s="42"/>
      <c r="G163" s="42"/>
      <c r="H163" s="42"/>
      <c r="I163" s="82"/>
    </row>
    <row r="164" spans="1:9" x14ac:dyDescent="0.2">
      <c r="A164" s="82"/>
      <c r="B164" s="82"/>
      <c r="C164" s="83"/>
      <c r="D164" s="42">
        <f>D162-D163</f>
        <v>0</v>
      </c>
      <c r="E164" s="42"/>
      <c r="F164" s="42"/>
      <c r="G164" s="42"/>
      <c r="H164" s="42"/>
      <c r="I164" s="82"/>
    </row>
  </sheetData>
  <mergeCells count="4">
    <mergeCell ref="A106:D106"/>
    <mergeCell ref="A107:D107"/>
    <mergeCell ref="A108:D108"/>
    <mergeCell ref="A160:C160"/>
  </mergeCells>
  <printOptions horizontalCentered="1" verticalCentered="1"/>
  <pageMargins left="0.7" right="0.7" top="0.75" bottom="0.75" header="0.3" footer="0.3"/>
  <pageSetup orientation="portrait" horizontalDpi="1200" r:id="rId1"/>
  <headerFooter>
    <oddHeader xml:space="preserve">&amp;R&amp;8Current as of : &amp;D&amp;10
</oddHeader>
    <oddFooter>&amp;L&amp;8USOE, School Finance</oddFooter>
  </headerFooter>
  <picture r:id="rId2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200-000000000000}">
  <dimension ref="A1:I165"/>
  <sheetViews>
    <sheetView topLeftCell="A105" workbookViewId="0">
      <selection activeCell="C12" sqref="C12"/>
    </sheetView>
  </sheetViews>
  <sheetFormatPr defaultRowHeight="12.75" x14ac:dyDescent="0.2"/>
  <cols>
    <col min="1" max="1" width="32" style="89" customWidth="1"/>
    <col min="2" max="2" width="16.28515625" style="89" customWidth="1"/>
    <col min="3" max="4" width="14.85546875" style="89" customWidth="1"/>
    <col min="5" max="5" width="9.7109375" style="89" customWidth="1"/>
    <col min="6" max="6" width="20.42578125" style="89" customWidth="1"/>
    <col min="7" max="7" width="9.140625" style="89"/>
    <col min="8" max="8" width="18.7109375" style="89" customWidth="1"/>
    <col min="9" max="16384" width="9.140625" style="89"/>
  </cols>
  <sheetData>
    <row r="1" spans="1:9" x14ac:dyDescent="0.2">
      <c r="A1" s="7"/>
      <c r="B1" s="7"/>
      <c r="C1" s="7"/>
      <c r="D1" s="7"/>
      <c r="E1" s="7"/>
      <c r="F1" s="7"/>
      <c r="G1" s="7"/>
      <c r="H1" s="7"/>
      <c r="I1" s="7"/>
    </row>
    <row r="2" spans="1:9" x14ac:dyDescent="0.2">
      <c r="A2" s="7"/>
      <c r="B2" s="7"/>
      <c r="C2" s="7"/>
      <c r="D2" s="7"/>
      <c r="E2" s="7"/>
      <c r="F2" s="7"/>
      <c r="G2" s="7"/>
      <c r="H2" s="7"/>
      <c r="I2" s="7"/>
    </row>
    <row r="3" spans="1:9" x14ac:dyDescent="0.2">
      <c r="A3" s="7"/>
      <c r="B3" s="7"/>
      <c r="C3" s="7"/>
      <c r="D3" s="7"/>
      <c r="E3" s="7"/>
      <c r="F3" s="7"/>
      <c r="G3" s="7"/>
      <c r="H3" s="7"/>
      <c r="I3" s="7"/>
    </row>
    <row r="4" spans="1:9" x14ac:dyDescent="0.2">
      <c r="A4" s="7"/>
      <c r="B4" s="7"/>
      <c r="C4" s="7"/>
      <c r="D4" s="7"/>
      <c r="E4" s="7"/>
      <c r="F4" s="7"/>
      <c r="G4" s="7"/>
      <c r="H4" s="7"/>
      <c r="I4" s="7"/>
    </row>
    <row r="5" spans="1:9" x14ac:dyDescent="0.2">
      <c r="A5" s="7"/>
      <c r="B5" s="7"/>
      <c r="C5" s="7"/>
      <c r="D5" s="7"/>
      <c r="E5" s="7"/>
      <c r="F5" s="7"/>
      <c r="G5" s="7"/>
      <c r="H5" s="7"/>
      <c r="I5" s="7"/>
    </row>
    <row r="6" spans="1:9" x14ac:dyDescent="0.2">
      <c r="A6" s="7"/>
      <c r="B6" s="7"/>
      <c r="C6" s="7"/>
      <c r="D6" s="7"/>
      <c r="E6" s="7"/>
      <c r="F6" s="7"/>
      <c r="G6" s="7"/>
      <c r="H6" s="7"/>
      <c r="I6" s="7"/>
    </row>
    <row r="7" spans="1:9" x14ac:dyDescent="0.2">
      <c r="A7" s="7"/>
      <c r="B7" s="7"/>
      <c r="C7" s="7"/>
      <c r="D7" s="7"/>
      <c r="E7" s="7"/>
      <c r="F7" s="7"/>
      <c r="G7" s="7"/>
      <c r="H7" s="7"/>
      <c r="I7" s="7"/>
    </row>
    <row r="8" spans="1:9" x14ac:dyDescent="0.2">
      <c r="A8" s="7"/>
      <c r="B8" s="7"/>
      <c r="C8" s="7"/>
      <c r="D8" s="7"/>
      <c r="E8" s="7"/>
      <c r="F8" s="7"/>
      <c r="G8" s="7"/>
      <c r="H8" s="7"/>
      <c r="I8" s="7"/>
    </row>
    <row r="9" spans="1:9" x14ac:dyDescent="0.2">
      <c r="A9" s="7"/>
      <c r="B9" s="7"/>
      <c r="C9" s="7"/>
      <c r="D9" s="7"/>
      <c r="E9" s="7"/>
      <c r="F9" s="7"/>
      <c r="G9" s="7"/>
      <c r="H9" s="7"/>
      <c r="I9" s="7"/>
    </row>
    <row r="10" spans="1:9" x14ac:dyDescent="0.2">
      <c r="A10" s="7"/>
      <c r="B10" s="7"/>
      <c r="C10" s="7"/>
      <c r="D10" s="7"/>
      <c r="E10" s="7"/>
      <c r="F10" s="7"/>
      <c r="G10" s="7"/>
      <c r="H10" s="7"/>
      <c r="I10" s="7"/>
    </row>
    <row r="11" spans="1:9" x14ac:dyDescent="0.2">
      <c r="A11" s="7"/>
      <c r="B11" s="7"/>
      <c r="C11" s="7"/>
      <c r="D11" s="7"/>
      <c r="E11" s="7"/>
      <c r="F11" s="7"/>
      <c r="G11" s="7"/>
      <c r="H11" s="7"/>
      <c r="I11" s="7"/>
    </row>
    <row r="12" spans="1:9" x14ac:dyDescent="0.2">
      <c r="A12" s="7"/>
      <c r="B12" s="7"/>
      <c r="C12" s="7"/>
      <c r="D12" s="7"/>
      <c r="E12" s="7"/>
      <c r="F12" s="7"/>
      <c r="G12" s="7"/>
      <c r="H12" s="7"/>
      <c r="I12" s="7"/>
    </row>
    <row r="13" spans="1:9" x14ac:dyDescent="0.2">
      <c r="A13" s="7"/>
      <c r="B13" s="7"/>
      <c r="C13" s="7"/>
      <c r="D13" s="7"/>
      <c r="E13" s="7"/>
      <c r="F13" s="7"/>
      <c r="G13" s="7"/>
      <c r="H13" s="7"/>
      <c r="I13" s="7"/>
    </row>
    <row r="14" spans="1:9" x14ac:dyDescent="0.2">
      <c r="A14" s="7"/>
      <c r="B14" s="7"/>
      <c r="C14" s="7"/>
      <c r="D14" s="7"/>
      <c r="E14" s="7"/>
      <c r="F14" s="7"/>
      <c r="G14" s="7"/>
      <c r="H14" s="7"/>
      <c r="I14" s="7"/>
    </row>
    <row r="15" spans="1:9" x14ac:dyDescent="0.2">
      <c r="A15" s="7"/>
      <c r="B15" s="7"/>
      <c r="C15" s="7"/>
      <c r="D15" s="7"/>
      <c r="E15" s="7"/>
      <c r="F15" s="7"/>
      <c r="G15" s="7"/>
      <c r="H15" s="7"/>
      <c r="I15" s="7"/>
    </row>
    <row r="16" spans="1:9" x14ac:dyDescent="0.2">
      <c r="A16" s="7"/>
      <c r="B16" s="7"/>
      <c r="C16" s="7"/>
      <c r="D16" s="7"/>
      <c r="E16" s="7"/>
      <c r="F16" s="7"/>
      <c r="G16" s="7"/>
      <c r="H16" s="7"/>
      <c r="I16" s="7"/>
    </row>
    <row r="17" spans="1:9" x14ac:dyDescent="0.2">
      <c r="A17" s="7"/>
      <c r="B17" s="7"/>
      <c r="C17" s="7"/>
      <c r="D17" s="7"/>
      <c r="E17" s="7"/>
      <c r="F17" s="7"/>
      <c r="G17" s="7"/>
      <c r="H17" s="7"/>
      <c r="I17" s="7"/>
    </row>
    <row r="18" spans="1:9" x14ac:dyDescent="0.2">
      <c r="A18" s="7"/>
      <c r="B18" s="7"/>
      <c r="C18" s="7"/>
      <c r="D18" s="7"/>
      <c r="E18" s="7"/>
      <c r="F18" s="7"/>
      <c r="G18" s="7"/>
      <c r="H18" s="7"/>
      <c r="I18" s="7"/>
    </row>
    <row r="19" spans="1:9" x14ac:dyDescent="0.2">
      <c r="A19" s="7"/>
      <c r="B19" s="7"/>
      <c r="C19" s="7"/>
      <c r="D19" s="7"/>
      <c r="E19" s="7"/>
      <c r="F19" s="7"/>
      <c r="G19" s="7"/>
      <c r="H19" s="7"/>
      <c r="I19" s="7"/>
    </row>
    <row r="20" spans="1:9" x14ac:dyDescent="0.2">
      <c r="A20" s="7"/>
      <c r="B20" s="7"/>
      <c r="C20" s="7"/>
      <c r="D20" s="7"/>
      <c r="E20" s="7"/>
      <c r="F20" s="7"/>
      <c r="G20" s="7"/>
      <c r="H20" s="7"/>
      <c r="I20" s="7"/>
    </row>
    <row r="21" spans="1:9" x14ac:dyDescent="0.2">
      <c r="A21" s="7"/>
      <c r="B21" s="7"/>
      <c r="C21" s="7"/>
      <c r="D21" s="7"/>
      <c r="E21" s="7"/>
      <c r="F21" s="7"/>
      <c r="G21" s="7"/>
      <c r="H21" s="7"/>
      <c r="I21" s="7"/>
    </row>
    <row r="22" spans="1:9" x14ac:dyDescent="0.2">
      <c r="A22" s="7"/>
      <c r="B22" s="7"/>
      <c r="C22" s="7"/>
      <c r="D22" s="4"/>
      <c r="E22" s="7"/>
      <c r="F22" s="7"/>
      <c r="G22" s="7"/>
      <c r="H22" s="7"/>
      <c r="I22" s="7"/>
    </row>
    <row r="23" spans="1:9" x14ac:dyDescent="0.2">
      <c r="A23" s="7"/>
      <c r="B23" s="7"/>
      <c r="C23" s="7"/>
      <c r="D23" s="7"/>
      <c r="E23" s="7"/>
      <c r="F23" s="7"/>
      <c r="G23" s="7"/>
      <c r="H23" s="7"/>
      <c r="I23" s="7"/>
    </row>
    <row r="24" spans="1:9" x14ac:dyDescent="0.2">
      <c r="A24" s="7"/>
      <c r="B24" s="7"/>
      <c r="C24" s="7"/>
      <c r="D24" s="7"/>
      <c r="E24" s="7"/>
      <c r="F24" s="7"/>
      <c r="G24" s="7"/>
      <c r="H24" s="7"/>
      <c r="I24" s="7"/>
    </row>
    <row r="25" spans="1:9" x14ac:dyDescent="0.2">
      <c r="A25" s="7"/>
      <c r="B25" s="7"/>
      <c r="C25" s="7"/>
      <c r="D25" s="7"/>
      <c r="E25" s="7"/>
      <c r="F25" s="7"/>
      <c r="G25" s="7"/>
      <c r="H25" s="7"/>
      <c r="I25" s="7"/>
    </row>
    <row r="26" spans="1:9" x14ac:dyDescent="0.2">
      <c r="A26" s="7"/>
      <c r="B26" s="7"/>
      <c r="C26" s="7"/>
      <c r="D26" s="7"/>
      <c r="E26" s="7"/>
      <c r="F26" s="7"/>
      <c r="G26" s="7"/>
      <c r="H26" s="7"/>
      <c r="I26" s="7"/>
    </row>
    <row r="27" spans="1:9" x14ac:dyDescent="0.2">
      <c r="A27" s="7"/>
      <c r="B27" s="7"/>
      <c r="C27" s="7"/>
      <c r="D27" s="7"/>
      <c r="E27" s="7"/>
      <c r="F27" s="7"/>
      <c r="G27" s="7"/>
      <c r="H27" s="7"/>
      <c r="I27" s="7"/>
    </row>
    <row r="28" spans="1:9" x14ac:dyDescent="0.2">
      <c r="A28" s="7"/>
      <c r="B28" s="7"/>
      <c r="C28" s="7"/>
      <c r="D28" s="7"/>
      <c r="E28" s="7"/>
      <c r="F28" s="7"/>
      <c r="G28" s="7"/>
      <c r="H28" s="7"/>
      <c r="I28" s="7"/>
    </row>
    <row r="29" spans="1:9" x14ac:dyDescent="0.2">
      <c r="A29" s="7"/>
      <c r="B29" s="7"/>
      <c r="C29" s="7"/>
      <c r="D29" s="7"/>
      <c r="E29" s="7"/>
      <c r="F29" s="7"/>
      <c r="G29" s="7"/>
      <c r="H29" s="7"/>
      <c r="I29" s="7"/>
    </row>
    <row r="30" spans="1:9" x14ac:dyDescent="0.2">
      <c r="A30" s="7"/>
      <c r="B30" s="7"/>
      <c r="C30" s="7"/>
      <c r="D30" s="7"/>
      <c r="E30" s="7"/>
      <c r="F30" s="7"/>
      <c r="G30" s="7"/>
      <c r="H30" s="7"/>
      <c r="I30" s="7"/>
    </row>
    <row r="31" spans="1:9" x14ac:dyDescent="0.2">
      <c r="A31" s="7"/>
      <c r="B31" s="7"/>
      <c r="C31" s="7"/>
      <c r="D31" s="7"/>
      <c r="E31" s="7"/>
      <c r="F31" s="7"/>
      <c r="G31" s="7"/>
      <c r="H31" s="7"/>
      <c r="I31" s="7"/>
    </row>
    <row r="32" spans="1:9" x14ac:dyDescent="0.2">
      <c r="A32" s="7"/>
      <c r="B32" s="7"/>
      <c r="C32" s="7"/>
      <c r="D32" s="7"/>
      <c r="E32" s="7"/>
      <c r="F32" s="7"/>
      <c r="G32" s="7"/>
      <c r="H32" s="7"/>
      <c r="I32" s="7"/>
    </row>
    <row r="33" spans="1:9" x14ac:dyDescent="0.2">
      <c r="A33" s="7"/>
      <c r="B33" s="7"/>
      <c r="C33" s="7"/>
      <c r="D33" s="7"/>
      <c r="E33" s="7"/>
      <c r="F33" s="7"/>
      <c r="G33" s="7"/>
      <c r="H33" s="7"/>
      <c r="I33" s="7"/>
    </row>
    <row r="34" spans="1:9" x14ac:dyDescent="0.2">
      <c r="A34" s="7"/>
      <c r="B34" s="7"/>
      <c r="C34" s="7"/>
      <c r="D34" s="7"/>
      <c r="E34" s="7"/>
      <c r="F34" s="7"/>
      <c r="G34" s="7"/>
      <c r="H34" s="7"/>
      <c r="I34" s="7"/>
    </row>
    <row r="35" spans="1:9" x14ac:dyDescent="0.2">
      <c r="A35" s="7"/>
      <c r="B35" s="7"/>
      <c r="C35" s="7"/>
      <c r="D35" s="7"/>
      <c r="E35" s="7"/>
      <c r="F35" s="7"/>
      <c r="G35" s="7"/>
      <c r="H35" s="7"/>
      <c r="I35" s="7"/>
    </row>
    <row r="36" spans="1:9" x14ac:dyDescent="0.2">
      <c r="A36" s="7"/>
      <c r="B36" s="7"/>
      <c r="C36" s="7"/>
      <c r="D36" s="7"/>
      <c r="E36" s="7"/>
      <c r="F36" s="7"/>
      <c r="G36" s="7"/>
      <c r="H36" s="7"/>
      <c r="I36" s="7"/>
    </row>
    <row r="37" spans="1:9" x14ac:dyDescent="0.2">
      <c r="A37" s="7"/>
      <c r="B37" s="7"/>
      <c r="C37" s="7"/>
      <c r="D37" s="7"/>
      <c r="E37" s="7"/>
      <c r="F37" s="7"/>
      <c r="G37" s="7"/>
      <c r="H37" s="7"/>
      <c r="I37" s="7"/>
    </row>
    <row r="38" spans="1:9" x14ac:dyDescent="0.2">
      <c r="A38" s="7"/>
      <c r="B38" s="7"/>
      <c r="C38" s="7"/>
      <c r="D38" s="7"/>
      <c r="E38" s="7"/>
      <c r="F38" s="7"/>
      <c r="G38" s="7"/>
      <c r="H38" s="7"/>
      <c r="I38" s="7"/>
    </row>
    <row r="39" spans="1:9" x14ac:dyDescent="0.2">
      <c r="A39" s="7"/>
      <c r="B39" s="7"/>
      <c r="C39" s="7"/>
      <c r="D39" s="7"/>
      <c r="E39" s="7"/>
      <c r="F39" s="7"/>
      <c r="G39" s="7"/>
      <c r="H39" s="7"/>
      <c r="I39" s="7"/>
    </row>
    <row r="40" spans="1:9" x14ac:dyDescent="0.2">
      <c r="A40" s="7"/>
      <c r="B40" s="7"/>
      <c r="C40" s="7"/>
      <c r="D40" s="7"/>
      <c r="E40" s="7"/>
      <c r="F40" s="7"/>
      <c r="G40" s="7"/>
      <c r="H40" s="7"/>
      <c r="I40" s="7"/>
    </row>
    <row r="41" spans="1:9" x14ac:dyDescent="0.2">
      <c r="A41" s="7"/>
      <c r="B41" s="7"/>
      <c r="C41" s="7"/>
      <c r="D41" s="7"/>
      <c r="E41" s="7"/>
      <c r="F41" s="7"/>
      <c r="G41" s="7"/>
      <c r="H41" s="7"/>
      <c r="I41" s="7"/>
    </row>
    <row r="42" spans="1:9" x14ac:dyDescent="0.2">
      <c r="A42" s="7"/>
      <c r="B42" s="7"/>
      <c r="C42" s="7"/>
      <c r="D42" s="7"/>
      <c r="E42" s="7"/>
      <c r="F42" s="7"/>
      <c r="G42" s="7"/>
      <c r="H42" s="7"/>
      <c r="I42" s="7"/>
    </row>
    <row r="43" spans="1:9" x14ac:dyDescent="0.2">
      <c r="A43" s="7"/>
      <c r="B43" s="7"/>
      <c r="C43" s="7"/>
      <c r="D43" s="7"/>
      <c r="E43" s="7"/>
      <c r="F43" s="7"/>
      <c r="G43" s="7"/>
      <c r="H43" s="7"/>
      <c r="I43" s="7"/>
    </row>
    <row r="44" spans="1:9" x14ac:dyDescent="0.2">
      <c r="A44" s="7"/>
      <c r="B44" s="7"/>
      <c r="C44" s="7"/>
      <c r="D44" s="7"/>
      <c r="E44" s="7"/>
      <c r="F44" s="7"/>
      <c r="G44" s="7"/>
      <c r="H44" s="7"/>
      <c r="I44" s="7"/>
    </row>
    <row r="45" spans="1:9" x14ac:dyDescent="0.2">
      <c r="A45" s="7"/>
      <c r="B45" s="7"/>
      <c r="C45" s="7"/>
      <c r="D45" s="7"/>
      <c r="E45" s="7"/>
      <c r="F45" s="7"/>
      <c r="G45" s="7"/>
      <c r="H45" s="7"/>
      <c r="I45" s="7"/>
    </row>
    <row r="46" spans="1:9" x14ac:dyDescent="0.2">
      <c r="A46" s="7"/>
      <c r="B46" s="7"/>
      <c r="C46" s="7"/>
      <c r="D46" s="7"/>
      <c r="E46" s="7"/>
      <c r="F46" s="7"/>
      <c r="G46" s="7"/>
      <c r="H46" s="7"/>
      <c r="I46" s="7"/>
    </row>
    <row r="47" spans="1:9" x14ac:dyDescent="0.2">
      <c r="A47" s="7"/>
      <c r="B47" s="7"/>
      <c r="C47" s="7"/>
      <c r="D47" s="7"/>
      <c r="E47" s="7"/>
      <c r="F47" s="7"/>
      <c r="G47" s="7"/>
      <c r="H47" s="7"/>
      <c r="I47" s="7"/>
    </row>
    <row r="48" spans="1:9" x14ac:dyDescent="0.2">
      <c r="A48" s="7"/>
      <c r="B48" s="7"/>
      <c r="C48" s="7"/>
      <c r="D48" s="7"/>
      <c r="E48" s="7"/>
      <c r="F48" s="7"/>
      <c r="G48" s="7"/>
      <c r="H48" s="7"/>
      <c r="I48" s="7"/>
    </row>
    <row r="49" spans="1:9" x14ac:dyDescent="0.2">
      <c r="A49" s="7"/>
      <c r="B49" s="7"/>
      <c r="C49" s="7"/>
      <c r="D49" s="7"/>
      <c r="E49" s="7"/>
      <c r="F49" s="7"/>
      <c r="G49" s="7"/>
      <c r="H49" s="7"/>
      <c r="I49" s="7"/>
    </row>
    <row r="50" spans="1:9" x14ac:dyDescent="0.2">
      <c r="A50" s="7"/>
      <c r="B50" s="7"/>
      <c r="C50" s="7"/>
      <c r="D50" s="7"/>
      <c r="E50" s="7"/>
      <c r="F50" s="7"/>
      <c r="G50" s="7"/>
      <c r="H50" s="7"/>
      <c r="I50" s="7"/>
    </row>
    <row r="51" spans="1:9" x14ac:dyDescent="0.2">
      <c r="A51" s="7"/>
      <c r="B51" s="7"/>
      <c r="C51" s="7"/>
      <c r="D51" s="7"/>
      <c r="E51" s="7"/>
      <c r="F51" s="7"/>
      <c r="G51" s="7"/>
      <c r="H51" s="7"/>
      <c r="I51" s="7"/>
    </row>
    <row r="52" spans="1:9" x14ac:dyDescent="0.2">
      <c r="A52" s="7"/>
      <c r="B52" s="7"/>
      <c r="C52" s="7"/>
      <c r="D52" s="7"/>
      <c r="E52" s="7"/>
      <c r="F52" s="7"/>
      <c r="G52" s="7"/>
      <c r="H52" s="7"/>
      <c r="I52" s="7"/>
    </row>
    <row r="53" spans="1:9" x14ac:dyDescent="0.2">
      <c r="A53" s="7"/>
      <c r="B53" s="7"/>
      <c r="C53" s="7"/>
      <c r="D53" s="7"/>
      <c r="E53" s="7"/>
      <c r="F53" s="7"/>
      <c r="G53" s="7"/>
      <c r="H53" s="7"/>
      <c r="I53" s="7"/>
    </row>
    <row r="54" spans="1:9" x14ac:dyDescent="0.2">
      <c r="A54" s="7"/>
      <c r="B54" s="7"/>
      <c r="C54" s="7"/>
      <c r="D54" s="7"/>
      <c r="E54" s="7"/>
      <c r="F54" s="7"/>
      <c r="G54" s="7"/>
      <c r="H54" s="7"/>
      <c r="I54" s="7"/>
    </row>
    <row r="55" spans="1:9" x14ac:dyDescent="0.2">
      <c r="A55" s="7"/>
      <c r="B55" s="7"/>
      <c r="C55" s="7"/>
      <c r="D55" s="7"/>
      <c r="E55" s="7"/>
      <c r="F55" s="7"/>
      <c r="G55" s="7"/>
      <c r="H55" s="7"/>
      <c r="I55" s="7"/>
    </row>
    <row r="56" spans="1:9" x14ac:dyDescent="0.2">
      <c r="A56" s="7"/>
      <c r="B56" s="7"/>
      <c r="C56" s="7"/>
      <c r="D56" s="7"/>
      <c r="E56" s="7"/>
      <c r="F56" s="7"/>
      <c r="G56" s="7"/>
      <c r="H56" s="7"/>
      <c r="I56" s="7"/>
    </row>
    <row r="57" spans="1:9" x14ac:dyDescent="0.2">
      <c r="A57" s="7"/>
      <c r="B57" s="7"/>
      <c r="C57" s="7"/>
      <c r="D57" s="7"/>
      <c r="E57" s="7"/>
      <c r="F57" s="7"/>
      <c r="G57" s="7"/>
      <c r="H57" s="7"/>
      <c r="I57" s="7"/>
    </row>
    <row r="58" spans="1:9" x14ac:dyDescent="0.2">
      <c r="A58" s="7"/>
      <c r="B58" s="7"/>
      <c r="C58" s="7"/>
      <c r="D58" s="7"/>
      <c r="E58" s="7"/>
      <c r="F58" s="7"/>
      <c r="G58" s="7"/>
      <c r="H58" s="7"/>
      <c r="I58" s="7"/>
    </row>
    <row r="59" spans="1:9" x14ac:dyDescent="0.2">
      <c r="A59" s="7"/>
      <c r="B59" s="7"/>
      <c r="C59" s="7"/>
      <c r="D59" s="7"/>
      <c r="E59" s="7"/>
      <c r="F59" s="7"/>
      <c r="G59" s="7"/>
      <c r="H59" s="7"/>
      <c r="I59" s="7"/>
    </row>
    <row r="60" spans="1:9" x14ac:dyDescent="0.2">
      <c r="A60" s="7"/>
      <c r="B60" s="7"/>
      <c r="C60" s="7"/>
      <c r="D60" s="7"/>
      <c r="E60" s="7"/>
      <c r="F60" s="7"/>
      <c r="G60" s="7"/>
      <c r="H60" s="7"/>
      <c r="I60" s="7"/>
    </row>
    <row r="61" spans="1:9" x14ac:dyDescent="0.2">
      <c r="A61" s="7"/>
      <c r="B61" s="7"/>
      <c r="C61" s="7"/>
      <c r="D61" s="7"/>
      <c r="E61" s="7"/>
      <c r="F61" s="7"/>
      <c r="G61" s="7"/>
      <c r="H61" s="7"/>
      <c r="I61" s="7"/>
    </row>
    <row r="62" spans="1:9" x14ac:dyDescent="0.2">
      <c r="A62" s="7"/>
      <c r="B62" s="7"/>
      <c r="C62" s="7"/>
      <c r="D62" s="7"/>
      <c r="E62" s="7"/>
      <c r="F62" s="7"/>
      <c r="G62" s="7"/>
      <c r="H62" s="7"/>
      <c r="I62" s="7"/>
    </row>
    <row r="63" spans="1:9" x14ac:dyDescent="0.2">
      <c r="A63" s="7"/>
      <c r="B63" s="7"/>
      <c r="C63" s="7"/>
      <c r="D63" s="7"/>
      <c r="E63" s="7"/>
      <c r="F63" s="7"/>
      <c r="G63" s="7"/>
      <c r="H63" s="7"/>
      <c r="I63" s="7"/>
    </row>
    <row r="64" spans="1:9" x14ac:dyDescent="0.2">
      <c r="A64" s="7"/>
      <c r="B64" s="7"/>
      <c r="C64" s="7"/>
      <c r="D64" s="7"/>
      <c r="E64" s="7"/>
      <c r="F64" s="7"/>
      <c r="G64" s="7"/>
      <c r="H64" s="7"/>
      <c r="I64" s="7"/>
    </row>
    <row r="65" spans="1:9" x14ac:dyDescent="0.2">
      <c r="A65" s="7"/>
      <c r="B65" s="7"/>
      <c r="C65" s="7"/>
      <c r="D65" s="7"/>
      <c r="E65" s="7"/>
      <c r="F65" s="7"/>
      <c r="G65" s="7"/>
      <c r="H65" s="7"/>
      <c r="I65" s="7"/>
    </row>
    <row r="66" spans="1:9" x14ac:dyDescent="0.2">
      <c r="A66" s="7"/>
      <c r="B66" s="7"/>
      <c r="C66" s="7"/>
      <c r="D66" s="7"/>
      <c r="E66" s="7"/>
      <c r="F66" s="7"/>
      <c r="G66" s="7"/>
      <c r="H66" s="7"/>
      <c r="I66" s="7"/>
    </row>
    <row r="67" spans="1:9" x14ac:dyDescent="0.2">
      <c r="A67" s="7"/>
      <c r="B67" s="7"/>
      <c r="C67" s="7"/>
      <c r="D67" s="7"/>
      <c r="E67" s="7"/>
      <c r="F67" s="7"/>
      <c r="G67" s="7"/>
      <c r="H67" s="7"/>
      <c r="I67" s="7"/>
    </row>
    <row r="68" spans="1:9" x14ac:dyDescent="0.2">
      <c r="A68" s="7"/>
      <c r="B68" s="7"/>
      <c r="C68" s="7"/>
      <c r="D68" s="7"/>
      <c r="E68" s="7"/>
      <c r="F68" s="7"/>
      <c r="G68" s="7"/>
      <c r="H68" s="7"/>
      <c r="I68" s="7"/>
    </row>
    <row r="69" spans="1:9" x14ac:dyDescent="0.2">
      <c r="A69" s="7"/>
      <c r="B69" s="7"/>
      <c r="C69" s="7"/>
      <c r="D69" s="7"/>
      <c r="E69" s="7"/>
      <c r="F69" s="7"/>
      <c r="G69" s="7"/>
      <c r="H69" s="7"/>
      <c r="I69" s="7"/>
    </row>
    <row r="70" spans="1:9" x14ac:dyDescent="0.2">
      <c r="A70" s="7"/>
      <c r="B70" s="7"/>
      <c r="C70" s="7"/>
      <c r="D70" s="7"/>
      <c r="E70" s="7"/>
      <c r="F70" s="7"/>
      <c r="G70" s="7"/>
      <c r="H70" s="7"/>
      <c r="I70" s="7"/>
    </row>
    <row r="71" spans="1:9" x14ac:dyDescent="0.2">
      <c r="A71" s="7"/>
      <c r="B71" s="7"/>
      <c r="C71" s="7"/>
      <c r="D71" s="7"/>
      <c r="E71" s="7"/>
      <c r="F71" s="7"/>
      <c r="G71" s="7"/>
      <c r="H71" s="7"/>
      <c r="I71" s="7"/>
    </row>
    <row r="72" spans="1:9" x14ac:dyDescent="0.2">
      <c r="A72" s="7"/>
      <c r="B72" s="7"/>
      <c r="C72" s="7"/>
      <c r="D72" s="7"/>
      <c r="E72" s="7"/>
      <c r="F72" s="7"/>
      <c r="G72" s="7"/>
      <c r="H72" s="7"/>
      <c r="I72" s="7"/>
    </row>
    <row r="73" spans="1:9" x14ac:dyDescent="0.2">
      <c r="A73" s="7"/>
      <c r="B73" s="7"/>
      <c r="C73" s="7"/>
      <c r="D73" s="7"/>
      <c r="E73" s="7"/>
      <c r="F73" s="7"/>
      <c r="G73" s="7"/>
      <c r="H73" s="7"/>
      <c r="I73" s="7"/>
    </row>
    <row r="74" spans="1:9" x14ac:dyDescent="0.2">
      <c r="A74" s="7"/>
      <c r="B74" s="7"/>
      <c r="C74" s="7"/>
      <c r="D74" s="7"/>
      <c r="E74" s="7"/>
      <c r="F74" s="7"/>
      <c r="G74" s="7"/>
      <c r="H74" s="7"/>
      <c r="I74" s="7"/>
    </row>
    <row r="75" spans="1:9" x14ac:dyDescent="0.2">
      <c r="A75" s="7"/>
      <c r="B75" s="7"/>
      <c r="C75" s="7"/>
      <c r="D75" s="7"/>
      <c r="E75" s="7"/>
      <c r="F75" s="7"/>
      <c r="G75" s="7"/>
      <c r="H75" s="7"/>
      <c r="I75" s="7"/>
    </row>
    <row r="76" spans="1:9" x14ac:dyDescent="0.2">
      <c r="A76" s="7"/>
      <c r="B76" s="7"/>
      <c r="C76" s="7"/>
      <c r="D76" s="7"/>
      <c r="E76" s="7"/>
      <c r="F76" s="7"/>
      <c r="G76" s="7"/>
      <c r="H76" s="7"/>
      <c r="I76" s="7"/>
    </row>
    <row r="77" spans="1:9" x14ac:dyDescent="0.2">
      <c r="A77" s="7"/>
      <c r="B77" s="7"/>
      <c r="C77" s="7"/>
      <c r="D77" s="7"/>
      <c r="E77" s="7"/>
      <c r="F77" s="7"/>
      <c r="G77" s="7"/>
      <c r="H77" s="7"/>
      <c r="I77" s="7"/>
    </row>
    <row r="78" spans="1:9" x14ac:dyDescent="0.2">
      <c r="A78" s="7"/>
      <c r="B78" s="7"/>
      <c r="C78" s="7"/>
      <c r="D78" s="7"/>
      <c r="E78" s="7"/>
      <c r="F78" s="7"/>
      <c r="G78" s="7"/>
      <c r="H78" s="7"/>
      <c r="I78" s="7"/>
    </row>
    <row r="79" spans="1:9" x14ac:dyDescent="0.2">
      <c r="A79" s="7"/>
      <c r="B79" s="7"/>
      <c r="C79" s="7"/>
      <c r="D79" s="7"/>
      <c r="E79" s="7"/>
      <c r="F79" s="7"/>
      <c r="G79" s="7"/>
      <c r="H79" s="7"/>
      <c r="I79" s="7"/>
    </row>
    <row r="80" spans="1:9" x14ac:dyDescent="0.2">
      <c r="A80" s="7"/>
      <c r="B80" s="7"/>
      <c r="C80" s="7"/>
      <c r="D80" s="7"/>
      <c r="E80" s="7"/>
      <c r="F80" s="7"/>
      <c r="G80" s="7"/>
      <c r="H80" s="7"/>
      <c r="I80" s="7"/>
    </row>
    <row r="81" spans="1:9" x14ac:dyDescent="0.2">
      <c r="A81" s="7"/>
      <c r="B81" s="7"/>
      <c r="C81" s="7"/>
      <c r="D81" s="7"/>
      <c r="E81" s="7"/>
      <c r="F81" s="7"/>
      <c r="G81" s="7"/>
      <c r="H81" s="7"/>
      <c r="I81" s="7"/>
    </row>
    <row r="82" spans="1:9" x14ac:dyDescent="0.2">
      <c r="A82" s="7"/>
      <c r="B82" s="7"/>
      <c r="C82" s="7"/>
      <c r="D82" s="7"/>
      <c r="E82" s="7"/>
      <c r="F82" s="7"/>
      <c r="G82" s="7"/>
      <c r="H82" s="7"/>
      <c r="I82" s="7"/>
    </row>
    <row r="83" spans="1:9" x14ac:dyDescent="0.2">
      <c r="A83" s="7"/>
      <c r="B83" s="7"/>
      <c r="C83" s="7"/>
      <c r="D83" s="7"/>
      <c r="E83" s="7"/>
      <c r="F83" s="7"/>
      <c r="G83" s="7"/>
      <c r="H83" s="7"/>
      <c r="I83" s="7"/>
    </row>
    <row r="84" spans="1:9" x14ac:dyDescent="0.2">
      <c r="A84" s="7"/>
      <c r="B84" s="7"/>
      <c r="C84" s="7"/>
      <c r="D84" s="7"/>
      <c r="E84" s="7"/>
      <c r="F84" s="7"/>
      <c r="G84" s="7"/>
      <c r="H84" s="7"/>
      <c r="I84" s="7"/>
    </row>
    <row r="85" spans="1:9" x14ac:dyDescent="0.2">
      <c r="A85" s="7"/>
      <c r="B85" s="7"/>
      <c r="C85" s="7"/>
      <c r="D85" s="7"/>
      <c r="E85" s="7"/>
      <c r="F85" s="7"/>
      <c r="G85" s="7"/>
      <c r="H85" s="7"/>
      <c r="I85" s="7"/>
    </row>
    <row r="86" spans="1:9" x14ac:dyDescent="0.2">
      <c r="A86" s="7"/>
      <c r="B86" s="7"/>
      <c r="C86" s="7"/>
      <c r="D86" s="7"/>
      <c r="E86" s="7"/>
      <c r="F86" s="7"/>
      <c r="G86" s="7"/>
      <c r="H86" s="7"/>
      <c r="I86" s="7"/>
    </row>
    <row r="87" spans="1:9" x14ac:dyDescent="0.2">
      <c r="A87" s="7"/>
      <c r="B87" s="7"/>
      <c r="C87" s="7"/>
      <c r="D87" s="7"/>
      <c r="E87" s="7"/>
      <c r="F87" s="7"/>
      <c r="G87" s="7"/>
      <c r="H87" s="7"/>
      <c r="I87" s="7"/>
    </row>
    <row r="88" spans="1:9" x14ac:dyDescent="0.2">
      <c r="A88" s="7"/>
      <c r="B88" s="7"/>
      <c r="C88" s="7"/>
      <c r="D88" s="7"/>
      <c r="E88" s="7"/>
      <c r="F88" s="7"/>
      <c r="G88" s="7"/>
      <c r="H88" s="7"/>
      <c r="I88" s="7"/>
    </row>
    <row r="89" spans="1:9" x14ac:dyDescent="0.2">
      <c r="A89" s="7"/>
      <c r="B89" s="7"/>
      <c r="C89" s="7"/>
      <c r="D89" s="7"/>
      <c r="E89" s="7"/>
      <c r="F89" s="7"/>
      <c r="G89" s="7"/>
      <c r="H89" s="7"/>
      <c r="I89" s="7"/>
    </row>
    <row r="90" spans="1:9" x14ac:dyDescent="0.2">
      <c r="A90" s="7"/>
      <c r="B90" s="7"/>
      <c r="C90" s="7"/>
      <c r="D90" s="7"/>
      <c r="E90" s="7"/>
      <c r="F90" s="7"/>
      <c r="G90" s="7"/>
      <c r="H90" s="7"/>
      <c r="I90" s="7"/>
    </row>
    <row r="91" spans="1:9" x14ac:dyDescent="0.2">
      <c r="A91" s="7"/>
      <c r="B91" s="7"/>
      <c r="C91" s="7"/>
      <c r="D91" s="7"/>
      <c r="E91" s="7"/>
      <c r="F91" s="7"/>
      <c r="G91" s="7"/>
      <c r="H91" s="7"/>
      <c r="I91" s="7"/>
    </row>
    <row r="92" spans="1:9" x14ac:dyDescent="0.2">
      <c r="A92" s="7"/>
      <c r="B92" s="7"/>
      <c r="C92" s="7"/>
      <c r="D92" s="7"/>
      <c r="E92" s="7"/>
      <c r="F92" s="7"/>
      <c r="G92" s="7"/>
      <c r="H92" s="7"/>
      <c r="I92" s="7"/>
    </row>
    <row r="93" spans="1:9" x14ac:dyDescent="0.2">
      <c r="A93" s="7"/>
      <c r="B93" s="7"/>
      <c r="C93" s="7"/>
      <c r="D93" s="7"/>
      <c r="E93" s="7"/>
      <c r="F93" s="7"/>
      <c r="G93" s="7"/>
      <c r="H93" s="7"/>
      <c r="I93" s="7"/>
    </row>
    <row r="94" spans="1:9" x14ac:dyDescent="0.2">
      <c r="A94" s="7"/>
      <c r="B94" s="7"/>
      <c r="C94" s="7"/>
      <c r="D94" s="7"/>
      <c r="E94" s="7"/>
      <c r="F94" s="7"/>
      <c r="G94" s="7"/>
      <c r="H94" s="7"/>
      <c r="I94" s="7"/>
    </row>
    <row r="95" spans="1:9" x14ac:dyDescent="0.2">
      <c r="A95" s="7"/>
      <c r="B95" s="7"/>
      <c r="C95" s="7"/>
      <c r="D95" s="7"/>
      <c r="E95" s="7"/>
      <c r="F95" s="7"/>
      <c r="G95" s="7"/>
      <c r="H95" s="7"/>
      <c r="I95" s="7"/>
    </row>
    <row r="96" spans="1:9" x14ac:dyDescent="0.2">
      <c r="A96" s="7"/>
      <c r="B96" s="7"/>
      <c r="C96" s="7"/>
      <c r="D96" s="7"/>
      <c r="E96" s="7"/>
      <c r="F96" s="7"/>
      <c r="G96" s="7"/>
      <c r="H96" s="7"/>
      <c r="I96" s="7"/>
    </row>
    <row r="97" spans="1:9" x14ac:dyDescent="0.2">
      <c r="A97" s="7"/>
      <c r="B97" s="7"/>
      <c r="C97" s="7"/>
      <c r="D97" s="7"/>
      <c r="E97" s="7"/>
      <c r="F97" s="7"/>
      <c r="G97" s="7"/>
      <c r="H97" s="7"/>
      <c r="I97" s="7"/>
    </row>
    <row r="98" spans="1:9" x14ac:dyDescent="0.2">
      <c r="A98" s="7"/>
      <c r="B98" s="7"/>
      <c r="C98" s="7"/>
      <c r="D98" s="7"/>
      <c r="E98" s="7"/>
      <c r="F98" s="7"/>
      <c r="G98" s="7"/>
      <c r="H98" s="7"/>
      <c r="I98" s="7"/>
    </row>
    <row r="99" spans="1:9" x14ac:dyDescent="0.2">
      <c r="A99" s="7"/>
      <c r="B99" s="7"/>
      <c r="C99" s="7"/>
      <c r="D99" s="7"/>
      <c r="E99" s="7"/>
      <c r="F99" s="7"/>
      <c r="G99" s="7"/>
      <c r="H99" s="7"/>
      <c r="I99" s="7"/>
    </row>
    <row r="100" spans="1:9" x14ac:dyDescent="0.2">
      <c r="A100" s="7"/>
      <c r="B100" s="7"/>
      <c r="C100" s="7"/>
      <c r="D100" s="7"/>
      <c r="E100" s="7"/>
      <c r="F100" s="7"/>
      <c r="G100" s="7"/>
      <c r="H100" s="7"/>
      <c r="I100" s="7"/>
    </row>
    <row r="101" spans="1:9" x14ac:dyDescent="0.2">
      <c r="A101" s="7"/>
      <c r="B101" s="7"/>
      <c r="C101" s="7"/>
      <c r="D101" s="7"/>
      <c r="E101" s="7"/>
      <c r="F101" s="7"/>
      <c r="G101" s="7"/>
      <c r="H101" s="7"/>
      <c r="I101" s="7"/>
    </row>
    <row r="102" spans="1:9" x14ac:dyDescent="0.2">
      <c r="A102" s="7"/>
      <c r="B102" s="7"/>
      <c r="C102" s="7"/>
      <c r="D102" s="7"/>
      <c r="E102" s="7"/>
      <c r="F102" s="7"/>
      <c r="G102" s="7"/>
      <c r="H102" s="7"/>
      <c r="I102" s="7"/>
    </row>
    <row r="103" spans="1:9" x14ac:dyDescent="0.2">
      <c r="A103" s="7"/>
      <c r="B103" s="7"/>
      <c r="C103" s="7"/>
      <c r="D103" s="7"/>
      <c r="E103" s="7"/>
      <c r="F103" s="7"/>
      <c r="G103" s="7"/>
      <c r="H103" s="7"/>
      <c r="I103" s="7"/>
    </row>
    <row r="104" spans="1:9" x14ac:dyDescent="0.2">
      <c r="A104" s="7"/>
      <c r="B104" s="7"/>
      <c r="C104" s="7"/>
      <c r="D104" s="7"/>
      <c r="E104" s="7"/>
      <c r="F104" s="7"/>
      <c r="G104" s="7"/>
      <c r="H104" s="7"/>
      <c r="I104" s="7"/>
    </row>
    <row r="105" spans="1:9" x14ac:dyDescent="0.2">
      <c r="A105" s="7"/>
      <c r="B105" s="7"/>
      <c r="C105" s="7"/>
      <c r="D105" s="7"/>
      <c r="E105" s="7"/>
      <c r="F105" s="7"/>
      <c r="G105" s="7"/>
      <c r="H105" s="7"/>
      <c r="I105" s="7"/>
    </row>
    <row r="106" spans="1:9" x14ac:dyDescent="0.2">
      <c r="A106" s="7"/>
      <c r="B106" s="7"/>
      <c r="C106" s="7"/>
      <c r="D106" s="7"/>
      <c r="E106" s="7"/>
      <c r="F106" s="7"/>
      <c r="G106" s="7"/>
      <c r="H106" s="7"/>
      <c r="I106" s="7"/>
    </row>
    <row r="107" spans="1:9" x14ac:dyDescent="0.2">
      <c r="A107" s="11" t="s">
        <v>1</v>
      </c>
      <c r="B107" s="12"/>
      <c r="C107" s="12"/>
      <c r="D107" s="13"/>
      <c r="E107" s="8"/>
      <c r="F107" s="8"/>
      <c r="G107" s="8"/>
      <c r="H107" s="8"/>
      <c r="I107" s="1"/>
    </row>
    <row r="108" spans="1:9" x14ac:dyDescent="0.2">
      <c r="A108" s="14" t="s">
        <v>15</v>
      </c>
      <c r="B108" s="15"/>
      <c r="C108" s="15"/>
      <c r="D108" s="16"/>
      <c r="E108" s="8"/>
      <c r="F108" s="8"/>
      <c r="G108" s="8"/>
      <c r="H108" s="8"/>
      <c r="I108" s="1"/>
    </row>
    <row r="109" spans="1:9" x14ac:dyDescent="0.2">
      <c r="A109" s="17" t="s">
        <v>62</v>
      </c>
      <c r="B109" s="18"/>
      <c r="C109" s="18"/>
      <c r="D109" s="19"/>
      <c r="E109" s="8"/>
      <c r="F109" s="8"/>
      <c r="G109" s="8"/>
      <c r="H109" s="8"/>
      <c r="I109" s="1"/>
    </row>
    <row r="110" spans="1:9" x14ac:dyDescent="0.2">
      <c r="A110" s="20"/>
      <c r="B110" s="21"/>
      <c r="C110" s="22"/>
      <c r="D110" s="23"/>
      <c r="E110" s="8"/>
      <c r="F110" s="8" t="s">
        <v>34</v>
      </c>
      <c r="G110" s="8"/>
      <c r="H110" s="8"/>
      <c r="I110" s="1"/>
    </row>
    <row r="111" spans="1:9" ht="15.75" x14ac:dyDescent="0.25">
      <c r="A111" s="24" t="s">
        <v>2</v>
      </c>
      <c r="B111" s="25" t="str">
        <f>[1]Charters!B116</f>
        <v>Lumen Scholar Institute</v>
      </c>
      <c r="C111" s="26"/>
      <c r="D111" s="27"/>
      <c r="E111" s="8"/>
      <c r="F111" s="8"/>
      <c r="G111" s="8"/>
      <c r="H111" s="8"/>
      <c r="I111" s="1"/>
    </row>
    <row r="112" spans="1:9" x14ac:dyDescent="0.2">
      <c r="A112" s="24"/>
      <c r="B112" s="28"/>
      <c r="C112" s="26"/>
      <c r="D112" s="27"/>
      <c r="E112" s="8"/>
      <c r="F112" s="8"/>
      <c r="G112" s="8"/>
      <c r="H112" s="8"/>
      <c r="I112" s="1"/>
    </row>
    <row r="113" spans="1:9" x14ac:dyDescent="0.2">
      <c r="A113" s="29" t="s">
        <v>0</v>
      </c>
      <c r="B113" s="30">
        <f>[1]Charters!$E$6</f>
        <v>3184</v>
      </c>
      <c r="C113" s="26"/>
      <c r="D113" s="31"/>
      <c r="E113" s="8"/>
      <c r="F113" s="8"/>
      <c r="G113" s="8"/>
      <c r="H113" s="8"/>
      <c r="I113" s="1"/>
    </row>
    <row r="114" spans="1:9" x14ac:dyDescent="0.2">
      <c r="A114" s="32"/>
      <c r="B114" s="6"/>
      <c r="C114" s="33"/>
      <c r="D114" s="34" t="s">
        <v>3</v>
      </c>
      <c r="E114" s="8"/>
      <c r="F114" s="8"/>
      <c r="G114" s="8"/>
      <c r="H114" s="8"/>
      <c r="I114" s="1"/>
    </row>
    <row r="115" spans="1:9" x14ac:dyDescent="0.2">
      <c r="A115" s="29" t="s">
        <v>19</v>
      </c>
      <c r="B115" s="35" t="str">
        <f>[1]Charters!A116</f>
        <v>9J</v>
      </c>
      <c r="C115" s="36" t="s">
        <v>4</v>
      </c>
      <c r="D115" s="37" t="s">
        <v>5</v>
      </c>
      <c r="E115" s="8"/>
      <c r="F115" s="8"/>
      <c r="G115" s="8"/>
      <c r="H115" s="8"/>
      <c r="I115" s="1"/>
    </row>
    <row r="116" spans="1:9" x14ac:dyDescent="0.2">
      <c r="A116" s="38" t="s">
        <v>6</v>
      </c>
      <c r="B116" s="39"/>
      <c r="C116" s="40"/>
      <c r="D116" s="41"/>
      <c r="E116" s="8"/>
      <c r="F116" s="8"/>
      <c r="G116" s="8"/>
      <c r="H116" s="8"/>
      <c r="I116" s="1"/>
    </row>
    <row r="117" spans="1:9" x14ac:dyDescent="0.2">
      <c r="A117" s="38" t="s">
        <v>7</v>
      </c>
      <c r="B117" s="39"/>
      <c r="C117" s="40"/>
      <c r="D117" s="41"/>
      <c r="E117" s="8"/>
      <c r="F117" s="42" t="s">
        <v>23</v>
      </c>
      <c r="G117" s="8"/>
      <c r="H117" s="42" t="s">
        <v>26</v>
      </c>
      <c r="I117" s="1"/>
    </row>
    <row r="118" spans="1:9" x14ac:dyDescent="0.2">
      <c r="A118" s="20" t="s">
        <v>8</v>
      </c>
      <c r="B118" s="43"/>
      <c r="C118" s="44">
        <f>[1]Charters!C576</f>
        <v>512.19200000000001</v>
      </c>
      <c r="D118" s="45">
        <f>[1]Charters!E576</f>
        <v>1630818.38</v>
      </c>
      <c r="E118" s="8"/>
      <c r="F118" s="42">
        <f>[1]Charters!E732</f>
        <v>1735786.43</v>
      </c>
      <c r="G118" s="8"/>
      <c r="H118" s="42">
        <f>[2]Charters!E270</f>
        <v>2133331.12</v>
      </c>
      <c r="I118" s="1"/>
    </row>
    <row r="119" spans="1:9" x14ac:dyDescent="0.2">
      <c r="A119" s="20" t="s">
        <v>14</v>
      </c>
      <c r="B119" s="43"/>
      <c r="C119" s="44">
        <f>[1]Charters!F576</f>
        <v>32.966999999999999</v>
      </c>
      <c r="D119" s="45">
        <f>[1]Charters!H576</f>
        <v>104968.05</v>
      </c>
      <c r="E119" s="8"/>
      <c r="F119" s="42">
        <f>SUM(D118:D120)</f>
        <v>1735786.43</v>
      </c>
      <c r="G119" s="8"/>
      <c r="H119" s="42">
        <f>D131</f>
        <v>2133331.12</v>
      </c>
      <c r="I119" s="1"/>
    </row>
    <row r="120" spans="1:9" x14ac:dyDescent="0.2">
      <c r="A120" s="20" t="s">
        <v>32</v>
      </c>
      <c r="B120" s="43"/>
      <c r="C120" s="44">
        <f>[1]Charters!C269</f>
        <v>0</v>
      </c>
      <c r="D120" s="45">
        <f>[1]Charters!E269</f>
        <v>0</v>
      </c>
      <c r="E120" s="8"/>
      <c r="F120" s="42">
        <f>+F118-F119</f>
        <v>0</v>
      </c>
      <c r="G120" s="8"/>
      <c r="H120" s="42">
        <f>+H118-H119</f>
        <v>0</v>
      </c>
      <c r="I120" s="1"/>
    </row>
    <row r="121" spans="1:9" x14ac:dyDescent="0.2">
      <c r="A121" s="38" t="s">
        <v>9</v>
      </c>
      <c r="B121" s="39"/>
      <c r="C121" s="46"/>
      <c r="D121" s="47"/>
      <c r="E121" s="8"/>
      <c r="F121" s="8"/>
      <c r="G121" s="8"/>
      <c r="H121" s="8"/>
      <c r="I121" s="1"/>
    </row>
    <row r="122" spans="1:9" x14ac:dyDescent="0.2">
      <c r="A122" s="20" t="s">
        <v>10</v>
      </c>
      <c r="B122" s="43"/>
      <c r="C122" s="40">
        <f>[3]Charters!C115</f>
        <v>79.75</v>
      </c>
      <c r="D122" s="41">
        <f>[3]Charters!E115</f>
        <v>253924</v>
      </c>
      <c r="E122" s="8"/>
      <c r="F122" s="42" t="s">
        <v>24</v>
      </c>
      <c r="G122" s="8"/>
      <c r="H122" s="8"/>
      <c r="I122" s="1"/>
    </row>
    <row r="123" spans="1:9" x14ac:dyDescent="0.2">
      <c r="A123" s="48" t="s">
        <v>11</v>
      </c>
      <c r="B123" s="43"/>
      <c r="C123" s="40">
        <f>[3]Charters!F115</f>
        <v>4.7709999999999999</v>
      </c>
      <c r="D123" s="49">
        <f>[3]Charters!H115</f>
        <v>15191.58</v>
      </c>
      <c r="E123" s="8"/>
      <c r="F123" s="42">
        <f>[3]Charters!N428</f>
        <v>273849.68</v>
      </c>
      <c r="G123" s="8"/>
      <c r="H123" s="8"/>
      <c r="I123" s="1"/>
    </row>
    <row r="124" spans="1:9" x14ac:dyDescent="0.2">
      <c r="A124" s="48" t="s">
        <v>12</v>
      </c>
      <c r="B124" s="43"/>
      <c r="C124" s="40">
        <f>[3]Charters!C270</f>
        <v>0</v>
      </c>
      <c r="D124" s="41">
        <f>[3]Charters!E270</f>
        <v>0</v>
      </c>
      <c r="E124" s="8"/>
      <c r="F124" s="42">
        <f>SUM(D122:D128)</f>
        <v>273849.68</v>
      </c>
      <c r="G124" s="8"/>
      <c r="H124" s="8"/>
      <c r="I124" s="1"/>
    </row>
    <row r="125" spans="1:9" x14ac:dyDescent="0.2">
      <c r="A125" s="20" t="s">
        <v>13</v>
      </c>
      <c r="B125" s="43"/>
      <c r="C125" s="40">
        <f>[3]Charters!F270</f>
        <v>0.70899999999999996</v>
      </c>
      <c r="D125" s="41">
        <f>[3]Charters!H270</f>
        <v>2259</v>
      </c>
      <c r="E125" s="8"/>
      <c r="F125" s="42">
        <f>+F123-F124</f>
        <v>0</v>
      </c>
      <c r="G125" s="8"/>
      <c r="H125" s="8"/>
      <c r="I125" s="1"/>
    </row>
    <row r="126" spans="1:9" x14ac:dyDescent="0.2">
      <c r="A126" s="48" t="s">
        <v>54</v>
      </c>
      <c r="B126" s="43"/>
      <c r="C126" s="40">
        <f>[3]Charters!C428</f>
        <v>0.77700000000000002</v>
      </c>
      <c r="D126" s="41">
        <f>[3]Charters!E428</f>
        <v>2475.1</v>
      </c>
      <c r="E126" s="8"/>
      <c r="F126" s="8"/>
      <c r="G126" s="8"/>
      <c r="H126" s="8"/>
      <c r="I126" s="1"/>
    </row>
    <row r="127" spans="1:9" x14ac:dyDescent="0.2">
      <c r="A127" s="48" t="s">
        <v>55</v>
      </c>
      <c r="B127" s="43"/>
      <c r="C127" s="40">
        <f>[3]Charters!F428</f>
        <v>0</v>
      </c>
      <c r="D127" s="41">
        <f>[3]Charters!H428</f>
        <v>0</v>
      </c>
      <c r="E127" s="8"/>
      <c r="F127" s="42" t="s">
        <v>25</v>
      </c>
      <c r="G127" s="8"/>
      <c r="H127" s="8"/>
      <c r="I127" s="1"/>
    </row>
    <row r="128" spans="1:9" x14ac:dyDescent="0.2">
      <c r="A128" s="48" t="s">
        <v>56</v>
      </c>
      <c r="B128" s="43"/>
      <c r="C128" s="40">
        <f>[3]Charters!I428</f>
        <v>0</v>
      </c>
      <c r="D128" s="41">
        <f>[3]Charters!K428</f>
        <v>0</v>
      </c>
      <c r="E128" s="8"/>
      <c r="F128" s="42">
        <f>[2]Charters!H116</f>
        <v>397544.69</v>
      </c>
      <c r="G128" s="8"/>
      <c r="H128" s="8"/>
      <c r="I128" s="1"/>
    </row>
    <row r="129" spans="1:9" x14ac:dyDescent="0.2">
      <c r="A129" s="20" t="s">
        <v>49</v>
      </c>
      <c r="B129" s="43"/>
      <c r="C129" s="40">
        <f>[3]Charters!C583</f>
        <v>0</v>
      </c>
      <c r="D129" s="41">
        <f>[3]Charters!E583</f>
        <v>0</v>
      </c>
      <c r="E129" s="8"/>
      <c r="F129" s="42">
        <f>SUM(D122:D130)</f>
        <v>397544.69</v>
      </c>
      <c r="G129" s="8"/>
      <c r="H129" s="8"/>
      <c r="I129" s="1"/>
    </row>
    <row r="130" spans="1:9" x14ac:dyDescent="0.2">
      <c r="A130" s="20" t="s">
        <v>50</v>
      </c>
      <c r="B130" s="43"/>
      <c r="C130" s="40">
        <f>[2]Charters!C116</f>
        <v>38.848999999999997</v>
      </c>
      <c r="D130" s="41">
        <f>[2]Charters!E116</f>
        <v>123695.01</v>
      </c>
      <c r="E130" s="8"/>
      <c r="F130" s="42">
        <f>+F128-F129</f>
        <v>0</v>
      </c>
      <c r="G130" s="8"/>
      <c r="H130" s="8"/>
      <c r="I130" s="1"/>
    </row>
    <row r="131" spans="1:9" x14ac:dyDescent="0.2">
      <c r="A131" s="50"/>
      <c r="B131" s="51" t="s">
        <v>16</v>
      </c>
      <c r="C131" s="52">
        <f>SUM(C118:C130)</f>
        <v>670.01499999999999</v>
      </c>
      <c r="D131" s="53">
        <f>SUM(D118:D130)</f>
        <v>2133331.12</v>
      </c>
      <c r="E131" s="8"/>
      <c r="F131" s="8"/>
      <c r="G131" s="8"/>
      <c r="H131" s="8"/>
      <c r="I131" s="1"/>
    </row>
    <row r="132" spans="1:9" x14ac:dyDescent="0.2">
      <c r="A132" s="54" t="s">
        <v>17</v>
      </c>
      <c r="B132" s="39"/>
      <c r="C132" s="55"/>
      <c r="D132" s="47"/>
      <c r="E132" s="8"/>
      <c r="F132" s="8"/>
      <c r="G132" s="8"/>
      <c r="H132" s="42" t="s">
        <v>29</v>
      </c>
      <c r="I132" s="1"/>
    </row>
    <row r="133" spans="1:9" x14ac:dyDescent="0.2">
      <c r="A133" s="20" t="s">
        <v>33</v>
      </c>
      <c r="B133" s="43"/>
      <c r="C133" s="56"/>
      <c r="D133" s="57">
        <f>[4]Charters!C117</f>
        <v>6183.39</v>
      </c>
      <c r="E133" s="8"/>
      <c r="F133" s="8"/>
      <c r="G133" s="8"/>
      <c r="H133" s="42">
        <f>[4]Charters!F1056</f>
        <v>3372360.59</v>
      </c>
      <c r="I133" s="1"/>
    </row>
    <row r="134" spans="1:9" x14ac:dyDescent="0.2">
      <c r="A134" s="58" t="s">
        <v>35</v>
      </c>
      <c r="B134" s="43"/>
      <c r="C134" s="56"/>
      <c r="D134" s="41">
        <f>+[4]Charters!F438</f>
        <v>2465.17</v>
      </c>
      <c r="E134" s="8"/>
      <c r="F134" s="8"/>
      <c r="G134" s="8"/>
      <c r="H134" s="42">
        <f>SUM(D131:D150)</f>
        <v>3372360.59</v>
      </c>
      <c r="I134" s="1"/>
    </row>
    <row r="135" spans="1:9" x14ac:dyDescent="0.2">
      <c r="A135" s="59" t="s">
        <v>36</v>
      </c>
      <c r="B135" s="43"/>
      <c r="C135" s="56"/>
      <c r="D135" s="41">
        <f>[4]Charters!E277</f>
        <v>6757</v>
      </c>
      <c r="E135" s="8"/>
      <c r="F135" s="8"/>
      <c r="G135" s="8"/>
      <c r="H135" s="42">
        <f>+H133-H134</f>
        <v>0</v>
      </c>
      <c r="I135" s="1"/>
    </row>
    <row r="136" spans="1:9" x14ac:dyDescent="0.2">
      <c r="A136" s="59" t="s">
        <v>52</v>
      </c>
      <c r="B136" s="43"/>
      <c r="C136" s="56"/>
      <c r="D136" s="41">
        <f>[4]Charters!G438</f>
        <v>17792.48</v>
      </c>
      <c r="E136" s="8"/>
      <c r="F136" s="42" t="s">
        <v>27</v>
      </c>
      <c r="G136" s="8"/>
      <c r="H136" s="42"/>
      <c r="I136" s="1"/>
    </row>
    <row r="137" spans="1:9" x14ac:dyDescent="0.2">
      <c r="A137" s="20" t="s">
        <v>37</v>
      </c>
      <c r="B137" s="43"/>
      <c r="C137" s="56"/>
      <c r="D137" s="41">
        <f>[4]Charters!E594</f>
        <v>39394</v>
      </c>
      <c r="E137" s="8"/>
      <c r="F137" s="42">
        <f>[4]Charters!E277</f>
        <v>6757</v>
      </c>
      <c r="G137" s="8"/>
      <c r="H137" s="8"/>
      <c r="I137" s="1"/>
    </row>
    <row r="138" spans="1:9" x14ac:dyDescent="0.2">
      <c r="A138" s="20" t="s">
        <v>38</v>
      </c>
      <c r="B138" s="43"/>
      <c r="C138" s="56"/>
      <c r="D138" s="41">
        <f>[4]Charters!F594</f>
        <v>0</v>
      </c>
      <c r="E138" s="8"/>
      <c r="F138" s="42">
        <f>SUM(D135:D135)</f>
        <v>6757</v>
      </c>
      <c r="G138" s="8"/>
      <c r="H138" s="8"/>
      <c r="I138" s="1"/>
    </row>
    <row r="139" spans="1:9" x14ac:dyDescent="0.2">
      <c r="A139" s="59" t="s">
        <v>40</v>
      </c>
      <c r="B139" s="43"/>
      <c r="C139" s="56"/>
      <c r="D139" s="41">
        <f>[4]Charters!G594</f>
        <v>0</v>
      </c>
      <c r="E139" s="8"/>
      <c r="F139" s="42">
        <f>+F137-F138</f>
        <v>0</v>
      </c>
      <c r="G139" s="8"/>
      <c r="H139" s="8"/>
      <c r="I139" s="1"/>
    </row>
    <row r="140" spans="1:9" x14ac:dyDescent="0.2">
      <c r="A140" s="20" t="s">
        <v>41</v>
      </c>
      <c r="B140" s="43"/>
      <c r="C140" s="56"/>
      <c r="D140" s="41">
        <f>[4]Charters!C747</f>
        <v>1006503</v>
      </c>
      <c r="E140" s="8"/>
      <c r="F140" s="42" t="s">
        <v>28</v>
      </c>
      <c r="G140" s="8"/>
      <c r="H140" s="8"/>
      <c r="I140" s="1"/>
    </row>
    <row r="141" spans="1:9" x14ac:dyDescent="0.2">
      <c r="A141" s="20" t="s">
        <v>42</v>
      </c>
      <c r="B141" s="43"/>
      <c r="C141" s="56"/>
      <c r="D141" s="41">
        <f>[4]Charters!D747</f>
        <v>83332.47</v>
      </c>
      <c r="E141" s="8"/>
      <c r="F141" s="42">
        <f>[4]Charters!D594</f>
        <v>27014.65</v>
      </c>
      <c r="G141" s="8"/>
      <c r="H141" s="8"/>
      <c r="I141" s="1"/>
    </row>
    <row r="142" spans="1:9" x14ac:dyDescent="0.2">
      <c r="A142" s="20" t="s">
        <v>44</v>
      </c>
      <c r="B142" s="43"/>
      <c r="C142" s="56"/>
      <c r="D142" s="41">
        <f>[4]Charters!E747</f>
        <v>50300</v>
      </c>
      <c r="E142" s="8"/>
      <c r="F142" s="42">
        <f>SUM(D134:D136)</f>
        <v>27014.65</v>
      </c>
      <c r="G142" s="8"/>
      <c r="H142" s="8"/>
      <c r="I142" s="1"/>
    </row>
    <row r="143" spans="1:9" x14ac:dyDescent="0.2">
      <c r="A143" s="59" t="s">
        <v>43</v>
      </c>
      <c r="B143" s="43"/>
      <c r="C143" s="56"/>
      <c r="D143" s="41">
        <f>[4]Charters!F747</f>
        <v>14705.34</v>
      </c>
      <c r="E143" s="8"/>
      <c r="F143" s="42">
        <f>+F141-F142</f>
        <v>0</v>
      </c>
      <c r="G143" s="8"/>
      <c r="H143" s="8"/>
      <c r="I143" s="1"/>
    </row>
    <row r="144" spans="1:9" x14ac:dyDescent="0.2">
      <c r="A144" s="59" t="s">
        <v>45</v>
      </c>
      <c r="B144" s="43"/>
      <c r="C144" s="56"/>
      <c r="D144" s="41">
        <f>[4]Charters!C594</f>
        <v>0</v>
      </c>
      <c r="E144" s="8"/>
      <c r="F144" s="8"/>
      <c r="G144" s="8"/>
      <c r="H144" s="8"/>
      <c r="I144" s="1"/>
    </row>
    <row r="145" spans="1:9" x14ac:dyDescent="0.2">
      <c r="A145" s="59" t="s">
        <v>46</v>
      </c>
      <c r="B145" s="43"/>
      <c r="C145" s="56"/>
      <c r="D145" s="41">
        <f>[4]Charters!C903</f>
        <v>0</v>
      </c>
      <c r="E145" s="42"/>
      <c r="F145" s="42"/>
      <c r="G145" s="42"/>
      <c r="H145" s="42" t="s">
        <v>31</v>
      </c>
      <c r="I145" s="82"/>
    </row>
    <row r="146" spans="1:9" x14ac:dyDescent="0.2">
      <c r="A146" s="59" t="s">
        <v>51</v>
      </c>
      <c r="B146" s="43"/>
      <c r="C146" s="56"/>
      <c r="D146" s="60">
        <f>[4]Charters!D903</f>
        <v>761.14</v>
      </c>
      <c r="E146" s="42"/>
      <c r="F146" s="42"/>
      <c r="G146" s="42"/>
      <c r="H146" s="42">
        <f>[4]Charters!D1362</f>
        <v>3375443.07</v>
      </c>
      <c r="I146" s="82"/>
    </row>
    <row r="147" spans="1:9" x14ac:dyDescent="0.2">
      <c r="A147" s="20" t="s">
        <v>47</v>
      </c>
      <c r="B147" s="43"/>
      <c r="C147" s="56"/>
      <c r="D147" s="60">
        <f>[4]Charters!E903</f>
        <v>0</v>
      </c>
      <c r="E147" s="42"/>
      <c r="F147" s="42"/>
      <c r="G147" s="42"/>
      <c r="H147" s="42">
        <f>D156</f>
        <v>3375443.07</v>
      </c>
      <c r="I147" s="82"/>
    </row>
    <row r="148" spans="1:9" x14ac:dyDescent="0.2">
      <c r="A148" s="20" t="s">
        <v>57</v>
      </c>
      <c r="B148" s="43"/>
      <c r="C148" s="56"/>
      <c r="D148" s="60">
        <f>[4]Charters!C1056</f>
        <v>10835.48</v>
      </c>
      <c r="E148" s="42"/>
      <c r="F148" s="42"/>
      <c r="G148" s="42"/>
      <c r="H148" s="42">
        <f>+H146-H147</f>
        <v>0</v>
      </c>
      <c r="I148" s="82"/>
    </row>
    <row r="149" spans="1:9" x14ac:dyDescent="0.2">
      <c r="A149" s="59" t="s">
        <v>53</v>
      </c>
      <c r="B149" s="43"/>
      <c r="C149" s="56"/>
      <c r="D149" s="60">
        <f>[4]Charters!D1056</f>
        <v>0</v>
      </c>
      <c r="E149" s="42"/>
      <c r="F149" s="42" t="s">
        <v>30</v>
      </c>
      <c r="G149" s="42"/>
      <c r="H149" s="42"/>
      <c r="I149" s="82"/>
    </row>
    <row r="150" spans="1:9" x14ac:dyDescent="0.2">
      <c r="A150" s="59" t="s">
        <v>59</v>
      </c>
      <c r="B150" s="43"/>
      <c r="C150" s="56"/>
      <c r="D150" s="60">
        <f>[4]Charters!E1056</f>
        <v>0</v>
      </c>
      <c r="E150" s="42"/>
      <c r="F150" s="42"/>
      <c r="G150" s="42"/>
      <c r="H150" s="42"/>
      <c r="I150" s="82"/>
    </row>
    <row r="151" spans="1:9" x14ac:dyDescent="0.2">
      <c r="A151" s="38" t="s">
        <v>18</v>
      </c>
      <c r="B151" s="61"/>
      <c r="C151" s="62"/>
      <c r="D151" s="87"/>
      <c r="E151" s="42"/>
      <c r="F151" s="42">
        <f>[4]Charters!C1362</f>
        <v>3082.48</v>
      </c>
      <c r="G151" s="42"/>
      <c r="H151" s="42"/>
      <c r="I151" s="82"/>
    </row>
    <row r="152" spans="1:9" x14ac:dyDescent="0.2">
      <c r="A152" s="59" t="s">
        <v>39</v>
      </c>
      <c r="B152" s="43"/>
      <c r="C152" s="56"/>
      <c r="D152" s="41">
        <f>[4]Charters!C1209</f>
        <v>3082.48</v>
      </c>
      <c r="E152" s="42"/>
      <c r="F152" s="42">
        <f>SUM(D152:D155)</f>
        <v>3082.48</v>
      </c>
      <c r="G152" s="42"/>
      <c r="H152" s="42"/>
      <c r="I152" s="82"/>
    </row>
    <row r="153" spans="1:9" x14ac:dyDescent="0.2">
      <c r="A153" s="59" t="s">
        <v>48</v>
      </c>
      <c r="B153" s="43"/>
      <c r="C153" s="56"/>
      <c r="D153" s="41">
        <f>[4]Charters!D1209</f>
        <v>0</v>
      </c>
      <c r="E153" s="42"/>
      <c r="F153" s="42">
        <f>+F151-F152</f>
        <v>0</v>
      </c>
      <c r="G153" s="42"/>
      <c r="H153" s="42"/>
      <c r="I153" s="82"/>
    </row>
    <row r="154" spans="1:9" x14ac:dyDescent="0.2">
      <c r="A154" s="59" t="s">
        <v>60</v>
      </c>
      <c r="B154" s="43"/>
      <c r="C154" s="56"/>
      <c r="D154" s="41">
        <f>[4]Charters!E1209</f>
        <v>0</v>
      </c>
      <c r="E154" s="42"/>
      <c r="F154" s="42"/>
      <c r="G154" s="42"/>
      <c r="H154" s="42"/>
      <c r="I154" s="82"/>
    </row>
    <row r="155" spans="1:9" x14ac:dyDescent="0.2">
      <c r="A155" s="59" t="s">
        <v>61</v>
      </c>
      <c r="B155" s="43"/>
      <c r="C155" s="56"/>
      <c r="D155" s="41">
        <f>[4]Charters!F1209</f>
        <v>0</v>
      </c>
      <c r="E155" s="42"/>
      <c r="F155" s="42"/>
      <c r="G155" s="42"/>
      <c r="H155" s="42"/>
      <c r="I155" s="82"/>
    </row>
    <row r="156" spans="1:9" ht="13.5" thickBot="1" x14ac:dyDescent="0.25">
      <c r="A156" s="64"/>
      <c r="B156" s="65"/>
      <c r="C156" s="66"/>
      <c r="D156" s="67">
        <f>SUM(D131:D155)</f>
        <v>3375443.07</v>
      </c>
      <c r="E156" s="42"/>
      <c r="F156" s="42"/>
      <c r="G156" s="42"/>
      <c r="H156" s="42"/>
      <c r="I156" s="82"/>
    </row>
    <row r="157" spans="1:9" ht="13.5" thickTop="1" x14ac:dyDescent="0.2">
      <c r="A157" s="68"/>
      <c r="B157" s="43"/>
      <c r="C157" s="56"/>
      <c r="D157" s="86"/>
      <c r="E157" s="42"/>
      <c r="F157" s="42"/>
      <c r="G157" s="42"/>
      <c r="H157" s="42"/>
      <c r="I157" s="82"/>
    </row>
    <row r="158" spans="1:9" x14ac:dyDescent="0.2">
      <c r="A158" s="38" t="s">
        <v>20</v>
      </c>
      <c r="B158" s="39"/>
      <c r="C158" s="70"/>
      <c r="D158" s="71" t="s">
        <v>21</v>
      </c>
      <c r="E158" s="42"/>
      <c r="F158" s="42"/>
      <c r="G158" s="42"/>
      <c r="H158" s="42"/>
      <c r="I158" s="82"/>
    </row>
    <row r="159" spans="1:9" x14ac:dyDescent="0.2">
      <c r="A159" s="72" t="s">
        <v>22</v>
      </c>
      <c r="B159" s="73"/>
      <c r="C159" s="74"/>
      <c r="D159" s="41">
        <f>[5]Charters!C115</f>
        <v>1268.79</v>
      </c>
      <c r="E159" s="42"/>
      <c r="F159" s="42"/>
      <c r="G159" s="42"/>
      <c r="H159" s="42"/>
      <c r="I159" s="82"/>
    </row>
    <row r="160" spans="1:9" x14ac:dyDescent="0.2">
      <c r="A160" s="75"/>
      <c r="B160" s="61"/>
      <c r="C160" s="76"/>
      <c r="D160" s="77">
        <f>SUM(D159:D159)</f>
        <v>1268.79</v>
      </c>
      <c r="E160" s="42"/>
      <c r="F160" s="42"/>
      <c r="G160" s="42"/>
      <c r="H160" s="42"/>
      <c r="I160" s="82"/>
    </row>
    <row r="161" spans="1:9" x14ac:dyDescent="0.2">
      <c r="A161" s="78" t="s">
        <v>58</v>
      </c>
      <c r="B161" s="79"/>
      <c r="C161" s="80"/>
      <c r="D161" s="77">
        <f>D160+D156</f>
        <v>3376711.86</v>
      </c>
      <c r="E161" s="42"/>
      <c r="F161" s="42"/>
      <c r="G161" s="42"/>
      <c r="H161" s="42"/>
      <c r="I161" s="82"/>
    </row>
    <row r="162" spans="1:9" x14ac:dyDescent="0.2">
      <c r="A162" s="84"/>
      <c r="B162" s="84"/>
      <c r="C162" s="85"/>
      <c r="D162" s="81"/>
      <c r="E162" s="42"/>
      <c r="F162" s="42"/>
      <c r="G162" s="42"/>
      <c r="H162" s="42"/>
      <c r="I162" s="82"/>
    </row>
    <row r="163" spans="1:9" x14ac:dyDescent="0.2">
      <c r="A163" s="84"/>
      <c r="B163" s="84"/>
      <c r="C163" s="85"/>
      <c r="D163" s="81">
        <f>[5]Charters!E271</f>
        <v>3376711.86</v>
      </c>
      <c r="E163" s="42"/>
      <c r="F163" s="42"/>
      <c r="G163" s="42"/>
      <c r="H163" s="42"/>
      <c r="I163" s="82"/>
    </row>
    <row r="164" spans="1:9" x14ac:dyDescent="0.2">
      <c r="A164" s="84"/>
      <c r="B164" s="84"/>
      <c r="C164" s="85"/>
      <c r="D164" s="81">
        <f>D161</f>
        <v>3376711.86</v>
      </c>
      <c r="E164" s="42"/>
      <c r="F164" s="42"/>
      <c r="G164" s="42"/>
      <c r="H164" s="42"/>
      <c r="I164" s="82"/>
    </row>
    <row r="165" spans="1:9" x14ac:dyDescent="0.2">
      <c r="A165" s="82"/>
      <c r="B165" s="82"/>
      <c r="C165" s="83"/>
      <c r="D165" s="42">
        <f>D163-D164</f>
        <v>0</v>
      </c>
      <c r="E165" s="42"/>
      <c r="F165" s="42"/>
      <c r="G165" s="42"/>
      <c r="H165" s="42"/>
      <c r="I165" s="82"/>
    </row>
  </sheetData>
  <mergeCells count="4">
    <mergeCell ref="A107:D107"/>
    <mergeCell ref="A108:D108"/>
    <mergeCell ref="A109:D109"/>
    <mergeCell ref="A161:C161"/>
  </mergeCells>
  <printOptions horizontalCentered="1" verticalCentered="1"/>
  <pageMargins left="0.7" right="0.7" top="0.75" bottom="0.75" header="0.3" footer="0.3"/>
  <pageSetup orientation="portrait" horizontalDpi="1200" r:id="rId1"/>
  <headerFooter>
    <oddHeader xml:space="preserve">&amp;R&amp;8Current as of : &amp;D&amp;10
</oddHeader>
    <oddFooter>&amp;L&amp;8USOE, School Finance</oddFooter>
  </headerFooter>
  <picture r:id="rId2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300-000000000000}">
  <dimension ref="A1:I166"/>
  <sheetViews>
    <sheetView topLeftCell="A103" workbookViewId="0">
      <selection activeCell="C12" sqref="C12"/>
    </sheetView>
  </sheetViews>
  <sheetFormatPr defaultRowHeight="12.75" x14ac:dyDescent="0.2"/>
  <cols>
    <col min="1" max="1" width="32.28515625" style="89" customWidth="1"/>
    <col min="2" max="2" width="16.42578125" style="89" customWidth="1"/>
    <col min="3" max="4" width="14.85546875" style="89" customWidth="1"/>
    <col min="5" max="5" width="9.140625" style="89"/>
    <col min="6" max="6" width="11.28515625" style="89" customWidth="1"/>
    <col min="7" max="7" width="9.140625" style="89"/>
    <col min="8" max="8" width="23" style="89" bestFit="1" customWidth="1"/>
    <col min="9" max="16384" width="9.140625" style="89"/>
  </cols>
  <sheetData>
    <row r="1" spans="1:9" x14ac:dyDescent="0.2">
      <c r="A1" s="7"/>
      <c r="B1" s="7"/>
      <c r="C1" s="7"/>
      <c r="D1" s="7"/>
      <c r="E1" s="7"/>
      <c r="F1" s="7"/>
      <c r="G1" s="7"/>
      <c r="H1" s="7"/>
      <c r="I1" s="7"/>
    </row>
    <row r="2" spans="1:9" x14ac:dyDescent="0.2">
      <c r="A2" s="7"/>
      <c r="B2" s="7"/>
      <c r="C2" s="7"/>
      <c r="D2" s="7"/>
      <c r="E2" s="7"/>
      <c r="F2" s="7"/>
      <c r="G2" s="7"/>
      <c r="H2" s="7"/>
      <c r="I2" s="7"/>
    </row>
    <row r="3" spans="1:9" x14ac:dyDescent="0.2">
      <c r="A3" s="7"/>
      <c r="B3" s="7"/>
      <c r="C3" s="7"/>
      <c r="D3" s="7"/>
      <c r="E3" s="7"/>
      <c r="F3" s="7"/>
      <c r="G3" s="7"/>
      <c r="H3" s="7"/>
      <c r="I3" s="7"/>
    </row>
    <row r="4" spans="1:9" x14ac:dyDescent="0.2">
      <c r="A4" s="7"/>
      <c r="B4" s="7"/>
      <c r="C4" s="7"/>
      <c r="D4" s="7"/>
      <c r="E4" s="7"/>
      <c r="F4" s="7"/>
      <c r="G4" s="7"/>
      <c r="H4" s="7"/>
      <c r="I4" s="7"/>
    </row>
    <row r="5" spans="1:9" x14ac:dyDescent="0.2">
      <c r="A5" s="7"/>
      <c r="B5" s="7"/>
      <c r="C5" s="7"/>
      <c r="D5" s="7"/>
      <c r="E5" s="7"/>
      <c r="F5" s="7"/>
      <c r="G5" s="7"/>
      <c r="H5" s="7"/>
      <c r="I5" s="7"/>
    </row>
    <row r="6" spans="1:9" x14ac:dyDescent="0.2">
      <c r="A6" s="7"/>
      <c r="B6" s="7"/>
      <c r="C6" s="7"/>
      <c r="D6" s="7"/>
      <c r="E6" s="7"/>
      <c r="F6" s="7"/>
      <c r="G6" s="7"/>
      <c r="H6" s="7"/>
      <c r="I6" s="7"/>
    </row>
    <row r="7" spans="1:9" x14ac:dyDescent="0.2">
      <c r="A7" s="7"/>
      <c r="B7" s="7"/>
      <c r="C7" s="7"/>
      <c r="D7" s="7"/>
      <c r="E7" s="7"/>
      <c r="F7" s="7"/>
      <c r="G7" s="7"/>
      <c r="H7" s="7"/>
      <c r="I7" s="7"/>
    </row>
    <row r="8" spans="1:9" x14ac:dyDescent="0.2">
      <c r="A8" s="7"/>
      <c r="B8" s="7"/>
      <c r="C8" s="7"/>
      <c r="D8" s="7"/>
      <c r="E8" s="7"/>
      <c r="F8" s="7"/>
      <c r="G8" s="7"/>
      <c r="H8" s="7"/>
      <c r="I8" s="7"/>
    </row>
    <row r="9" spans="1:9" x14ac:dyDescent="0.2">
      <c r="A9" s="7"/>
      <c r="B9" s="7"/>
      <c r="C9" s="7"/>
      <c r="D9" s="7"/>
      <c r="E9" s="7"/>
      <c r="F9" s="7"/>
      <c r="G9" s="7"/>
      <c r="H9" s="7"/>
      <c r="I9" s="7"/>
    </row>
    <row r="10" spans="1:9" x14ac:dyDescent="0.2">
      <c r="A10" s="7"/>
      <c r="B10" s="7"/>
      <c r="C10" s="7"/>
      <c r="D10" s="7"/>
      <c r="E10" s="7"/>
      <c r="F10" s="7"/>
      <c r="G10" s="7"/>
      <c r="H10" s="7"/>
      <c r="I10" s="7"/>
    </row>
    <row r="11" spans="1:9" x14ac:dyDescent="0.2">
      <c r="A11" s="7"/>
      <c r="B11" s="7"/>
      <c r="C11" s="7"/>
      <c r="D11" s="7"/>
      <c r="E11" s="7"/>
      <c r="F11" s="7"/>
      <c r="G11" s="7"/>
      <c r="H11" s="7"/>
      <c r="I11" s="7"/>
    </row>
    <row r="12" spans="1:9" x14ac:dyDescent="0.2">
      <c r="A12" s="7"/>
      <c r="B12" s="7"/>
      <c r="C12" s="7"/>
      <c r="D12" s="7"/>
      <c r="E12" s="7"/>
      <c r="F12" s="7"/>
      <c r="G12" s="7"/>
      <c r="H12" s="7"/>
      <c r="I12" s="7"/>
    </row>
    <row r="13" spans="1:9" x14ac:dyDescent="0.2">
      <c r="A13" s="7"/>
      <c r="B13" s="7"/>
      <c r="C13" s="7"/>
      <c r="D13" s="7"/>
      <c r="E13" s="7"/>
      <c r="F13" s="7"/>
      <c r="G13" s="7"/>
      <c r="H13" s="7"/>
      <c r="I13" s="7"/>
    </row>
    <row r="14" spans="1:9" x14ac:dyDescent="0.2">
      <c r="A14" s="7"/>
      <c r="B14" s="7"/>
      <c r="C14" s="7"/>
      <c r="D14" s="7"/>
      <c r="E14" s="7"/>
      <c r="F14" s="7"/>
      <c r="G14" s="7"/>
      <c r="H14" s="7"/>
      <c r="I14" s="7"/>
    </row>
    <row r="15" spans="1:9" x14ac:dyDescent="0.2">
      <c r="A15" s="7"/>
      <c r="B15" s="7"/>
      <c r="C15" s="7"/>
      <c r="D15" s="7"/>
      <c r="E15" s="7"/>
      <c r="F15" s="7"/>
      <c r="G15" s="7"/>
      <c r="H15" s="7"/>
      <c r="I15" s="7"/>
    </row>
    <row r="16" spans="1:9" x14ac:dyDescent="0.2">
      <c r="A16" s="7"/>
      <c r="B16" s="7"/>
      <c r="C16" s="7"/>
      <c r="D16" s="7"/>
      <c r="E16" s="7"/>
      <c r="F16" s="7"/>
      <c r="G16" s="7"/>
      <c r="H16" s="7"/>
      <c r="I16" s="7"/>
    </row>
    <row r="17" spans="1:9" x14ac:dyDescent="0.2">
      <c r="A17" s="7"/>
      <c r="B17" s="7"/>
      <c r="C17" s="7"/>
      <c r="D17" s="7"/>
      <c r="E17" s="7"/>
      <c r="F17" s="7"/>
      <c r="G17" s="7"/>
      <c r="H17" s="7"/>
      <c r="I17" s="7"/>
    </row>
    <row r="18" spans="1:9" x14ac:dyDescent="0.2">
      <c r="A18" s="7"/>
      <c r="B18" s="7"/>
      <c r="C18" s="7"/>
      <c r="D18" s="7"/>
      <c r="E18" s="7"/>
      <c r="F18" s="7"/>
      <c r="G18" s="7"/>
      <c r="H18" s="7"/>
      <c r="I18" s="7"/>
    </row>
    <row r="19" spans="1:9" x14ac:dyDescent="0.2">
      <c r="A19" s="7"/>
      <c r="B19" s="7"/>
      <c r="C19" s="7"/>
      <c r="D19" s="7"/>
      <c r="E19" s="7"/>
      <c r="F19" s="7"/>
      <c r="G19" s="7"/>
      <c r="H19" s="7"/>
      <c r="I19" s="7"/>
    </row>
    <row r="20" spans="1:9" x14ac:dyDescent="0.2">
      <c r="A20" s="7"/>
      <c r="B20" s="7"/>
      <c r="C20" s="7"/>
      <c r="D20" s="7"/>
      <c r="E20" s="7"/>
      <c r="F20" s="7"/>
      <c r="G20" s="7"/>
      <c r="H20" s="7"/>
      <c r="I20" s="7"/>
    </row>
    <row r="21" spans="1:9" x14ac:dyDescent="0.2">
      <c r="A21" s="7"/>
      <c r="B21" s="7"/>
      <c r="C21" s="7"/>
      <c r="D21" s="7"/>
      <c r="E21" s="7"/>
      <c r="F21" s="7"/>
      <c r="G21" s="7"/>
      <c r="H21" s="7"/>
      <c r="I21" s="7"/>
    </row>
    <row r="22" spans="1:9" x14ac:dyDescent="0.2">
      <c r="A22" s="7"/>
      <c r="B22" s="7"/>
      <c r="C22" s="7"/>
      <c r="D22" s="4"/>
      <c r="E22" s="7"/>
      <c r="F22" s="7"/>
      <c r="G22" s="7"/>
      <c r="H22" s="7"/>
      <c r="I22" s="7"/>
    </row>
    <row r="23" spans="1:9" x14ac:dyDescent="0.2">
      <c r="A23" s="7"/>
      <c r="B23" s="7"/>
      <c r="C23" s="7"/>
      <c r="D23" s="7"/>
      <c r="E23" s="7"/>
      <c r="F23" s="7"/>
      <c r="G23" s="7"/>
      <c r="H23" s="7"/>
      <c r="I23" s="7"/>
    </row>
    <row r="24" spans="1:9" x14ac:dyDescent="0.2">
      <c r="A24" s="7"/>
      <c r="B24" s="7"/>
      <c r="C24" s="7"/>
      <c r="D24" s="7"/>
      <c r="E24" s="7"/>
      <c r="F24" s="7"/>
      <c r="G24" s="7"/>
      <c r="H24" s="7"/>
      <c r="I24" s="7"/>
    </row>
    <row r="25" spans="1:9" x14ac:dyDescent="0.2">
      <c r="A25" s="7"/>
      <c r="B25" s="7"/>
      <c r="C25" s="7"/>
      <c r="D25" s="7"/>
      <c r="E25" s="7"/>
      <c r="F25" s="7"/>
      <c r="G25" s="7"/>
      <c r="H25" s="7"/>
      <c r="I25" s="7"/>
    </row>
    <row r="26" spans="1:9" x14ac:dyDescent="0.2">
      <c r="A26" s="7"/>
      <c r="B26" s="7"/>
      <c r="C26" s="7"/>
      <c r="D26" s="7"/>
      <c r="E26" s="7"/>
      <c r="F26" s="7"/>
      <c r="G26" s="7"/>
      <c r="H26" s="7"/>
      <c r="I26" s="7"/>
    </row>
    <row r="27" spans="1:9" x14ac:dyDescent="0.2">
      <c r="A27" s="7"/>
      <c r="B27" s="7"/>
      <c r="C27" s="7"/>
      <c r="D27" s="7"/>
      <c r="E27" s="7"/>
      <c r="F27" s="7"/>
      <c r="G27" s="7"/>
      <c r="H27" s="7"/>
      <c r="I27" s="7"/>
    </row>
    <row r="28" spans="1:9" x14ac:dyDescent="0.2">
      <c r="A28" s="7"/>
      <c r="B28" s="7"/>
      <c r="C28" s="7"/>
      <c r="D28" s="7"/>
      <c r="E28" s="7"/>
      <c r="F28" s="7"/>
      <c r="G28" s="7"/>
      <c r="H28" s="7"/>
      <c r="I28" s="7"/>
    </row>
    <row r="29" spans="1:9" x14ac:dyDescent="0.2">
      <c r="A29" s="7"/>
      <c r="B29" s="7"/>
      <c r="C29" s="7"/>
      <c r="D29" s="7"/>
      <c r="E29" s="7"/>
      <c r="F29" s="7"/>
      <c r="G29" s="7"/>
      <c r="H29" s="7"/>
      <c r="I29" s="7"/>
    </row>
    <row r="30" spans="1:9" x14ac:dyDescent="0.2">
      <c r="A30" s="7"/>
      <c r="B30" s="7"/>
      <c r="C30" s="7"/>
      <c r="D30" s="7"/>
      <c r="E30" s="7"/>
      <c r="F30" s="7"/>
      <c r="G30" s="7"/>
      <c r="H30" s="7"/>
      <c r="I30" s="7"/>
    </row>
    <row r="31" spans="1:9" x14ac:dyDescent="0.2">
      <c r="A31" s="7"/>
      <c r="B31" s="7"/>
      <c r="C31" s="7"/>
      <c r="D31" s="7"/>
      <c r="E31" s="7"/>
      <c r="F31" s="7"/>
      <c r="G31" s="7"/>
      <c r="H31" s="7"/>
      <c r="I31" s="7"/>
    </row>
    <row r="32" spans="1:9" x14ac:dyDescent="0.2">
      <c r="A32" s="7"/>
      <c r="B32" s="7"/>
      <c r="C32" s="7"/>
      <c r="D32" s="7"/>
      <c r="E32" s="7"/>
      <c r="F32" s="7"/>
      <c r="G32" s="7"/>
      <c r="H32" s="7"/>
      <c r="I32" s="7"/>
    </row>
    <row r="33" spans="1:9" x14ac:dyDescent="0.2">
      <c r="A33" s="7"/>
      <c r="B33" s="7"/>
      <c r="C33" s="7"/>
      <c r="D33" s="7"/>
      <c r="E33" s="7"/>
      <c r="F33" s="7"/>
      <c r="G33" s="7"/>
      <c r="H33" s="7"/>
      <c r="I33" s="7"/>
    </row>
    <row r="34" spans="1:9" x14ac:dyDescent="0.2">
      <c r="A34" s="7"/>
      <c r="B34" s="7"/>
      <c r="C34" s="7"/>
      <c r="D34" s="7"/>
      <c r="E34" s="7"/>
      <c r="F34" s="7"/>
      <c r="G34" s="7"/>
      <c r="H34" s="7"/>
      <c r="I34" s="7"/>
    </row>
    <row r="35" spans="1:9" x14ac:dyDescent="0.2">
      <c r="A35" s="7"/>
      <c r="B35" s="7"/>
      <c r="C35" s="7"/>
      <c r="D35" s="7"/>
      <c r="E35" s="7"/>
      <c r="F35" s="7"/>
      <c r="G35" s="7"/>
      <c r="H35" s="7"/>
      <c r="I35" s="7"/>
    </row>
    <row r="36" spans="1:9" x14ac:dyDescent="0.2">
      <c r="A36" s="7"/>
      <c r="B36" s="7"/>
      <c r="C36" s="7"/>
      <c r="D36" s="7"/>
      <c r="E36" s="7"/>
      <c r="F36" s="7"/>
      <c r="G36" s="7"/>
      <c r="H36" s="7"/>
      <c r="I36" s="7"/>
    </row>
    <row r="37" spans="1:9" x14ac:dyDescent="0.2">
      <c r="A37" s="7"/>
      <c r="B37" s="7"/>
      <c r="C37" s="7"/>
      <c r="D37" s="7"/>
      <c r="E37" s="7"/>
      <c r="F37" s="7"/>
      <c r="G37" s="7"/>
      <c r="H37" s="7"/>
      <c r="I37" s="7"/>
    </row>
    <row r="38" spans="1:9" x14ac:dyDescent="0.2">
      <c r="A38" s="7"/>
      <c r="B38" s="7"/>
      <c r="C38" s="7"/>
      <c r="D38" s="7"/>
      <c r="E38" s="7"/>
      <c r="F38" s="7"/>
      <c r="G38" s="7"/>
      <c r="H38" s="7"/>
      <c r="I38" s="7"/>
    </row>
    <row r="39" spans="1:9" x14ac:dyDescent="0.2">
      <c r="A39" s="7"/>
      <c r="B39" s="7"/>
      <c r="C39" s="7"/>
      <c r="D39" s="7"/>
      <c r="E39" s="7"/>
      <c r="F39" s="7"/>
      <c r="G39" s="7"/>
      <c r="H39" s="7"/>
      <c r="I39" s="7"/>
    </row>
    <row r="40" spans="1:9" x14ac:dyDescent="0.2">
      <c r="A40" s="7"/>
      <c r="B40" s="7"/>
      <c r="C40" s="7"/>
      <c r="D40" s="7"/>
      <c r="E40" s="7"/>
      <c r="F40" s="7"/>
      <c r="G40" s="7"/>
      <c r="H40" s="7"/>
      <c r="I40" s="7"/>
    </row>
    <row r="41" spans="1:9" x14ac:dyDescent="0.2">
      <c r="A41" s="7"/>
      <c r="B41" s="7"/>
      <c r="C41" s="7"/>
      <c r="D41" s="7"/>
      <c r="E41" s="7"/>
      <c r="F41" s="7"/>
      <c r="G41" s="7"/>
      <c r="H41" s="7"/>
      <c r="I41" s="7"/>
    </row>
    <row r="42" spans="1:9" x14ac:dyDescent="0.2">
      <c r="A42" s="7"/>
      <c r="B42" s="7"/>
      <c r="C42" s="7"/>
      <c r="D42" s="7"/>
      <c r="E42" s="7"/>
      <c r="F42" s="7"/>
      <c r="G42" s="7"/>
      <c r="H42" s="7"/>
      <c r="I42" s="7"/>
    </row>
    <row r="43" spans="1:9" x14ac:dyDescent="0.2">
      <c r="A43" s="7"/>
      <c r="B43" s="7"/>
      <c r="C43" s="7"/>
      <c r="D43" s="7"/>
      <c r="E43" s="7"/>
      <c r="F43" s="7"/>
      <c r="G43" s="7"/>
      <c r="H43" s="7"/>
      <c r="I43" s="7"/>
    </row>
    <row r="44" spans="1:9" x14ac:dyDescent="0.2">
      <c r="A44" s="7"/>
      <c r="B44" s="7"/>
      <c r="C44" s="7"/>
      <c r="D44" s="7"/>
      <c r="E44" s="7"/>
      <c r="F44" s="7"/>
      <c r="G44" s="7"/>
      <c r="H44" s="7"/>
      <c r="I44" s="7"/>
    </row>
    <row r="45" spans="1:9" x14ac:dyDescent="0.2">
      <c r="A45" s="7"/>
      <c r="B45" s="7"/>
      <c r="C45" s="7"/>
      <c r="D45" s="7"/>
      <c r="E45" s="7"/>
      <c r="F45" s="7"/>
      <c r="G45" s="7"/>
      <c r="H45" s="7"/>
      <c r="I45" s="7"/>
    </row>
    <row r="46" spans="1:9" x14ac:dyDescent="0.2">
      <c r="A46" s="7"/>
      <c r="B46" s="7"/>
      <c r="C46" s="7"/>
      <c r="D46" s="7"/>
      <c r="E46" s="7"/>
      <c r="F46" s="7"/>
      <c r="G46" s="7"/>
      <c r="H46" s="7"/>
      <c r="I46" s="7"/>
    </row>
    <row r="47" spans="1:9" x14ac:dyDescent="0.2">
      <c r="A47" s="7"/>
      <c r="B47" s="7"/>
      <c r="C47" s="7"/>
      <c r="D47" s="7"/>
      <c r="E47" s="7"/>
      <c r="F47" s="7"/>
      <c r="G47" s="7"/>
      <c r="H47" s="7"/>
      <c r="I47" s="7"/>
    </row>
    <row r="48" spans="1:9" x14ac:dyDescent="0.2">
      <c r="A48" s="7"/>
      <c r="B48" s="7"/>
      <c r="C48" s="7"/>
      <c r="D48" s="7"/>
      <c r="E48" s="7"/>
      <c r="F48" s="7"/>
      <c r="G48" s="7"/>
      <c r="H48" s="7"/>
      <c r="I48" s="7"/>
    </row>
    <row r="49" spans="1:9" x14ac:dyDescent="0.2">
      <c r="A49" s="7"/>
      <c r="B49" s="7"/>
      <c r="C49" s="7"/>
      <c r="D49" s="7"/>
      <c r="E49" s="7"/>
      <c r="F49" s="7"/>
      <c r="G49" s="7"/>
      <c r="H49" s="7"/>
      <c r="I49" s="7"/>
    </row>
    <row r="50" spans="1:9" x14ac:dyDescent="0.2">
      <c r="A50" s="7"/>
      <c r="B50" s="7"/>
      <c r="C50" s="7"/>
      <c r="D50" s="7"/>
      <c r="E50" s="7"/>
      <c r="F50" s="7"/>
      <c r="G50" s="7"/>
      <c r="H50" s="7"/>
      <c r="I50" s="7"/>
    </row>
    <row r="51" spans="1:9" x14ac:dyDescent="0.2">
      <c r="A51" s="7"/>
      <c r="B51" s="7"/>
      <c r="C51" s="7"/>
      <c r="D51" s="7"/>
      <c r="E51" s="7"/>
      <c r="F51" s="7"/>
      <c r="G51" s="7"/>
      <c r="H51" s="7"/>
      <c r="I51" s="7"/>
    </row>
    <row r="52" spans="1:9" x14ac:dyDescent="0.2">
      <c r="A52" s="7"/>
      <c r="B52" s="7"/>
      <c r="C52" s="7"/>
      <c r="D52" s="7"/>
      <c r="E52" s="7"/>
      <c r="F52" s="7"/>
      <c r="G52" s="7"/>
      <c r="H52" s="7"/>
      <c r="I52" s="7"/>
    </row>
    <row r="53" spans="1:9" x14ac:dyDescent="0.2">
      <c r="A53" s="7"/>
      <c r="B53" s="7"/>
      <c r="C53" s="7"/>
      <c r="D53" s="7"/>
      <c r="E53" s="7"/>
      <c r="F53" s="7"/>
      <c r="G53" s="7"/>
      <c r="H53" s="7"/>
      <c r="I53" s="7"/>
    </row>
    <row r="54" spans="1:9" x14ac:dyDescent="0.2">
      <c r="A54" s="7"/>
      <c r="B54" s="7"/>
      <c r="C54" s="7"/>
      <c r="D54" s="7"/>
      <c r="E54" s="7"/>
      <c r="F54" s="7"/>
      <c r="G54" s="7"/>
      <c r="H54" s="7"/>
      <c r="I54" s="7"/>
    </row>
    <row r="55" spans="1:9" x14ac:dyDescent="0.2">
      <c r="A55" s="7"/>
      <c r="B55" s="7"/>
      <c r="C55" s="7"/>
      <c r="D55" s="7"/>
      <c r="E55" s="7"/>
      <c r="F55" s="7"/>
      <c r="G55" s="7"/>
      <c r="H55" s="7"/>
      <c r="I55" s="7"/>
    </row>
    <row r="56" spans="1:9" x14ac:dyDescent="0.2">
      <c r="A56" s="7"/>
      <c r="B56" s="7"/>
      <c r="C56" s="7"/>
      <c r="D56" s="7"/>
      <c r="E56" s="7"/>
      <c r="F56" s="7"/>
      <c r="G56" s="7"/>
      <c r="H56" s="7"/>
      <c r="I56" s="7"/>
    </row>
    <row r="57" spans="1:9" x14ac:dyDescent="0.2">
      <c r="A57" s="7"/>
      <c r="B57" s="7"/>
      <c r="C57" s="7"/>
      <c r="D57" s="7"/>
      <c r="E57" s="7"/>
      <c r="F57" s="7"/>
      <c r="G57" s="7"/>
      <c r="H57" s="7"/>
      <c r="I57" s="7"/>
    </row>
    <row r="58" spans="1:9" x14ac:dyDescent="0.2">
      <c r="A58" s="7"/>
      <c r="B58" s="7"/>
      <c r="C58" s="7"/>
      <c r="D58" s="7"/>
      <c r="E58" s="7"/>
      <c r="F58" s="7"/>
      <c r="G58" s="7"/>
      <c r="H58" s="7"/>
      <c r="I58" s="7"/>
    </row>
    <row r="59" spans="1:9" x14ac:dyDescent="0.2">
      <c r="A59" s="7"/>
      <c r="B59" s="7"/>
      <c r="C59" s="7"/>
      <c r="D59" s="7"/>
      <c r="E59" s="7"/>
      <c r="F59" s="7"/>
      <c r="G59" s="7"/>
      <c r="H59" s="7"/>
      <c r="I59" s="7"/>
    </row>
    <row r="60" spans="1:9" x14ac:dyDescent="0.2">
      <c r="A60" s="7"/>
      <c r="B60" s="7"/>
      <c r="C60" s="7"/>
      <c r="D60" s="7"/>
      <c r="E60" s="7"/>
      <c r="F60" s="7"/>
      <c r="G60" s="7"/>
      <c r="H60" s="7"/>
      <c r="I60" s="7"/>
    </row>
    <row r="61" spans="1:9" x14ac:dyDescent="0.2">
      <c r="A61" s="7"/>
      <c r="B61" s="7"/>
      <c r="C61" s="7"/>
      <c r="D61" s="7"/>
      <c r="E61" s="7"/>
      <c r="F61" s="7"/>
      <c r="G61" s="7"/>
      <c r="H61" s="7"/>
      <c r="I61" s="7"/>
    </row>
    <row r="62" spans="1:9" x14ac:dyDescent="0.2">
      <c r="A62" s="7"/>
      <c r="B62" s="7"/>
      <c r="C62" s="7"/>
      <c r="D62" s="7"/>
      <c r="E62" s="7"/>
      <c r="F62" s="7"/>
      <c r="G62" s="7"/>
      <c r="H62" s="7"/>
      <c r="I62" s="7"/>
    </row>
    <row r="63" spans="1:9" x14ac:dyDescent="0.2">
      <c r="A63" s="7"/>
      <c r="B63" s="7"/>
      <c r="C63" s="7"/>
      <c r="D63" s="7"/>
      <c r="E63" s="7"/>
      <c r="F63" s="7"/>
      <c r="G63" s="7"/>
      <c r="H63" s="7"/>
      <c r="I63" s="7"/>
    </row>
    <row r="64" spans="1:9" x14ac:dyDescent="0.2">
      <c r="A64" s="7"/>
      <c r="B64" s="7"/>
      <c r="C64" s="7"/>
      <c r="D64" s="7"/>
      <c r="E64" s="7"/>
      <c r="F64" s="7"/>
      <c r="G64" s="7"/>
      <c r="H64" s="7"/>
      <c r="I64" s="7"/>
    </row>
    <row r="65" spans="1:9" x14ac:dyDescent="0.2">
      <c r="A65" s="7"/>
      <c r="B65" s="7"/>
      <c r="C65" s="7"/>
      <c r="D65" s="7"/>
      <c r="E65" s="7"/>
      <c r="F65" s="7"/>
      <c r="G65" s="7"/>
      <c r="H65" s="7"/>
      <c r="I65" s="7"/>
    </row>
    <row r="66" spans="1:9" x14ac:dyDescent="0.2">
      <c r="A66" s="7"/>
      <c r="B66" s="7"/>
      <c r="C66" s="7"/>
      <c r="D66" s="7"/>
      <c r="E66" s="7"/>
      <c r="F66" s="7"/>
      <c r="G66" s="7"/>
      <c r="H66" s="7"/>
      <c r="I66" s="7"/>
    </row>
    <row r="67" spans="1:9" x14ac:dyDescent="0.2">
      <c r="A67" s="7"/>
      <c r="B67" s="7"/>
      <c r="C67" s="7"/>
      <c r="D67" s="7"/>
      <c r="E67" s="7"/>
      <c r="F67" s="7"/>
      <c r="G67" s="7"/>
      <c r="H67" s="7"/>
      <c r="I67" s="7"/>
    </row>
    <row r="68" spans="1:9" x14ac:dyDescent="0.2">
      <c r="A68" s="7"/>
      <c r="B68" s="7"/>
      <c r="C68" s="7"/>
      <c r="D68" s="7"/>
      <c r="E68" s="7"/>
      <c r="F68" s="7"/>
      <c r="G68" s="7"/>
      <c r="H68" s="7"/>
      <c r="I68" s="7"/>
    </row>
    <row r="69" spans="1:9" x14ac:dyDescent="0.2">
      <c r="A69" s="7"/>
      <c r="B69" s="7"/>
      <c r="C69" s="7"/>
      <c r="D69" s="7"/>
      <c r="E69" s="7"/>
      <c r="F69" s="7"/>
      <c r="G69" s="7"/>
      <c r="H69" s="7"/>
      <c r="I69" s="7"/>
    </row>
    <row r="70" spans="1:9" x14ac:dyDescent="0.2">
      <c r="A70" s="7"/>
      <c r="B70" s="7"/>
      <c r="C70" s="7"/>
      <c r="D70" s="7"/>
      <c r="E70" s="7"/>
      <c r="F70" s="7"/>
      <c r="G70" s="7"/>
      <c r="H70" s="7"/>
      <c r="I70" s="7"/>
    </row>
    <row r="71" spans="1:9" x14ac:dyDescent="0.2">
      <c r="A71" s="7"/>
      <c r="B71" s="7"/>
      <c r="C71" s="7"/>
      <c r="D71" s="7"/>
      <c r="E71" s="7"/>
      <c r="F71" s="7"/>
      <c r="G71" s="7"/>
      <c r="H71" s="7"/>
      <c r="I71" s="7"/>
    </row>
    <row r="72" spans="1:9" x14ac:dyDescent="0.2">
      <c r="A72" s="7"/>
      <c r="B72" s="7"/>
      <c r="C72" s="7"/>
      <c r="D72" s="7"/>
      <c r="E72" s="7"/>
      <c r="F72" s="7"/>
      <c r="G72" s="7"/>
      <c r="H72" s="7"/>
      <c r="I72" s="7"/>
    </row>
    <row r="73" spans="1:9" x14ac:dyDescent="0.2">
      <c r="A73" s="7"/>
      <c r="B73" s="7"/>
      <c r="C73" s="7"/>
      <c r="D73" s="7"/>
      <c r="E73" s="7"/>
      <c r="F73" s="7"/>
      <c r="G73" s="7"/>
      <c r="H73" s="7"/>
      <c r="I73" s="7"/>
    </row>
    <row r="74" spans="1:9" x14ac:dyDescent="0.2">
      <c r="A74" s="7"/>
      <c r="B74" s="7"/>
      <c r="C74" s="7"/>
      <c r="D74" s="7"/>
      <c r="E74" s="7"/>
      <c r="F74" s="7"/>
      <c r="G74" s="7"/>
      <c r="H74" s="7"/>
      <c r="I74" s="7"/>
    </row>
    <row r="75" spans="1:9" x14ac:dyDescent="0.2">
      <c r="A75" s="7"/>
      <c r="B75" s="7"/>
      <c r="C75" s="7"/>
      <c r="D75" s="7"/>
      <c r="E75" s="7"/>
      <c r="F75" s="7"/>
      <c r="G75" s="7"/>
      <c r="H75" s="7"/>
      <c r="I75" s="7"/>
    </row>
    <row r="76" spans="1:9" x14ac:dyDescent="0.2">
      <c r="A76" s="7"/>
      <c r="B76" s="7"/>
      <c r="C76" s="7"/>
      <c r="D76" s="7"/>
      <c r="E76" s="7"/>
      <c r="F76" s="7"/>
      <c r="G76" s="7"/>
      <c r="H76" s="7"/>
      <c r="I76" s="7"/>
    </row>
    <row r="77" spans="1:9" x14ac:dyDescent="0.2">
      <c r="A77" s="7"/>
      <c r="B77" s="7"/>
      <c r="C77" s="7"/>
      <c r="D77" s="7"/>
      <c r="E77" s="7"/>
      <c r="F77" s="7"/>
      <c r="G77" s="7"/>
      <c r="H77" s="7"/>
      <c r="I77" s="7"/>
    </row>
    <row r="78" spans="1:9" x14ac:dyDescent="0.2">
      <c r="A78" s="7"/>
      <c r="B78" s="7"/>
      <c r="C78" s="7"/>
      <c r="D78" s="7"/>
      <c r="E78" s="7"/>
      <c r="F78" s="7"/>
      <c r="G78" s="7"/>
      <c r="H78" s="7"/>
      <c r="I78" s="7"/>
    </row>
    <row r="79" spans="1:9" x14ac:dyDescent="0.2">
      <c r="A79" s="7"/>
      <c r="B79" s="7"/>
      <c r="C79" s="7"/>
      <c r="D79" s="7"/>
      <c r="E79" s="7"/>
      <c r="F79" s="7"/>
      <c r="G79" s="7"/>
      <c r="H79" s="7"/>
      <c r="I79" s="7"/>
    </row>
    <row r="80" spans="1:9" x14ac:dyDescent="0.2">
      <c r="A80" s="7"/>
      <c r="B80" s="7"/>
      <c r="C80" s="7"/>
      <c r="D80" s="7"/>
      <c r="E80" s="7"/>
      <c r="F80" s="7"/>
      <c r="G80" s="7"/>
      <c r="H80" s="7"/>
      <c r="I80" s="7"/>
    </row>
    <row r="81" spans="1:9" x14ac:dyDescent="0.2">
      <c r="A81" s="7"/>
      <c r="B81" s="7"/>
      <c r="C81" s="7"/>
      <c r="D81" s="7"/>
      <c r="E81" s="7"/>
      <c r="F81" s="7"/>
      <c r="G81" s="7"/>
      <c r="H81" s="7"/>
      <c r="I81" s="7"/>
    </row>
    <row r="82" spans="1:9" x14ac:dyDescent="0.2">
      <c r="A82" s="7"/>
      <c r="B82" s="7"/>
      <c r="C82" s="7"/>
      <c r="D82" s="7"/>
      <c r="E82" s="7"/>
      <c r="F82" s="7"/>
      <c r="G82" s="7"/>
      <c r="H82" s="7"/>
      <c r="I82" s="7"/>
    </row>
    <row r="83" spans="1:9" x14ac:dyDescent="0.2">
      <c r="A83" s="7"/>
      <c r="B83" s="7"/>
      <c r="C83" s="7"/>
      <c r="D83" s="7"/>
      <c r="E83" s="7"/>
      <c r="F83" s="7"/>
      <c r="G83" s="7"/>
      <c r="H83" s="7"/>
      <c r="I83" s="7"/>
    </row>
    <row r="84" spans="1:9" x14ac:dyDescent="0.2">
      <c r="A84" s="7"/>
      <c r="B84" s="7"/>
      <c r="C84" s="7"/>
      <c r="D84" s="7"/>
      <c r="E84" s="7"/>
      <c r="F84" s="7"/>
      <c r="G84" s="7"/>
      <c r="H84" s="7"/>
      <c r="I84" s="7"/>
    </row>
    <row r="85" spans="1:9" x14ac:dyDescent="0.2">
      <c r="A85" s="7"/>
      <c r="B85" s="7"/>
      <c r="C85" s="7"/>
      <c r="D85" s="7"/>
      <c r="E85" s="7"/>
      <c r="F85" s="7"/>
      <c r="G85" s="7"/>
      <c r="H85" s="7"/>
      <c r="I85" s="7"/>
    </row>
    <row r="86" spans="1:9" x14ac:dyDescent="0.2">
      <c r="A86" s="7"/>
      <c r="B86" s="7"/>
      <c r="C86" s="7"/>
      <c r="D86" s="7"/>
      <c r="E86" s="7"/>
      <c r="F86" s="7"/>
      <c r="G86" s="7"/>
      <c r="H86" s="7"/>
      <c r="I86" s="7"/>
    </row>
    <row r="87" spans="1:9" x14ac:dyDescent="0.2">
      <c r="A87" s="7"/>
      <c r="B87" s="7"/>
      <c r="C87" s="7"/>
      <c r="D87" s="7"/>
      <c r="E87" s="7"/>
      <c r="F87" s="7"/>
      <c r="G87" s="7"/>
      <c r="H87" s="7"/>
      <c r="I87" s="7"/>
    </row>
    <row r="88" spans="1:9" x14ac:dyDescent="0.2">
      <c r="A88" s="7"/>
      <c r="B88" s="7"/>
      <c r="C88" s="7"/>
      <c r="D88" s="7"/>
      <c r="E88" s="7"/>
      <c r="F88" s="7"/>
      <c r="G88" s="7"/>
      <c r="H88" s="7"/>
      <c r="I88" s="7"/>
    </row>
    <row r="89" spans="1:9" x14ac:dyDescent="0.2">
      <c r="A89" s="7"/>
      <c r="B89" s="7"/>
      <c r="C89" s="7"/>
      <c r="D89" s="7"/>
      <c r="E89" s="7"/>
      <c r="F89" s="7"/>
      <c r="G89" s="7"/>
      <c r="H89" s="7"/>
      <c r="I89" s="7"/>
    </row>
    <row r="90" spans="1:9" x14ac:dyDescent="0.2">
      <c r="A90" s="7"/>
      <c r="B90" s="7"/>
      <c r="C90" s="7"/>
      <c r="D90" s="7"/>
      <c r="E90" s="7"/>
      <c r="F90" s="7"/>
      <c r="G90" s="7"/>
      <c r="H90" s="7"/>
      <c r="I90" s="7"/>
    </row>
    <row r="91" spans="1:9" x14ac:dyDescent="0.2">
      <c r="A91" s="7"/>
      <c r="B91" s="7"/>
      <c r="C91" s="7"/>
      <c r="D91" s="7"/>
      <c r="E91" s="7"/>
      <c r="F91" s="7"/>
      <c r="G91" s="7"/>
      <c r="H91" s="7"/>
      <c r="I91" s="7"/>
    </row>
    <row r="92" spans="1:9" x14ac:dyDescent="0.2">
      <c r="A92" s="7"/>
      <c r="B92" s="7"/>
      <c r="C92" s="7"/>
      <c r="D92" s="7"/>
      <c r="E92" s="7"/>
      <c r="F92" s="7"/>
      <c r="G92" s="7"/>
      <c r="H92" s="7"/>
      <c r="I92" s="7"/>
    </row>
    <row r="93" spans="1:9" x14ac:dyDescent="0.2">
      <c r="A93" s="7"/>
      <c r="B93" s="7"/>
      <c r="C93" s="7"/>
      <c r="D93" s="7"/>
      <c r="E93" s="7"/>
      <c r="F93" s="7"/>
      <c r="G93" s="7"/>
      <c r="H93" s="7"/>
      <c r="I93" s="7"/>
    </row>
    <row r="94" spans="1:9" x14ac:dyDescent="0.2">
      <c r="A94" s="7"/>
      <c r="B94" s="7"/>
      <c r="C94" s="7"/>
      <c r="D94" s="7"/>
      <c r="E94" s="7"/>
      <c r="F94" s="7"/>
      <c r="G94" s="7"/>
      <c r="H94" s="7"/>
      <c r="I94" s="7"/>
    </row>
    <row r="95" spans="1:9" x14ac:dyDescent="0.2">
      <c r="A95" s="7"/>
      <c r="B95" s="7"/>
      <c r="C95" s="7"/>
      <c r="D95" s="7"/>
      <c r="E95" s="7"/>
      <c r="F95" s="7"/>
      <c r="G95" s="7"/>
      <c r="H95" s="7"/>
      <c r="I95" s="7"/>
    </row>
    <row r="96" spans="1:9" x14ac:dyDescent="0.2">
      <c r="A96" s="7"/>
      <c r="B96" s="7"/>
      <c r="C96" s="7"/>
      <c r="D96" s="7"/>
      <c r="E96" s="7"/>
      <c r="F96" s="7"/>
      <c r="G96" s="7"/>
      <c r="H96" s="7"/>
      <c r="I96" s="7"/>
    </row>
    <row r="97" spans="1:9" x14ac:dyDescent="0.2">
      <c r="A97" s="7"/>
      <c r="B97" s="7"/>
      <c r="C97" s="7"/>
      <c r="D97" s="7"/>
      <c r="E97" s="7"/>
      <c r="F97" s="7"/>
      <c r="G97" s="7"/>
      <c r="H97" s="7"/>
      <c r="I97" s="7"/>
    </row>
    <row r="98" spans="1:9" x14ac:dyDescent="0.2">
      <c r="A98" s="7"/>
      <c r="B98" s="7"/>
      <c r="C98" s="7"/>
      <c r="D98" s="7"/>
      <c r="E98" s="7"/>
      <c r="F98" s="7"/>
      <c r="G98" s="7"/>
      <c r="H98" s="7"/>
      <c r="I98" s="7"/>
    </row>
    <row r="99" spans="1:9" x14ac:dyDescent="0.2">
      <c r="A99" s="7"/>
      <c r="B99" s="7"/>
      <c r="C99" s="7"/>
      <c r="D99" s="7"/>
      <c r="E99" s="7"/>
      <c r="F99" s="7"/>
      <c r="G99" s="7"/>
      <c r="H99" s="7"/>
      <c r="I99" s="7"/>
    </row>
    <row r="100" spans="1:9" x14ac:dyDescent="0.2">
      <c r="A100" s="7"/>
      <c r="B100" s="7"/>
      <c r="C100" s="7"/>
      <c r="D100" s="7"/>
      <c r="E100" s="7"/>
      <c r="F100" s="7"/>
      <c r="G100" s="7"/>
      <c r="H100" s="7"/>
      <c r="I100" s="7"/>
    </row>
    <row r="101" spans="1:9" x14ac:dyDescent="0.2">
      <c r="A101" s="7"/>
      <c r="B101" s="7"/>
      <c r="C101" s="7"/>
      <c r="D101" s="7"/>
      <c r="E101" s="7"/>
      <c r="F101" s="7"/>
      <c r="G101" s="7"/>
      <c r="H101" s="7"/>
      <c r="I101" s="7"/>
    </row>
    <row r="102" spans="1:9" x14ac:dyDescent="0.2">
      <c r="A102" s="7"/>
      <c r="B102" s="7"/>
      <c r="C102" s="7"/>
      <c r="D102" s="7"/>
      <c r="E102" s="7"/>
      <c r="F102" s="7"/>
      <c r="G102" s="7"/>
      <c r="H102" s="7"/>
      <c r="I102" s="7"/>
    </row>
    <row r="103" spans="1:9" x14ac:dyDescent="0.2">
      <c r="A103" s="7"/>
      <c r="B103" s="7"/>
      <c r="C103" s="7"/>
      <c r="D103" s="7"/>
      <c r="E103" s="7"/>
      <c r="F103" s="7"/>
      <c r="G103" s="7"/>
      <c r="H103" s="7"/>
      <c r="I103" s="7"/>
    </row>
    <row r="104" spans="1:9" x14ac:dyDescent="0.2">
      <c r="A104" s="7"/>
      <c r="B104" s="7"/>
      <c r="C104" s="7"/>
      <c r="D104" s="7"/>
      <c r="E104" s="7"/>
      <c r="F104" s="7"/>
      <c r="G104" s="7"/>
      <c r="H104" s="7"/>
      <c r="I104" s="7"/>
    </row>
    <row r="105" spans="1:9" x14ac:dyDescent="0.2">
      <c r="A105" s="7"/>
      <c r="B105" s="7"/>
      <c r="C105" s="7"/>
      <c r="D105" s="7"/>
      <c r="E105" s="7"/>
      <c r="F105" s="7"/>
      <c r="G105" s="7"/>
      <c r="H105" s="7"/>
      <c r="I105" s="7"/>
    </row>
    <row r="106" spans="1:9" x14ac:dyDescent="0.2">
      <c r="A106" s="7"/>
      <c r="B106" s="7"/>
      <c r="C106" s="7"/>
      <c r="D106" s="7"/>
      <c r="E106" s="7"/>
      <c r="F106" s="7"/>
      <c r="G106" s="7"/>
      <c r="H106" s="7"/>
      <c r="I106" s="7"/>
    </row>
    <row r="107" spans="1:9" x14ac:dyDescent="0.2">
      <c r="A107" s="7"/>
      <c r="B107" s="7"/>
      <c r="C107" s="7"/>
      <c r="D107" s="7"/>
      <c r="E107" s="7"/>
      <c r="F107" s="7"/>
      <c r="G107" s="7"/>
      <c r="H107" s="7"/>
      <c r="I107" s="7"/>
    </row>
    <row r="108" spans="1:9" x14ac:dyDescent="0.2">
      <c r="A108" s="11" t="s">
        <v>1</v>
      </c>
      <c r="B108" s="12"/>
      <c r="C108" s="12"/>
      <c r="D108" s="13"/>
      <c r="E108" s="8"/>
      <c r="F108" s="8"/>
      <c r="G108" s="8"/>
      <c r="H108" s="8"/>
      <c r="I108" s="1"/>
    </row>
    <row r="109" spans="1:9" x14ac:dyDescent="0.2">
      <c r="A109" s="14" t="s">
        <v>15</v>
      </c>
      <c r="B109" s="15"/>
      <c r="C109" s="15"/>
      <c r="D109" s="16"/>
      <c r="E109" s="8"/>
      <c r="F109" s="8"/>
      <c r="G109" s="8"/>
      <c r="H109" s="8"/>
      <c r="I109" s="1"/>
    </row>
    <row r="110" spans="1:9" x14ac:dyDescent="0.2">
      <c r="A110" s="17" t="s">
        <v>62</v>
      </c>
      <c r="B110" s="18"/>
      <c r="C110" s="18"/>
      <c r="D110" s="19"/>
      <c r="E110" s="8"/>
      <c r="F110" s="8"/>
      <c r="G110" s="8"/>
      <c r="H110" s="8"/>
      <c r="I110" s="1"/>
    </row>
    <row r="111" spans="1:9" x14ac:dyDescent="0.2">
      <c r="A111" s="20"/>
      <c r="B111" s="21"/>
      <c r="C111" s="22"/>
      <c r="D111" s="23"/>
      <c r="E111" s="8"/>
      <c r="F111" s="8" t="s">
        <v>34</v>
      </c>
      <c r="G111" s="8"/>
      <c r="H111" s="8"/>
      <c r="I111" s="1"/>
    </row>
    <row r="112" spans="1:9" ht="15.75" x14ac:dyDescent="0.25">
      <c r="A112" s="24" t="s">
        <v>2</v>
      </c>
      <c r="B112" s="25" t="str">
        <f>[1]Charters!B117</f>
        <v>Vanguard Academy</v>
      </c>
      <c r="C112" s="26"/>
      <c r="D112" s="27"/>
      <c r="E112" s="8"/>
      <c r="F112" s="8"/>
      <c r="G112" s="8"/>
      <c r="H112" s="8"/>
      <c r="I112" s="1"/>
    </row>
    <row r="113" spans="1:9" x14ac:dyDescent="0.2">
      <c r="A113" s="24"/>
      <c r="B113" s="28"/>
      <c r="C113" s="26"/>
      <c r="D113" s="27"/>
      <c r="E113" s="8"/>
      <c r="F113" s="8"/>
      <c r="G113" s="8"/>
      <c r="H113" s="8"/>
      <c r="I113" s="1"/>
    </row>
    <row r="114" spans="1:9" x14ac:dyDescent="0.2">
      <c r="A114" s="29" t="s">
        <v>0</v>
      </c>
      <c r="B114" s="30">
        <f>[1]Charters!$E$6</f>
        <v>3184</v>
      </c>
      <c r="C114" s="26"/>
      <c r="D114" s="31"/>
      <c r="E114" s="8"/>
      <c r="F114" s="8"/>
      <c r="G114" s="8"/>
      <c r="H114" s="8"/>
      <c r="I114" s="1"/>
    </row>
    <row r="115" spans="1:9" x14ac:dyDescent="0.2">
      <c r="A115" s="32"/>
      <c r="B115" s="6"/>
      <c r="C115" s="33"/>
      <c r="D115" s="34" t="s">
        <v>3</v>
      </c>
      <c r="E115" s="8"/>
      <c r="F115" s="8"/>
      <c r="G115" s="8"/>
      <c r="H115" s="8"/>
      <c r="I115" s="1"/>
    </row>
    <row r="116" spans="1:9" x14ac:dyDescent="0.2">
      <c r="A116" s="29" t="s">
        <v>19</v>
      </c>
      <c r="B116" s="35" t="str">
        <f>[1]Charters!A117</f>
        <v>1K</v>
      </c>
      <c r="C116" s="36" t="s">
        <v>4</v>
      </c>
      <c r="D116" s="37" t="s">
        <v>5</v>
      </c>
      <c r="E116" s="8"/>
      <c r="F116" s="8"/>
      <c r="G116" s="8"/>
      <c r="H116" s="8"/>
      <c r="I116" s="1"/>
    </row>
    <row r="117" spans="1:9" x14ac:dyDescent="0.2">
      <c r="A117" s="38" t="s">
        <v>6</v>
      </c>
      <c r="B117" s="39"/>
      <c r="C117" s="40"/>
      <c r="D117" s="41"/>
      <c r="E117" s="8"/>
      <c r="F117" s="8"/>
      <c r="G117" s="8"/>
      <c r="H117" s="8"/>
      <c r="I117" s="1"/>
    </row>
    <row r="118" spans="1:9" x14ac:dyDescent="0.2">
      <c r="A118" s="38" t="s">
        <v>7</v>
      </c>
      <c r="B118" s="39"/>
      <c r="C118" s="40"/>
      <c r="D118" s="41"/>
      <c r="E118" s="8"/>
      <c r="F118" s="42" t="s">
        <v>23</v>
      </c>
      <c r="G118" s="8"/>
      <c r="H118" s="42" t="s">
        <v>26</v>
      </c>
      <c r="I118" s="1"/>
    </row>
    <row r="119" spans="1:9" x14ac:dyDescent="0.2">
      <c r="A119" s="20" t="s">
        <v>8</v>
      </c>
      <c r="B119" s="43"/>
      <c r="C119" s="44">
        <f>[1]Charters!C577</f>
        <v>408.68599999999998</v>
      </c>
      <c r="D119" s="45">
        <f>[1]Charters!E577</f>
        <v>1301257.1100000001</v>
      </c>
      <c r="E119" s="8"/>
      <c r="F119" s="42">
        <f>[1]Charters!E733</f>
        <v>1369622.56</v>
      </c>
      <c r="G119" s="8"/>
      <c r="H119" s="42">
        <f>[2]Charters!E271</f>
        <v>1629179.44</v>
      </c>
      <c r="I119" s="1"/>
    </row>
    <row r="120" spans="1:9" x14ac:dyDescent="0.2">
      <c r="A120" s="20" t="s">
        <v>14</v>
      </c>
      <c r="B120" s="43"/>
      <c r="C120" s="44">
        <f>[1]Charters!F577</f>
        <v>21.472000000000001</v>
      </c>
      <c r="D120" s="45">
        <f>[1]Charters!H577</f>
        <v>68365.45</v>
      </c>
      <c r="E120" s="8"/>
      <c r="F120" s="42">
        <f>SUM(D119:D121)</f>
        <v>1369622.56</v>
      </c>
      <c r="G120" s="8"/>
      <c r="H120" s="42">
        <f>D132</f>
        <v>1629179.44</v>
      </c>
      <c r="I120" s="1"/>
    </row>
    <row r="121" spans="1:9" x14ac:dyDescent="0.2">
      <c r="A121" s="20" t="s">
        <v>32</v>
      </c>
      <c r="B121" s="43"/>
      <c r="C121" s="44">
        <f>[1]Charters!C270</f>
        <v>0</v>
      </c>
      <c r="D121" s="45">
        <f>[1]Charters!E270</f>
        <v>0</v>
      </c>
      <c r="E121" s="8"/>
      <c r="F121" s="42">
        <f>+F119-F120</f>
        <v>0</v>
      </c>
      <c r="G121" s="8"/>
      <c r="H121" s="42">
        <f>+H119-H120</f>
        <v>0</v>
      </c>
      <c r="I121" s="1"/>
    </row>
    <row r="122" spans="1:9" x14ac:dyDescent="0.2">
      <c r="A122" s="38" t="s">
        <v>9</v>
      </c>
      <c r="B122" s="39"/>
      <c r="C122" s="46"/>
      <c r="D122" s="47"/>
      <c r="E122" s="8"/>
      <c r="F122" s="8"/>
      <c r="G122" s="8"/>
      <c r="H122" s="8"/>
      <c r="I122" s="1"/>
    </row>
    <row r="123" spans="1:9" x14ac:dyDescent="0.2">
      <c r="A123" s="20" t="s">
        <v>10</v>
      </c>
      <c r="B123" s="43"/>
      <c r="C123" s="40">
        <f>[3]Charters!C116</f>
        <v>59.8</v>
      </c>
      <c r="D123" s="41">
        <f>[3]Charters!E116</f>
        <v>190403.20000000001</v>
      </c>
      <c r="E123" s="8"/>
      <c r="F123" s="42" t="s">
        <v>24</v>
      </c>
      <c r="G123" s="8"/>
      <c r="H123" s="8"/>
      <c r="I123" s="1"/>
    </row>
    <row r="124" spans="1:9" x14ac:dyDescent="0.2">
      <c r="A124" s="48" t="s">
        <v>11</v>
      </c>
      <c r="B124" s="43"/>
      <c r="C124" s="40">
        <f>[3]Charters!F116</f>
        <v>3.2530000000000001</v>
      </c>
      <c r="D124" s="49">
        <f>[3]Charters!H116</f>
        <v>10357.9</v>
      </c>
      <c r="E124" s="8"/>
      <c r="F124" s="42">
        <f>[3]Charters!N429</f>
        <v>203695.13</v>
      </c>
      <c r="G124" s="8"/>
      <c r="H124" s="8"/>
      <c r="I124" s="1"/>
    </row>
    <row r="125" spans="1:9" x14ac:dyDescent="0.2">
      <c r="A125" s="48" t="s">
        <v>12</v>
      </c>
      <c r="B125" s="43"/>
      <c r="C125" s="40">
        <f>[3]Charters!C271</f>
        <v>0</v>
      </c>
      <c r="D125" s="41">
        <f>[3]Charters!E271</f>
        <v>0</v>
      </c>
      <c r="E125" s="8"/>
      <c r="F125" s="42">
        <f>SUM(D123:D129)</f>
        <v>203695.13</v>
      </c>
      <c r="G125" s="8"/>
      <c r="H125" s="8"/>
      <c r="I125" s="1"/>
    </row>
    <row r="126" spans="1:9" x14ac:dyDescent="0.2">
      <c r="A126" s="20" t="s">
        <v>13</v>
      </c>
      <c r="B126" s="43"/>
      <c r="C126" s="40">
        <f>[3]Charters!F271</f>
        <v>0.70899999999999996</v>
      </c>
      <c r="D126" s="41">
        <f>[3]Charters!H271</f>
        <v>2259</v>
      </c>
      <c r="E126" s="8"/>
      <c r="F126" s="42">
        <f>+F124-F125</f>
        <v>0</v>
      </c>
      <c r="G126" s="8"/>
      <c r="H126" s="8"/>
      <c r="I126" s="1"/>
    </row>
    <row r="127" spans="1:9" x14ac:dyDescent="0.2">
      <c r="A127" s="48" t="s">
        <v>54</v>
      </c>
      <c r="B127" s="43"/>
      <c r="C127" s="40">
        <f>[3]Charters!C429</f>
        <v>0.21199999999999999</v>
      </c>
      <c r="D127" s="41">
        <f>[3]Charters!E429</f>
        <v>675.03</v>
      </c>
      <c r="E127" s="8"/>
      <c r="F127" s="8"/>
      <c r="G127" s="8"/>
      <c r="H127" s="8"/>
      <c r="I127" s="1"/>
    </row>
    <row r="128" spans="1:9" x14ac:dyDescent="0.2">
      <c r="A128" s="48" t="s">
        <v>55</v>
      </c>
      <c r="B128" s="43"/>
      <c r="C128" s="40">
        <f>[3]Charters!F429</f>
        <v>0</v>
      </c>
      <c r="D128" s="41">
        <f>[3]Charters!H429</f>
        <v>0</v>
      </c>
      <c r="E128" s="8"/>
      <c r="F128" s="42" t="s">
        <v>25</v>
      </c>
      <c r="G128" s="8"/>
      <c r="H128" s="8"/>
      <c r="I128" s="1"/>
    </row>
    <row r="129" spans="1:9" x14ac:dyDescent="0.2">
      <c r="A129" s="48" t="s">
        <v>56</v>
      </c>
      <c r="B129" s="43"/>
      <c r="C129" s="40">
        <f>[3]Charters!I429</f>
        <v>0</v>
      </c>
      <c r="D129" s="41">
        <f>[3]Charters!K429</f>
        <v>0</v>
      </c>
      <c r="E129" s="8"/>
      <c r="F129" s="42">
        <f>[2]Charters!H117</f>
        <v>259556.88</v>
      </c>
      <c r="G129" s="8"/>
      <c r="H129" s="8"/>
      <c r="I129" s="1"/>
    </row>
    <row r="130" spans="1:9" x14ac:dyDescent="0.2">
      <c r="A130" s="20" t="s">
        <v>49</v>
      </c>
      <c r="B130" s="43"/>
      <c r="C130" s="40">
        <f>[3]Charters!C584</f>
        <v>0</v>
      </c>
      <c r="D130" s="41">
        <f>[3]Charters!E584</f>
        <v>0</v>
      </c>
      <c r="E130" s="8"/>
      <c r="F130" s="42">
        <f>SUM(D123:D131)</f>
        <v>259556.88</v>
      </c>
      <c r="G130" s="8"/>
      <c r="H130" s="8"/>
      <c r="I130" s="1"/>
    </row>
    <row r="131" spans="1:9" x14ac:dyDescent="0.2">
      <c r="A131" s="20" t="s">
        <v>50</v>
      </c>
      <c r="B131" s="43"/>
      <c r="C131" s="40">
        <f>[2]Charters!C117</f>
        <v>17.545000000000002</v>
      </c>
      <c r="D131" s="41">
        <f>[2]Charters!E117</f>
        <v>55861.75</v>
      </c>
      <c r="E131" s="8"/>
      <c r="F131" s="42">
        <f>+F129-F130</f>
        <v>0</v>
      </c>
      <c r="G131" s="8"/>
      <c r="H131" s="8"/>
      <c r="I131" s="1"/>
    </row>
    <row r="132" spans="1:9" x14ac:dyDescent="0.2">
      <c r="A132" s="50"/>
      <c r="B132" s="51" t="s">
        <v>16</v>
      </c>
      <c r="C132" s="52">
        <f>SUM(C119:C131)</f>
        <v>511.67700000000002</v>
      </c>
      <c r="D132" s="53">
        <f>SUM(D119:D131)</f>
        <v>1629179.44</v>
      </c>
      <c r="E132" s="8"/>
      <c r="F132" s="8"/>
      <c r="G132" s="8"/>
      <c r="H132" s="8"/>
      <c r="I132" s="1"/>
    </row>
    <row r="133" spans="1:9" x14ac:dyDescent="0.2">
      <c r="A133" s="54" t="s">
        <v>17</v>
      </c>
      <c r="B133" s="39"/>
      <c r="C133" s="55"/>
      <c r="D133" s="47"/>
      <c r="E133" s="8"/>
      <c r="F133" s="8"/>
      <c r="G133" s="8"/>
      <c r="H133" s="42" t="s">
        <v>29</v>
      </c>
      <c r="I133" s="1"/>
    </row>
    <row r="134" spans="1:9" x14ac:dyDescent="0.2">
      <c r="A134" s="20" t="s">
        <v>33</v>
      </c>
      <c r="B134" s="43"/>
      <c r="C134" s="56"/>
      <c r="D134" s="57">
        <f>[4]Charters!C118</f>
        <v>4722.12</v>
      </c>
      <c r="E134" s="8"/>
      <c r="F134" s="8"/>
      <c r="G134" s="8"/>
      <c r="H134" s="42">
        <f>[4]Charters!F1057</f>
        <v>2622731.7999999998</v>
      </c>
      <c r="I134" s="1"/>
    </row>
    <row r="135" spans="1:9" x14ac:dyDescent="0.2">
      <c r="A135" s="58" t="s">
        <v>35</v>
      </c>
      <c r="B135" s="43"/>
      <c r="C135" s="56"/>
      <c r="D135" s="41">
        <f>+[4]Charters!F439</f>
        <v>1967</v>
      </c>
      <c r="E135" s="8"/>
      <c r="F135" s="8"/>
      <c r="G135" s="8"/>
      <c r="H135" s="42">
        <f>SUM(D132:D151)</f>
        <v>2622731.7999999998</v>
      </c>
      <c r="I135" s="1"/>
    </row>
    <row r="136" spans="1:9" x14ac:dyDescent="0.2">
      <c r="A136" s="59" t="s">
        <v>36</v>
      </c>
      <c r="B136" s="43"/>
      <c r="C136" s="56"/>
      <c r="D136" s="41">
        <f>[4]Charters!E278</f>
        <v>6757</v>
      </c>
      <c r="E136" s="8"/>
      <c r="F136" s="8"/>
      <c r="G136" s="8"/>
      <c r="H136" s="42">
        <f>+H134-H135</f>
        <v>0</v>
      </c>
      <c r="I136" s="1"/>
    </row>
    <row r="137" spans="1:9" x14ac:dyDescent="0.2">
      <c r="A137" s="59" t="s">
        <v>52</v>
      </c>
      <c r="B137" s="43"/>
      <c r="C137" s="56"/>
      <c r="D137" s="41">
        <f>[4]Charters!G439</f>
        <v>6732.92</v>
      </c>
      <c r="E137" s="8"/>
      <c r="F137" s="42" t="s">
        <v>27</v>
      </c>
      <c r="G137" s="8"/>
      <c r="H137" s="42"/>
      <c r="I137" s="1"/>
    </row>
    <row r="138" spans="1:9" x14ac:dyDescent="0.2">
      <c r="A138" s="20" t="s">
        <v>37</v>
      </c>
      <c r="B138" s="43"/>
      <c r="C138" s="56"/>
      <c r="D138" s="41">
        <f>[4]Charters!E595</f>
        <v>21591</v>
      </c>
      <c r="E138" s="8"/>
      <c r="F138" s="42">
        <f>[4]Charters!E278</f>
        <v>6757</v>
      </c>
      <c r="G138" s="8"/>
      <c r="H138" s="8"/>
      <c r="I138" s="1"/>
    </row>
    <row r="139" spans="1:9" x14ac:dyDescent="0.2">
      <c r="A139" s="20" t="s">
        <v>38</v>
      </c>
      <c r="B139" s="43"/>
      <c r="C139" s="56"/>
      <c r="D139" s="41">
        <f>[4]Charters!F595</f>
        <v>0</v>
      </c>
      <c r="E139" s="8"/>
      <c r="F139" s="42">
        <f>SUM(D136:D136)</f>
        <v>6757</v>
      </c>
      <c r="G139" s="8"/>
      <c r="H139" s="8"/>
      <c r="I139" s="1"/>
    </row>
    <row r="140" spans="1:9" x14ac:dyDescent="0.2">
      <c r="A140" s="59" t="s">
        <v>40</v>
      </c>
      <c r="B140" s="43"/>
      <c r="C140" s="56"/>
      <c r="D140" s="41">
        <f>[4]Charters!G595</f>
        <v>0</v>
      </c>
      <c r="E140" s="8"/>
      <c r="F140" s="42">
        <f>+F138-F139</f>
        <v>0</v>
      </c>
      <c r="G140" s="8"/>
      <c r="H140" s="8"/>
      <c r="I140" s="1"/>
    </row>
    <row r="141" spans="1:9" x14ac:dyDescent="0.2">
      <c r="A141" s="20" t="s">
        <v>41</v>
      </c>
      <c r="B141" s="43"/>
      <c r="C141" s="56"/>
      <c r="D141" s="41">
        <f>[4]Charters!C748</f>
        <v>766383</v>
      </c>
      <c r="E141" s="8"/>
      <c r="F141" s="42" t="s">
        <v>28</v>
      </c>
      <c r="G141" s="8"/>
      <c r="H141" s="8"/>
      <c r="I141" s="1"/>
    </row>
    <row r="142" spans="1:9" x14ac:dyDescent="0.2">
      <c r="A142" s="20" t="s">
        <v>42</v>
      </c>
      <c r="B142" s="43"/>
      <c r="C142" s="56"/>
      <c r="D142" s="41">
        <f>[4]Charters!D748</f>
        <v>80323.570000000007</v>
      </c>
      <c r="E142" s="8"/>
      <c r="F142" s="42">
        <f>[4]Charters!D595</f>
        <v>15456.92</v>
      </c>
      <c r="G142" s="8"/>
      <c r="H142" s="8"/>
      <c r="I142" s="1"/>
    </row>
    <row r="143" spans="1:9" x14ac:dyDescent="0.2">
      <c r="A143" s="20" t="s">
        <v>44</v>
      </c>
      <c r="B143" s="43"/>
      <c r="C143" s="56"/>
      <c r="D143" s="41">
        <f>[4]Charters!E748</f>
        <v>38300</v>
      </c>
      <c r="E143" s="8"/>
      <c r="F143" s="42">
        <f>SUM(D135:D137)</f>
        <v>15456.92</v>
      </c>
      <c r="G143" s="8"/>
      <c r="H143" s="8"/>
      <c r="I143" s="1"/>
    </row>
    <row r="144" spans="1:9" x14ac:dyDescent="0.2">
      <c r="A144" s="59" t="s">
        <v>43</v>
      </c>
      <c r="B144" s="43"/>
      <c r="C144" s="56"/>
      <c r="D144" s="41">
        <f>[4]Charters!F748</f>
        <v>0</v>
      </c>
      <c r="E144" s="8"/>
      <c r="F144" s="42">
        <f>+F142-F143</f>
        <v>0</v>
      </c>
      <c r="G144" s="8"/>
      <c r="H144" s="8"/>
      <c r="I144" s="1"/>
    </row>
    <row r="145" spans="1:9" x14ac:dyDescent="0.2">
      <c r="A145" s="59" t="s">
        <v>45</v>
      </c>
      <c r="B145" s="43"/>
      <c r="C145" s="56"/>
      <c r="D145" s="41">
        <f>[4]Charters!C595</f>
        <v>0</v>
      </c>
      <c r="E145" s="8"/>
      <c r="F145" s="8"/>
      <c r="G145" s="8"/>
      <c r="H145" s="8"/>
      <c r="I145" s="1"/>
    </row>
    <row r="146" spans="1:9" x14ac:dyDescent="0.2">
      <c r="A146" s="59" t="s">
        <v>46</v>
      </c>
      <c r="B146" s="43"/>
      <c r="C146" s="56"/>
      <c r="D146" s="41">
        <f>[4]Charters!C904</f>
        <v>0</v>
      </c>
      <c r="E146" s="42"/>
      <c r="F146" s="42"/>
      <c r="G146" s="42"/>
      <c r="H146" s="42" t="s">
        <v>31</v>
      </c>
      <c r="I146" s="82"/>
    </row>
    <row r="147" spans="1:9" x14ac:dyDescent="0.2">
      <c r="A147" s="59" t="s">
        <v>51</v>
      </c>
      <c r="B147" s="43"/>
      <c r="C147" s="56"/>
      <c r="D147" s="60">
        <f>[4]Charters!D904</f>
        <v>516.17999999999995</v>
      </c>
      <c r="E147" s="42"/>
      <c r="F147" s="42"/>
      <c r="G147" s="42"/>
      <c r="H147" s="42">
        <f>[4]Charters!D1363</f>
        <v>2625698.67</v>
      </c>
      <c r="I147" s="82"/>
    </row>
    <row r="148" spans="1:9" x14ac:dyDescent="0.2">
      <c r="A148" s="20" t="s">
        <v>47</v>
      </c>
      <c r="B148" s="43"/>
      <c r="C148" s="56"/>
      <c r="D148" s="60">
        <f>[4]Charters!E904</f>
        <v>0</v>
      </c>
      <c r="E148" s="42"/>
      <c r="F148" s="42"/>
      <c r="G148" s="42"/>
      <c r="H148" s="42">
        <f>D157</f>
        <v>2625698.67</v>
      </c>
      <c r="I148" s="82"/>
    </row>
    <row r="149" spans="1:9" x14ac:dyDescent="0.2">
      <c r="A149" s="20" t="s">
        <v>57</v>
      </c>
      <c r="B149" s="43"/>
      <c r="C149" s="56"/>
      <c r="D149" s="60">
        <f>[4]Charters!C1057</f>
        <v>10097.57</v>
      </c>
      <c r="E149" s="42"/>
      <c r="F149" s="42"/>
      <c r="G149" s="42"/>
      <c r="H149" s="42">
        <f>+H147-H148</f>
        <v>0</v>
      </c>
      <c r="I149" s="82"/>
    </row>
    <row r="150" spans="1:9" x14ac:dyDescent="0.2">
      <c r="A150" s="59" t="s">
        <v>53</v>
      </c>
      <c r="B150" s="43"/>
      <c r="C150" s="56"/>
      <c r="D150" s="60">
        <f>[4]Charters!D1057</f>
        <v>56162</v>
      </c>
      <c r="E150" s="42"/>
      <c r="F150" s="42" t="s">
        <v>30</v>
      </c>
      <c r="G150" s="42"/>
      <c r="H150" s="42"/>
      <c r="I150" s="82"/>
    </row>
    <row r="151" spans="1:9" x14ac:dyDescent="0.2">
      <c r="A151" s="59" t="s">
        <v>59</v>
      </c>
      <c r="B151" s="43"/>
      <c r="C151" s="56"/>
      <c r="D151" s="60">
        <f>[4]Charters!E1057</f>
        <v>0</v>
      </c>
      <c r="E151" s="42"/>
      <c r="F151" s="42"/>
      <c r="G151" s="42"/>
      <c r="H151" s="42"/>
      <c r="I151" s="82"/>
    </row>
    <row r="152" spans="1:9" x14ac:dyDescent="0.2">
      <c r="A152" s="38" t="s">
        <v>18</v>
      </c>
      <c r="B152" s="61"/>
      <c r="C152" s="62"/>
      <c r="D152" s="87"/>
      <c r="E152" s="42"/>
      <c r="F152" s="42">
        <f>[4]Charters!C1363</f>
        <v>2966.87</v>
      </c>
      <c r="G152" s="42"/>
      <c r="H152" s="42"/>
      <c r="I152" s="82"/>
    </row>
    <row r="153" spans="1:9" x14ac:dyDescent="0.2">
      <c r="A153" s="59" t="s">
        <v>39</v>
      </c>
      <c r="B153" s="43"/>
      <c r="C153" s="56"/>
      <c r="D153" s="41">
        <f>[4]Charters!C1210</f>
        <v>2966.87</v>
      </c>
      <c r="E153" s="42"/>
      <c r="F153" s="42">
        <f>SUM(D153:D156)</f>
        <v>2966.87</v>
      </c>
      <c r="G153" s="42"/>
      <c r="H153" s="42"/>
      <c r="I153" s="82"/>
    </row>
    <row r="154" spans="1:9" x14ac:dyDescent="0.2">
      <c r="A154" s="59" t="s">
        <v>48</v>
      </c>
      <c r="B154" s="43"/>
      <c r="C154" s="56"/>
      <c r="D154" s="41">
        <f>[4]Charters!D1210</f>
        <v>0</v>
      </c>
      <c r="E154" s="42"/>
      <c r="F154" s="42">
        <f>+F152-F153</f>
        <v>0</v>
      </c>
      <c r="G154" s="42"/>
      <c r="H154" s="42"/>
      <c r="I154" s="82"/>
    </row>
    <row r="155" spans="1:9" x14ac:dyDescent="0.2">
      <c r="A155" s="59" t="s">
        <v>60</v>
      </c>
      <c r="B155" s="43"/>
      <c r="C155" s="56"/>
      <c r="D155" s="41">
        <f>[4]Charters!E1210</f>
        <v>0</v>
      </c>
      <c r="E155" s="42"/>
      <c r="F155" s="42"/>
      <c r="G155" s="42"/>
      <c r="H155" s="42"/>
      <c r="I155" s="82"/>
    </row>
    <row r="156" spans="1:9" x14ac:dyDescent="0.2">
      <c r="A156" s="59" t="s">
        <v>61</v>
      </c>
      <c r="B156" s="43"/>
      <c r="C156" s="56"/>
      <c r="D156" s="41">
        <f>[4]Charters!F1210</f>
        <v>0</v>
      </c>
      <c r="E156" s="42"/>
      <c r="F156" s="42"/>
      <c r="G156" s="42"/>
      <c r="H156" s="42"/>
      <c r="I156" s="82"/>
    </row>
    <row r="157" spans="1:9" ht="13.5" thickBot="1" x14ac:dyDescent="0.25">
      <c r="A157" s="64"/>
      <c r="B157" s="65"/>
      <c r="C157" s="66"/>
      <c r="D157" s="67">
        <f>SUM(D132:D156)</f>
        <v>2625698.67</v>
      </c>
      <c r="E157" s="42"/>
      <c r="F157" s="42"/>
      <c r="G157" s="42"/>
      <c r="H157" s="42"/>
      <c r="I157" s="82"/>
    </row>
    <row r="158" spans="1:9" ht="13.5" thickTop="1" x14ac:dyDescent="0.2">
      <c r="A158" s="68"/>
      <c r="B158" s="43"/>
      <c r="C158" s="56"/>
      <c r="D158" s="86"/>
      <c r="E158" s="42"/>
      <c r="F158" s="42"/>
      <c r="G158" s="42"/>
      <c r="H158" s="42"/>
      <c r="I158" s="82"/>
    </row>
    <row r="159" spans="1:9" x14ac:dyDescent="0.2">
      <c r="A159" s="38" t="s">
        <v>20</v>
      </c>
      <c r="B159" s="39"/>
      <c r="C159" s="70"/>
      <c r="D159" s="71" t="s">
        <v>21</v>
      </c>
      <c r="E159" s="42"/>
      <c r="F159" s="42"/>
      <c r="G159" s="42"/>
      <c r="H159" s="42"/>
      <c r="I159" s="82"/>
    </row>
    <row r="160" spans="1:9" x14ac:dyDescent="0.2">
      <c r="A160" s="72" t="s">
        <v>22</v>
      </c>
      <c r="B160" s="73"/>
      <c r="C160" s="74"/>
      <c r="D160" s="41">
        <f>[5]Charters!C116</f>
        <v>740.25</v>
      </c>
      <c r="E160" s="42"/>
      <c r="F160" s="42"/>
      <c r="G160" s="42"/>
      <c r="H160" s="42"/>
      <c r="I160" s="82"/>
    </row>
    <row r="161" spans="1:9" x14ac:dyDescent="0.2">
      <c r="A161" s="75"/>
      <c r="B161" s="61"/>
      <c r="C161" s="76"/>
      <c r="D161" s="77">
        <f>SUM(D160:D160)</f>
        <v>740.25</v>
      </c>
      <c r="E161" s="42"/>
      <c r="F161" s="42"/>
      <c r="G161" s="42"/>
      <c r="H161" s="42"/>
      <c r="I161" s="82"/>
    </row>
    <row r="162" spans="1:9" x14ac:dyDescent="0.2">
      <c r="A162" s="78" t="s">
        <v>58</v>
      </c>
      <c r="B162" s="79"/>
      <c r="C162" s="80"/>
      <c r="D162" s="77">
        <f>D161+D157</f>
        <v>2626438.92</v>
      </c>
      <c r="E162" s="42"/>
      <c r="F162" s="42"/>
      <c r="G162" s="42"/>
      <c r="H162" s="42"/>
      <c r="I162" s="82"/>
    </row>
    <row r="163" spans="1:9" x14ac:dyDescent="0.2">
      <c r="A163" s="84"/>
      <c r="B163" s="84"/>
      <c r="C163" s="85"/>
      <c r="D163" s="81"/>
      <c r="E163" s="42"/>
      <c r="F163" s="42"/>
      <c r="G163" s="42"/>
      <c r="H163" s="42"/>
      <c r="I163" s="82"/>
    </row>
    <row r="164" spans="1:9" x14ac:dyDescent="0.2">
      <c r="A164" s="84"/>
      <c r="B164" s="84"/>
      <c r="C164" s="85"/>
      <c r="D164" s="81">
        <f>[5]Charters!E272</f>
        <v>2626438.92</v>
      </c>
      <c r="E164" s="42"/>
      <c r="F164" s="42"/>
      <c r="G164" s="42"/>
      <c r="H164" s="42"/>
      <c r="I164" s="82"/>
    </row>
    <row r="165" spans="1:9" x14ac:dyDescent="0.2">
      <c r="A165" s="84"/>
      <c r="B165" s="84"/>
      <c r="C165" s="85"/>
      <c r="D165" s="81">
        <f>D162</f>
        <v>2626438.92</v>
      </c>
      <c r="E165" s="42"/>
      <c r="F165" s="42"/>
      <c r="G165" s="42"/>
      <c r="H165" s="42"/>
      <c r="I165" s="82"/>
    </row>
    <row r="166" spans="1:9" x14ac:dyDescent="0.2">
      <c r="A166" s="82"/>
      <c r="B166" s="82"/>
      <c r="C166" s="83"/>
      <c r="D166" s="42">
        <f>D164-D165</f>
        <v>0</v>
      </c>
      <c r="E166" s="42"/>
      <c r="F166" s="42"/>
      <c r="G166" s="42"/>
      <c r="H166" s="42"/>
      <c r="I166" s="82"/>
    </row>
  </sheetData>
  <mergeCells count="4">
    <mergeCell ref="A108:D108"/>
    <mergeCell ref="A109:D109"/>
    <mergeCell ref="A110:D110"/>
    <mergeCell ref="A162:C162"/>
  </mergeCells>
  <printOptions horizontalCentered="1" verticalCentered="1"/>
  <pageMargins left="0.7" right="0.7" top="0.75" bottom="0.75" header="0.3" footer="0.3"/>
  <pageSetup orientation="portrait" horizontalDpi="1200" r:id="rId1"/>
  <headerFooter>
    <oddHeader xml:space="preserve">&amp;R&amp;8Current as of : &amp;D&amp;10
</oddHeader>
    <oddFooter>&amp;L&amp;8USOE, School Finance</oddFooter>
  </headerFooter>
  <picture r:id="rId2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400-000000000000}">
  <dimension ref="A1:I167"/>
  <sheetViews>
    <sheetView topLeftCell="A104" workbookViewId="0">
      <selection activeCell="C12" sqref="C12"/>
    </sheetView>
  </sheetViews>
  <sheetFormatPr defaultRowHeight="12.75" x14ac:dyDescent="0.2"/>
  <cols>
    <col min="1" max="1" width="32.42578125" style="89" customWidth="1"/>
    <col min="2" max="2" width="16.28515625" style="89" customWidth="1"/>
    <col min="3" max="4" width="14.85546875" style="89" customWidth="1"/>
    <col min="5" max="5" width="9.140625" style="89"/>
    <col min="6" max="6" width="14.28515625" style="89" customWidth="1"/>
    <col min="7" max="7" width="9.140625" style="89"/>
    <col min="8" max="8" width="14" style="89" customWidth="1"/>
    <col min="9" max="16384" width="9.140625" style="89"/>
  </cols>
  <sheetData>
    <row r="1" spans="1:9" x14ac:dyDescent="0.2">
      <c r="A1" s="7"/>
      <c r="B1" s="7"/>
      <c r="C1" s="7"/>
      <c r="D1" s="7"/>
      <c r="E1" s="7"/>
      <c r="F1" s="7"/>
      <c r="G1" s="7"/>
      <c r="H1" s="7"/>
      <c r="I1" s="7"/>
    </row>
    <row r="2" spans="1:9" x14ac:dyDescent="0.2">
      <c r="A2" s="7"/>
      <c r="B2" s="7"/>
      <c r="C2" s="7"/>
      <c r="D2" s="7"/>
      <c r="E2" s="7"/>
      <c r="F2" s="7"/>
      <c r="G2" s="7"/>
      <c r="H2" s="7"/>
      <c r="I2" s="7"/>
    </row>
    <row r="3" spans="1:9" x14ac:dyDescent="0.2">
      <c r="A3" s="7"/>
      <c r="B3" s="7"/>
      <c r="C3" s="7"/>
      <c r="D3" s="7"/>
      <c r="E3" s="7"/>
      <c r="F3" s="7"/>
      <c r="G3" s="7"/>
      <c r="H3" s="7"/>
      <c r="I3" s="7"/>
    </row>
    <row r="4" spans="1:9" x14ac:dyDescent="0.2">
      <c r="A4" s="7"/>
      <c r="B4" s="7"/>
      <c r="C4" s="7"/>
      <c r="D4" s="7"/>
      <c r="E4" s="7"/>
      <c r="F4" s="7"/>
      <c r="G4" s="7"/>
      <c r="H4" s="7"/>
      <c r="I4" s="7"/>
    </row>
    <row r="5" spans="1:9" x14ac:dyDescent="0.2">
      <c r="A5" s="7"/>
      <c r="B5" s="7"/>
      <c r="C5" s="7"/>
      <c r="D5" s="7"/>
      <c r="E5" s="7"/>
      <c r="F5" s="7"/>
      <c r="G5" s="7"/>
      <c r="H5" s="7"/>
      <c r="I5" s="7"/>
    </row>
    <row r="6" spans="1:9" x14ac:dyDescent="0.2">
      <c r="A6" s="7"/>
      <c r="B6" s="7"/>
      <c r="C6" s="7"/>
      <c r="D6" s="7"/>
      <c r="E6" s="7"/>
      <c r="F6" s="7"/>
      <c r="G6" s="7"/>
      <c r="H6" s="7"/>
      <c r="I6" s="7"/>
    </row>
    <row r="7" spans="1:9" x14ac:dyDescent="0.2">
      <c r="A7" s="7"/>
      <c r="B7" s="7"/>
      <c r="C7" s="7"/>
      <c r="D7" s="7"/>
      <c r="E7" s="7"/>
      <c r="F7" s="7"/>
      <c r="G7" s="7"/>
      <c r="H7" s="7"/>
      <c r="I7" s="7"/>
    </row>
    <row r="8" spans="1:9" x14ac:dyDescent="0.2">
      <c r="A8" s="7"/>
      <c r="B8" s="7"/>
      <c r="C8" s="7"/>
      <c r="D8" s="7"/>
      <c r="E8" s="7"/>
      <c r="F8" s="7"/>
      <c r="G8" s="7"/>
      <c r="H8" s="7"/>
      <c r="I8" s="7"/>
    </row>
    <row r="9" spans="1:9" x14ac:dyDescent="0.2">
      <c r="A9" s="7"/>
      <c r="B9" s="7"/>
      <c r="C9" s="7"/>
      <c r="D9" s="7"/>
      <c r="E9" s="7"/>
      <c r="F9" s="7"/>
      <c r="G9" s="7"/>
      <c r="H9" s="7"/>
      <c r="I9" s="7"/>
    </row>
    <row r="10" spans="1:9" x14ac:dyDescent="0.2">
      <c r="A10" s="7"/>
      <c r="B10" s="7"/>
      <c r="C10" s="7"/>
      <c r="D10" s="7"/>
      <c r="E10" s="7"/>
      <c r="F10" s="7"/>
      <c r="G10" s="7"/>
      <c r="H10" s="7"/>
      <c r="I10" s="7"/>
    </row>
    <row r="11" spans="1:9" x14ac:dyDescent="0.2">
      <c r="A11" s="7"/>
      <c r="B11" s="7"/>
      <c r="C11" s="7"/>
      <c r="D11" s="7"/>
      <c r="E11" s="7"/>
      <c r="F11" s="7"/>
      <c r="G11" s="7"/>
      <c r="H11" s="7"/>
      <c r="I11" s="7"/>
    </row>
    <row r="12" spans="1:9" x14ac:dyDescent="0.2">
      <c r="A12" s="7"/>
      <c r="B12" s="7"/>
      <c r="C12" s="7"/>
      <c r="D12" s="7"/>
      <c r="E12" s="7"/>
      <c r="F12" s="7"/>
      <c r="G12" s="7"/>
      <c r="H12" s="7"/>
      <c r="I12" s="7"/>
    </row>
    <row r="13" spans="1:9" x14ac:dyDescent="0.2">
      <c r="A13" s="7"/>
      <c r="B13" s="7"/>
      <c r="C13" s="7"/>
      <c r="D13" s="7"/>
      <c r="E13" s="7"/>
      <c r="F13" s="7"/>
      <c r="G13" s="7"/>
      <c r="H13" s="7"/>
      <c r="I13" s="7"/>
    </row>
    <row r="14" spans="1:9" x14ac:dyDescent="0.2">
      <c r="A14" s="7"/>
      <c r="B14" s="7"/>
      <c r="C14" s="7"/>
      <c r="D14" s="7"/>
      <c r="E14" s="7"/>
      <c r="F14" s="7"/>
      <c r="G14" s="7"/>
      <c r="H14" s="7"/>
      <c r="I14" s="7"/>
    </row>
    <row r="15" spans="1:9" x14ac:dyDescent="0.2">
      <c r="A15" s="7"/>
      <c r="B15" s="7"/>
      <c r="C15" s="7"/>
      <c r="D15" s="7"/>
      <c r="E15" s="7"/>
      <c r="F15" s="7"/>
      <c r="G15" s="7"/>
      <c r="H15" s="7"/>
      <c r="I15" s="7"/>
    </row>
    <row r="16" spans="1:9" x14ac:dyDescent="0.2">
      <c r="A16" s="7"/>
      <c r="B16" s="7"/>
      <c r="C16" s="7"/>
      <c r="D16" s="7"/>
      <c r="E16" s="7"/>
      <c r="F16" s="7"/>
      <c r="G16" s="7"/>
      <c r="H16" s="7"/>
      <c r="I16" s="7"/>
    </row>
    <row r="17" spans="1:9" x14ac:dyDescent="0.2">
      <c r="A17" s="7"/>
      <c r="B17" s="7"/>
      <c r="C17" s="7"/>
      <c r="D17" s="7"/>
      <c r="E17" s="7"/>
      <c r="F17" s="7"/>
      <c r="G17" s="7"/>
      <c r="H17" s="7"/>
      <c r="I17" s="7"/>
    </row>
    <row r="18" spans="1:9" x14ac:dyDescent="0.2">
      <c r="A18" s="7"/>
      <c r="B18" s="7"/>
      <c r="C18" s="7"/>
      <c r="D18" s="7"/>
      <c r="E18" s="7"/>
      <c r="F18" s="7"/>
      <c r="G18" s="7"/>
      <c r="H18" s="7"/>
      <c r="I18" s="7"/>
    </row>
    <row r="19" spans="1:9" x14ac:dyDescent="0.2">
      <c r="A19" s="7"/>
      <c r="B19" s="7"/>
      <c r="C19" s="7"/>
      <c r="D19" s="7"/>
      <c r="E19" s="7"/>
      <c r="F19" s="7"/>
      <c r="G19" s="7"/>
      <c r="H19" s="7"/>
      <c r="I19" s="7"/>
    </row>
    <row r="20" spans="1:9" x14ac:dyDescent="0.2">
      <c r="A20" s="7"/>
      <c r="B20" s="7"/>
      <c r="C20" s="7"/>
      <c r="D20" s="7"/>
      <c r="E20" s="7"/>
      <c r="F20" s="7"/>
      <c r="G20" s="7"/>
      <c r="H20" s="7"/>
      <c r="I20" s="7"/>
    </row>
    <row r="21" spans="1:9" x14ac:dyDescent="0.2">
      <c r="A21" s="7"/>
      <c r="B21" s="7"/>
      <c r="C21" s="7"/>
      <c r="D21" s="7"/>
      <c r="E21" s="7"/>
      <c r="F21" s="7"/>
      <c r="G21" s="7"/>
      <c r="H21" s="7"/>
      <c r="I21" s="7"/>
    </row>
    <row r="22" spans="1:9" x14ac:dyDescent="0.2">
      <c r="A22" s="7"/>
      <c r="B22" s="7"/>
      <c r="C22" s="7"/>
      <c r="D22" s="4"/>
      <c r="E22" s="7"/>
      <c r="F22" s="7"/>
      <c r="G22" s="7"/>
      <c r="H22" s="7"/>
      <c r="I22" s="7"/>
    </row>
    <row r="23" spans="1:9" x14ac:dyDescent="0.2">
      <c r="A23" s="7"/>
      <c r="B23" s="7"/>
      <c r="C23" s="7"/>
      <c r="D23" s="7"/>
      <c r="E23" s="7"/>
      <c r="F23" s="7"/>
      <c r="G23" s="7"/>
      <c r="H23" s="7"/>
      <c r="I23" s="7"/>
    </row>
    <row r="24" spans="1:9" x14ac:dyDescent="0.2">
      <c r="A24" s="7"/>
      <c r="B24" s="7"/>
      <c r="C24" s="7"/>
      <c r="D24" s="7"/>
      <c r="E24" s="7"/>
      <c r="F24" s="7"/>
      <c r="G24" s="7"/>
      <c r="H24" s="7"/>
      <c r="I24" s="7"/>
    </row>
    <row r="25" spans="1:9" x14ac:dyDescent="0.2">
      <c r="A25" s="7"/>
      <c r="B25" s="7"/>
      <c r="C25" s="7"/>
      <c r="D25" s="7"/>
      <c r="E25" s="7"/>
      <c r="F25" s="7"/>
      <c r="G25" s="7"/>
      <c r="H25" s="7"/>
      <c r="I25" s="7"/>
    </row>
    <row r="26" spans="1:9" x14ac:dyDescent="0.2">
      <c r="A26" s="7"/>
      <c r="B26" s="7"/>
      <c r="C26" s="7"/>
      <c r="D26" s="7"/>
      <c r="E26" s="7"/>
      <c r="F26" s="7"/>
      <c r="G26" s="7"/>
      <c r="H26" s="7"/>
      <c r="I26" s="7"/>
    </row>
    <row r="27" spans="1:9" x14ac:dyDescent="0.2">
      <c r="A27" s="7"/>
      <c r="B27" s="7"/>
      <c r="C27" s="7"/>
      <c r="D27" s="7"/>
      <c r="E27" s="7"/>
      <c r="F27" s="7"/>
      <c r="G27" s="7"/>
      <c r="H27" s="7"/>
      <c r="I27" s="7"/>
    </row>
    <row r="28" spans="1:9" x14ac:dyDescent="0.2">
      <c r="A28" s="7"/>
      <c r="B28" s="7"/>
      <c r="C28" s="7"/>
      <c r="D28" s="7"/>
      <c r="E28" s="7"/>
      <c r="F28" s="7"/>
      <c r="G28" s="7"/>
      <c r="H28" s="7"/>
      <c r="I28" s="7"/>
    </row>
    <row r="29" spans="1:9" x14ac:dyDescent="0.2">
      <c r="A29" s="7"/>
      <c r="B29" s="7"/>
      <c r="C29" s="7"/>
      <c r="D29" s="7"/>
      <c r="E29" s="7"/>
      <c r="F29" s="7"/>
      <c r="G29" s="7"/>
      <c r="H29" s="7"/>
      <c r="I29" s="7"/>
    </row>
    <row r="30" spans="1:9" x14ac:dyDescent="0.2">
      <c r="A30" s="7"/>
      <c r="B30" s="7"/>
      <c r="C30" s="7"/>
      <c r="D30" s="7"/>
      <c r="E30" s="7"/>
      <c r="F30" s="7"/>
      <c r="G30" s="7"/>
      <c r="H30" s="7"/>
      <c r="I30" s="7"/>
    </row>
    <row r="31" spans="1:9" x14ac:dyDescent="0.2">
      <c r="A31" s="7"/>
      <c r="B31" s="7"/>
      <c r="C31" s="7"/>
      <c r="D31" s="7"/>
      <c r="E31" s="7"/>
      <c r="F31" s="7"/>
      <c r="G31" s="7"/>
      <c r="H31" s="7"/>
      <c r="I31" s="7"/>
    </row>
    <row r="32" spans="1:9" x14ac:dyDescent="0.2">
      <c r="A32" s="7"/>
      <c r="B32" s="7"/>
      <c r="C32" s="7"/>
      <c r="D32" s="7"/>
      <c r="E32" s="7"/>
      <c r="F32" s="7"/>
      <c r="G32" s="7"/>
      <c r="H32" s="7"/>
      <c r="I32" s="7"/>
    </row>
    <row r="33" spans="1:9" x14ac:dyDescent="0.2">
      <c r="A33" s="7"/>
      <c r="B33" s="7"/>
      <c r="C33" s="7"/>
      <c r="D33" s="7"/>
      <c r="E33" s="7"/>
      <c r="F33" s="7"/>
      <c r="G33" s="7"/>
      <c r="H33" s="7"/>
      <c r="I33" s="7"/>
    </row>
    <row r="34" spans="1:9" x14ac:dyDescent="0.2">
      <c r="A34" s="7"/>
      <c r="B34" s="7"/>
      <c r="C34" s="7"/>
      <c r="D34" s="7"/>
      <c r="E34" s="7"/>
      <c r="F34" s="7"/>
      <c r="G34" s="7"/>
      <c r="H34" s="7"/>
      <c r="I34" s="7"/>
    </row>
    <row r="35" spans="1:9" x14ac:dyDescent="0.2">
      <c r="A35" s="7"/>
      <c r="B35" s="7"/>
      <c r="C35" s="7"/>
      <c r="D35" s="7"/>
      <c r="E35" s="7"/>
      <c r="F35" s="7"/>
      <c r="G35" s="7"/>
      <c r="H35" s="7"/>
      <c r="I35" s="7"/>
    </row>
    <row r="36" spans="1:9" x14ac:dyDescent="0.2">
      <c r="A36" s="7"/>
      <c r="B36" s="7"/>
      <c r="C36" s="7"/>
      <c r="D36" s="7"/>
      <c r="E36" s="7"/>
      <c r="F36" s="7"/>
      <c r="G36" s="7"/>
      <c r="H36" s="7"/>
      <c r="I36" s="7"/>
    </row>
    <row r="37" spans="1:9" x14ac:dyDescent="0.2">
      <c r="A37" s="7"/>
      <c r="B37" s="7"/>
      <c r="C37" s="7"/>
      <c r="D37" s="7"/>
      <c r="E37" s="7"/>
      <c r="F37" s="7"/>
      <c r="G37" s="7"/>
      <c r="H37" s="7"/>
      <c r="I37" s="7"/>
    </row>
    <row r="38" spans="1:9" x14ac:dyDescent="0.2">
      <c r="A38" s="7"/>
      <c r="B38" s="7"/>
      <c r="C38" s="7"/>
      <c r="D38" s="7"/>
      <c r="E38" s="7"/>
      <c r="F38" s="7"/>
      <c r="G38" s="7"/>
      <c r="H38" s="7"/>
      <c r="I38" s="7"/>
    </row>
    <row r="39" spans="1:9" x14ac:dyDescent="0.2">
      <c r="A39" s="7"/>
      <c r="B39" s="7"/>
      <c r="C39" s="7"/>
      <c r="D39" s="7"/>
      <c r="E39" s="7"/>
      <c r="F39" s="7"/>
      <c r="G39" s="7"/>
      <c r="H39" s="7"/>
      <c r="I39" s="7"/>
    </row>
    <row r="40" spans="1:9" x14ac:dyDescent="0.2">
      <c r="A40" s="7"/>
      <c r="B40" s="7"/>
      <c r="C40" s="7"/>
      <c r="D40" s="7"/>
      <c r="E40" s="7"/>
      <c r="F40" s="7"/>
      <c r="G40" s="7"/>
      <c r="H40" s="7"/>
      <c r="I40" s="7"/>
    </row>
    <row r="41" spans="1:9" x14ac:dyDescent="0.2">
      <c r="A41" s="7"/>
      <c r="B41" s="7"/>
      <c r="C41" s="7"/>
      <c r="D41" s="7"/>
      <c r="E41" s="7"/>
      <c r="F41" s="7"/>
      <c r="G41" s="7"/>
      <c r="H41" s="7"/>
      <c r="I41" s="7"/>
    </row>
    <row r="42" spans="1:9" x14ac:dyDescent="0.2">
      <c r="A42" s="7"/>
      <c r="B42" s="7"/>
      <c r="C42" s="7"/>
      <c r="D42" s="7"/>
      <c r="E42" s="7"/>
      <c r="F42" s="7"/>
      <c r="G42" s="7"/>
      <c r="H42" s="7"/>
      <c r="I42" s="7"/>
    </row>
    <row r="43" spans="1:9" x14ac:dyDescent="0.2">
      <c r="A43" s="7"/>
      <c r="B43" s="7"/>
      <c r="C43" s="7"/>
      <c r="D43" s="7"/>
      <c r="E43" s="7"/>
      <c r="F43" s="7"/>
      <c r="G43" s="7"/>
      <c r="H43" s="7"/>
      <c r="I43" s="7"/>
    </row>
    <row r="44" spans="1:9" x14ac:dyDescent="0.2">
      <c r="A44" s="7"/>
      <c r="B44" s="7"/>
      <c r="C44" s="7"/>
      <c r="D44" s="7"/>
      <c r="E44" s="7"/>
      <c r="F44" s="7"/>
      <c r="G44" s="7"/>
      <c r="H44" s="7"/>
      <c r="I44" s="7"/>
    </row>
    <row r="45" spans="1:9" x14ac:dyDescent="0.2">
      <c r="A45" s="7"/>
      <c r="B45" s="7"/>
      <c r="C45" s="7"/>
      <c r="D45" s="7"/>
      <c r="E45" s="7"/>
      <c r="F45" s="7"/>
      <c r="G45" s="7"/>
      <c r="H45" s="7"/>
      <c r="I45" s="7"/>
    </row>
    <row r="46" spans="1:9" x14ac:dyDescent="0.2">
      <c r="A46" s="7"/>
      <c r="B46" s="7"/>
      <c r="C46" s="7"/>
      <c r="D46" s="7"/>
      <c r="E46" s="7"/>
      <c r="F46" s="7"/>
      <c r="G46" s="7"/>
      <c r="H46" s="7"/>
      <c r="I46" s="7"/>
    </row>
    <row r="47" spans="1:9" x14ac:dyDescent="0.2">
      <c r="A47" s="7"/>
      <c r="B47" s="7"/>
      <c r="C47" s="7"/>
      <c r="D47" s="7"/>
      <c r="E47" s="7"/>
      <c r="F47" s="7"/>
      <c r="G47" s="7"/>
      <c r="H47" s="7"/>
      <c r="I47" s="7"/>
    </row>
    <row r="48" spans="1:9" x14ac:dyDescent="0.2">
      <c r="A48" s="7"/>
      <c r="B48" s="7"/>
      <c r="C48" s="7"/>
      <c r="D48" s="7"/>
      <c r="E48" s="7"/>
      <c r="F48" s="7"/>
      <c r="G48" s="7"/>
      <c r="H48" s="7"/>
      <c r="I48" s="7"/>
    </row>
    <row r="49" spans="1:9" x14ac:dyDescent="0.2">
      <c r="A49" s="7"/>
      <c r="B49" s="7"/>
      <c r="C49" s="7"/>
      <c r="D49" s="7"/>
      <c r="E49" s="7"/>
      <c r="F49" s="7"/>
      <c r="G49" s="7"/>
      <c r="H49" s="7"/>
      <c r="I49" s="7"/>
    </row>
    <row r="50" spans="1:9" x14ac:dyDescent="0.2">
      <c r="A50" s="7"/>
      <c r="B50" s="7"/>
      <c r="C50" s="7"/>
      <c r="D50" s="7"/>
      <c r="E50" s="7"/>
      <c r="F50" s="7"/>
      <c r="G50" s="7"/>
      <c r="H50" s="7"/>
      <c r="I50" s="7"/>
    </row>
    <row r="51" spans="1:9" x14ac:dyDescent="0.2">
      <c r="A51" s="7"/>
      <c r="B51" s="7"/>
      <c r="C51" s="7"/>
      <c r="D51" s="7"/>
      <c r="E51" s="7"/>
      <c r="F51" s="7"/>
      <c r="G51" s="7"/>
      <c r="H51" s="7"/>
      <c r="I51" s="7"/>
    </row>
    <row r="52" spans="1:9" x14ac:dyDescent="0.2">
      <c r="A52" s="7"/>
      <c r="B52" s="7"/>
      <c r="C52" s="7"/>
      <c r="D52" s="7"/>
      <c r="E52" s="7"/>
      <c r="F52" s="7"/>
      <c r="G52" s="7"/>
      <c r="H52" s="7"/>
      <c r="I52" s="7"/>
    </row>
    <row r="53" spans="1:9" x14ac:dyDescent="0.2">
      <c r="A53" s="7"/>
      <c r="B53" s="7"/>
      <c r="C53" s="7"/>
      <c r="D53" s="7"/>
      <c r="E53" s="7"/>
      <c r="F53" s="7"/>
      <c r="G53" s="7"/>
      <c r="H53" s="7"/>
      <c r="I53" s="7"/>
    </row>
    <row r="54" spans="1:9" x14ac:dyDescent="0.2">
      <c r="A54" s="7"/>
      <c r="B54" s="7"/>
      <c r="C54" s="7"/>
      <c r="D54" s="7"/>
      <c r="E54" s="7"/>
      <c r="F54" s="7"/>
      <c r="G54" s="7"/>
      <c r="H54" s="7"/>
      <c r="I54" s="7"/>
    </row>
    <row r="55" spans="1:9" x14ac:dyDescent="0.2">
      <c r="A55" s="7"/>
      <c r="B55" s="7"/>
      <c r="C55" s="7"/>
      <c r="D55" s="7"/>
      <c r="E55" s="7"/>
      <c r="F55" s="7"/>
      <c r="G55" s="7"/>
      <c r="H55" s="7"/>
      <c r="I55" s="7"/>
    </row>
    <row r="56" spans="1:9" x14ac:dyDescent="0.2">
      <c r="A56" s="7"/>
      <c r="B56" s="7"/>
      <c r="C56" s="7"/>
      <c r="D56" s="7"/>
      <c r="E56" s="7"/>
      <c r="F56" s="7"/>
      <c r="G56" s="7"/>
      <c r="H56" s="7"/>
      <c r="I56" s="7"/>
    </row>
    <row r="57" spans="1:9" x14ac:dyDescent="0.2">
      <c r="A57" s="7"/>
      <c r="B57" s="7"/>
      <c r="C57" s="7"/>
      <c r="D57" s="7"/>
      <c r="E57" s="7"/>
      <c r="F57" s="7"/>
      <c r="G57" s="7"/>
      <c r="H57" s="7"/>
      <c r="I57" s="7"/>
    </row>
    <row r="58" spans="1:9" x14ac:dyDescent="0.2">
      <c r="A58" s="7"/>
      <c r="B58" s="7"/>
      <c r="C58" s="7"/>
      <c r="D58" s="7"/>
      <c r="E58" s="7"/>
      <c r="F58" s="7"/>
      <c r="G58" s="7"/>
      <c r="H58" s="7"/>
      <c r="I58" s="7"/>
    </row>
    <row r="59" spans="1:9" x14ac:dyDescent="0.2">
      <c r="A59" s="7"/>
      <c r="B59" s="7"/>
      <c r="C59" s="7"/>
      <c r="D59" s="7"/>
      <c r="E59" s="7"/>
      <c r="F59" s="7"/>
      <c r="G59" s="7"/>
      <c r="H59" s="7"/>
      <c r="I59" s="7"/>
    </row>
    <row r="60" spans="1:9" x14ac:dyDescent="0.2">
      <c r="A60" s="7"/>
      <c r="B60" s="7"/>
      <c r="C60" s="7"/>
      <c r="D60" s="7"/>
      <c r="E60" s="7"/>
      <c r="F60" s="7"/>
      <c r="G60" s="7"/>
      <c r="H60" s="7"/>
      <c r="I60" s="7"/>
    </row>
    <row r="61" spans="1:9" x14ac:dyDescent="0.2">
      <c r="A61" s="7"/>
      <c r="B61" s="7"/>
      <c r="C61" s="7"/>
      <c r="D61" s="7"/>
      <c r="E61" s="7"/>
      <c r="F61" s="7"/>
      <c r="G61" s="7"/>
      <c r="H61" s="7"/>
      <c r="I61" s="7"/>
    </row>
    <row r="62" spans="1:9" x14ac:dyDescent="0.2">
      <c r="A62" s="7"/>
      <c r="B62" s="7"/>
      <c r="C62" s="7"/>
      <c r="D62" s="7"/>
      <c r="E62" s="7"/>
      <c r="F62" s="7"/>
      <c r="G62" s="7"/>
      <c r="H62" s="7"/>
      <c r="I62" s="7"/>
    </row>
    <row r="63" spans="1:9" x14ac:dyDescent="0.2">
      <c r="A63" s="7"/>
      <c r="B63" s="7"/>
      <c r="C63" s="7"/>
      <c r="D63" s="7"/>
      <c r="E63" s="7"/>
      <c r="F63" s="7"/>
      <c r="G63" s="7"/>
      <c r="H63" s="7"/>
      <c r="I63" s="7"/>
    </row>
    <row r="64" spans="1:9" x14ac:dyDescent="0.2">
      <c r="A64" s="7"/>
      <c r="B64" s="7"/>
      <c r="C64" s="7"/>
      <c r="D64" s="7"/>
      <c r="E64" s="7"/>
      <c r="F64" s="7"/>
      <c r="G64" s="7"/>
      <c r="H64" s="7"/>
      <c r="I64" s="7"/>
    </row>
    <row r="65" spans="1:9" x14ac:dyDescent="0.2">
      <c r="A65" s="7"/>
      <c r="B65" s="7"/>
      <c r="C65" s="7"/>
      <c r="D65" s="7"/>
      <c r="E65" s="7"/>
      <c r="F65" s="7"/>
      <c r="G65" s="7"/>
      <c r="H65" s="7"/>
      <c r="I65" s="7"/>
    </row>
    <row r="66" spans="1:9" x14ac:dyDescent="0.2">
      <c r="A66" s="7"/>
      <c r="B66" s="7"/>
      <c r="C66" s="7"/>
      <c r="D66" s="7"/>
      <c r="E66" s="7"/>
      <c r="F66" s="7"/>
      <c r="G66" s="7"/>
      <c r="H66" s="7"/>
      <c r="I66" s="7"/>
    </row>
    <row r="67" spans="1:9" x14ac:dyDescent="0.2">
      <c r="A67" s="7"/>
      <c r="B67" s="7"/>
      <c r="C67" s="7"/>
      <c r="D67" s="7"/>
      <c r="E67" s="7"/>
      <c r="F67" s="7"/>
      <c r="G67" s="7"/>
      <c r="H67" s="7"/>
      <c r="I67" s="7"/>
    </row>
    <row r="68" spans="1:9" x14ac:dyDescent="0.2">
      <c r="A68" s="7"/>
      <c r="B68" s="7"/>
      <c r="C68" s="7"/>
      <c r="D68" s="7"/>
      <c r="E68" s="7"/>
      <c r="F68" s="7"/>
      <c r="G68" s="7"/>
      <c r="H68" s="7"/>
      <c r="I68" s="7"/>
    </row>
    <row r="69" spans="1:9" x14ac:dyDescent="0.2">
      <c r="A69" s="7"/>
      <c r="B69" s="7"/>
      <c r="C69" s="7"/>
      <c r="D69" s="7"/>
      <c r="E69" s="7"/>
      <c r="F69" s="7"/>
      <c r="G69" s="7"/>
      <c r="H69" s="7"/>
      <c r="I69" s="7"/>
    </row>
    <row r="70" spans="1:9" x14ac:dyDescent="0.2">
      <c r="A70" s="7"/>
      <c r="B70" s="7"/>
      <c r="C70" s="7"/>
      <c r="D70" s="7"/>
      <c r="E70" s="7"/>
      <c r="F70" s="7"/>
      <c r="G70" s="7"/>
      <c r="H70" s="7"/>
      <c r="I70" s="7"/>
    </row>
    <row r="71" spans="1:9" x14ac:dyDescent="0.2">
      <c r="A71" s="7"/>
      <c r="B71" s="7"/>
      <c r="C71" s="7"/>
      <c r="D71" s="7"/>
      <c r="E71" s="7"/>
      <c r="F71" s="7"/>
      <c r="G71" s="7"/>
      <c r="H71" s="7"/>
      <c r="I71" s="7"/>
    </row>
    <row r="72" spans="1:9" x14ac:dyDescent="0.2">
      <c r="A72" s="7"/>
      <c r="B72" s="7"/>
      <c r="C72" s="7"/>
      <c r="D72" s="7"/>
      <c r="E72" s="7"/>
      <c r="F72" s="7"/>
      <c r="G72" s="7"/>
      <c r="H72" s="7"/>
      <c r="I72" s="7"/>
    </row>
    <row r="73" spans="1:9" x14ac:dyDescent="0.2">
      <c r="A73" s="7"/>
      <c r="B73" s="7"/>
      <c r="C73" s="7"/>
      <c r="D73" s="7"/>
      <c r="E73" s="7"/>
      <c r="F73" s="7"/>
      <c r="G73" s="7"/>
      <c r="H73" s="7"/>
      <c r="I73" s="7"/>
    </row>
    <row r="74" spans="1:9" x14ac:dyDescent="0.2">
      <c r="A74" s="7"/>
      <c r="B74" s="7"/>
      <c r="C74" s="7"/>
      <c r="D74" s="7"/>
      <c r="E74" s="7"/>
      <c r="F74" s="7"/>
      <c r="G74" s="7"/>
      <c r="H74" s="7"/>
      <c r="I74" s="7"/>
    </row>
    <row r="75" spans="1:9" x14ac:dyDescent="0.2">
      <c r="A75" s="7"/>
      <c r="B75" s="7"/>
      <c r="C75" s="7"/>
      <c r="D75" s="7"/>
      <c r="E75" s="7"/>
      <c r="F75" s="7"/>
      <c r="G75" s="7"/>
      <c r="H75" s="7"/>
      <c r="I75" s="7"/>
    </row>
    <row r="76" spans="1:9" x14ac:dyDescent="0.2">
      <c r="A76" s="7"/>
      <c r="B76" s="7"/>
      <c r="C76" s="7"/>
      <c r="D76" s="7"/>
      <c r="E76" s="7"/>
      <c r="F76" s="7"/>
      <c r="G76" s="7"/>
      <c r="H76" s="7"/>
      <c r="I76" s="7"/>
    </row>
    <row r="77" spans="1:9" x14ac:dyDescent="0.2">
      <c r="A77" s="7"/>
      <c r="B77" s="7"/>
      <c r="C77" s="7"/>
      <c r="D77" s="7"/>
      <c r="E77" s="7"/>
      <c r="F77" s="7"/>
      <c r="G77" s="7"/>
      <c r="H77" s="7"/>
      <c r="I77" s="7"/>
    </row>
    <row r="78" spans="1:9" x14ac:dyDescent="0.2">
      <c r="A78" s="7"/>
      <c r="B78" s="7"/>
      <c r="C78" s="7"/>
      <c r="D78" s="7"/>
      <c r="E78" s="7"/>
      <c r="F78" s="7"/>
      <c r="G78" s="7"/>
      <c r="H78" s="7"/>
      <c r="I78" s="7"/>
    </row>
    <row r="79" spans="1:9" x14ac:dyDescent="0.2">
      <c r="A79" s="7"/>
      <c r="B79" s="7"/>
      <c r="C79" s="7"/>
      <c r="D79" s="7"/>
      <c r="E79" s="7"/>
      <c r="F79" s="7"/>
      <c r="G79" s="7"/>
      <c r="H79" s="7"/>
      <c r="I79" s="7"/>
    </row>
    <row r="80" spans="1:9" x14ac:dyDescent="0.2">
      <c r="A80" s="7"/>
      <c r="B80" s="7"/>
      <c r="C80" s="7"/>
      <c r="D80" s="7"/>
      <c r="E80" s="7"/>
      <c r="F80" s="7"/>
      <c r="G80" s="7"/>
      <c r="H80" s="7"/>
      <c r="I80" s="7"/>
    </row>
    <row r="81" spans="1:9" x14ac:dyDescent="0.2">
      <c r="A81" s="7"/>
      <c r="B81" s="7"/>
      <c r="C81" s="7"/>
      <c r="D81" s="7"/>
      <c r="E81" s="7"/>
      <c r="F81" s="7"/>
      <c r="G81" s="7"/>
      <c r="H81" s="7"/>
      <c r="I81" s="7"/>
    </row>
    <row r="82" spans="1:9" x14ac:dyDescent="0.2">
      <c r="A82" s="7"/>
      <c r="B82" s="7"/>
      <c r="C82" s="7"/>
      <c r="D82" s="7"/>
      <c r="E82" s="7"/>
      <c r="F82" s="7"/>
      <c r="G82" s="7"/>
      <c r="H82" s="7"/>
      <c r="I82" s="7"/>
    </row>
    <row r="83" spans="1:9" x14ac:dyDescent="0.2">
      <c r="A83" s="7"/>
      <c r="B83" s="7"/>
      <c r="C83" s="7"/>
      <c r="D83" s="7"/>
      <c r="E83" s="7"/>
      <c r="F83" s="7"/>
      <c r="G83" s="7"/>
      <c r="H83" s="7"/>
      <c r="I83" s="7"/>
    </row>
    <row r="84" spans="1:9" x14ac:dyDescent="0.2">
      <c r="A84" s="7"/>
      <c r="B84" s="7"/>
      <c r="C84" s="7"/>
      <c r="D84" s="7"/>
      <c r="E84" s="7"/>
      <c r="F84" s="7"/>
      <c r="G84" s="7"/>
      <c r="H84" s="7"/>
      <c r="I84" s="7"/>
    </row>
    <row r="85" spans="1:9" x14ac:dyDescent="0.2">
      <c r="A85" s="7"/>
      <c r="B85" s="7"/>
      <c r="C85" s="7"/>
      <c r="D85" s="7"/>
      <c r="E85" s="7"/>
      <c r="F85" s="7"/>
      <c r="G85" s="7"/>
      <c r="H85" s="7"/>
      <c r="I85" s="7"/>
    </row>
    <row r="86" spans="1:9" x14ac:dyDescent="0.2">
      <c r="A86" s="7"/>
      <c r="B86" s="7"/>
      <c r="C86" s="7"/>
      <c r="D86" s="7"/>
      <c r="E86" s="7"/>
      <c r="F86" s="7"/>
      <c r="G86" s="7"/>
      <c r="H86" s="7"/>
      <c r="I86" s="7"/>
    </row>
    <row r="87" spans="1:9" x14ac:dyDescent="0.2">
      <c r="A87" s="7"/>
      <c r="B87" s="7"/>
      <c r="C87" s="7"/>
      <c r="D87" s="7"/>
      <c r="E87" s="7"/>
      <c r="F87" s="7"/>
      <c r="G87" s="7"/>
      <c r="H87" s="7"/>
      <c r="I87" s="7"/>
    </row>
    <row r="88" spans="1:9" x14ac:dyDescent="0.2">
      <c r="A88" s="7"/>
      <c r="B88" s="7"/>
      <c r="C88" s="7"/>
      <c r="D88" s="7"/>
      <c r="E88" s="7"/>
      <c r="F88" s="7"/>
      <c r="G88" s="7"/>
      <c r="H88" s="7"/>
      <c r="I88" s="7"/>
    </row>
    <row r="89" spans="1:9" x14ac:dyDescent="0.2">
      <c r="A89" s="7"/>
      <c r="B89" s="7"/>
      <c r="C89" s="7"/>
      <c r="D89" s="7"/>
      <c r="E89" s="7"/>
      <c r="F89" s="7"/>
      <c r="G89" s="7"/>
      <c r="H89" s="7"/>
      <c r="I89" s="7"/>
    </row>
    <row r="90" spans="1:9" x14ac:dyDescent="0.2">
      <c r="A90" s="7"/>
      <c r="B90" s="7"/>
      <c r="C90" s="7"/>
      <c r="D90" s="7"/>
      <c r="E90" s="7"/>
      <c r="F90" s="7"/>
      <c r="G90" s="7"/>
      <c r="H90" s="7"/>
      <c r="I90" s="7"/>
    </row>
    <row r="91" spans="1:9" x14ac:dyDescent="0.2">
      <c r="A91" s="7"/>
      <c r="B91" s="7"/>
      <c r="C91" s="7"/>
      <c r="D91" s="7"/>
      <c r="E91" s="7"/>
      <c r="F91" s="7"/>
      <c r="G91" s="7"/>
      <c r="H91" s="7"/>
      <c r="I91" s="7"/>
    </row>
    <row r="92" spans="1:9" x14ac:dyDescent="0.2">
      <c r="A92" s="7"/>
      <c r="B92" s="7"/>
      <c r="C92" s="7"/>
      <c r="D92" s="7"/>
      <c r="E92" s="7"/>
      <c r="F92" s="7"/>
      <c r="G92" s="7"/>
      <c r="H92" s="7"/>
      <c r="I92" s="7"/>
    </row>
    <row r="93" spans="1:9" x14ac:dyDescent="0.2">
      <c r="A93" s="7"/>
      <c r="B93" s="7"/>
      <c r="C93" s="7"/>
      <c r="D93" s="7"/>
      <c r="E93" s="7"/>
      <c r="F93" s="7"/>
      <c r="G93" s="7"/>
      <c r="H93" s="7"/>
      <c r="I93" s="7"/>
    </row>
    <row r="94" spans="1:9" x14ac:dyDescent="0.2">
      <c r="A94" s="7"/>
      <c r="B94" s="7"/>
      <c r="C94" s="7"/>
      <c r="D94" s="7"/>
      <c r="E94" s="7"/>
      <c r="F94" s="7"/>
      <c r="G94" s="7"/>
      <c r="H94" s="7"/>
      <c r="I94" s="7"/>
    </row>
    <row r="95" spans="1:9" x14ac:dyDescent="0.2">
      <c r="A95" s="7"/>
      <c r="B95" s="7"/>
      <c r="C95" s="7"/>
      <c r="D95" s="7"/>
      <c r="E95" s="7"/>
      <c r="F95" s="7"/>
      <c r="G95" s="7"/>
      <c r="H95" s="7"/>
      <c r="I95" s="7"/>
    </row>
    <row r="96" spans="1:9" x14ac:dyDescent="0.2">
      <c r="A96" s="7"/>
      <c r="B96" s="7"/>
      <c r="C96" s="7"/>
      <c r="D96" s="7"/>
      <c r="E96" s="7"/>
      <c r="F96" s="7"/>
      <c r="G96" s="7"/>
      <c r="H96" s="7"/>
      <c r="I96" s="7"/>
    </row>
    <row r="97" spans="1:9" x14ac:dyDescent="0.2">
      <c r="A97" s="7"/>
      <c r="B97" s="7"/>
      <c r="C97" s="7"/>
      <c r="D97" s="7"/>
      <c r="E97" s="7"/>
      <c r="F97" s="7"/>
      <c r="G97" s="7"/>
      <c r="H97" s="7"/>
      <c r="I97" s="7"/>
    </row>
    <row r="98" spans="1:9" x14ac:dyDescent="0.2">
      <c r="A98" s="7"/>
      <c r="B98" s="7"/>
      <c r="C98" s="7"/>
      <c r="D98" s="7"/>
      <c r="E98" s="7"/>
      <c r="F98" s="7"/>
      <c r="G98" s="7"/>
      <c r="H98" s="7"/>
      <c r="I98" s="7"/>
    </row>
    <row r="99" spans="1:9" x14ac:dyDescent="0.2">
      <c r="A99" s="7"/>
      <c r="B99" s="7"/>
      <c r="C99" s="7"/>
      <c r="D99" s="7"/>
      <c r="E99" s="7"/>
      <c r="F99" s="7"/>
      <c r="G99" s="7"/>
      <c r="H99" s="7"/>
      <c r="I99" s="7"/>
    </row>
    <row r="100" spans="1:9" x14ac:dyDescent="0.2">
      <c r="A100" s="7"/>
      <c r="B100" s="7"/>
      <c r="C100" s="7"/>
      <c r="D100" s="7"/>
      <c r="E100" s="7"/>
      <c r="F100" s="7"/>
      <c r="G100" s="7"/>
      <c r="H100" s="7"/>
      <c r="I100" s="7"/>
    </row>
    <row r="101" spans="1:9" x14ac:dyDescent="0.2">
      <c r="A101" s="7"/>
      <c r="B101" s="7"/>
      <c r="C101" s="7"/>
      <c r="D101" s="7"/>
      <c r="E101" s="7"/>
      <c r="F101" s="7"/>
      <c r="G101" s="7"/>
      <c r="H101" s="7"/>
      <c r="I101" s="7"/>
    </row>
    <row r="102" spans="1:9" x14ac:dyDescent="0.2">
      <c r="A102" s="7"/>
      <c r="B102" s="7"/>
      <c r="C102" s="7"/>
      <c r="D102" s="7"/>
      <c r="E102" s="7"/>
      <c r="F102" s="7"/>
      <c r="G102" s="7"/>
      <c r="H102" s="7"/>
      <c r="I102" s="7"/>
    </row>
    <row r="103" spans="1:9" x14ac:dyDescent="0.2">
      <c r="A103" s="7"/>
      <c r="B103" s="7"/>
      <c r="C103" s="7"/>
      <c r="D103" s="7"/>
      <c r="E103" s="7"/>
      <c r="F103" s="7"/>
      <c r="G103" s="7"/>
      <c r="H103" s="7"/>
      <c r="I103" s="7"/>
    </row>
    <row r="104" spans="1:9" x14ac:dyDescent="0.2">
      <c r="A104" s="7"/>
      <c r="B104" s="7"/>
      <c r="C104" s="7"/>
      <c r="D104" s="7"/>
      <c r="E104" s="7"/>
      <c r="F104" s="7"/>
      <c r="G104" s="7"/>
      <c r="H104" s="7"/>
      <c r="I104" s="7"/>
    </row>
    <row r="105" spans="1:9" x14ac:dyDescent="0.2">
      <c r="A105" s="7"/>
      <c r="B105" s="7"/>
      <c r="C105" s="7"/>
      <c r="D105" s="7"/>
      <c r="E105" s="7"/>
      <c r="F105" s="7"/>
      <c r="G105" s="7"/>
      <c r="H105" s="7"/>
      <c r="I105" s="7"/>
    </row>
    <row r="106" spans="1:9" x14ac:dyDescent="0.2">
      <c r="A106" s="7"/>
      <c r="B106" s="7"/>
      <c r="C106" s="7"/>
      <c r="D106" s="7"/>
      <c r="E106" s="7"/>
      <c r="F106" s="7"/>
      <c r="G106" s="7"/>
      <c r="H106" s="7"/>
      <c r="I106" s="7"/>
    </row>
    <row r="107" spans="1:9" x14ac:dyDescent="0.2">
      <c r="A107" s="7"/>
      <c r="B107" s="7"/>
      <c r="C107" s="7"/>
      <c r="D107" s="7"/>
      <c r="E107" s="7"/>
      <c r="F107" s="7"/>
      <c r="G107" s="7"/>
      <c r="H107" s="7"/>
      <c r="I107" s="7"/>
    </row>
    <row r="108" spans="1:9" x14ac:dyDescent="0.2">
      <c r="A108" s="7"/>
      <c r="B108" s="7"/>
      <c r="C108" s="7"/>
      <c r="D108" s="7"/>
      <c r="E108" s="7"/>
      <c r="F108" s="7"/>
      <c r="G108" s="7"/>
      <c r="H108" s="7"/>
      <c r="I108" s="7"/>
    </row>
    <row r="109" spans="1:9" x14ac:dyDescent="0.2">
      <c r="A109" s="11" t="s">
        <v>1</v>
      </c>
      <c r="B109" s="12"/>
      <c r="C109" s="12"/>
      <c r="D109" s="13"/>
      <c r="E109" s="8"/>
      <c r="F109" s="8"/>
      <c r="G109" s="8"/>
      <c r="H109" s="8"/>
      <c r="I109" s="1"/>
    </row>
    <row r="110" spans="1:9" x14ac:dyDescent="0.2">
      <c r="A110" s="14" t="s">
        <v>15</v>
      </c>
      <c r="B110" s="15"/>
      <c r="C110" s="15"/>
      <c r="D110" s="16"/>
      <c r="E110" s="8"/>
      <c r="F110" s="8"/>
      <c r="G110" s="8"/>
      <c r="H110" s="8"/>
      <c r="I110" s="1"/>
    </row>
    <row r="111" spans="1:9" x14ac:dyDescent="0.2">
      <c r="A111" s="17" t="s">
        <v>62</v>
      </c>
      <c r="B111" s="18"/>
      <c r="C111" s="18"/>
      <c r="D111" s="19"/>
      <c r="E111" s="8"/>
      <c r="F111" s="8"/>
      <c r="G111" s="8"/>
      <c r="H111" s="8"/>
      <c r="I111" s="1"/>
    </row>
    <row r="112" spans="1:9" x14ac:dyDescent="0.2">
      <c r="A112" s="20"/>
      <c r="B112" s="21"/>
      <c r="C112" s="22"/>
      <c r="D112" s="23"/>
      <c r="E112" s="8"/>
      <c r="F112" s="8" t="s">
        <v>34</v>
      </c>
      <c r="G112" s="8"/>
      <c r="H112" s="8"/>
      <c r="I112" s="1"/>
    </row>
    <row r="113" spans="1:9" ht="15.75" x14ac:dyDescent="0.25">
      <c r="A113" s="24" t="s">
        <v>2</v>
      </c>
      <c r="B113" s="25" t="str">
        <f>[1]Charters!B118</f>
        <v>Utah Military Academy</v>
      </c>
      <c r="C113" s="26"/>
      <c r="D113" s="27"/>
      <c r="E113" s="8"/>
      <c r="F113" s="8"/>
      <c r="G113" s="8"/>
      <c r="H113" s="8"/>
      <c r="I113" s="1"/>
    </row>
    <row r="114" spans="1:9" x14ac:dyDescent="0.2">
      <c r="A114" s="24"/>
      <c r="B114" s="28"/>
      <c r="C114" s="26"/>
      <c r="D114" s="27"/>
      <c r="E114" s="8"/>
      <c r="F114" s="8"/>
      <c r="G114" s="8"/>
      <c r="H114" s="8"/>
      <c r="I114" s="1"/>
    </row>
    <row r="115" spans="1:9" x14ac:dyDescent="0.2">
      <c r="A115" s="29" t="s">
        <v>0</v>
      </c>
      <c r="B115" s="30">
        <f>[1]Charters!$E$6</f>
        <v>3184</v>
      </c>
      <c r="C115" s="26"/>
      <c r="D115" s="31"/>
      <c r="E115" s="8"/>
      <c r="F115" s="8"/>
      <c r="G115" s="8"/>
      <c r="H115" s="8"/>
      <c r="I115" s="1"/>
    </row>
    <row r="116" spans="1:9" x14ac:dyDescent="0.2">
      <c r="A116" s="32"/>
      <c r="B116" s="6"/>
      <c r="C116" s="33"/>
      <c r="D116" s="34" t="s">
        <v>3</v>
      </c>
      <c r="E116" s="8"/>
      <c r="F116" s="8"/>
      <c r="G116" s="8"/>
      <c r="H116" s="8"/>
      <c r="I116" s="1"/>
    </row>
    <row r="117" spans="1:9" x14ac:dyDescent="0.2">
      <c r="A117" s="29" t="s">
        <v>19</v>
      </c>
      <c r="B117" s="35" t="str">
        <f>[1]Charters!A118</f>
        <v>2K</v>
      </c>
      <c r="C117" s="36" t="s">
        <v>4</v>
      </c>
      <c r="D117" s="37" t="s">
        <v>5</v>
      </c>
      <c r="E117" s="8"/>
      <c r="F117" s="8"/>
      <c r="G117" s="8"/>
      <c r="H117" s="8"/>
      <c r="I117" s="1"/>
    </row>
    <row r="118" spans="1:9" x14ac:dyDescent="0.2">
      <c r="A118" s="38" t="s">
        <v>6</v>
      </c>
      <c r="B118" s="39"/>
      <c r="C118" s="40"/>
      <c r="D118" s="41"/>
      <c r="E118" s="8"/>
      <c r="F118" s="8"/>
      <c r="G118" s="8"/>
      <c r="H118" s="8"/>
      <c r="I118" s="1"/>
    </row>
    <row r="119" spans="1:9" x14ac:dyDescent="0.2">
      <c r="A119" s="38" t="s">
        <v>7</v>
      </c>
      <c r="B119" s="39"/>
      <c r="C119" s="40"/>
      <c r="D119" s="41"/>
      <c r="E119" s="8"/>
      <c r="F119" s="42" t="s">
        <v>23</v>
      </c>
      <c r="G119" s="8"/>
      <c r="H119" s="42" t="s">
        <v>26</v>
      </c>
      <c r="I119" s="1"/>
    </row>
    <row r="120" spans="1:9" x14ac:dyDescent="0.2">
      <c r="A120" s="20" t="s">
        <v>8</v>
      </c>
      <c r="B120" s="43"/>
      <c r="C120" s="44">
        <f>[1]Charters!C578</f>
        <v>512.25900000000001</v>
      </c>
      <c r="D120" s="45">
        <f>[1]Charters!E578</f>
        <v>1631031.79</v>
      </c>
      <c r="E120" s="8"/>
      <c r="F120" s="42">
        <f>[1]Charters!E734</f>
        <v>1710143.36</v>
      </c>
      <c r="G120" s="8"/>
      <c r="H120" s="42">
        <f>[2]Charters!E272</f>
        <v>2083834.5</v>
      </c>
      <c r="I120" s="1"/>
    </row>
    <row r="121" spans="1:9" x14ac:dyDescent="0.2">
      <c r="A121" s="20" t="s">
        <v>14</v>
      </c>
      <c r="B121" s="43"/>
      <c r="C121" s="44">
        <f>[1]Charters!F578</f>
        <v>24.847000000000001</v>
      </c>
      <c r="D121" s="45">
        <f>[1]Charters!H578</f>
        <v>79111.570000000007</v>
      </c>
      <c r="E121" s="8"/>
      <c r="F121" s="42">
        <f>SUM(D120:D122)</f>
        <v>1710143.36</v>
      </c>
      <c r="G121" s="8"/>
      <c r="H121" s="42">
        <f>D133</f>
        <v>2083834.5</v>
      </c>
      <c r="I121" s="1"/>
    </row>
    <row r="122" spans="1:9" x14ac:dyDescent="0.2">
      <c r="A122" s="20" t="s">
        <v>32</v>
      </c>
      <c r="B122" s="43"/>
      <c r="C122" s="44">
        <f>[1]Charters!C271</f>
        <v>0</v>
      </c>
      <c r="D122" s="45">
        <f>[1]Charters!E271</f>
        <v>0</v>
      </c>
      <c r="E122" s="8"/>
      <c r="F122" s="42">
        <f>+F120-F121</f>
        <v>0</v>
      </c>
      <c r="G122" s="8"/>
      <c r="H122" s="42">
        <f>+H120-H121</f>
        <v>0</v>
      </c>
      <c r="I122" s="1"/>
    </row>
    <row r="123" spans="1:9" x14ac:dyDescent="0.2">
      <c r="A123" s="38" t="s">
        <v>9</v>
      </c>
      <c r="B123" s="39"/>
      <c r="C123" s="46"/>
      <c r="D123" s="47"/>
      <c r="E123" s="8"/>
      <c r="F123" s="8"/>
      <c r="G123" s="8"/>
      <c r="H123" s="8"/>
      <c r="I123" s="1"/>
    </row>
    <row r="124" spans="1:9" x14ac:dyDescent="0.2">
      <c r="A124" s="20" t="s">
        <v>10</v>
      </c>
      <c r="B124" s="43"/>
      <c r="C124" s="40">
        <f>[3]Charters!C117</f>
        <v>97.786000000000001</v>
      </c>
      <c r="D124" s="41">
        <f>[3]Charters!E117</f>
        <v>311351.94</v>
      </c>
      <c r="E124" s="8"/>
      <c r="F124" s="42" t="s">
        <v>24</v>
      </c>
      <c r="G124" s="8"/>
      <c r="H124" s="8"/>
      <c r="I124" s="1"/>
    </row>
    <row r="125" spans="1:9" x14ac:dyDescent="0.2">
      <c r="A125" s="48" t="s">
        <v>11</v>
      </c>
      <c r="B125" s="43"/>
      <c r="C125" s="40">
        <f>[3]Charters!F117</f>
        <v>0.95599999999999996</v>
      </c>
      <c r="D125" s="49">
        <f>[3]Charters!H117</f>
        <v>3043.9</v>
      </c>
      <c r="E125" s="8"/>
      <c r="F125" s="42">
        <f>[3]Charters!N430</f>
        <v>322580.09000000003</v>
      </c>
      <c r="G125" s="8"/>
      <c r="H125" s="8"/>
      <c r="I125" s="1"/>
    </row>
    <row r="126" spans="1:9" x14ac:dyDescent="0.2">
      <c r="A126" s="48" t="s">
        <v>12</v>
      </c>
      <c r="B126" s="43"/>
      <c r="C126" s="40">
        <f>[3]Charters!C272</f>
        <v>0</v>
      </c>
      <c r="D126" s="41">
        <f>[3]Charters!E272</f>
        <v>0</v>
      </c>
      <c r="E126" s="8"/>
      <c r="F126" s="42">
        <f>SUM(D124:D130)</f>
        <v>322580.09000000003</v>
      </c>
      <c r="G126" s="8"/>
      <c r="H126" s="8"/>
      <c r="I126" s="1"/>
    </row>
    <row r="127" spans="1:9" x14ac:dyDescent="0.2">
      <c r="A127" s="20" t="s">
        <v>13</v>
      </c>
      <c r="B127" s="43"/>
      <c r="C127" s="40">
        <f>[3]Charters!F272</f>
        <v>0.70899999999999996</v>
      </c>
      <c r="D127" s="41">
        <f>[3]Charters!H272</f>
        <v>2259</v>
      </c>
      <c r="E127" s="8"/>
      <c r="F127" s="42">
        <f>+F125-F126</f>
        <v>0</v>
      </c>
      <c r="G127" s="8"/>
      <c r="H127" s="8"/>
      <c r="I127" s="1"/>
    </row>
    <row r="128" spans="1:9" x14ac:dyDescent="0.2">
      <c r="A128" s="48" t="s">
        <v>54</v>
      </c>
      <c r="B128" s="43"/>
      <c r="C128" s="40">
        <f>[3]Charters!C430</f>
        <v>1.861</v>
      </c>
      <c r="D128" s="41">
        <f>[3]Charters!E430</f>
        <v>5925.25</v>
      </c>
      <c r="E128" s="8"/>
      <c r="F128" s="8"/>
      <c r="G128" s="8"/>
      <c r="H128" s="8"/>
      <c r="I128" s="1"/>
    </row>
    <row r="129" spans="1:9" x14ac:dyDescent="0.2">
      <c r="A129" s="48" t="s">
        <v>55</v>
      </c>
      <c r="B129" s="43"/>
      <c r="C129" s="40">
        <f>[3]Charters!F430</f>
        <v>0</v>
      </c>
      <c r="D129" s="41">
        <f>[3]Charters!H430</f>
        <v>0</v>
      </c>
      <c r="E129" s="8"/>
      <c r="F129" s="42" t="s">
        <v>25</v>
      </c>
      <c r="G129" s="8"/>
      <c r="H129" s="8"/>
      <c r="I129" s="1"/>
    </row>
    <row r="130" spans="1:9" x14ac:dyDescent="0.2">
      <c r="A130" s="48" t="s">
        <v>56</v>
      </c>
      <c r="B130" s="43"/>
      <c r="C130" s="40">
        <f>[3]Charters!I430</f>
        <v>0</v>
      </c>
      <c r="D130" s="41">
        <f>[3]Charters!K430</f>
        <v>0</v>
      </c>
      <c r="E130" s="8"/>
      <c r="F130" s="42">
        <f>[2]Charters!H118</f>
        <v>373691.14</v>
      </c>
      <c r="G130" s="8"/>
      <c r="H130" s="8"/>
      <c r="I130" s="1"/>
    </row>
    <row r="131" spans="1:9" x14ac:dyDescent="0.2">
      <c r="A131" s="20" t="s">
        <v>49</v>
      </c>
      <c r="B131" s="43"/>
      <c r="C131" s="40">
        <f>[3]Charters!C585</f>
        <v>0</v>
      </c>
      <c r="D131" s="41">
        <f>[3]Charters!E585</f>
        <v>0</v>
      </c>
      <c r="E131" s="8"/>
      <c r="F131" s="42">
        <f>SUM(D124:D132)</f>
        <v>373691.14</v>
      </c>
      <c r="G131" s="8"/>
      <c r="H131" s="8"/>
      <c r="I131" s="1"/>
    </row>
    <row r="132" spans="1:9" x14ac:dyDescent="0.2">
      <c r="A132" s="20" t="s">
        <v>50</v>
      </c>
      <c r="B132" s="43"/>
      <c r="C132" s="40">
        <f>[2]Charters!C118</f>
        <v>16.052</v>
      </c>
      <c r="D132" s="41">
        <f>[2]Charters!E118</f>
        <v>51111.05</v>
      </c>
      <c r="E132" s="8"/>
      <c r="F132" s="42">
        <f>+F130-F131</f>
        <v>0</v>
      </c>
      <c r="G132" s="8"/>
      <c r="H132" s="8"/>
      <c r="I132" s="1"/>
    </row>
    <row r="133" spans="1:9" x14ac:dyDescent="0.2">
      <c r="A133" s="50"/>
      <c r="B133" s="51" t="s">
        <v>16</v>
      </c>
      <c r="C133" s="52">
        <f>SUM(C120:C132)</f>
        <v>654.47</v>
      </c>
      <c r="D133" s="53">
        <f>SUM(D120:D132)</f>
        <v>2083834.5</v>
      </c>
      <c r="E133" s="8"/>
      <c r="F133" s="8"/>
      <c r="G133" s="8"/>
      <c r="H133" s="8"/>
      <c r="I133" s="1"/>
    </row>
    <row r="134" spans="1:9" x14ac:dyDescent="0.2">
      <c r="A134" s="54" t="s">
        <v>17</v>
      </c>
      <c r="B134" s="39"/>
      <c r="C134" s="55"/>
      <c r="D134" s="47"/>
      <c r="E134" s="8"/>
      <c r="F134" s="8"/>
      <c r="G134" s="8"/>
      <c r="H134" s="42" t="s">
        <v>29</v>
      </c>
      <c r="I134" s="1"/>
    </row>
    <row r="135" spans="1:9" x14ac:dyDescent="0.2">
      <c r="A135" s="20" t="s">
        <v>33</v>
      </c>
      <c r="B135" s="43"/>
      <c r="C135" s="56"/>
      <c r="D135" s="57">
        <f>[4]Charters!C119</f>
        <v>6039.93</v>
      </c>
      <c r="E135" s="8"/>
      <c r="F135" s="8"/>
      <c r="G135" s="8"/>
      <c r="H135" s="42">
        <f>[4]Charters!F1058</f>
        <v>3347959.26</v>
      </c>
      <c r="I135" s="1"/>
    </row>
    <row r="136" spans="1:9" x14ac:dyDescent="0.2">
      <c r="A136" s="58" t="s">
        <v>35</v>
      </c>
      <c r="B136" s="43"/>
      <c r="C136" s="56"/>
      <c r="D136" s="41">
        <f>+[4]Charters!F440</f>
        <v>2810.9</v>
      </c>
      <c r="E136" s="8"/>
      <c r="F136" s="8"/>
      <c r="G136" s="8"/>
      <c r="H136" s="42">
        <f>SUM(D133:D152)</f>
        <v>3347959.26</v>
      </c>
      <c r="I136" s="1"/>
    </row>
    <row r="137" spans="1:9" x14ac:dyDescent="0.2">
      <c r="A137" s="59" t="s">
        <v>36</v>
      </c>
      <c r="B137" s="43"/>
      <c r="C137" s="56"/>
      <c r="D137" s="41">
        <f>[4]Charters!E279</f>
        <v>19388</v>
      </c>
      <c r="E137" s="8"/>
      <c r="F137" s="8"/>
      <c r="G137" s="8"/>
      <c r="H137" s="42">
        <f>+H135-H136</f>
        <v>0</v>
      </c>
      <c r="I137" s="1"/>
    </row>
    <row r="138" spans="1:9" x14ac:dyDescent="0.2">
      <c r="A138" s="59" t="s">
        <v>52</v>
      </c>
      <c r="B138" s="43"/>
      <c r="C138" s="56"/>
      <c r="D138" s="41">
        <f>[4]Charters!G440</f>
        <v>917.03</v>
      </c>
      <c r="E138" s="8"/>
      <c r="F138" s="42" t="s">
        <v>27</v>
      </c>
      <c r="G138" s="8"/>
      <c r="H138" s="42"/>
      <c r="I138" s="1"/>
    </row>
    <row r="139" spans="1:9" x14ac:dyDescent="0.2">
      <c r="A139" s="20" t="s">
        <v>37</v>
      </c>
      <c r="B139" s="43"/>
      <c r="C139" s="56"/>
      <c r="D139" s="41">
        <f>[4]Charters!E596</f>
        <v>32602</v>
      </c>
      <c r="E139" s="8"/>
      <c r="F139" s="42">
        <f>[4]Charters!E279</f>
        <v>19388</v>
      </c>
      <c r="G139" s="8"/>
      <c r="H139" s="8"/>
      <c r="I139" s="1"/>
    </row>
    <row r="140" spans="1:9" x14ac:dyDescent="0.2">
      <c r="A140" s="20" t="s">
        <v>38</v>
      </c>
      <c r="B140" s="43"/>
      <c r="C140" s="56"/>
      <c r="D140" s="41">
        <f>[4]Charters!F596</f>
        <v>0</v>
      </c>
      <c r="E140" s="8"/>
      <c r="F140" s="42">
        <f>SUM(D137:D137)</f>
        <v>19388</v>
      </c>
      <c r="G140" s="8"/>
      <c r="H140" s="8"/>
      <c r="I140" s="1"/>
    </row>
    <row r="141" spans="1:9" x14ac:dyDescent="0.2">
      <c r="A141" s="59" t="s">
        <v>40</v>
      </c>
      <c r="B141" s="43"/>
      <c r="C141" s="56"/>
      <c r="D141" s="41">
        <f>[4]Charters!G596</f>
        <v>0</v>
      </c>
      <c r="E141" s="8"/>
      <c r="F141" s="42">
        <f>+F139-F140</f>
        <v>0</v>
      </c>
      <c r="G141" s="8"/>
      <c r="H141" s="8"/>
      <c r="I141" s="1"/>
    </row>
    <row r="142" spans="1:9" x14ac:dyDescent="0.2">
      <c r="A142" s="20" t="s">
        <v>41</v>
      </c>
      <c r="B142" s="43"/>
      <c r="C142" s="56"/>
      <c r="D142" s="41">
        <f>[4]Charters!C749</f>
        <v>1006503</v>
      </c>
      <c r="E142" s="8"/>
      <c r="F142" s="42" t="s">
        <v>28</v>
      </c>
      <c r="G142" s="8"/>
      <c r="H142" s="8"/>
      <c r="I142" s="1"/>
    </row>
    <row r="143" spans="1:9" x14ac:dyDescent="0.2">
      <c r="A143" s="20" t="s">
        <v>42</v>
      </c>
      <c r="B143" s="43"/>
      <c r="C143" s="56"/>
      <c r="D143" s="41">
        <f>[4]Charters!D749</f>
        <v>134091.31</v>
      </c>
      <c r="E143" s="8"/>
      <c r="F143" s="42">
        <f>[4]Charters!D596</f>
        <v>23115.93</v>
      </c>
      <c r="G143" s="8"/>
      <c r="H143" s="8"/>
      <c r="I143" s="1"/>
    </row>
    <row r="144" spans="1:9" x14ac:dyDescent="0.2">
      <c r="A144" s="20" t="s">
        <v>44</v>
      </c>
      <c r="B144" s="43"/>
      <c r="C144" s="56"/>
      <c r="D144" s="41">
        <f>[4]Charters!E749</f>
        <v>50300</v>
      </c>
      <c r="E144" s="8"/>
      <c r="F144" s="42">
        <f>SUM(D136:D138)</f>
        <v>23115.93</v>
      </c>
      <c r="G144" s="8"/>
      <c r="H144" s="8"/>
      <c r="I144" s="1"/>
    </row>
    <row r="145" spans="1:9" x14ac:dyDescent="0.2">
      <c r="A145" s="59" t="s">
        <v>43</v>
      </c>
      <c r="B145" s="43"/>
      <c r="C145" s="56"/>
      <c r="D145" s="41">
        <f>[4]Charters!F749</f>
        <v>0</v>
      </c>
      <c r="E145" s="8"/>
      <c r="F145" s="42">
        <f>+F143-F144</f>
        <v>0</v>
      </c>
      <c r="G145" s="8"/>
      <c r="H145" s="8"/>
      <c r="I145" s="1"/>
    </row>
    <row r="146" spans="1:9" x14ac:dyDescent="0.2">
      <c r="A146" s="59" t="s">
        <v>45</v>
      </c>
      <c r="B146" s="43"/>
      <c r="C146" s="56"/>
      <c r="D146" s="41">
        <f>[4]Charters!C596</f>
        <v>0</v>
      </c>
      <c r="E146" s="8"/>
      <c r="F146" s="8"/>
      <c r="G146" s="8"/>
      <c r="H146" s="8"/>
      <c r="I146" s="1"/>
    </row>
    <row r="147" spans="1:9" x14ac:dyDescent="0.2">
      <c r="A147" s="59" t="s">
        <v>46</v>
      </c>
      <c r="B147" s="43"/>
      <c r="C147" s="56"/>
      <c r="D147" s="41">
        <f>[4]Charters!C905</f>
        <v>0</v>
      </c>
      <c r="E147" s="42"/>
      <c r="F147" s="42"/>
      <c r="G147" s="42"/>
      <c r="H147" s="42" t="s">
        <v>31</v>
      </c>
      <c r="I147" s="82"/>
    </row>
    <row r="148" spans="1:9" x14ac:dyDescent="0.2">
      <c r="A148" s="59" t="s">
        <v>51</v>
      </c>
      <c r="B148" s="43"/>
      <c r="C148" s="56"/>
      <c r="D148" s="60">
        <f>[4]Charters!D905</f>
        <v>637.11</v>
      </c>
      <c r="E148" s="42"/>
      <c r="F148" s="42"/>
      <c r="G148" s="42"/>
      <c r="H148" s="42">
        <f>[4]Charters!D1364</f>
        <v>3353111.21</v>
      </c>
      <c r="I148" s="82"/>
    </row>
    <row r="149" spans="1:9" x14ac:dyDescent="0.2">
      <c r="A149" s="20" t="s">
        <v>47</v>
      </c>
      <c r="B149" s="43"/>
      <c r="C149" s="56"/>
      <c r="D149" s="60">
        <f>[4]Charters!E905</f>
        <v>0</v>
      </c>
      <c r="E149" s="42"/>
      <c r="F149" s="42"/>
      <c r="G149" s="42"/>
      <c r="H149" s="42">
        <f>D158</f>
        <v>3353111.21</v>
      </c>
      <c r="I149" s="82"/>
    </row>
    <row r="150" spans="1:9" x14ac:dyDescent="0.2">
      <c r="A150" s="20" t="s">
        <v>57</v>
      </c>
      <c r="B150" s="43"/>
      <c r="C150" s="56"/>
      <c r="D150" s="60">
        <f>[4]Charters!C1058</f>
        <v>10835.48</v>
      </c>
      <c r="E150" s="42"/>
      <c r="F150" s="42"/>
      <c r="G150" s="42"/>
      <c r="H150" s="42">
        <f>+H148-H149</f>
        <v>0</v>
      </c>
      <c r="I150" s="82"/>
    </row>
    <row r="151" spans="1:9" x14ac:dyDescent="0.2">
      <c r="A151" s="59" t="s">
        <v>53</v>
      </c>
      <c r="B151" s="43"/>
      <c r="C151" s="56"/>
      <c r="D151" s="60">
        <f>[4]Charters!D1058</f>
        <v>0</v>
      </c>
      <c r="E151" s="42"/>
      <c r="F151" s="42" t="s">
        <v>30</v>
      </c>
      <c r="G151" s="42"/>
      <c r="H151" s="42"/>
      <c r="I151" s="82"/>
    </row>
    <row r="152" spans="1:9" x14ac:dyDescent="0.2">
      <c r="A152" s="59" t="s">
        <v>59</v>
      </c>
      <c r="B152" s="43"/>
      <c r="C152" s="56"/>
      <c r="D152" s="60">
        <f>[4]Charters!E1058</f>
        <v>0</v>
      </c>
      <c r="E152" s="42"/>
      <c r="F152" s="42"/>
      <c r="G152" s="42"/>
      <c r="H152" s="42"/>
      <c r="I152" s="82"/>
    </row>
    <row r="153" spans="1:9" x14ac:dyDescent="0.2">
      <c r="A153" s="38" t="s">
        <v>18</v>
      </c>
      <c r="B153" s="61"/>
      <c r="C153" s="62"/>
      <c r="D153" s="87"/>
      <c r="E153" s="42"/>
      <c r="F153" s="42">
        <f>[4]Charters!C1364</f>
        <v>5151.95</v>
      </c>
      <c r="G153" s="42"/>
      <c r="H153" s="42"/>
      <c r="I153" s="82"/>
    </row>
    <row r="154" spans="1:9" x14ac:dyDescent="0.2">
      <c r="A154" s="59" t="s">
        <v>39</v>
      </c>
      <c r="B154" s="43"/>
      <c r="C154" s="56"/>
      <c r="D154" s="41">
        <f>[4]Charters!C1211</f>
        <v>5151.95</v>
      </c>
      <c r="E154" s="42"/>
      <c r="F154" s="42">
        <f>SUM(D154:D157)</f>
        <v>5151.95</v>
      </c>
      <c r="G154" s="42"/>
      <c r="H154" s="42"/>
      <c r="I154" s="82"/>
    </row>
    <row r="155" spans="1:9" x14ac:dyDescent="0.2">
      <c r="A155" s="59" t="s">
        <v>48</v>
      </c>
      <c r="B155" s="43"/>
      <c r="C155" s="56"/>
      <c r="D155" s="41">
        <f>[4]Charters!D1211</f>
        <v>0</v>
      </c>
      <c r="E155" s="42"/>
      <c r="F155" s="42">
        <f>+F153-F154</f>
        <v>0</v>
      </c>
      <c r="G155" s="42"/>
      <c r="H155" s="42"/>
      <c r="I155" s="82"/>
    </row>
    <row r="156" spans="1:9" x14ac:dyDescent="0.2">
      <c r="A156" s="59" t="s">
        <v>60</v>
      </c>
      <c r="B156" s="43"/>
      <c r="C156" s="56"/>
      <c r="D156" s="41">
        <f>[4]Charters!E1211</f>
        <v>0</v>
      </c>
      <c r="E156" s="42"/>
      <c r="F156" s="42"/>
      <c r="G156" s="42"/>
      <c r="H156" s="42"/>
      <c r="I156" s="82"/>
    </row>
    <row r="157" spans="1:9" x14ac:dyDescent="0.2">
      <c r="A157" s="59" t="s">
        <v>61</v>
      </c>
      <c r="B157" s="43"/>
      <c r="C157" s="56"/>
      <c r="D157" s="41">
        <f>[4]Charters!F1211</f>
        <v>0</v>
      </c>
      <c r="E157" s="42"/>
      <c r="F157" s="42"/>
      <c r="G157" s="42"/>
      <c r="H157" s="42"/>
      <c r="I157" s="82"/>
    </row>
    <row r="158" spans="1:9" ht="13.5" thickBot="1" x14ac:dyDescent="0.25">
      <c r="A158" s="64"/>
      <c r="B158" s="65"/>
      <c r="C158" s="66"/>
      <c r="D158" s="67">
        <f>SUM(D133:D157)</f>
        <v>3353111.21</v>
      </c>
      <c r="E158" s="42"/>
      <c r="F158" s="42"/>
      <c r="G158" s="42"/>
      <c r="H158" s="42"/>
      <c r="I158" s="82"/>
    </row>
    <row r="159" spans="1:9" ht="13.5" thickTop="1" x14ac:dyDescent="0.2">
      <c r="A159" s="68"/>
      <c r="B159" s="43"/>
      <c r="C159" s="56"/>
      <c r="D159" s="86"/>
      <c r="E159" s="42"/>
      <c r="F159" s="42"/>
      <c r="G159" s="42"/>
      <c r="H159" s="42"/>
      <c r="I159" s="82"/>
    </row>
    <row r="160" spans="1:9" x14ac:dyDescent="0.2">
      <c r="A160" s="38" t="s">
        <v>20</v>
      </c>
      <c r="B160" s="39"/>
      <c r="C160" s="70"/>
      <c r="D160" s="71" t="s">
        <v>21</v>
      </c>
      <c r="E160" s="42"/>
      <c r="F160" s="42"/>
      <c r="G160" s="42"/>
      <c r="H160" s="42"/>
      <c r="I160" s="82"/>
    </row>
    <row r="161" spans="1:9" x14ac:dyDescent="0.2">
      <c r="A161" s="72" t="s">
        <v>22</v>
      </c>
      <c r="B161" s="73"/>
      <c r="C161" s="74"/>
      <c r="D161" s="41">
        <f>[5]Charters!C117</f>
        <v>1067.1400000000001</v>
      </c>
      <c r="E161" s="42"/>
      <c r="F161" s="42"/>
      <c r="G161" s="42"/>
      <c r="H161" s="42"/>
      <c r="I161" s="82"/>
    </row>
    <row r="162" spans="1:9" x14ac:dyDescent="0.2">
      <c r="A162" s="75"/>
      <c r="B162" s="61"/>
      <c r="C162" s="76"/>
      <c r="D162" s="77">
        <f>SUM(D161:D161)</f>
        <v>1067.1400000000001</v>
      </c>
      <c r="E162" s="42"/>
      <c r="F162" s="42"/>
      <c r="G162" s="42"/>
      <c r="H162" s="42"/>
      <c r="I162" s="82"/>
    </row>
    <row r="163" spans="1:9" x14ac:dyDescent="0.2">
      <c r="A163" s="78" t="s">
        <v>58</v>
      </c>
      <c r="B163" s="79"/>
      <c r="C163" s="80"/>
      <c r="D163" s="77">
        <f>D162+D158</f>
        <v>3354178.35</v>
      </c>
      <c r="E163" s="42"/>
      <c r="F163" s="42"/>
      <c r="G163" s="42"/>
      <c r="H163" s="42"/>
      <c r="I163" s="82"/>
    </row>
    <row r="164" spans="1:9" x14ac:dyDescent="0.2">
      <c r="A164" s="84"/>
      <c r="B164" s="84"/>
      <c r="C164" s="85"/>
      <c r="D164" s="81"/>
      <c r="E164" s="42"/>
      <c r="F164" s="42"/>
      <c r="G164" s="42"/>
      <c r="H164" s="42"/>
      <c r="I164" s="82"/>
    </row>
    <row r="165" spans="1:9" x14ac:dyDescent="0.2">
      <c r="A165" s="84"/>
      <c r="B165" s="84"/>
      <c r="C165" s="85"/>
      <c r="D165" s="81">
        <f>[5]Charters!E273</f>
        <v>3354178.35</v>
      </c>
      <c r="E165" s="42"/>
      <c r="F165" s="42"/>
      <c r="G165" s="42"/>
      <c r="H165" s="42"/>
      <c r="I165" s="82"/>
    </row>
    <row r="166" spans="1:9" x14ac:dyDescent="0.2">
      <c r="A166" s="84"/>
      <c r="B166" s="84"/>
      <c r="C166" s="85"/>
      <c r="D166" s="81">
        <f>D163</f>
        <v>3354178.35</v>
      </c>
      <c r="E166" s="42"/>
      <c r="F166" s="42"/>
      <c r="G166" s="42"/>
      <c r="H166" s="42"/>
      <c r="I166" s="82"/>
    </row>
    <row r="167" spans="1:9" x14ac:dyDescent="0.2">
      <c r="A167" s="82"/>
      <c r="B167" s="82"/>
      <c r="C167" s="83"/>
      <c r="D167" s="42">
        <f>D165-D166</f>
        <v>0</v>
      </c>
      <c r="E167" s="42"/>
      <c r="F167" s="42"/>
      <c r="G167" s="42"/>
      <c r="H167" s="42"/>
      <c r="I167" s="82"/>
    </row>
  </sheetData>
  <mergeCells count="4">
    <mergeCell ref="A109:D109"/>
    <mergeCell ref="A110:D110"/>
    <mergeCell ref="A111:D111"/>
    <mergeCell ref="A163:C163"/>
  </mergeCells>
  <printOptions horizontalCentered="1" verticalCentered="1"/>
  <pageMargins left="0.7" right="0.7" top="0.75" bottom="0.75" header="0.3" footer="0.3"/>
  <pageSetup orientation="portrait" horizontalDpi="1200" r:id="rId1"/>
  <headerFooter>
    <oddHeader xml:space="preserve">&amp;R&amp;8Current as of : &amp;D&amp;10
</oddHeader>
    <oddFooter>&amp;L&amp;8USOE, School Finance</oddFooter>
  </headerFooter>
  <picture r:id="rId2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500-000000000000}">
  <dimension ref="A1:I168"/>
  <sheetViews>
    <sheetView topLeftCell="A105" workbookViewId="0">
      <selection activeCell="C12" sqref="C12"/>
    </sheetView>
  </sheetViews>
  <sheetFormatPr defaultRowHeight="12.75" x14ac:dyDescent="0.2"/>
  <cols>
    <col min="1" max="1" width="32.28515625" style="89" customWidth="1"/>
    <col min="2" max="2" width="16.28515625" style="89" customWidth="1"/>
    <col min="3" max="3" width="14.85546875" style="89" customWidth="1"/>
    <col min="4" max="4" width="15" style="89" customWidth="1"/>
    <col min="5" max="5" width="9.140625" style="89"/>
    <col min="6" max="6" width="23.42578125" style="89" bestFit="1" customWidth="1"/>
    <col min="7" max="7" width="9.140625" style="89"/>
    <col min="8" max="8" width="23" style="89" bestFit="1" customWidth="1"/>
    <col min="9" max="16384" width="9.140625" style="89"/>
  </cols>
  <sheetData>
    <row r="1" spans="1:9" x14ac:dyDescent="0.2">
      <c r="A1" s="7"/>
      <c r="B1" s="7"/>
      <c r="C1" s="7"/>
      <c r="D1" s="7"/>
      <c r="E1" s="7"/>
      <c r="F1" s="7"/>
      <c r="G1" s="7"/>
      <c r="H1" s="7"/>
      <c r="I1" s="7"/>
    </row>
    <row r="2" spans="1:9" x14ac:dyDescent="0.2">
      <c r="A2" s="7"/>
      <c r="B2" s="7"/>
      <c r="C2" s="7"/>
      <c r="D2" s="7"/>
      <c r="E2" s="7"/>
      <c r="F2" s="7"/>
      <c r="G2" s="7"/>
      <c r="H2" s="7"/>
      <c r="I2" s="7"/>
    </row>
    <row r="3" spans="1:9" x14ac:dyDescent="0.2">
      <c r="A3" s="7"/>
      <c r="B3" s="7"/>
      <c r="C3" s="7"/>
      <c r="D3" s="7"/>
      <c r="E3" s="7"/>
      <c r="F3" s="7"/>
      <c r="G3" s="7"/>
      <c r="H3" s="7"/>
      <c r="I3" s="7"/>
    </row>
    <row r="4" spans="1:9" x14ac:dyDescent="0.2">
      <c r="A4" s="7"/>
      <c r="B4" s="7"/>
      <c r="C4" s="7"/>
      <c r="D4" s="7"/>
      <c r="E4" s="7"/>
      <c r="F4" s="7"/>
      <c r="G4" s="7"/>
      <c r="H4" s="7"/>
      <c r="I4" s="7"/>
    </row>
    <row r="5" spans="1:9" x14ac:dyDescent="0.2">
      <c r="A5" s="7"/>
      <c r="B5" s="7"/>
      <c r="C5" s="7"/>
      <c r="D5" s="7"/>
      <c r="E5" s="7"/>
      <c r="F5" s="7"/>
      <c r="G5" s="7"/>
      <c r="H5" s="7"/>
      <c r="I5" s="7"/>
    </row>
    <row r="6" spans="1:9" x14ac:dyDescent="0.2">
      <c r="A6" s="7"/>
      <c r="B6" s="7"/>
      <c r="C6" s="7"/>
      <c r="D6" s="7"/>
      <c r="E6" s="7"/>
      <c r="F6" s="7"/>
      <c r="G6" s="7"/>
      <c r="H6" s="7"/>
      <c r="I6" s="7"/>
    </row>
    <row r="7" spans="1:9" x14ac:dyDescent="0.2">
      <c r="A7" s="7"/>
      <c r="B7" s="7"/>
      <c r="C7" s="7"/>
      <c r="D7" s="7"/>
      <c r="E7" s="7"/>
      <c r="F7" s="7"/>
      <c r="G7" s="7"/>
      <c r="H7" s="7"/>
      <c r="I7" s="7"/>
    </row>
    <row r="8" spans="1:9" x14ac:dyDescent="0.2">
      <c r="A8" s="7"/>
      <c r="B8" s="7"/>
      <c r="C8" s="7"/>
      <c r="D8" s="7"/>
      <c r="E8" s="7"/>
      <c r="F8" s="7"/>
      <c r="G8" s="7"/>
      <c r="H8" s="7"/>
      <c r="I8" s="7"/>
    </row>
    <row r="9" spans="1:9" x14ac:dyDescent="0.2">
      <c r="A9" s="7"/>
      <c r="B9" s="7"/>
      <c r="C9" s="7"/>
      <c r="D9" s="7"/>
      <c r="E9" s="7"/>
      <c r="F9" s="7"/>
      <c r="G9" s="7"/>
      <c r="H9" s="7"/>
      <c r="I9" s="7"/>
    </row>
    <row r="10" spans="1:9" x14ac:dyDescent="0.2">
      <c r="A10" s="7"/>
      <c r="B10" s="7"/>
      <c r="C10" s="7"/>
      <c r="D10" s="7"/>
      <c r="E10" s="7"/>
      <c r="F10" s="7"/>
      <c r="G10" s="7"/>
      <c r="H10" s="7"/>
      <c r="I10" s="7"/>
    </row>
    <row r="11" spans="1:9" x14ac:dyDescent="0.2">
      <c r="A11" s="7"/>
      <c r="B11" s="7"/>
      <c r="C11" s="7"/>
      <c r="D11" s="7"/>
      <c r="E11" s="7"/>
      <c r="F11" s="7"/>
      <c r="G11" s="7"/>
      <c r="H11" s="7"/>
      <c r="I11" s="7"/>
    </row>
    <row r="12" spans="1:9" x14ac:dyDescent="0.2">
      <c r="A12" s="7"/>
      <c r="B12" s="7"/>
      <c r="C12" s="7"/>
      <c r="D12" s="7"/>
      <c r="E12" s="7"/>
      <c r="F12" s="7"/>
      <c r="G12" s="7"/>
      <c r="H12" s="7"/>
      <c r="I12" s="7"/>
    </row>
    <row r="13" spans="1:9" x14ac:dyDescent="0.2">
      <c r="A13" s="7"/>
      <c r="B13" s="7"/>
      <c r="C13" s="7"/>
      <c r="D13" s="7"/>
      <c r="E13" s="7"/>
      <c r="F13" s="7"/>
      <c r="G13" s="7"/>
      <c r="H13" s="7"/>
      <c r="I13" s="7"/>
    </row>
    <row r="14" spans="1:9" x14ac:dyDescent="0.2">
      <c r="A14" s="7"/>
      <c r="B14" s="7"/>
      <c r="C14" s="7"/>
      <c r="D14" s="7"/>
      <c r="E14" s="7"/>
      <c r="F14" s="7"/>
      <c r="G14" s="7"/>
      <c r="H14" s="7"/>
      <c r="I14" s="7"/>
    </row>
    <row r="15" spans="1:9" x14ac:dyDescent="0.2">
      <c r="A15" s="7"/>
      <c r="B15" s="7"/>
      <c r="C15" s="7"/>
      <c r="D15" s="7"/>
      <c r="E15" s="7"/>
      <c r="F15" s="7"/>
      <c r="G15" s="7"/>
      <c r="H15" s="7"/>
      <c r="I15" s="7"/>
    </row>
    <row r="16" spans="1:9" x14ac:dyDescent="0.2">
      <c r="A16" s="7"/>
      <c r="B16" s="7"/>
      <c r="C16" s="7"/>
      <c r="D16" s="7"/>
      <c r="E16" s="7"/>
      <c r="F16" s="7"/>
      <c r="G16" s="7"/>
      <c r="H16" s="7"/>
      <c r="I16" s="7"/>
    </row>
    <row r="17" spans="1:9" x14ac:dyDescent="0.2">
      <c r="A17" s="7"/>
      <c r="B17" s="7"/>
      <c r="C17" s="7"/>
      <c r="D17" s="7"/>
      <c r="E17" s="7"/>
      <c r="F17" s="7"/>
      <c r="G17" s="7"/>
      <c r="H17" s="7"/>
      <c r="I17" s="7"/>
    </row>
    <row r="18" spans="1:9" x14ac:dyDescent="0.2">
      <c r="A18" s="7"/>
      <c r="B18" s="7"/>
      <c r="C18" s="7"/>
      <c r="D18" s="7"/>
      <c r="E18" s="7"/>
      <c r="F18" s="7"/>
      <c r="G18" s="7"/>
      <c r="H18" s="7"/>
      <c r="I18" s="7"/>
    </row>
    <row r="19" spans="1:9" x14ac:dyDescent="0.2">
      <c r="A19" s="7"/>
      <c r="B19" s="7"/>
      <c r="C19" s="7"/>
      <c r="D19" s="7"/>
      <c r="E19" s="7"/>
      <c r="F19" s="7"/>
      <c r="G19" s="7"/>
      <c r="H19" s="7"/>
      <c r="I19" s="7"/>
    </row>
    <row r="20" spans="1:9" x14ac:dyDescent="0.2">
      <c r="A20" s="7"/>
      <c r="B20" s="7"/>
      <c r="C20" s="7"/>
      <c r="D20" s="7"/>
      <c r="E20" s="7"/>
      <c r="F20" s="7"/>
      <c r="G20" s="7"/>
      <c r="H20" s="7"/>
      <c r="I20" s="7"/>
    </row>
    <row r="21" spans="1:9" x14ac:dyDescent="0.2">
      <c r="A21" s="7"/>
      <c r="B21" s="7"/>
      <c r="C21" s="7"/>
      <c r="D21" s="7"/>
      <c r="E21" s="7"/>
      <c r="F21" s="7"/>
      <c r="G21" s="7"/>
      <c r="H21" s="7"/>
      <c r="I21" s="7"/>
    </row>
    <row r="22" spans="1:9" x14ac:dyDescent="0.2">
      <c r="A22" s="7"/>
      <c r="B22" s="7"/>
      <c r="C22" s="7"/>
      <c r="D22" s="4"/>
      <c r="E22" s="7"/>
      <c r="F22" s="7"/>
      <c r="G22" s="7"/>
      <c r="H22" s="7"/>
      <c r="I22" s="7"/>
    </row>
    <row r="23" spans="1:9" x14ac:dyDescent="0.2">
      <c r="A23" s="7"/>
      <c r="B23" s="7"/>
      <c r="C23" s="7"/>
      <c r="D23" s="7"/>
      <c r="E23" s="7"/>
      <c r="F23" s="7"/>
      <c r="G23" s="7"/>
      <c r="H23" s="7"/>
      <c r="I23" s="7"/>
    </row>
    <row r="24" spans="1:9" x14ac:dyDescent="0.2">
      <c r="A24" s="7"/>
      <c r="B24" s="7"/>
      <c r="C24" s="7"/>
      <c r="D24" s="7"/>
      <c r="E24" s="7"/>
      <c r="F24" s="7"/>
      <c r="G24" s="7"/>
      <c r="H24" s="7"/>
      <c r="I24" s="7"/>
    </row>
    <row r="25" spans="1:9" x14ac:dyDescent="0.2">
      <c r="A25" s="7"/>
      <c r="B25" s="7"/>
      <c r="C25" s="7"/>
      <c r="D25" s="7"/>
      <c r="E25" s="7"/>
      <c r="F25" s="7"/>
      <c r="G25" s="7"/>
      <c r="H25" s="7"/>
      <c r="I25" s="7"/>
    </row>
    <row r="26" spans="1:9" x14ac:dyDescent="0.2">
      <c r="A26" s="7"/>
      <c r="B26" s="7"/>
      <c r="C26" s="7"/>
      <c r="D26" s="7"/>
      <c r="E26" s="7"/>
      <c r="F26" s="7"/>
      <c r="G26" s="7"/>
      <c r="H26" s="7"/>
      <c r="I26" s="7"/>
    </row>
    <row r="27" spans="1:9" x14ac:dyDescent="0.2">
      <c r="A27" s="7"/>
      <c r="B27" s="7"/>
      <c r="C27" s="7"/>
      <c r="D27" s="7"/>
      <c r="E27" s="7"/>
      <c r="F27" s="7"/>
      <c r="G27" s="7"/>
      <c r="H27" s="7"/>
      <c r="I27" s="7"/>
    </row>
    <row r="28" spans="1:9" x14ac:dyDescent="0.2">
      <c r="A28" s="7"/>
      <c r="B28" s="7"/>
      <c r="C28" s="7"/>
      <c r="D28" s="7"/>
      <c r="E28" s="7"/>
      <c r="F28" s="7"/>
      <c r="G28" s="7"/>
      <c r="H28" s="7"/>
      <c r="I28" s="7"/>
    </row>
    <row r="29" spans="1:9" x14ac:dyDescent="0.2">
      <c r="A29" s="7"/>
      <c r="B29" s="7"/>
      <c r="C29" s="7"/>
      <c r="D29" s="7"/>
      <c r="E29" s="7"/>
      <c r="F29" s="7"/>
      <c r="G29" s="7"/>
      <c r="H29" s="7"/>
      <c r="I29" s="7"/>
    </row>
    <row r="30" spans="1:9" x14ac:dyDescent="0.2">
      <c r="A30" s="7"/>
      <c r="B30" s="7"/>
      <c r="C30" s="7"/>
      <c r="D30" s="7"/>
      <c r="E30" s="7"/>
      <c r="F30" s="7"/>
      <c r="G30" s="7"/>
      <c r="H30" s="7"/>
      <c r="I30" s="7"/>
    </row>
    <row r="31" spans="1:9" x14ac:dyDescent="0.2">
      <c r="A31" s="7"/>
      <c r="B31" s="7"/>
      <c r="C31" s="7"/>
      <c r="D31" s="7"/>
      <c r="E31" s="7"/>
      <c r="F31" s="7"/>
      <c r="G31" s="7"/>
      <c r="H31" s="7"/>
      <c r="I31" s="7"/>
    </row>
    <row r="32" spans="1:9" x14ac:dyDescent="0.2">
      <c r="A32" s="7"/>
      <c r="B32" s="7"/>
      <c r="C32" s="7"/>
      <c r="D32" s="7"/>
      <c r="E32" s="7"/>
      <c r="F32" s="7"/>
      <c r="G32" s="7"/>
      <c r="H32" s="7"/>
      <c r="I32" s="7"/>
    </row>
    <row r="33" spans="1:9" x14ac:dyDescent="0.2">
      <c r="A33" s="7"/>
      <c r="B33" s="7"/>
      <c r="C33" s="7"/>
      <c r="D33" s="7"/>
      <c r="E33" s="7"/>
      <c r="F33" s="7"/>
      <c r="G33" s="7"/>
      <c r="H33" s="7"/>
      <c r="I33" s="7"/>
    </row>
    <row r="34" spans="1:9" x14ac:dyDescent="0.2">
      <c r="A34" s="7"/>
      <c r="B34" s="7"/>
      <c r="C34" s="7"/>
      <c r="D34" s="7"/>
      <c r="E34" s="7"/>
      <c r="F34" s="7"/>
      <c r="G34" s="7"/>
      <c r="H34" s="7"/>
      <c r="I34" s="7"/>
    </row>
    <row r="35" spans="1:9" x14ac:dyDescent="0.2">
      <c r="A35" s="7"/>
      <c r="B35" s="7"/>
      <c r="C35" s="7"/>
      <c r="D35" s="7"/>
      <c r="E35" s="7"/>
      <c r="F35" s="7"/>
      <c r="G35" s="7"/>
      <c r="H35" s="7"/>
      <c r="I35" s="7"/>
    </row>
    <row r="36" spans="1:9" x14ac:dyDescent="0.2">
      <c r="A36" s="7"/>
      <c r="B36" s="7"/>
      <c r="C36" s="7"/>
      <c r="D36" s="7"/>
      <c r="E36" s="7"/>
      <c r="F36" s="7"/>
      <c r="G36" s="7"/>
      <c r="H36" s="7"/>
      <c r="I36" s="7"/>
    </row>
    <row r="37" spans="1:9" x14ac:dyDescent="0.2">
      <c r="A37" s="7"/>
      <c r="B37" s="7"/>
      <c r="C37" s="7"/>
      <c r="D37" s="7"/>
      <c r="E37" s="7"/>
      <c r="F37" s="7"/>
      <c r="G37" s="7"/>
      <c r="H37" s="7"/>
      <c r="I37" s="7"/>
    </row>
    <row r="38" spans="1:9" x14ac:dyDescent="0.2">
      <c r="A38" s="7"/>
      <c r="B38" s="7"/>
      <c r="C38" s="7"/>
      <c r="D38" s="7"/>
      <c r="E38" s="7"/>
      <c r="F38" s="7"/>
      <c r="G38" s="7"/>
      <c r="H38" s="7"/>
      <c r="I38" s="7"/>
    </row>
    <row r="39" spans="1:9" x14ac:dyDescent="0.2">
      <c r="A39" s="7"/>
      <c r="B39" s="7"/>
      <c r="C39" s="7"/>
      <c r="D39" s="7"/>
      <c r="E39" s="7"/>
      <c r="F39" s="7"/>
      <c r="G39" s="7"/>
      <c r="H39" s="7"/>
      <c r="I39" s="7"/>
    </row>
    <row r="40" spans="1:9" x14ac:dyDescent="0.2">
      <c r="A40" s="7"/>
      <c r="B40" s="7"/>
      <c r="C40" s="7"/>
      <c r="D40" s="7"/>
      <c r="E40" s="7"/>
      <c r="F40" s="7"/>
      <c r="G40" s="7"/>
      <c r="H40" s="7"/>
      <c r="I40" s="7"/>
    </row>
    <row r="41" spans="1:9" x14ac:dyDescent="0.2">
      <c r="A41" s="7"/>
      <c r="B41" s="7"/>
      <c r="C41" s="7"/>
      <c r="D41" s="7"/>
      <c r="E41" s="7"/>
      <c r="F41" s="7"/>
      <c r="G41" s="7"/>
      <c r="H41" s="7"/>
      <c r="I41" s="7"/>
    </row>
    <row r="42" spans="1:9" x14ac:dyDescent="0.2">
      <c r="A42" s="7"/>
      <c r="B42" s="7"/>
      <c r="C42" s="7"/>
      <c r="D42" s="7"/>
      <c r="E42" s="7"/>
      <c r="F42" s="7"/>
      <c r="G42" s="7"/>
      <c r="H42" s="7"/>
      <c r="I42" s="7"/>
    </row>
    <row r="43" spans="1:9" x14ac:dyDescent="0.2">
      <c r="A43" s="7"/>
      <c r="B43" s="7"/>
      <c r="C43" s="7"/>
      <c r="D43" s="7"/>
      <c r="E43" s="7"/>
      <c r="F43" s="7"/>
      <c r="G43" s="7"/>
      <c r="H43" s="7"/>
      <c r="I43" s="7"/>
    </row>
    <row r="44" spans="1:9" x14ac:dyDescent="0.2">
      <c r="A44" s="7"/>
      <c r="B44" s="7"/>
      <c r="C44" s="7"/>
      <c r="D44" s="7"/>
      <c r="E44" s="7"/>
      <c r="F44" s="7"/>
      <c r="G44" s="7"/>
      <c r="H44" s="7"/>
      <c r="I44" s="7"/>
    </row>
    <row r="45" spans="1:9" x14ac:dyDescent="0.2">
      <c r="A45" s="7"/>
      <c r="B45" s="7"/>
      <c r="C45" s="7"/>
      <c r="D45" s="7"/>
      <c r="E45" s="7"/>
      <c r="F45" s="7"/>
      <c r="G45" s="7"/>
      <c r="H45" s="7"/>
      <c r="I45" s="7"/>
    </row>
    <row r="46" spans="1:9" x14ac:dyDescent="0.2">
      <c r="A46" s="7"/>
      <c r="B46" s="7"/>
      <c r="C46" s="7"/>
      <c r="D46" s="7"/>
      <c r="E46" s="7"/>
      <c r="F46" s="7"/>
      <c r="G46" s="7"/>
      <c r="H46" s="7"/>
      <c r="I46" s="7"/>
    </row>
    <row r="47" spans="1:9" x14ac:dyDescent="0.2">
      <c r="A47" s="7"/>
      <c r="B47" s="7"/>
      <c r="C47" s="7"/>
      <c r="D47" s="7"/>
      <c r="E47" s="7"/>
      <c r="F47" s="7"/>
      <c r="G47" s="7"/>
      <c r="H47" s="7"/>
      <c r="I47" s="7"/>
    </row>
    <row r="48" spans="1:9" x14ac:dyDescent="0.2">
      <c r="A48" s="7"/>
      <c r="B48" s="7"/>
      <c r="C48" s="7"/>
      <c r="D48" s="7"/>
      <c r="E48" s="7"/>
      <c r="F48" s="7"/>
      <c r="G48" s="7"/>
      <c r="H48" s="7"/>
      <c r="I48" s="7"/>
    </row>
    <row r="49" spans="1:9" x14ac:dyDescent="0.2">
      <c r="A49" s="7"/>
      <c r="B49" s="7"/>
      <c r="C49" s="7"/>
      <c r="D49" s="7"/>
      <c r="E49" s="7"/>
      <c r="F49" s="7"/>
      <c r="G49" s="7"/>
      <c r="H49" s="7"/>
      <c r="I49" s="7"/>
    </row>
    <row r="50" spans="1:9" x14ac:dyDescent="0.2">
      <c r="A50" s="7"/>
      <c r="B50" s="7"/>
      <c r="C50" s="7"/>
      <c r="D50" s="7"/>
      <c r="E50" s="7"/>
      <c r="F50" s="7"/>
      <c r="G50" s="7"/>
      <c r="H50" s="7"/>
      <c r="I50" s="7"/>
    </row>
    <row r="51" spans="1:9" x14ac:dyDescent="0.2">
      <c r="A51" s="7"/>
      <c r="B51" s="7"/>
      <c r="C51" s="7"/>
      <c r="D51" s="7"/>
      <c r="E51" s="7"/>
      <c r="F51" s="7"/>
      <c r="G51" s="7"/>
      <c r="H51" s="7"/>
      <c r="I51" s="7"/>
    </row>
    <row r="52" spans="1:9" x14ac:dyDescent="0.2">
      <c r="A52" s="7"/>
      <c r="B52" s="7"/>
      <c r="C52" s="7"/>
      <c r="D52" s="7"/>
      <c r="E52" s="7"/>
      <c r="F52" s="7"/>
      <c r="G52" s="7"/>
      <c r="H52" s="7"/>
      <c r="I52" s="7"/>
    </row>
    <row r="53" spans="1:9" x14ac:dyDescent="0.2">
      <c r="A53" s="7"/>
      <c r="B53" s="7"/>
      <c r="C53" s="7"/>
      <c r="D53" s="7"/>
      <c r="E53" s="7"/>
      <c r="F53" s="7"/>
      <c r="G53" s="7"/>
      <c r="H53" s="7"/>
      <c r="I53" s="7"/>
    </row>
    <row r="54" spans="1:9" x14ac:dyDescent="0.2">
      <c r="A54" s="7"/>
      <c r="B54" s="7"/>
      <c r="C54" s="7"/>
      <c r="D54" s="7"/>
      <c r="E54" s="7"/>
      <c r="F54" s="7"/>
      <c r="G54" s="7"/>
      <c r="H54" s="7"/>
      <c r="I54" s="7"/>
    </row>
    <row r="55" spans="1:9" x14ac:dyDescent="0.2">
      <c r="A55" s="7"/>
      <c r="B55" s="7"/>
      <c r="C55" s="7"/>
      <c r="D55" s="7"/>
      <c r="E55" s="7"/>
      <c r="F55" s="7"/>
      <c r="G55" s="7"/>
      <c r="H55" s="7"/>
      <c r="I55" s="7"/>
    </row>
    <row r="56" spans="1:9" x14ac:dyDescent="0.2">
      <c r="A56" s="7"/>
      <c r="B56" s="7"/>
      <c r="C56" s="7"/>
      <c r="D56" s="7"/>
      <c r="E56" s="7"/>
      <c r="F56" s="7"/>
      <c r="G56" s="7"/>
      <c r="H56" s="7"/>
      <c r="I56" s="7"/>
    </row>
    <row r="57" spans="1:9" x14ac:dyDescent="0.2">
      <c r="A57" s="7"/>
      <c r="B57" s="7"/>
      <c r="C57" s="7"/>
      <c r="D57" s="7"/>
      <c r="E57" s="7"/>
      <c r="F57" s="7"/>
      <c r="G57" s="7"/>
      <c r="H57" s="7"/>
      <c r="I57" s="7"/>
    </row>
    <row r="58" spans="1:9" x14ac:dyDescent="0.2">
      <c r="A58" s="7"/>
      <c r="B58" s="7"/>
      <c r="C58" s="7"/>
      <c r="D58" s="7"/>
      <c r="E58" s="7"/>
      <c r="F58" s="7"/>
      <c r="G58" s="7"/>
      <c r="H58" s="7"/>
      <c r="I58" s="7"/>
    </row>
    <row r="59" spans="1:9" x14ac:dyDescent="0.2">
      <c r="A59" s="7"/>
      <c r="B59" s="7"/>
      <c r="C59" s="7"/>
      <c r="D59" s="7"/>
      <c r="E59" s="7"/>
      <c r="F59" s="7"/>
      <c r="G59" s="7"/>
      <c r="H59" s="7"/>
      <c r="I59" s="7"/>
    </row>
    <row r="60" spans="1:9" x14ac:dyDescent="0.2">
      <c r="A60" s="7"/>
      <c r="B60" s="7"/>
      <c r="C60" s="7"/>
      <c r="D60" s="7"/>
      <c r="E60" s="7"/>
      <c r="F60" s="7"/>
      <c r="G60" s="7"/>
      <c r="H60" s="7"/>
      <c r="I60" s="7"/>
    </row>
    <row r="61" spans="1:9" x14ac:dyDescent="0.2">
      <c r="A61" s="7"/>
      <c r="B61" s="7"/>
      <c r="C61" s="7"/>
      <c r="D61" s="7"/>
      <c r="E61" s="7"/>
      <c r="F61" s="7"/>
      <c r="G61" s="7"/>
      <c r="H61" s="7"/>
      <c r="I61" s="7"/>
    </row>
    <row r="62" spans="1:9" x14ac:dyDescent="0.2">
      <c r="A62" s="7"/>
      <c r="B62" s="7"/>
      <c r="C62" s="7"/>
      <c r="D62" s="7"/>
      <c r="E62" s="7"/>
      <c r="F62" s="7"/>
      <c r="G62" s="7"/>
      <c r="H62" s="7"/>
      <c r="I62" s="7"/>
    </row>
    <row r="63" spans="1:9" x14ac:dyDescent="0.2">
      <c r="A63" s="7"/>
      <c r="B63" s="7"/>
      <c r="C63" s="7"/>
      <c r="D63" s="7"/>
      <c r="E63" s="7"/>
      <c r="F63" s="7"/>
      <c r="G63" s="7"/>
      <c r="H63" s="7"/>
      <c r="I63" s="7"/>
    </row>
    <row r="64" spans="1:9" x14ac:dyDescent="0.2">
      <c r="A64" s="7"/>
      <c r="B64" s="7"/>
      <c r="C64" s="7"/>
      <c r="D64" s="7"/>
      <c r="E64" s="7"/>
      <c r="F64" s="7"/>
      <c r="G64" s="7"/>
      <c r="H64" s="7"/>
      <c r="I64" s="7"/>
    </row>
    <row r="65" spans="1:9" x14ac:dyDescent="0.2">
      <c r="A65" s="7"/>
      <c r="B65" s="7"/>
      <c r="C65" s="7"/>
      <c r="D65" s="7"/>
      <c r="E65" s="7"/>
      <c r="F65" s="7"/>
      <c r="G65" s="7"/>
      <c r="H65" s="7"/>
      <c r="I65" s="7"/>
    </row>
    <row r="66" spans="1:9" x14ac:dyDescent="0.2">
      <c r="A66" s="7"/>
      <c r="B66" s="7"/>
      <c r="C66" s="7"/>
      <c r="D66" s="7"/>
      <c r="E66" s="7"/>
      <c r="F66" s="7"/>
      <c r="G66" s="7"/>
      <c r="H66" s="7"/>
      <c r="I66" s="7"/>
    </row>
    <row r="67" spans="1:9" x14ac:dyDescent="0.2">
      <c r="A67" s="7"/>
      <c r="B67" s="7"/>
      <c r="C67" s="7"/>
      <c r="D67" s="7"/>
      <c r="E67" s="7"/>
      <c r="F67" s="7"/>
      <c r="G67" s="7"/>
      <c r="H67" s="7"/>
      <c r="I67" s="7"/>
    </row>
    <row r="68" spans="1:9" x14ac:dyDescent="0.2">
      <c r="A68" s="7"/>
      <c r="B68" s="7"/>
      <c r="C68" s="7"/>
      <c r="D68" s="7"/>
      <c r="E68" s="7"/>
      <c r="F68" s="7"/>
      <c r="G68" s="7"/>
      <c r="H68" s="7"/>
      <c r="I68" s="7"/>
    </row>
    <row r="69" spans="1:9" x14ac:dyDescent="0.2">
      <c r="A69" s="7"/>
      <c r="B69" s="7"/>
      <c r="C69" s="7"/>
      <c r="D69" s="7"/>
      <c r="E69" s="7"/>
      <c r="F69" s="7"/>
      <c r="G69" s="7"/>
      <c r="H69" s="7"/>
      <c r="I69" s="7"/>
    </row>
    <row r="70" spans="1:9" x14ac:dyDescent="0.2">
      <c r="A70" s="7"/>
      <c r="B70" s="7"/>
      <c r="C70" s="7"/>
      <c r="D70" s="7"/>
      <c r="E70" s="7"/>
      <c r="F70" s="7"/>
      <c r="G70" s="7"/>
      <c r="H70" s="7"/>
      <c r="I70" s="7"/>
    </row>
    <row r="71" spans="1:9" x14ac:dyDescent="0.2">
      <c r="A71" s="7"/>
      <c r="B71" s="7"/>
      <c r="C71" s="7"/>
      <c r="D71" s="7"/>
      <c r="E71" s="7"/>
      <c r="F71" s="7"/>
      <c r="G71" s="7"/>
      <c r="H71" s="7"/>
      <c r="I71" s="7"/>
    </row>
    <row r="72" spans="1:9" x14ac:dyDescent="0.2">
      <c r="A72" s="7"/>
      <c r="B72" s="7"/>
      <c r="C72" s="7"/>
      <c r="D72" s="7"/>
      <c r="E72" s="7"/>
      <c r="F72" s="7"/>
      <c r="G72" s="7"/>
      <c r="H72" s="7"/>
      <c r="I72" s="7"/>
    </row>
    <row r="73" spans="1:9" x14ac:dyDescent="0.2">
      <c r="A73" s="7"/>
      <c r="B73" s="7"/>
      <c r="C73" s="7"/>
      <c r="D73" s="7"/>
      <c r="E73" s="7"/>
      <c r="F73" s="7"/>
      <c r="G73" s="7"/>
      <c r="H73" s="7"/>
      <c r="I73" s="7"/>
    </row>
    <row r="74" spans="1:9" x14ac:dyDescent="0.2">
      <c r="A74" s="7"/>
      <c r="B74" s="7"/>
      <c r="C74" s="7"/>
      <c r="D74" s="7"/>
      <c r="E74" s="7"/>
      <c r="F74" s="7"/>
      <c r="G74" s="7"/>
      <c r="H74" s="7"/>
      <c r="I74" s="7"/>
    </row>
    <row r="75" spans="1:9" x14ac:dyDescent="0.2">
      <c r="A75" s="7"/>
      <c r="B75" s="7"/>
      <c r="C75" s="7"/>
      <c r="D75" s="7"/>
      <c r="E75" s="7"/>
      <c r="F75" s="7"/>
      <c r="G75" s="7"/>
      <c r="H75" s="7"/>
      <c r="I75" s="7"/>
    </row>
    <row r="76" spans="1:9" x14ac:dyDescent="0.2">
      <c r="A76" s="7"/>
      <c r="B76" s="7"/>
      <c r="C76" s="7"/>
      <c r="D76" s="7"/>
      <c r="E76" s="7"/>
      <c r="F76" s="7"/>
      <c r="G76" s="7"/>
      <c r="H76" s="7"/>
      <c r="I76" s="7"/>
    </row>
    <row r="77" spans="1:9" x14ac:dyDescent="0.2">
      <c r="A77" s="7"/>
      <c r="B77" s="7"/>
      <c r="C77" s="7"/>
      <c r="D77" s="7"/>
      <c r="E77" s="7"/>
      <c r="F77" s="7"/>
      <c r="G77" s="7"/>
      <c r="H77" s="7"/>
      <c r="I77" s="7"/>
    </row>
    <row r="78" spans="1:9" x14ac:dyDescent="0.2">
      <c r="A78" s="7"/>
      <c r="B78" s="7"/>
      <c r="C78" s="7"/>
      <c r="D78" s="7"/>
      <c r="E78" s="7"/>
      <c r="F78" s="7"/>
      <c r="G78" s="7"/>
      <c r="H78" s="7"/>
      <c r="I78" s="7"/>
    </row>
    <row r="79" spans="1:9" x14ac:dyDescent="0.2">
      <c r="A79" s="7"/>
      <c r="B79" s="7"/>
      <c r="C79" s="7"/>
      <c r="D79" s="7"/>
      <c r="E79" s="7"/>
      <c r="F79" s="7"/>
      <c r="G79" s="7"/>
      <c r="H79" s="7"/>
      <c r="I79" s="7"/>
    </row>
    <row r="80" spans="1:9" x14ac:dyDescent="0.2">
      <c r="A80" s="7"/>
      <c r="B80" s="7"/>
      <c r="C80" s="7"/>
      <c r="D80" s="7"/>
      <c r="E80" s="7"/>
      <c r="F80" s="7"/>
      <c r="G80" s="7"/>
      <c r="H80" s="7"/>
      <c r="I80" s="7"/>
    </row>
    <row r="81" spans="1:9" x14ac:dyDescent="0.2">
      <c r="A81" s="7"/>
      <c r="B81" s="7"/>
      <c r="C81" s="7"/>
      <c r="D81" s="7"/>
      <c r="E81" s="7"/>
      <c r="F81" s="7"/>
      <c r="G81" s="7"/>
      <c r="H81" s="7"/>
      <c r="I81" s="7"/>
    </row>
    <row r="82" spans="1:9" x14ac:dyDescent="0.2">
      <c r="A82" s="7"/>
      <c r="B82" s="7"/>
      <c r="C82" s="7"/>
      <c r="D82" s="7"/>
      <c r="E82" s="7"/>
      <c r="F82" s="7"/>
      <c r="G82" s="7"/>
      <c r="H82" s="7"/>
      <c r="I82" s="7"/>
    </row>
    <row r="83" spans="1:9" x14ac:dyDescent="0.2">
      <c r="A83" s="7"/>
      <c r="B83" s="7"/>
      <c r="C83" s="7"/>
      <c r="D83" s="7"/>
      <c r="E83" s="7"/>
      <c r="F83" s="7"/>
      <c r="G83" s="7"/>
      <c r="H83" s="7"/>
      <c r="I83" s="7"/>
    </row>
    <row r="84" spans="1:9" x14ac:dyDescent="0.2">
      <c r="A84" s="7"/>
      <c r="B84" s="7"/>
      <c r="C84" s="7"/>
      <c r="D84" s="7"/>
      <c r="E84" s="7"/>
      <c r="F84" s="7"/>
      <c r="G84" s="7"/>
      <c r="H84" s="7"/>
      <c r="I84" s="7"/>
    </row>
    <row r="85" spans="1:9" x14ac:dyDescent="0.2">
      <c r="A85" s="7"/>
      <c r="B85" s="7"/>
      <c r="C85" s="7"/>
      <c r="D85" s="7"/>
      <c r="E85" s="7"/>
      <c r="F85" s="7"/>
      <c r="G85" s="7"/>
      <c r="H85" s="7"/>
      <c r="I85" s="7"/>
    </row>
    <row r="86" spans="1:9" x14ac:dyDescent="0.2">
      <c r="A86" s="7"/>
      <c r="B86" s="7"/>
      <c r="C86" s="7"/>
      <c r="D86" s="7"/>
      <c r="E86" s="7"/>
      <c r="F86" s="7"/>
      <c r="G86" s="7"/>
      <c r="H86" s="7"/>
      <c r="I86" s="7"/>
    </row>
    <row r="87" spans="1:9" x14ac:dyDescent="0.2">
      <c r="A87" s="7"/>
      <c r="B87" s="7"/>
      <c r="C87" s="7"/>
      <c r="D87" s="7"/>
      <c r="E87" s="7"/>
      <c r="F87" s="7"/>
      <c r="G87" s="7"/>
      <c r="H87" s="7"/>
      <c r="I87" s="7"/>
    </row>
    <row r="88" spans="1:9" x14ac:dyDescent="0.2">
      <c r="A88" s="7"/>
      <c r="B88" s="7"/>
      <c r="C88" s="7"/>
      <c r="D88" s="7"/>
      <c r="E88" s="7"/>
      <c r="F88" s="7"/>
      <c r="G88" s="7"/>
      <c r="H88" s="7"/>
      <c r="I88" s="7"/>
    </row>
    <row r="89" spans="1:9" x14ac:dyDescent="0.2">
      <c r="A89" s="7"/>
      <c r="B89" s="7"/>
      <c r="C89" s="7"/>
      <c r="D89" s="7"/>
      <c r="E89" s="7"/>
      <c r="F89" s="7"/>
      <c r="G89" s="7"/>
      <c r="H89" s="7"/>
      <c r="I89" s="7"/>
    </row>
    <row r="90" spans="1:9" x14ac:dyDescent="0.2">
      <c r="A90" s="7"/>
      <c r="B90" s="7"/>
      <c r="C90" s="7"/>
      <c r="D90" s="7"/>
      <c r="E90" s="7"/>
      <c r="F90" s="7"/>
      <c r="G90" s="7"/>
      <c r="H90" s="7"/>
      <c r="I90" s="7"/>
    </row>
    <row r="91" spans="1:9" x14ac:dyDescent="0.2">
      <c r="A91" s="7"/>
      <c r="B91" s="7"/>
      <c r="C91" s="7"/>
      <c r="D91" s="7"/>
      <c r="E91" s="7"/>
      <c r="F91" s="7"/>
      <c r="G91" s="7"/>
      <c r="H91" s="7"/>
      <c r="I91" s="7"/>
    </row>
    <row r="92" spans="1:9" x14ac:dyDescent="0.2">
      <c r="A92" s="7"/>
      <c r="B92" s="7"/>
      <c r="C92" s="7"/>
      <c r="D92" s="7"/>
      <c r="E92" s="7"/>
      <c r="F92" s="7"/>
      <c r="G92" s="7"/>
      <c r="H92" s="7"/>
      <c r="I92" s="7"/>
    </row>
    <row r="93" spans="1:9" x14ac:dyDescent="0.2">
      <c r="A93" s="7"/>
      <c r="B93" s="7"/>
      <c r="C93" s="7"/>
      <c r="D93" s="7"/>
      <c r="E93" s="7"/>
      <c r="F93" s="7"/>
      <c r="G93" s="7"/>
      <c r="H93" s="7"/>
      <c r="I93" s="7"/>
    </row>
    <row r="94" spans="1:9" x14ac:dyDescent="0.2">
      <c r="A94" s="7"/>
      <c r="B94" s="7"/>
      <c r="C94" s="7"/>
      <c r="D94" s="7"/>
      <c r="E94" s="7"/>
      <c r="F94" s="7"/>
      <c r="G94" s="7"/>
      <c r="H94" s="7"/>
      <c r="I94" s="7"/>
    </row>
    <row r="95" spans="1:9" x14ac:dyDescent="0.2">
      <c r="A95" s="7"/>
      <c r="B95" s="7"/>
      <c r="C95" s="7"/>
      <c r="D95" s="7"/>
      <c r="E95" s="7"/>
      <c r="F95" s="7"/>
      <c r="G95" s="7"/>
      <c r="H95" s="7"/>
      <c r="I95" s="7"/>
    </row>
    <row r="96" spans="1:9" x14ac:dyDescent="0.2">
      <c r="A96" s="7"/>
      <c r="B96" s="7"/>
      <c r="C96" s="7"/>
      <c r="D96" s="7"/>
      <c r="E96" s="7"/>
      <c r="F96" s="7"/>
      <c r="G96" s="7"/>
      <c r="H96" s="7"/>
      <c r="I96" s="7"/>
    </row>
    <row r="97" spans="1:9" x14ac:dyDescent="0.2">
      <c r="A97" s="7"/>
      <c r="B97" s="7"/>
      <c r="C97" s="7"/>
      <c r="D97" s="7"/>
      <c r="E97" s="7"/>
      <c r="F97" s="7"/>
      <c r="G97" s="7"/>
      <c r="H97" s="7"/>
      <c r="I97" s="7"/>
    </row>
    <row r="98" spans="1:9" x14ac:dyDescent="0.2">
      <c r="A98" s="7"/>
      <c r="B98" s="7"/>
      <c r="C98" s="7"/>
      <c r="D98" s="7"/>
      <c r="E98" s="7"/>
      <c r="F98" s="7"/>
      <c r="G98" s="7"/>
      <c r="H98" s="7"/>
      <c r="I98" s="7"/>
    </row>
    <row r="99" spans="1:9" x14ac:dyDescent="0.2">
      <c r="A99" s="7"/>
      <c r="B99" s="7"/>
      <c r="C99" s="7"/>
      <c r="D99" s="7"/>
      <c r="E99" s="7"/>
      <c r="F99" s="7"/>
      <c r="G99" s="7"/>
      <c r="H99" s="7"/>
      <c r="I99" s="7"/>
    </row>
    <row r="100" spans="1:9" x14ac:dyDescent="0.2">
      <c r="A100" s="7"/>
      <c r="B100" s="7"/>
      <c r="C100" s="7"/>
      <c r="D100" s="7"/>
      <c r="E100" s="7"/>
      <c r="F100" s="7"/>
      <c r="G100" s="7"/>
      <c r="H100" s="7"/>
      <c r="I100" s="7"/>
    </row>
    <row r="101" spans="1:9" x14ac:dyDescent="0.2">
      <c r="A101" s="7"/>
      <c r="B101" s="7"/>
      <c r="C101" s="7"/>
      <c r="D101" s="7"/>
      <c r="E101" s="7"/>
      <c r="F101" s="7"/>
      <c r="G101" s="7"/>
      <c r="H101" s="7"/>
      <c r="I101" s="7"/>
    </row>
    <row r="102" spans="1:9" x14ac:dyDescent="0.2">
      <c r="A102" s="7"/>
      <c r="B102" s="7"/>
      <c r="C102" s="7"/>
      <c r="D102" s="7"/>
      <c r="E102" s="7"/>
      <c r="F102" s="7"/>
      <c r="G102" s="7"/>
      <c r="H102" s="7"/>
      <c r="I102" s="7"/>
    </row>
    <row r="103" spans="1:9" x14ac:dyDescent="0.2">
      <c r="A103" s="7"/>
      <c r="B103" s="7"/>
      <c r="C103" s="7"/>
      <c r="D103" s="7"/>
      <c r="E103" s="7"/>
      <c r="F103" s="7"/>
      <c r="G103" s="7"/>
      <c r="H103" s="7"/>
      <c r="I103" s="7"/>
    </row>
    <row r="104" spans="1:9" x14ac:dyDescent="0.2">
      <c r="A104" s="7"/>
      <c r="B104" s="7"/>
      <c r="C104" s="7"/>
      <c r="D104" s="7"/>
      <c r="E104" s="7"/>
      <c r="F104" s="7"/>
      <c r="G104" s="7"/>
      <c r="H104" s="7"/>
      <c r="I104" s="7"/>
    </row>
    <row r="105" spans="1:9" x14ac:dyDescent="0.2">
      <c r="A105" s="7"/>
      <c r="B105" s="7"/>
      <c r="C105" s="7"/>
      <c r="D105" s="7"/>
      <c r="E105" s="7"/>
      <c r="F105" s="7"/>
      <c r="G105" s="7"/>
      <c r="H105" s="7"/>
      <c r="I105" s="7"/>
    </row>
    <row r="106" spans="1:9" x14ac:dyDescent="0.2">
      <c r="A106" s="7"/>
      <c r="B106" s="7"/>
      <c r="C106" s="7"/>
      <c r="D106" s="7"/>
      <c r="E106" s="7"/>
      <c r="F106" s="7"/>
      <c r="G106" s="7"/>
      <c r="H106" s="7"/>
      <c r="I106" s="7"/>
    </row>
    <row r="107" spans="1:9" x14ac:dyDescent="0.2">
      <c r="A107" s="7"/>
      <c r="B107" s="7"/>
      <c r="C107" s="7"/>
      <c r="D107" s="7"/>
      <c r="E107" s="7"/>
      <c r="F107" s="7"/>
      <c r="G107" s="7"/>
      <c r="H107" s="7"/>
      <c r="I107" s="7"/>
    </row>
    <row r="108" spans="1:9" x14ac:dyDescent="0.2">
      <c r="A108" s="7"/>
      <c r="B108" s="7"/>
      <c r="C108" s="7"/>
      <c r="D108" s="7"/>
      <c r="E108" s="7"/>
      <c r="F108" s="7"/>
      <c r="G108" s="7"/>
      <c r="H108" s="7"/>
      <c r="I108" s="7"/>
    </row>
    <row r="109" spans="1:9" x14ac:dyDescent="0.2">
      <c r="A109" s="7"/>
      <c r="B109" s="7"/>
      <c r="C109" s="7"/>
      <c r="D109" s="7"/>
      <c r="E109" s="7"/>
      <c r="F109" s="7"/>
      <c r="G109" s="7"/>
      <c r="H109" s="7"/>
      <c r="I109" s="7"/>
    </row>
    <row r="110" spans="1:9" x14ac:dyDescent="0.2">
      <c r="A110" s="11" t="s">
        <v>1</v>
      </c>
      <c r="B110" s="12"/>
      <c r="C110" s="12"/>
      <c r="D110" s="13"/>
      <c r="E110" s="8"/>
      <c r="F110" s="8"/>
      <c r="G110" s="8"/>
      <c r="H110" s="8"/>
      <c r="I110" s="1"/>
    </row>
    <row r="111" spans="1:9" x14ac:dyDescent="0.2">
      <c r="A111" s="14" t="s">
        <v>15</v>
      </c>
      <c r="B111" s="15"/>
      <c r="C111" s="15"/>
      <c r="D111" s="16"/>
      <c r="E111" s="8"/>
      <c r="F111" s="8"/>
      <c r="G111" s="8"/>
      <c r="H111" s="8"/>
      <c r="I111" s="1"/>
    </row>
    <row r="112" spans="1:9" x14ac:dyDescent="0.2">
      <c r="A112" s="17" t="s">
        <v>62</v>
      </c>
      <c r="B112" s="18"/>
      <c r="C112" s="18"/>
      <c r="D112" s="19"/>
      <c r="E112" s="8"/>
      <c r="F112" s="8"/>
      <c r="G112" s="8"/>
      <c r="H112" s="8"/>
      <c r="I112" s="1"/>
    </row>
    <row r="113" spans="1:9" x14ac:dyDescent="0.2">
      <c r="A113" s="20"/>
      <c r="B113" s="21"/>
      <c r="C113" s="22"/>
      <c r="D113" s="23"/>
      <c r="E113" s="8"/>
      <c r="F113" s="8" t="s">
        <v>34</v>
      </c>
      <c r="G113" s="8"/>
      <c r="H113" s="8"/>
      <c r="I113" s="1"/>
    </row>
    <row r="114" spans="1:9" ht="15.75" x14ac:dyDescent="0.25">
      <c r="A114" s="24" t="s">
        <v>2</v>
      </c>
      <c r="B114" s="25" t="str">
        <f>[1]Charters!B119</f>
        <v>Roots Charter High School</v>
      </c>
      <c r="C114" s="26"/>
      <c r="D114" s="27"/>
      <c r="E114" s="8"/>
      <c r="F114" s="8"/>
      <c r="G114" s="8"/>
      <c r="H114" s="8"/>
      <c r="I114" s="1"/>
    </row>
    <row r="115" spans="1:9" x14ac:dyDescent="0.2">
      <c r="A115" s="24"/>
      <c r="B115" s="28"/>
      <c r="C115" s="26"/>
      <c r="D115" s="27"/>
      <c r="E115" s="8"/>
      <c r="F115" s="8"/>
      <c r="G115" s="8"/>
      <c r="H115" s="8"/>
      <c r="I115" s="1"/>
    </row>
    <row r="116" spans="1:9" x14ac:dyDescent="0.2">
      <c r="A116" s="29" t="s">
        <v>0</v>
      </c>
      <c r="B116" s="30">
        <f>[1]Charters!$E$6</f>
        <v>3184</v>
      </c>
      <c r="C116" s="26"/>
      <c r="D116" s="31"/>
      <c r="E116" s="8"/>
      <c r="F116" s="8"/>
      <c r="G116" s="8"/>
      <c r="H116" s="8"/>
      <c r="I116" s="1"/>
    </row>
    <row r="117" spans="1:9" x14ac:dyDescent="0.2">
      <c r="A117" s="32"/>
      <c r="B117" s="6"/>
      <c r="C117" s="33"/>
      <c r="D117" s="34" t="s">
        <v>3</v>
      </c>
      <c r="E117" s="8"/>
      <c r="F117" s="8"/>
      <c r="G117" s="8"/>
      <c r="H117" s="8"/>
      <c r="I117" s="1"/>
    </row>
    <row r="118" spans="1:9" x14ac:dyDescent="0.2">
      <c r="A118" s="29" t="s">
        <v>19</v>
      </c>
      <c r="B118" s="35" t="str">
        <f>[1]Charters!A119</f>
        <v>3K</v>
      </c>
      <c r="C118" s="36" t="s">
        <v>4</v>
      </c>
      <c r="D118" s="37" t="s">
        <v>5</v>
      </c>
      <c r="E118" s="8"/>
      <c r="F118" s="8"/>
      <c r="G118" s="8"/>
      <c r="H118" s="8"/>
      <c r="I118" s="1"/>
    </row>
    <row r="119" spans="1:9" x14ac:dyDescent="0.2">
      <c r="A119" s="38" t="s">
        <v>6</v>
      </c>
      <c r="B119" s="39"/>
      <c r="C119" s="40"/>
      <c r="D119" s="41"/>
      <c r="E119" s="8"/>
      <c r="F119" s="8"/>
      <c r="G119" s="8"/>
      <c r="H119" s="8"/>
      <c r="I119" s="1"/>
    </row>
    <row r="120" spans="1:9" x14ac:dyDescent="0.2">
      <c r="A120" s="38" t="s">
        <v>7</v>
      </c>
      <c r="B120" s="39"/>
      <c r="C120" s="40"/>
      <c r="D120" s="41"/>
      <c r="E120" s="8"/>
      <c r="F120" s="42" t="s">
        <v>23</v>
      </c>
      <c r="G120" s="8"/>
      <c r="H120" s="42" t="s">
        <v>26</v>
      </c>
      <c r="I120" s="1"/>
    </row>
    <row r="121" spans="1:9" x14ac:dyDescent="0.2">
      <c r="A121" s="20" t="s">
        <v>8</v>
      </c>
      <c r="B121" s="43"/>
      <c r="C121" s="44">
        <f>[1]Charters!C579</f>
        <v>186.95699999999999</v>
      </c>
      <c r="D121" s="45">
        <f>[1]Charters!E579</f>
        <v>595269.89</v>
      </c>
      <c r="E121" s="8"/>
      <c r="F121" s="42">
        <f>[1]Charters!E735</f>
        <v>630068.18000000005</v>
      </c>
      <c r="G121" s="8"/>
      <c r="H121" s="42">
        <f>[2]Charters!E273</f>
        <v>725471.1</v>
      </c>
      <c r="I121" s="1"/>
    </row>
    <row r="122" spans="1:9" x14ac:dyDescent="0.2">
      <c r="A122" s="20" t="s">
        <v>14</v>
      </c>
      <c r="B122" s="43"/>
      <c r="C122" s="44">
        <f>[1]Charters!F579</f>
        <v>10.929</v>
      </c>
      <c r="D122" s="45">
        <f>[1]Charters!H579</f>
        <v>34798.29</v>
      </c>
      <c r="E122" s="8"/>
      <c r="F122" s="42">
        <f>SUM(D121:D123)</f>
        <v>630068.18000000005</v>
      </c>
      <c r="G122" s="8"/>
      <c r="H122" s="42">
        <f>D134</f>
        <v>725471.1</v>
      </c>
      <c r="I122" s="1"/>
    </row>
    <row r="123" spans="1:9" x14ac:dyDescent="0.2">
      <c r="A123" s="20" t="s">
        <v>32</v>
      </c>
      <c r="B123" s="43"/>
      <c r="C123" s="44">
        <f>[1]Charters!C272</f>
        <v>0</v>
      </c>
      <c r="D123" s="45">
        <f>[1]Charters!E272</f>
        <v>0</v>
      </c>
      <c r="E123" s="8"/>
      <c r="F123" s="42">
        <f>+F121-F122</f>
        <v>0</v>
      </c>
      <c r="G123" s="8"/>
      <c r="H123" s="42">
        <f>+H121-H122</f>
        <v>0</v>
      </c>
      <c r="I123" s="1"/>
    </row>
    <row r="124" spans="1:9" x14ac:dyDescent="0.2">
      <c r="A124" s="38" t="s">
        <v>9</v>
      </c>
      <c r="B124" s="39"/>
      <c r="C124" s="46"/>
      <c r="D124" s="47"/>
      <c r="E124" s="8"/>
      <c r="F124" s="8"/>
      <c r="G124" s="8"/>
      <c r="H124" s="8"/>
      <c r="I124" s="1"/>
    </row>
    <row r="125" spans="1:9" x14ac:dyDescent="0.2">
      <c r="A125" s="20" t="s">
        <v>10</v>
      </c>
      <c r="B125" s="43"/>
      <c r="C125" s="40">
        <f>[3]Charters!C118</f>
        <v>21.75</v>
      </c>
      <c r="D125" s="41">
        <f>[3]Charters!E118</f>
        <v>69252</v>
      </c>
      <c r="E125" s="8"/>
      <c r="F125" s="42" t="s">
        <v>24</v>
      </c>
      <c r="G125" s="8"/>
      <c r="H125" s="8"/>
      <c r="I125" s="1"/>
    </row>
    <row r="126" spans="1:9" x14ac:dyDescent="0.2">
      <c r="A126" s="48" t="s">
        <v>11</v>
      </c>
      <c r="B126" s="43"/>
      <c r="C126" s="40">
        <f>[3]Charters!F118</f>
        <v>1.5609999999999999</v>
      </c>
      <c r="D126" s="49">
        <f>[3]Charters!H118</f>
        <v>4971.79</v>
      </c>
      <c r="E126" s="8"/>
      <c r="F126" s="42">
        <f>[3]Charters!N431</f>
        <v>79482.92</v>
      </c>
      <c r="G126" s="8"/>
      <c r="H126" s="8"/>
      <c r="I126" s="1"/>
    </row>
    <row r="127" spans="1:9" x14ac:dyDescent="0.2">
      <c r="A127" s="48" t="s">
        <v>12</v>
      </c>
      <c r="B127" s="43"/>
      <c r="C127" s="40">
        <f>[3]Charters!C273</f>
        <v>0</v>
      </c>
      <c r="D127" s="41">
        <f>[3]Charters!E273</f>
        <v>0</v>
      </c>
      <c r="E127" s="8"/>
      <c r="F127" s="42">
        <f>SUM(D125:D131)</f>
        <v>79482.92</v>
      </c>
      <c r="G127" s="8"/>
      <c r="H127" s="8"/>
      <c r="I127" s="1"/>
    </row>
    <row r="128" spans="1:9" x14ac:dyDescent="0.2">
      <c r="A128" s="20" t="s">
        <v>13</v>
      </c>
      <c r="B128" s="43"/>
      <c r="C128" s="40">
        <f>[3]Charters!F273</f>
        <v>0.70899999999999996</v>
      </c>
      <c r="D128" s="41">
        <f>[3]Charters!H273</f>
        <v>2259</v>
      </c>
      <c r="E128" s="8"/>
      <c r="F128" s="42">
        <f>+F126-F127</f>
        <v>0</v>
      </c>
      <c r="G128" s="8"/>
      <c r="H128" s="8"/>
      <c r="I128" s="1"/>
    </row>
    <row r="129" spans="1:9" x14ac:dyDescent="0.2">
      <c r="A129" s="48" t="s">
        <v>54</v>
      </c>
      <c r="B129" s="43"/>
      <c r="C129" s="40">
        <f>[3]Charters!C431</f>
        <v>0.94199999999999995</v>
      </c>
      <c r="D129" s="41">
        <f>[3]Charters!E431</f>
        <v>3000.13</v>
      </c>
      <c r="E129" s="8"/>
      <c r="F129" s="8"/>
      <c r="G129" s="8"/>
      <c r="H129" s="8"/>
      <c r="I129" s="1"/>
    </row>
    <row r="130" spans="1:9" x14ac:dyDescent="0.2">
      <c r="A130" s="48" t="s">
        <v>55</v>
      </c>
      <c r="B130" s="43"/>
      <c r="C130" s="40">
        <f>[3]Charters!F431</f>
        <v>0</v>
      </c>
      <c r="D130" s="41">
        <f>[3]Charters!H431</f>
        <v>0</v>
      </c>
      <c r="E130" s="8"/>
      <c r="F130" s="42" t="s">
        <v>25</v>
      </c>
      <c r="G130" s="8"/>
      <c r="H130" s="8"/>
      <c r="I130" s="1"/>
    </row>
    <row r="131" spans="1:9" x14ac:dyDescent="0.2">
      <c r="A131" s="48" t="s">
        <v>56</v>
      </c>
      <c r="B131" s="43"/>
      <c r="C131" s="40">
        <f>[3]Charters!I431</f>
        <v>0</v>
      </c>
      <c r="D131" s="41">
        <f>[3]Charters!K431</f>
        <v>0</v>
      </c>
      <c r="E131" s="8"/>
      <c r="F131" s="42">
        <f>[2]Charters!H119</f>
        <v>95402.92</v>
      </c>
      <c r="G131" s="8"/>
      <c r="H131" s="8"/>
      <c r="I131" s="1"/>
    </row>
    <row r="132" spans="1:9" x14ac:dyDescent="0.2">
      <c r="A132" s="20" t="s">
        <v>49</v>
      </c>
      <c r="B132" s="43"/>
      <c r="C132" s="40">
        <f>[3]Charters!C586</f>
        <v>5</v>
      </c>
      <c r="D132" s="41">
        <f>[3]Charters!E586</f>
        <v>15920</v>
      </c>
      <c r="E132" s="8"/>
      <c r="F132" s="42">
        <f>SUM(D125:D133)</f>
        <v>95402.92</v>
      </c>
      <c r="G132" s="8"/>
      <c r="H132" s="8"/>
      <c r="I132" s="1"/>
    </row>
    <row r="133" spans="1:9" x14ac:dyDescent="0.2">
      <c r="A133" s="20" t="s">
        <v>50</v>
      </c>
      <c r="B133" s="43"/>
      <c r="C133" s="40">
        <f>[2]Charters!C119</f>
        <v>0</v>
      </c>
      <c r="D133" s="41">
        <f>[2]Charters!E119</f>
        <v>0</v>
      </c>
      <c r="E133" s="8"/>
      <c r="F133" s="42">
        <f>+F131-F132</f>
        <v>0</v>
      </c>
      <c r="G133" s="8"/>
      <c r="H133" s="8"/>
      <c r="I133" s="1"/>
    </row>
    <row r="134" spans="1:9" x14ac:dyDescent="0.2">
      <c r="A134" s="50"/>
      <c r="B134" s="51" t="s">
        <v>16</v>
      </c>
      <c r="C134" s="52">
        <f>SUM(C121:C133)</f>
        <v>227.84800000000001</v>
      </c>
      <c r="D134" s="53">
        <f>SUM(D121:D133)</f>
        <v>725471.1</v>
      </c>
      <c r="E134" s="8"/>
      <c r="F134" s="8"/>
      <c r="G134" s="8"/>
      <c r="H134" s="8"/>
      <c r="I134" s="1"/>
    </row>
    <row r="135" spans="1:9" x14ac:dyDescent="0.2">
      <c r="A135" s="54" t="s">
        <v>17</v>
      </c>
      <c r="B135" s="39"/>
      <c r="C135" s="55"/>
      <c r="D135" s="47"/>
      <c r="E135" s="8"/>
      <c r="F135" s="8"/>
      <c r="G135" s="8"/>
      <c r="H135" s="42" t="s">
        <v>29</v>
      </c>
      <c r="I135" s="1"/>
    </row>
    <row r="136" spans="1:9" x14ac:dyDescent="0.2">
      <c r="A136" s="20" t="s">
        <v>33</v>
      </c>
      <c r="B136" s="43"/>
      <c r="C136" s="56"/>
      <c r="D136" s="57">
        <f>[4]Charters!C120</f>
        <v>2102.75</v>
      </c>
      <c r="E136" s="8"/>
      <c r="F136" s="8"/>
      <c r="G136" s="8"/>
      <c r="H136" s="42">
        <f>[4]Charters!F1059</f>
        <v>1159083.83</v>
      </c>
      <c r="I136" s="1"/>
    </row>
    <row r="137" spans="1:9" x14ac:dyDescent="0.2">
      <c r="A137" s="58" t="s">
        <v>35</v>
      </c>
      <c r="B137" s="43"/>
      <c r="C137" s="56"/>
      <c r="D137" s="41">
        <f>+[4]Charters!F441</f>
        <v>899.82</v>
      </c>
      <c r="E137" s="8"/>
      <c r="F137" s="8"/>
      <c r="G137" s="8"/>
      <c r="H137" s="42">
        <f>SUM(D134:D153)</f>
        <v>1159083.83</v>
      </c>
      <c r="I137" s="1"/>
    </row>
    <row r="138" spans="1:9" x14ac:dyDescent="0.2">
      <c r="A138" s="59" t="s">
        <v>36</v>
      </c>
      <c r="B138" s="43"/>
      <c r="C138" s="56"/>
      <c r="D138" s="41">
        <f>[4]Charters!E280</f>
        <v>6757</v>
      </c>
      <c r="E138" s="8"/>
      <c r="F138" s="8"/>
      <c r="G138" s="8"/>
      <c r="H138" s="42">
        <f>+H136-H137</f>
        <v>0</v>
      </c>
      <c r="I138" s="1"/>
    </row>
    <row r="139" spans="1:9" x14ac:dyDescent="0.2">
      <c r="A139" s="59" t="s">
        <v>52</v>
      </c>
      <c r="B139" s="43"/>
      <c r="C139" s="56"/>
      <c r="D139" s="41">
        <f>[4]Charters!G441</f>
        <v>0</v>
      </c>
      <c r="E139" s="8"/>
      <c r="F139" s="42" t="s">
        <v>27</v>
      </c>
      <c r="G139" s="8"/>
      <c r="H139" s="42"/>
      <c r="I139" s="1"/>
    </row>
    <row r="140" spans="1:9" x14ac:dyDescent="0.2">
      <c r="A140" s="20" t="s">
        <v>37</v>
      </c>
      <c r="B140" s="43"/>
      <c r="C140" s="56"/>
      <c r="D140" s="41">
        <f>[4]Charters!E597</f>
        <v>20996</v>
      </c>
      <c r="E140" s="8"/>
      <c r="F140" s="42">
        <f>[4]Charters!E280</f>
        <v>6757</v>
      </c>
      <c r="G140" s="8"/>
      <c r="H140" s="8"/>
      <c r="I140" s="1"/>
    </row>
    <row r="141" spans="1:9" x14ac:dyDescent="0.2">
      <c r="A141" s="20" t="s">
        <v>38</v>
      </c>
      <c r="B141" s="43"/>
      <c r="C141" s="56"/>
      <c r="D141" s="41">
        <f>[4]Charters!F597</f>
        <v>0</v>
      </c>
      <c r="E141" s="8"/>
      <c r="F141" s="42">
        <f>SUM(D138:D138)</f>
        <v>6757</v>
      </c>
      <c r="G141" s="8"/>
      <c r="H141" s="8"/>
      <c r="I141" s="1"/>
    </row>
    <row r="142" spans="1:9" x14ac:dyDescent="0.2">
      <c r="A142" s="59" t="s">
        <v>40</v>
      </c>
      <c r="B142" s="43"/>
      <c r="C142" s="56"/>
      <c r="D142" s="41">
        <f>[4]Charters!G597</f>
        <v>0</v>
      </c>
      <c r="E142" s="8"/>
      <c r="F142" s="42">
        <f>+F140-F141</f>
        <v>0</v>
      </c>
      <c r="G142" s="8"/>
      <c r="H142" s="8"/>
      <c r="I142" s="1"/>
    </row>
    <row r="143" spans="1:9" x14ac:dyDescent="0.2">
      <c r="A143" s="20" t="s">
        <v>41</v>
      </c>
      <c r="B143" s="43"/>
      <c r="C143" s="56"/>
      <c r="D143" s="41">
        <f>[4]Charters!C750</f>
        <v>332166</v>
      </c>
      <c r="E143" s="8"/>
      <c r="F143" s="42" t="s">
        <v>28</v>
      </c>
      <c r="G143" s="8"/>
      <c r="H143" s="8"/>
      <c r="I143" s="1"/>
    </row>
    <row r="144" spans="1:9" x14ac:dyDescent="0.2">
      <c r="A144" s="20" t="s">
        <v>42</v>
      </c>
      <c r="B144" s="43"/>
      <c r="C144" s="56"/>
      <c r="D144" s="41">
        <f>[4]Charters!D750</f>
        <v>45978.19</v>
      </c>
      <c r="E144" s="8"/>
      <c r="F144" s="42">
        <f>[4]Charters!D597</f>
        <v>7656.82</v>
      </c>
      <c r="G144" s="8"/>
      <c r="H144" s="8"/>
      <c r="I144" s="1"/>
    </row>
    <row r="145" spans="1:9" x14ac:dyDescent="0.2">
      <c r="A145" s="20" t="s">
        <v>44</v>
      </c>
      <c r="B145" s="43"/>
      <c r="C145" s="56"/>
      <c r="D145" s="41">
        <f>[4]Charters!E750</f>
        <v>16600</v>
      </c>
      <c r="E145" s="8"/>
      <c r="F145" s="42">
        <f>SUM(D137:D139)</f>
        <v>7656.82</v>
      </c>
      <c r="G145" s="8"/>
      <c r="H145" s="8"/>
      <c r="I145" s="1"/>
    </row>
    <row r="146" spans="1:9" x14ac:dyDescent="0.2">
      <c r="A146" s="59" t="s">
        <v>43</v>
      </c>
      <c r="B146" s="43"/>
      <c r="C146" s="56"/>
      <c r="D146" s="41">
        <f>[4]Charters!F750</f>
        <v>0</v>
      </c>
      <c r="E146" s="8"/>
      <c r="F146" s="42">
        <f>+F144-F145</f>
        <v>0</v>
      </c>
      <c r="G146" s="8"/>
      <c r="H146" s="8"/>
      <c r="I146" s="1"/>
    </row>
    <row r="147" spans="1:9" x14ac:dyDescent="0.2">
      <c r="A147" s="59" t="s">
        <v>45</v>
      </c>
      <c r="B147" s="43"/>
      <c r="C147" s="56"/>
      <c r="D147" s="41">
        <f>[4]Charters!C597</f>
        <v>0</v>
      </c>
      <c r="E147" s="8"/>
      <c r="F147" s="8"/>
      <c r="G147" s="8"/>
      <c r="H147" s="8"/>
      <c r="I147" s="1"/>
    </row>
    <row r="148" spans="1:9" x14ac:dyDescent="0.2">
      <c r="A148" s="59" t="s">
        <v>46</v>
      </c>
      <c r="B148" s="43"/>
      <c r="C148" s="56"/>
      <c r="D148" s="41">
        <f>[4]Charters!C906</f>
        <v>0</v>
      </c>
      <c r="E148" s="42"/>
      <c r="F148" s="42"/>
      <c r="G148" s="42"/>
      <c r="H148" s="42" t="s">
        <v>31</v>
      </c>
      <c r="I148" s="82"/>
    </row>
    <row r="149" spans="1:9" x14ac:dyDescent="0.2">
      <c r="A149" s="59" t="s">
        <v>51</v>
      </c>
      <c r="B149" s="43"/>
      <c r="C149" s="56"/>
      <c r="D149" s="60">
        <f>[4]Charters!D906</f>
        <v>365.61</v>
      </c>
      <c r="E149" s="42"/>
      <c r="F149" s="42"/>
      <c r="G149" s="42"/>
      <c r="H149" s="42">
        <f>[4]Charters!D1365</f>
        <v>1160850.3700000001</v>
      </c>
      <c r="I149" s="82"/>
    </row>
    <row r="150" spans="1:9" x14ac:dyDescent="0.2">
      <c r="A150" s="20" t="s">
        <v>47</v>
      </c>
      <c r="B150" s="43"/>
      <c r="C150" s="56"/>
      <c r="D150" s="60">
        <f>[4]Charters!E906</f>
        <v>0</v>
      </c>
      <c r="E150" s="42"/>
      <c r="F150" s="42"/>
      <c r="G150" s="42"/>
      <c r="H150" s="42">
        <f>D159</f>
        <v>1160850.3700000001</v>
      </c>
      <c r="I150" s="82"/>
    </row>
    <row r="151" spans="1:9" x14ac:dyDescent="0.2">
      <c r="A151" s="20" t="s">
        <v>57</v>
      </c>
      <c r="B151" s="43"/>
      <c r="C151" s="56"/>
      <c r="D151" s="60">
        <f>[4]Charters!C1059</f>
        <v>7747.36</v>
      </c>
      <c r="E151" s="42"/>
      <c r="F151" s="42"/>
      <c r="G151" s="42"/>
      <c r="H151" s="42">
        <f>+H149-H150</f>
        <v>0</v>
      </c>
      <c r="I151" s="82"/>
    </row>
    <row r="152" spans="1:9" x14ac:dyDescent="0.2">
      <c r="A152" s="59" t="s">
        <v>53</v>
      </c>
      <c r="B152" s="43"/>
      <c r="C152" s="56"/>
      <c r="D152" s="60">
        <f>[4]Charters!D1059</f>
        <v>0</v>
      </c>
      <c r="E152" s="42"/>
      <c r="F152" s="42" t="s">
        <v>30</v>
      </c>
      <c r="G152" s="42"/>
      <c r="H152" s="42"/>
      <c r="I152" s="82"/>
    </row>
    <row r="153" spans="1:9" x14ac:dyDescent="0.2">
      <c r="A153" s="59" t="s">
        <v>59</v>
      </c>
      <c r="B153" s="43"/>
      <c r="C153" s="56"/>
      <c r="D153" s="60">
        <f>[4]Charters!E1059</f>
        <v>0</v>
      </c>
      <c r="E153" s="42"/>
      <c r="F153" s="42"/>
      <c r="G153" s="42"/>
      <c r="H153" s="42"/>
      <c r="I153" s="82"/>
    </row>
    <row r="154" spans="1:9" x14ac:dyDescent="0.2">
      <c r="A154" s="38" t="s">
        <v>18</v>
      </c>
      <c r="B154" s="61"/>
      <c r="C154" s="62"/>
      <c r="D154" s="87"/>
      <c r="E154" s="42"/>
      <c r="F154" s="42">
        <f>[4]Charters!C1365</f>
        <v>1766.54</v>
      </c>
      <c r="G154" s="42"/>
      <c r="H154" s="42"/>
      <c r="I154" s="82"/>
    </row>
    <row r="155" spans="1:9" x14ac:dyDescent="0.2">
      <c r="A155" s="59" t="s">
        <v>39</v>
      </c>
      <c r="B155" s="43"/>
      <c r="C155" s="56"/>
      <c r="D155" s="41">
        <f>[4]Charters!C1212</f>
        <v>1766.54</v>
      </c>
      <c r="E155" s="42"/>
      <c r="F155" s="42">
        <f>SUM(D155:D158)</f>
        <v>1766.54</v>
      </c>
      <c r="G155" s="42"/>
      <c r="H155" s="42"/>
      <c r="I155" s="82"/>
    </row>
    <row r="156" spans="1:9" x14ac:dyDescent="0.2">
      <c r="A156" s="59" t="s">
        <v>48</v>
      </c>
      <c r="B156" s="43"/>
      <c r="C156" s="56"/>
      <c r="D156" s="41">
        <f>[4]Charters!D1212</f>
        <v>0</v>
      </c>
      <c r="E156" s="42"/>
      <c r="F156" s="42">
        <f>+F154-F155</f>
        <v>0</v>
      </c>
      <c r="G156" s="42"/>
      <c r="H156" s="42"/>
      <c r="I156" s="82"/>
    </row>
    <row r="157" spans="1:9" x14ac:dyDescent="0.2">
      <c r="A157" s="59" t="s">
        <v>60</v>
      </c>
      <c r="B157" s="43"/>
      <c r="C157" s="56"/>
      <c r="D157" s="41">
        <f>[4]Charters!E1212</f>
        <v>0</v>
      </c>
      <c r="E157" s="42"/>
      <c r="F157" s="42"/>
      <c r="G157" s="42"/>
      <c r="H157" s="42"/>
      <c r="I157" s="82"/>
    </row>
    <row r="158" spans="1:9" x14ac:dyDescent="0.2">
      <c r="A158" s="59" t="s">
        <v>61</v>
      </c>
      <c r="B158" s="43"/>
      <c r="C158" s="56"/>
      <c r="D158" s="41">
        <f>[4]Charters!F1212</f>
        <v>0</v>
      </c>
      <c r="E158" s="42"/>
      <c r="F158" s="42"/>
      <c r="G158" s="42"/>
      <c r="H158" s="42"/>
      <c r="I158" s="82"/>
    </row>
    <row r="159" spans="1:9" ht="13.5" thickBot="1" x14ac:dyDescent="0.25">
      <c r="A159" s="64"/>
      <c r="B159" s="65"/>
      <c r="C159" s="66"/>
      <c r="D159" s="67">
        <f>SUM(D134:D158)</f>
        <v>1160850.3700000001</v>
      </c>
      <c r="E159" s="42"/>
      <c r="F159" s="42"/>
      <c r="G159" s="42"/>
      <c r="H159" s="42"/>
      <c r="I159" s="82"/>
    </row>
    <row r="160" spans="1:9" ht="13.5" thickTop="1" x14ac:dyDescent="0.2">
      <c r="A160" s="68"/>
      <c r="B160" s="43"/>
      <c r="C160" s="56"/>
      <c r="D160" s="86"/>
      <c r="E160" s="42"/>
      <c r="F160" s="42"/>
      <c r="G160" s="42"/>
      <c r="H160" s="42"/>
      <c r="I160" s="82"/>
    </row>
    <row r="161" spans="1:9" x14ac:dyDescent="0.2">
      <c r="A161" s="38" t="s">
        <v>20</v>
      </c>
      <c r="B161" s="39"/>
      <c r="C161" s="70"/>
      <c r="D161" s="71" t="s">
        <v>21</v>
      </c>
      <c r="E161" s="42"/>
      <c r="F161" s="42"/>
      <c r="G161" s="42"/>
      <c r="H161" s="42"/>
      <c r="I161" s="82"/>
    </row>
    <row r="162" spans="1:9" x14ac:dyDescent="0.2">
      <c r="A162" s="72" t="s">
        <v>22</v>
      </c>
      <c r="B162" s="73"/>
      <c r="C162" s="74"/>
      <c r="D162" s="41">
        <f>[5]Charters!C118</f>
        <v>434.59</v>
      </c>
      <c r="E162" s="42"/>
      <c r="F162" s="42"/>
      <c r="G162" s="42"/>
      <c r="H162" s="42"/>
      <c r="I162" s="82"/>
    </row>
    <row r="163" spans="1:9" x14ac:dyDescent="0.2">
      <c r="A163" s="75"/>
      <c r="B163" s="61"/>
      <c r="C163" s="76"/>
      <c r="D163" s="77">
        <f>SUM(D162:D162)</f>
        <v>434.59</v>
      </c>
      <c r="E163" s="42"/>
      <c r="F163" s="42"/>
      <c r="G163" s="42"/>
      <c r="H163" s="42"/>
      <c r="I163" s="82"/>
    </row>
    <row r="164" spans="1:9" x14ac:dyDescent="0.2">
      <c r="A164" s="78" t="s">
        <v>58</v>
      </c>
      <c r="B164" s="79"/>
      <c r="C164" s="80"/>
      <c r="D164" s="77">
        <f>D163+D159</f>
        <v>1161284.96</v>
      </c>
      <c r="E164" s="42"/>
      <c r="F164" s="42"/>
      <c r="G164" s="42"/>
      <c r="H164" s="42"/>
      <c r="I164" s="82"/>
    </row>
    <row r="165" spans="1:9" x14ac:dyDescent="0.2">
      <c r="A165" s="84"/>
      <c r="B165" s="84"/>
      <c r="C165" s="85"/>
      <c r="D165" s="81"/>
      <c r="E165" s="42"/>
      <c r="F165" s="42"/>
      <c r="G165" s="42"/>
      <c r="H165" s="42"/>
      <c r="I165" s="82"/>
    </row>
    <row r="166" spans="1:9" x14ac:dyDescent="0.2">
      <c r="A166" s="84"/>
      <c r="B166" s="84"/>
      <c r="C166" s="85"/>
      <c r="D166" s="81">
        <f>[5]Charters!E274</f>
        <v>1161284.96</v>
      </c>
      <c r="E166" s="42"/>
      <c r="F166" s="42"/>
      <c r="G166" s="42"/>
      <c r="H166" s="42"/>
      <c r="I166" s="82"/>
    </row>
    <row r="167" spans="1:9" x14ac:dyDescent="0.2">
      <c r="A167" s="84"/>
      <c r="B167" s="84"/>
      <c r="C167" s="85"/>
      <c r="D167" s="81">
        <f>D164</f>
        <v>1161284.96</v>
      </c>
      <c r="E167" s="42"/>
      <c r="F167" s="42"/>
      <c r="G167" s="42"/>
      <c r="H167" s="42"/>
      <c r="I167" s="82"/>
    </row>
    <row r="168" spans="1:9" x14ac:dyDescent="0.2">
      <c r="A168" s="82"/>
      <c r="B168" s="82"/>
      <c r="C168" s="83"/>
      <c r="D168" s="42">
        <f>D166-D167</f>
        <v>0</v>
      </c>
      <c r="E168" s="42"/>
      <c r="F168" s="42"/>
      <c r="G168" s="42"/>
      <c r="H168" s="42"/>
      <c r="I168" s="82"/>
    </row>
  </sheetData>
  <mergeCells count="4">
    <mergeCell ref="A110:D110"/>
    <mergeCell ref="A111:D111"/>
    <mergeCell ref="A112:D112"/>
    <mergeCell ref="A164:C164"/>
  </mergeCells>
  <printOptions horizontalCentered="1" verticalCentered="1"/>
  <pageMargins left="0.7" right="0.7" top="0.75" bottom="0.75" header="0.3" footer="0.3"/>
  <pageSetup orientation="portrait" horizontalDpi="1200" r:id="rId1"/>
  <headerFooter>
    <oddHeader xml:space="preserve">&amp;R&amp;8Current as of : &amp;D&amp;10
</oddHeader>
    <oddFooter>&amp;L&amp;8USOE, School Finance</oddFooter>
  </headerFooter>
  <picture r:id="rId2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600-000000000000}">
  <dimension ref="A1:I169"/>
  <sheetViews>
    <sheetView topLeftCell="A106" workbookViewId="0">
      <selection activeCell="C12" sqref="C12"/>
    </sheetView>
  </sheetViews>
  <sheetFormatPr defaultRowHeight="12.75" x14ac:dyDescent="0.2"/>
  <cols>
    <col min="1" max="1" width="32" style="89" customWidth="1"/>
    <col min="2" max="2" width="16.42578125" style="89" customWidth="1"/>
    <col min="3" max="3" width="15" style="89" customWidth="1"/>
    <col min="4" max="4" width="14.85546875" style="89" customWidth="1"/>
    <col min="5" max="5" width="9.140625" style="89"/>
    <col min="6" max="6" width="13.7109375" style="89" customWidth="1"/>
    <col min="7" max="7" width="9.140625" style="89"/>
    <col min="8" max="8" width="14.42578125" style="89" customWidth="1"/>
    <col min="9" max="16384" width="9.140625" style="89"/>
  </cols>
  <sheetData>
    <row r="1" spans="1:9" x14ac:dyDescent="0.2">
      <c r="A1" s="7"/>
      <c r="B1" s="7"/>
      <c r="C1" s="7"/>
      <c r="D1" s="7"/>
      <c r="E1" s="7"/>
      <c r="F1" s="7"/>
      <c r="G1" s="7"/>
      <c r="H1" s="7"/>
      <c r="I1" s="7"/>
    </row>
    <row r="2" spans="1:9" x14ac:dyDescent="0.2">
      <c r="A2" s="7"/>
      <c r="B2" s="7"/>
      <c r="C2" s="7"/>
      <c r="D2" s="7"/>
      <c r="E2" s="7"/>
      <c r="F2" s="7"/>
      <c r="G2" s="7"/>
      <c r="H2" s="7"/>
      <c r="I2" s="7"/>
    </row>
    <row r="3" spans="1:9" x14ac:dyDescent="0.2">
      <c r="A3" s="7"/>
      <c r="B3" s="7"/>
      <c r="C3" s="7"/>
      <c r="D3" s="7"/>
      <c r="E3" s="7"/>
      <c r="F3" s="7"/>
      <c r="G3" s="7"/>
      <c r="H3" s="7"/>
      <c r="I3" s="7"/>
    </row>
    <row r="4" spans="1:9" x14ac:dyDescent="0.2">
      <c r="A4" s="7"/>
      <c r="B4" s="7"/>
      <c r="C4" s="7"/>
      <c r="D4" s="7"/>
      <c r="E4" s="7"/>
      <c r="F4" s="7"/>
      <c r="G4" s="7"/>
      <c r="H4" s="7"/>
      <c r="I4" s="7"/>
    </row>
    <row r="5" spans="1:9" x14ac:dyDescent="0.2">
      <c r="A5" s="7"/>
      <c r="B5" s="7"/>
      <c r="C5" s="7"/>
      <c r="D5" s="7"/>
      <c r="E5" s="7"/>
      <c r="F5" s="7"/>
      <c r="G5" s="7"/>
      <c r="H5" s="7"/>
      <c r="I5" s="7"/>
    </row>
    <row r="6" spans="1:9" x14ac:dyDescent="0.2">
      <c r="A6" s="7"/>
      <c r="B6" s="7"/>
      <c r="C6" s="7"/>
      <c r="D6" s="7"/>
      <c r="E6" s="7"/>
      <c r="F6" s="7"/>
      <c r="G6" s="7"/>
      <c r="H6" s="7"/>
      <c r="I6" s="7"/>
    </row>
    <row r="7" spans="1:9" x14ac:dyDescent="0.2">
      <c r="A7" s="7"/>
      <c r="B7" s="7"/>
      <c r="C7" s="7"/>
      <c r="D7" s="7"/>
      <c r="E7" s="7"/>
      <c r="F7" s="7"/>
      <c r="G7" s="7"/>
      <c r="H7" s="7"/>
      <c r="I7" s="7"/>
    </row>
    <row r="8" spans="1:9" x14ac:dyDescent="0.2">
      <c r="A8" s="7"/>
      <c r="B8" s="7"/>
      <c r="C8" s="7"/>
      <c r="D8" s="7"/>
      <c r="E8" s="7"/>
      <c r="F8" s="7"/>
      <c r="G8" s="7"/>
      <c r="H8" s="7"/>
      <c r="I8" s="7"/>
    </row>
    <row r="9" spans="1:9" x14ac:dyDescent="0.2">
      <c r="A9" s="7"/>
      <c r="B9" s="7"/>
      <c r="C9" s="7"/>
      <c r="D9" s="7"/>
      <c r="E9" s="7"/>
      <c r="F9" s="7"/>
      <c r="G9" s="7"/>
      <c r="H9" s="7"/>
      <c r="I9" s="7"/>
    </row>
    <row r="10" spans="1:9" x14ac:dyDescent="0.2">
      <c r="A10" s="7"/>
      <c r="B10" s="7"/>
      <c r="C10" s="7"/>
      <c r="D10" s="7"/>
      <c r="E10" s="7"/>
      <c r="F10" s="7"/>
      <c r="G10" s="7"/>
      <c r="H10" s="7"/>
      <c r="I10" s="7"/>
    </row>
    <row r="11" spans="1:9" x14ac:dyDescent="0.2">
      <c r="A11" s="7"/>
      <c r="B11" s="7"/>
      <c r="C11" s="7"/>
      <c r="D11" s="7"/>
      <c r="E11" s="7"/>
      <c r="F11" s="7"/>
      <c r="G11" s="7"/>
      <c r="H11" s="7"/>
      <c r="I11" s="7"/>
    </row>
    <row r="12" spans="1:9" x14ac:dyDescent="0.2">
      <c r="A12" s="7"/>
      <c r="B12" s="7"/>
      <c r="C12" s="7"/>
      <c r="D12" s="7"/>
      <c r="E12" s="7"/>
      <c r="F12" s="7"/>
      <c r="G12" s="7"/>
      <c r="H12" s="7"/>
      <c r="I12" s="7"/>
    </row>
    <row r="13" spans="1:9" x14ac:dyDescent="0.2">
      <c r="A13" s="7"/>
      <c r="B13" s="7"/>
      <c r="C13" s="7"/>
      <c r="D13" s="7"/>
      <c r="E13" s="7"/>
      <c r="F13" s="7"/>
      <c r="G13" s="7"/>
      <c r="H13" s="7"/>
      <c r="I13" s="7"/>
    </row>
    <row r="14" spans="1:9" x14ac:dyDescent="0.2">
      <c r="A14" s="7"/>
      <c r="B14" s="7"/>
      <c r="C14" s="7"/>
      <c r="D14" s="7"/>
      <c r="E14" s="7"/>
      <c r="F14" s="7"/>
      <c r="G14" s="7"/>
      <c r="H14" s="7"/>
      <c r="I14" s="7"/>
    </row>
    <row r="15" spans="1:9" x14ac:dyDescent="0.2">
      <c r="A15" s="7"/>
      <c r="B15" s="7"/>
      <c r="C15" s="7"/>
      <c r="D15" s="7"/>
      <c r="E15" s="7"/>
      <c r="F15" s="7"/>
      <c r="G15" s="7"/>
      <c r="H15" s="7"/>
      <c r="I15" s="7"/>
    </row>
    <row r="16" spans="1:9" x14ac:dyDescent="0.2">
      <c r="A16" s="7"/>
      <c r="B16" s="7"/>
      <c r="C16" s="7"/>
      <c r="D16" s="7"/>
      <c r="E16" s="7"/>
      <c r="F16" s="7"/>
      <c r="G16" s="7"/>
      <c r="H16" s="7"/>
      <c r="I16" s="7"/>
    </row>
    <row r="17" spans="1:9" x14ac:dyDescent="0.2">
      <c r="A17" s="7"/>
      <c r="B17" s="7"/>
      <c r="C17" s="7"/>
      <c r="D17" s="7"/>
      <c r="E17" s="7"/>
      <c r="F17" s="7"/>
      <c r="G17" s="7"/>
      <c r="H17" s="7"/>
      <c r="I17" s="7"/>
    </row>
    <row r="18" spans="1:9" x14ac:dyDescent="0.2">
      <c r="A18" s="7"/>
      <c r="B18" s="7"/>
      <c r="C18" s="7"/>
      <c r="D18" s="7"/>
      <c r="E18" s="7"/>
      <c r="F18" s="7"/>
      <c r="G18" s="7"/>
      <c r="H18" s="7"/>
      <c r="I18" s="7"/>
    </row>
    <row r="19" spans="1:9" x14ac:dyDescent="0.2">
      <c r="A19" s="7"/>
      <c r="B19" s="7"/>
      <c r="C19" s="7"/>
      <c r="D19" s="7"/>
      <c r="E19" s="7"/>
      <c r="F19" s="7"/>
      <c r="G19" s="7"/>
      <c r="H19" s="7"/>
      <c r="I19" s="7"/>
    </row>
    <row r="20" spans="1:9" x14ac:dyDescent="0.2">
      <c r="A20" s="7"/>
      <c r="B20" s="7"/>
      <c r="C20" s="7"/>
      <c r="D20" s="7"/>
      <c r="E20" s="7"/>
      <c r="F20" s="7"/>
      <c r="G20" s="7"/>
      <c r="H20" s="7"/>
      <c r="I20" s="7"/>
    </row>
    <row r="21" spans="1:9" x14ac:dyDescent="0.2">
      <c r="A21" s="7"/>
      <c r="B21" s="7"/>
      <c r="C21" s="7"/>
      <c r="D21" s="7"/>
      <c r="E21" s="7"/>
      <c r="F21" s="7"/>
      <c r="G21" s="7"/>
      <c r="H21" s="7"/>
      <c r="I21" s="7"/>
    </row>
    <row r="22" spans="1:9" x14ac:dyDescent="0.2">
      <c r="A22" s="7"/>
      <c r="B22" s="7"/>
      <c r="C22" s="7"/>
      <c r="D22" s="4"/>
      <c r="E22" s="7"/>
      <c r="F22" s="7"/>
      <c r="G22" s="7"/>
      <c r="H22" s="7"/>
      <c r="I22" s="7"/>
    </row>
    <row r="23" spans="1:9" x14ac:dyDescent="0.2">
      <c r="A23" s="7"/>
      <c r="B23" s="7"/>
      <c r="C23" s="7"/>
      <c r="D23" s="7"/>
      <c r="E23" s="7"/>
      <c r="F23" s="7"/>
      <c r="G23" s="7"/>
      <c r="H23" s="7"/>
      <c r="I23" s="7"/>
    </row>
    <row r="24" spans="1:9" x14ac:dyDescent="0.2">
      <c r="A24" s="7"/>
      <c r="B24" s="7"/>
      <c r="C24" s="7"/>
      <c r="D24" s="7"/>
      <c r="E24" s="7"/>
      <c r="F24" s="7"/>
      <c r="G24" s="7"/>
      <c r="H24" s="7"/>
      <c r="I24" s="7"/>
    </row>
    <row r="25" spans="1:9" x14ac:dyDescent="0.2">
      <c r="A25" s="7"/>
      <c r="B25" s="7"/>
      <c r="C25" s="7"/>
      <c r="D25" s="7"/>
      <c r="E25" s="7"/>
      <c r="F25" s="7"/>
      <c r="G25" s="7"/>
      <c r="H25" s="7"/>
      <c r="I25" s="7"/>
    </row>
    <row r="26" spans="1:9" x14ac:dyDescent="0.2">
      <c r="A26" s="7"/>
      <c r="B26" s="7"/>
      <c r="C26" s="7"/>
      <c r="D26" s="7"/>
      <c r="E26" s="7"/>
      <c r="F26" s="7"/>
      <c r="G26" s="7"/>
      <c r="H26" s="7"/>
      <c r="I26" s="7"/>
    </row>
    <row r="27" spans="1:9" x14ac:dyDescent="0.2">
      <c r="A27" s="7"/>
      <c r="B27" s="7"/>
      <c r="C27" s="7"/>
      <c r="D27" s="7"/>
      <c r="E27" s="7"/>
      <c r="F27" s="7"/>
      <c r="G27" s="7"/>
      <c r="H27" s="7"/>
      <c r="I27" s="7"/>
    </row>
    <row r="28" spans="1:9" x14ac:dyDescent="0.2">
      <c r="A28" s="7"/>
      <c r="B28" s="7"/>
      <c r="C28" s="7"/>
      <c r="D28" s="7"/>
      <c r="E28" s="7"/>
      <c r="F28" s="7"/>
      <c r="G28" s="7"/>
      <c r="H28" s="7"/>
      <c r="I28" s="7"/>
    </row>
    <row r="29" spans="1:9" x14ac:dyDescent="0.2">
      <c r="A29" s="7"/>
      <c r="B29" s="7"/>
      <c r="C29" s="7"/>
      <c r="D29" s="7"/>
      <c r="E29" s="7"/>
      <c r="F29" s="7"/>
      <c r="G29" s="7"/>
      <c r="H29" s="7"/>
      <c r="I29" s="7"/>
    </row>
    <row r="30" spans="1:9" x14ac:dyDescent="0.2">
      <c r="A30" s="7"/>
      <c r="B30" s="7"/>
      <c r="C30" s="7"/>
      <c r="D30" s="7"/>
      <c r="E30" s="7"/>
      <c r="F30" s="7"/>
      <c r="G30" s="7"/>
      <c r="H30" s="7"/>
      <c r="I30" s="7"/>
    </row>
    <row r="31" spans="1:9" x14ac:dyDescent="0.2">
      <c r="A31" s="7"/>
      <c r="B31" s="7"/>
      <c r="C31" s="7"/>
      <c r="D31" s="7"/>
      <c r="E31" s="7"/>
      <c r="F31" s="7"/>
      <c r="G31" s="7"/>
      <c r="H31" s="7"/>
      <c r="I31" s="7"/>
    </row>
    <row r="32" spans="1:9" x14ac:dyDescent="0.2">
      <c r="A32" s="7"/>
      <c r="B32" s="7"/>
      <c r="C32" s="7"/>
      <c r="D32" s="7"/>
      <c r="E32" s="7"/>
      <c r="F32" s="7"/>
      <c r="G32" s="7"/>
      <c r="H32" s="7"/>
      <c r="I32" s="7"/>
    </row>
    <row r="33" spans="1:9" x14ac:dyDescent="0.2">
      <c r="A33" s="7"/>
      <c r="B33" s="7"/>
      <c r="C33" s="7"/>
      <c r="D33" s="7"/>
      <c r="E33" s="7"/>
      <c r="F33" s="7"/>
      <c r="G33" s="7"/>
      <c r="H33" s="7"/>
      <c r="I33" s="7"/>
    </row>
    <row r="34" spans="1:9" x14ac:dyDescent="0.2">
      <c r="A34" s="7"/>
      <c r="B34" s="7"/>
      <c r="C34" s="7"/>
      <c r="D34" s="7"/>
      <c r="E34" s="7"/>
      <c r="F34" s="7"/>
      <c r="G34" s="7"/>
      <c r="H34" s="7"/>
      <c r="I34" s="7"/>
    </row>
    <row r="35" spans="1:9" x14ac:dyDescent="0.2">
      <c r="A35" s="7"/>
      <c r="B35" s="7"/>
      <c r="C35" s="7"/>
      <c r="D35" s="7"/>
      <c r="E35" s="7"/>
      <c r="F35" s="7"/>
      <c r="G35" s="7"/>
      <c r="H35" s="7"/>
      <c r="I35" s="7"/>
    </row>
    <row r="36" spans="1:9" x14ac:dyDescent="0.2">
      <c r="A36" s="7"/>
      <c r="B36" s="7"/>
      <c r="C36" s="7"/>
      <c r="D36" s="7"/>
      <c r="E36" s="7"/>
      <c r="F36" s="7"/>
      <c r="G36" s="7"/>
      <c r="H36" s="7"/>
      <c r="I36" s="7"/>
    </row>
    <row r="37" spans="1:9" x14ac:dyDescent="0.2">
      <c r="A37" s="7"/>
      <c r="B37" s="7"/>
      <c r="C37" s="7"/>
      <c r="D37" s="7"/>
      <c r="E37" s="7"/>
      <c r="F37" s="7"/>
      <c r="G37" s="7"/>
      <c r="H37" s="7"/>
      <c r="I37" s="7"/>
    </row>
    <row r="38" spans="1:9" x14ac:dyDescent="0.2">
      <c r="A38" s="7"/>
      <c r="B38" s="7"/>
      <c r="C38" s="7"/>
      <c r="D38" s="7"/>
      <c r="E38" s="7"/>
      <c r="F38" s="7"/>
      <c r="G38" s="7"/>
      <c r="H38" s="7"/>
      <c r="I38" s="7"/>
    </row>
    <row r="39" spans="1:9" x14ac:dyDescent="0.2">
      <c r="A39" s="7"/>
      <c r="B39" s="7"/>
      <c r="C39" s="7"/>
      <c r="D39" s="7"/>
      <c r="E39" s="7"/>
      <c r="F39" s="7"/>
      <c r="G39" s="7"/>
      <c r="H39" s="7"/>
      <c r="I39" s="7"/>
    </row>
    <row r="40" spans="1:9" x14ac:dyDescent="0.2">
      <c r="A40" s="7"/>
      <c r="B40" s="7"/>
      <c r="C40" s="7"/>
      <c r="D40" s="7"/>
      <c r="E40" s="7"/>
      <c r="F40" s="7"/>
      <c r="G40" s="7"/>
      <c r="H40" s="7"/>
      <c r="I40" s="7"/>
    </row>
    <row r="41" spans="1:9" x14ac:dyDescent="0.2">
      <c r="A41" s="7"/>
      <c r="B41" s="7"/>
      <c r="C41" s="7"/>
      <c r="D41" s="7"/>
      <c r="E41" s="7"/>
      <c r="F41" s="7"/>
      <c r="G41" s="7"/>
      <c r="H41" s="7"/>
      <c r="I41" s="7"/>
    </row>
    <row r="42" spans="1:9" x14ac:dyDescent="0.2">
      <c r="A42" s="7"/>
      <c r="B42" s="7"/>
      <c r="C42" s="7"/>
      <c r="D42" s="7"/>
      <c r="E42" s="7"/>
      <c r="F42" s="7"/>
      <c r="G42" s="7"/>
      <c r="H42" s="7"/>
      <c r="I42" s="7"/>
    </row>
    <row r="43" spans="1:9" x14ac:dyDescent="0.2">
      <c r="A43" s="7"/>
      <c r="B43" s="7"/>
      <c r="C43" s="7"/>
      <c r="D43" s="7"/>
      <c r="E43" s="7"/>
      <c r="F43" s="7"/>
      <c r="G43" s="7"/>
      <c r="H43" s="7"/>
      <c r="I43" s="7"/>
    </row>
    <row r="44" spans="1:9" x14ac:dyDescent="0.2">
      <c r="A44" s="7"/>
      <c r="B44" s="7"/>
      <c r="C44" s="7"/>
      <c r="D44" s="7"/>
      <c r="E44" s="7"/>
      <c r="F44" s="7"/>
      <c r="G44" s="7"/>
      <c r="H44" s="7"/>
      <c r="I44" s="7"/>
    </row>
    <row r="45" spans="1:9" x14ac:dyDescent="0.2">
      <c r="A45" s="7"/>
      <c r="B45" s="7"/>
      <c r="C45" s="7"/>
      <c r="D45" s="7"/>
      <c r="E45" s="7"/>
      <c r="F45" s="7"/>
      <c r="G45" s="7"/>
      <c r="H45" s="7"/>
      <c r="I45" s="7"/>
    </row>
    <row r="46" spans="1:9" x14ac:dyDescent="0.2">
      <c r="A46" s="7"/>
      <c r="B46" s="7"/>
      <c r="C46" s="7"/>
      <c r="D46" s="7"/>
      <c r="E46" s="7"/>
      <c r="F46" s="7"/>
      <c r="G46" s="7"/>
      <c r="H46" s="7"/>
      <c r="I46" s="7"/>
    </row>
    <row r="47" spans="1:9" x14ac:dyDescent="0.2">
      <c r="A47" s="7"/>
      <c r="B47" s="7"/>
      <c r="C47" s="7"/>
      <c r="D47" s="7"/>
      <c r="E47" s="7"/>
      <c r="F47" s="7"/>
      <c r="G47" s="7"/>
      <c r="H47" s="7"/>
      <c r="I47" s="7"/>
    </row>
    <row r="48" spans="1:9" x14ac:dyDescent="0.2">
      <c r="A48" s="7"/>
      <c r="B48" s="7"/>
      <c r="C48" s="7"/>
      <c r="D48" s="7"/>
      <c r="E48" s="7"/>
      <c r="F48" s="7"/>
      <c r="G48" s="7"/>
      <c r="H48" s="7"/>
      <c r="I48" s="7"/>
    </row>
    <row r="49" spans="1:9" x14ac:dyDescent="0.2">
      <c r="A49" s="7"/>
      <c r="B49" s="7"/>
      <c r="C49" s="7"/>
      <c r="D49" s="7"/>
      <c r="E49" s="7"/>
      <c r="F49" s="7"/>
      <c r="G49" s="7"/>
      <c r="H49" s="7"/>
      <c r="I49" s="7"/>
    </row>
    <row r="50" spans="1:9" x14ac:dyDescent="0.2">
      <c r="A50" s="7"/>
      <c r="B50" s="7"/>
      <c r="C50" s="7"/>
      <c r="D50" s="7"/>
      <c r="E50" s="7"/>
      <c r="F50" s="7"/>
      <c r="G50" s="7"/>
      <c r="H50" s="7"/>
      <c r="I50" s="7"/>
    </row>
    <row r="51" spans="1:9" x14ac:dyDescent="0.2">
      <c r="A51" s="7"/>
      <c r="B51" s="7"/>
      <c r="C51" s="7"/>
      <c r="D51" s="7"/>
      <c r="E51" s="7"/>
      <c r="F51" s="7"/>
      <c r="G51" s="7"/>
      <c r="H51" s="7"/>
      <c r="I51" s="7"/>
    </row>
    <row r="52" spans="1:9" x14ac:dyDescent="0.2">
      <c r="A52" s="7"/>
      <c r="B52" s="7"/>
      <c r="C52" s="7"/>
      <c r="D52" s="7"/>
      <c r="E52" s="7"/>
      <c r="F52" s="7"/>
      <c r="G52" s="7"/>
      <c r="H52" s="7"/>
      <c r="I52" s="7"/>
    </row>
    <row r="53" spans="1:9" x14ac:dyDescent="0.2">
      <c r="A53" s="7"/>
      <c r="B53" s="7"/>
      <c r="C53" s="7"/>
      <c r="D53" s="7"/>
      <c r="E53" s="7"/>
      <c r="F53" s="7"/>
      <c r="G53" s="7"/>
      <c r="H53" s="7"/>
      <c r="I53" s="7"/>
    </row>
    <row r="54" spans="1:9" x14ac:dyDescent="0.2">
      <c r="A54" s="7"/>
      <c r="B54" s="7"/>
      <c r="C54" s="7"/>
      <c r="D54" s="7"/>
      <c r="E54" s="7"/>
      <c r="F54" s="7"/>
      <c r="G54" s="7"/>
      <c r="H54" s="7"/>
      <c r="I54" s="7"/>
    </row>
    <row r="55" spans="1:9" x14ac:dyDescent="0.2">
      <c r="A55" s="7"/>
      <c r="B55" s="7"/>
      <c r="C55" s="7"/>
      <c r="D55" s="7"/>
      <c r="E55" s="7"/>
      <c r="F55" s="7"/>
      <c r="G55" s="7"/>
      <c r="H55" s="7"/>
      <c r="I55" s="7"/>
    </row>
    <row r="56" spans="1:9" x14ac:dyDescent="0.2">
      <c r="A56" s="7"/>
      <c r="B56" s="7"/>
      <c r="C56" s="7"/>
      <c r="D56" s="7"/>
      <c r="E56" s="7"/>
      <c r="F56" s="7"/>
      <c r="G56" s="7"/>
      <c r="H56" s="7"/>
      <c r="I56" s="7"/>
    </row>
    <row r="57" spans="1:9" x14ac:dyDescent="0.2">
      <c r="A57" s="7"/>
      <c r="B57" s="7"/>
      <c r="C57" s="7"/>
      <c r="D57" s="7"/>
      <c r="E57" s="7"/>
      <c r="F57" s="7"/>
      <c r="G57" s="7"/>
      <c r="H57" s="7"/>
      <c r="I57" s="7"/>
    </row>
    <row r="58" spans="1:9" x14ac:dyDescent="0.2">
      <c r="A58" s="7"/>
      <c r="B58" s="7"/>
      <c r="C58" s="7"/>
      <c r="D58" s="7"/>
      <c r="E58" s="7"/>
      <c r="F58" s="7"/>
      <c r="G58" s="7"/>
      <c r="H58" s="7"/>
      <c r="I58" s="7"/>
    </row>
    <row r="59" spans="1:9" x14ac:dyDescent="0.2">
      <c r="A59" s="7"/>
      <c r="B59" s="7"/>
      <c r="C59" s="7"/>
      <c r="D59" s="7"/>
      <c r="E59" s="7"/>
      <c r="F59" s="7"/>
      <c r="G59" s="7"/>
      <c r="H59" s="7"/>
      <c r="I59" s="7"/>
    </row>
    <row r="60" spans="1:9" x14ac:dyDescent="0.2">
      <c r="A60" s="7"/>
      <c r="B60" s="7"/>
      <c r="C60" s="7"/>
      <c r="D60" s="7"/>
      <c r="E60" s="7"/>
      <c r="F60" s="7"/>
      <c r="G60" s="7"/>
      <c r="H60" s="7"/>
      <c r="I60" s="7"/>
    </row>
    <row r="61" spans="1:9" x14ac:dyDescent="0.2">
      <c r="A61" s="7"/>
      <c r="B61" s="7"/>
      <c r="C61" s="7"/>
      <c r="D61" s="7"/>
      <c r="E61" s="7"/>
      <c r="F61" s="7"/>
      <c r="G61" s="7"/>
      <c r="H61" s="7"/>
      <c r="I61" s="7"/>
    </row>
    <row r="62" spans="1:9" x14ac:dyDescent="0.2">
      <c r="A62" s="7"/>
      <c r="B62" s="7"/>
      <c r="C62" s="7"/>
      <c r="D62" s="7"/>
      <c r="E62" s="7"/>
      <c r="F62" s="7"/>
      <c r="G62" s="7"/>
      <c r="H62" s="7"/>
      <c r="I62" s="7"/>
    </row>
    <row r="63" spans="1:9" x14ac:dyDescent="0.2">
      <c r="A63" s="7"/>
      <c r="B63" s="7"/>
      <c r="C63" s="7"/>
      <c r="D63" s="7"/>
      <c r="E63" s="7"/>
      <c r="F63" s="7"/>
      <c r="G63" s="7"/>
      <c r="H63" s="7"/>
      <c r="I63" s="7"/>
    </row>
    <row r="64" spans="1:9" x14ac:dyDescent="0.2">
      <c r="A64" s="7"/>
      <c r="B64" s="7"/>
      <c r="C64" s="7"/>
      <c r="D64" s="7"/>
      <c r="E64" s="7"/>
      <c r="F64" s="7"/>
      <c r="G64" s="7"/>
      <c r="H64" s="7"/>
      <c r="I64" s="7"/>
    </row>
    <row r="65" spans="1:9" x14ac:dyDescent="0.2">
      <c r="A65" s="7"/>
      <c r="B65" s="7"/>
      <c r="C65" s="7"/>
      <c r="D65" s="7"/>
      <c r="E65" s="7"/>
      <c r="F65" s="7"/>
      <c r="G65" s="7"/>
      <c r="H65" s="7"/>
      <c r="I65" s="7"/>
    </row>
    <row r="66" spans="1:9" x14ac:dyDescent="0.2">
      <c r="A66" s="7"/>
      <c r="B66" s="7"/>
      <c r="C66" s="7"/>
      <c r="D66" s="7"/>
      <c r="E66" s="7"/>
      <c r="F66" s="7"/>
      <c r="G66" s="7"/>
      <c r="H66" s="7"/>
      <c r="I66" s="7"/>
    </row>
    <row r="67" spans="1:9" x14ac:dyDescent="0.2">
      <c r="A67" s="7"/>
      <c r="B67" s="7"/>
      <c r="C67" s="7"/>
      <c r="D67" s="7"/>
      <c r="E67" s="7"/>
      <c r="F67" s="7"/>
      <c r="G67" s="7"/>
      <c r="H67" s="7"/>
      <c r="I67" s="7"/>
    </row>
    <row r="68" spans="1:9" x14ac:dyDescent="0.2">
      <c r="A68" s="7"/>
      <c r="B68" s="7"/>
      <c r="C68" s="7"/>
      <c r="D68" s="7"/>
      <c r="E68" s="7"/>
      <c r="F68" s="7"/>
      <c r="G68" s="7"/>
      <c r="H68" s="7"/>
      <c r="I68" s="7"/>
    </row>
    <row r="69" spans="1:9" x14ac:dyDescent="0.2">
      <c r="A69" s="7"/>
      <c r="B69" s="7"/>
      <c r="C69" s="7"/>
      <c r="D69" s="7"/>
      <c r="E69" s="7"/>
      <c r="F69" s="7"/>
      <c r="G69" s="7"/>
      <c r="H69" s="7"/>
      <c r="I69" s="7"/>
    </row>
    <row r="70" spans="1:9" x14ac:dyDescent="0.2">
      <c r="A70" s="7"/>
      <c r="B70" s="7"/>
      <c r="C70" s="7"/>
      <c r="D70" s="7"/>
      <c r="E70" s="7"/>
      <c r="F70" s="7"/>
      <c r="G70" s="7"/>
      <c r="H70" s="7"/>
      <c r="I70" s="7"/>
    </row>
    <row r="71" spans="1:9" x14ac:dyDescent="0.2">
      <c r="A71" s="7"/>
      <c r="B71" s="7"/>
      <c r="C71" s="7"/>
      <c r="D71" s="7"/>
      <c r="E71" s="7"/>
      <c r="F71" s="7"/>
      <c r="G71" s="7"/>
      <c r="H71" s="7"/>
      <c r="I71" s="7"/>
    </row>
    <row r="72" spans="1:9" x14ac:dyDescent="0.2">
      <c r="A72" s="7"/>
      <c r="B72" s="7"/>
      <c r="C72" s="7"/>
      <c r="D72" s="7"/>
      <c r="E72" s="7"/>
      <c r="F72" s="7"/>
      <c r="G72" s="7"/>
      <c r="H72" s="7"/>
      <c r="I72" s="7"/>
    </row>
    <row r="73" spans="1:9" x14ac:dyDescent="0.2">
      <c r="A73" s="7"/>
      <c r="B73" s="7"/>
      <c r="C73" s="7"/>
      <c r="D73" s="7"/>
      <c r="E73" s="7"/>
      <c r="F73" s="7"/>
      <c r="G73" s="7"/>
      <c r="H73" s="7"/>
      <c r="I73" s="7"/>
    </row>
    <row r="74" spans="1:9" x14ac:dyDescent="0.2">
      <c r="A74" s="7"/>
      <c r="B74" s="7"/>
      <c r="C74" s="7"/>
      <c r="D74" s="7"/>
      <c r="E74" s="7"/>
      <c r="F74" s="7"/>
      <c r="G74" s="7"/>
      <c r="H74" s="7"/>
      <c r="I74" s="7"/>
    </row>
    <row r="75" spans="1:9" x14ac:dyDescent="0.2">
      <c r="A75" s="7"/>
      <c r="B75" s="7"/>
      <c r="C75" s="7"/>
      <c r="D75" s="7"/>
      <c r="E75" s="7"/>
      <c r="F75" s="7"/>
      <c r="G75" s="7"/>
      <c r="H75" s="7"/>
      <c r="I75" s="7"/>
    </row>
    <row r="76" spans="1:9" x14ac:dyDescent="0.2">
      <c r="A76" s="7"/>
      <c r="B76" s="7"/>
      <c r="C76" s="7"/>
      <c r="D76" s="7"/>
      <c r="E76" s="7"/>
      <c r="F76" s="7"/>
      <c r="G76" s="7"/>
      <c r="H76" s="7"/>
      <c r="I76" s="7"/>
    </row>
    <row r="77" spans="1:9" x14ac:dyDescent="0.2">
      <c r="A77" s="7"/>
      <c r="B77" s="7"/>
      <c r="C77" s="7"/>
      <c r="D77" s="7"/>
      <c r="E77" s="7"/>
      <c r="F77" s="7"/>
      <c r="G77" s="7"/>
      <c r="H77" s="7"/>
      <c r="I77" s="7"/>
    </row>
    <row r="78" spans="1:9" x14ac:dyDescent="0.2">
      <c r="A78" s="7"/>
      <c r="B78" s="7"/>
      <c r="C78" s="7"/>
      <c r="D78" s="7"/>
      <c r="E78" s="7"/>
      <c r="F78" s="7"/>
      <c r="G78" s="7"/>
      <c r="H78" s="7"/>
      <c r="I78" s="7"/>
    </row>
    <row r="79" spans="1:9" x14ac:dyDescent="0.2">
      <c r="A79" s="7"/>
      <c r="B79" s="7"/>
      <c r="C79" s="7"/>
      <c r="D79" s="7"/>
      <c r="E79" s="7"/>
      <c r="F79" s="7"/>
      <c r="G79" s="7"/>
      <c r="H79" s="7"/>
      <c r="I79" s="7"/>
    </row>
    <row r="80" spans="1:9" x14ac:dyDescent="0.2">
      <c r="A80" s="7"/>
      <c r="B80" s="7"/>
      <c r="C80" s="7"/>
      <c r="D80" s="7"/>
      <c r="E80" s="7"/>
      <c r="F80" s="7"/>
      <c r="G80" s="7"/>
      <c r="H80" s="7"/>
      <c r="I80" s="7"/>
    </row>
    <row r="81" spans="1:9" x14ac:dyDescent="0.2">
      <c r="A81" s="7"/>
      <c r="B81" s="7"/>
      <c r="C81" s="7"/>
      <c r="D81" s="7"/>
      <c r="E81" s="7"/>
      <c r="F81" s="7"/>
      <c r="G81" s="7"/>
      <c r="H81" s="7"/>
      <c r="I81" s="7"/>
    </row>
    <row r="82" spans="1:9" x14ac:dyDescent="0.2">
      <c r="A82" s="7"/>
      <c r="B82" s="7"/>
      <c r="C82" s="7"/>
      <c r="D82" s="7"/>
      <c r="E82" s="7"/>
      <c r="F82" s="7"/>
      <c r="G82" s="7"/>
      <c r="H82" s="7"/>
      <c r="I82" s="7"/>
    </row>
    <row r="83" spans="1:9" x14ac:dyDescent="0.2">
      <c r="A83" s="7"/>
      <c r="B83" s="7"/>
      <c r="C83" s="7"/>
      <c r="D83" s="7"/>
      <c r="E83" s="7"/>
      <c r="F83" s="7"/>
      <c r="G83" s="7"/>
      <c r="H83" s="7"/>
      <c r="I83" s="7"/>
    </row>
    <row r="84" spans="1:9" x14ac:dyDescent="0.2">
      <c r="A84" s="7"/>
      <c r="B84" s="7"/>
      <c r="C84" s="7"/>
      <c r="D84" s="7"/>
      <c r="E84" s="7"/>
      <c r="F84" s="7"/>
      <c r="G84" s="7"/>
      <c r="H84" s="7"/>
      <c r="I84" s="7"/>
    </row>
    <row r="85" spans="1:9" x14ac:dyDescent="0.2">
      <c r="A85" s="7"/>
      <c r="B85" s="7"/>
      <c r="C85" s="7"/>
      <c r="D85" s="7"/>
      <c r="E85" s="7"/>
      <c r="F85" s="7"/>
      <c r="G85" s="7"/>
      <c r="H85" s="7"/>
      <c r="I85" s="7"/>
    </row>
    <row r="86" spans="1:9" x14ac:dyDescent="0.2">
      <c r="A86" s="7"/>
      <c r="B86" s="7"/>
      <c r="C86" s="7"/>
      <c r="D86" s="7"/>
      <c r="E86" s="7"/>
      <c r="F86" s="7"/>
      <c r="G86" s="7"/>
      <c r="H86" s="7"/>
      <c r="I86" s="7"/>
    </row>
    <row r="87" spans="1:9" x14ac:dyDescent="0.2">
      <c r="A87" s="7"/>
      <c r="B87" s="7"/>
      <c r="C87" s="7"/>
      <c r="D87" s="7"/>
      <c r="E87" s="7"/>
      <c r="F87" s="7"/>
      <c r="G87" s="7"/>
      <c r="H87" s="7"/>
      <c r="I87" s="7"/>
    </row>
    <row r="88" spans="1:9" x14ac:dyDescent="0.2">
      <c r="A88" s="7"/>
      <c r="B88" s="7"/>
      <c r="C88" s="7"/>
      <c r="D88" s="7"/>
      <c r="E88" s="7"/>
      <c r="F88" s="7"/>
      <c r="G88" s="7"/>
      <c r="H88" s="7"/>
      <c r="I88" s="7"/>
    </row>
    <row r="89" spans="1:9" x14ac:dyDescent="0.2">
      <c r="A89" s="7"/>
      <c r="B89" s="7"/>
      <c r="C89" s="7"/>
      <c r="D89" s="7"/>
      <c r="E89" s="7"/>
      <c r="F89" s="7"/>
      <c r="G89" s="7"/>
      <c r="H89" s="7"/>
      <c r="I89" s="7"/>
    </row>
    <row r="90" spans="1:9" x14ac:dyDescent="0.2">
      <c r="A90" s="7"/>
      <c r="B90" s="7"/>
      <c r="C90" s="7"/>
      <c r="D90" s="7"/>
      <c r="E90" s="7"/>
      <c r="F90" s="7"/>
      <c r="G90" s="7"/>
      <c r="H90" s="7"/>
      <c r="I90" s="7"/>
    </row>
    <row r="91" spans="1:9" x14ac:dyDescent="0.2">
      <c r="A91" s="7"/>
      <c r="B91" s="7"/>
      <c r="C91" s="7"/>
      <c r="D91" s="7"/>
      <c r="E91" s="7"/>
      <c r="F91" s="7"/>
      <c r="G91" s="7"/>
      <c r="H91" s="7"/>
      <c r="I91" s="7"/>
    </row>
    <row r="92" spans="1:9" x14ac:dyDescent="0.2">
      <c r="A92" s="7"/>
      <c r="B92" s="7"/>
      <c r="C92" s="7"/>
      <c r="D92" s="7"/>
      <c r="E92" s="7"/>
      <c r="F92" s="7"/>
      <c r="G92" s="7"/>
      <c r="H92" s="7"/>
      <c r="I92" s="7"/>
    </row>
    <row r="93" spans="1:9" x14ac:dyDescent="0.2">
      <c r="A93" s="7"/>
      <c r="B93" s="7"/>
      <c r="C93" s="7"/>
      <c r="D93" s="7"/>
      <c r="E93" s="7"/>
      <c r="F93" s="7"/>
      <c r="G93" s="7"/>
      <c r="H93" s="7"/>
      <c r="I93" s="7"/>
    </row>
    <row r="94" spans="1:9" x14ac:dyDescent="0.2">
      <c r="A94" s="7"/>
      <c r="B94" s="7"/>
      <c r="C94" s="7"/>
      <c r="D94" s="7"/>
      <c r="E94" s="7"/>
      <c r="F94" s="7"/>
      <c r="G94" s="7"/>
      <c r="H94" s="7"/>
      <c r="I94" s="7"/>
    </row>
    <row r="95" spans="1:9" x14ac:dyDescent="0.2">
      <c r="A95" s="7"/>
      <c r="B95" s="7"/>
      <c r="C95" s="7"/>
      <c r="D95" s="7"/>
      <c r="E95" s="7"/>
      <c r="F95" s="7"/>
      <c r="G95" s="7"/>
      <c r="H95" s="7"/>
      <c r="I95" s="7"/>
    </row>
    <row r="96" spans="1:9" x14ac:dyDescent="0.2">
      <c r="A96" s="7"/>
      <c r="B96" s="7"/>
      <c r="C96" s="7"/>
      <c r="D96" s="7"/>
      <c r="E96" s="7"/>
      <c r="F96" s="7"/>
      <c r="G96" s="7"/>
      <c r="H96" s="7"/>
      <c r="I96" s="7"/>
    </row>
    <row r="97" spans="1:9" x14ac:dyDescent="0.2">
      <c r="A97" s="7"/>
      <c r="B97" s="7"/>
      <c r="C97" s="7"/>
      <c r="D97" s="7"/>
      <c r="E97" s="7"/>
      <c r="F97" s="7"/>
      <c r="G97" s="7"/>
      <c r="H97" s="7"/>
      <c r="I97" s="7"/>
    </row>
    <row r="98" spans="1:9" x14ac:dyDescent="0.2">
      <c r="A98" s="7"/>
      <c r="B98" s="7"/>
      <c r="C98" s="7"/>
      <c r="D98" s="7"/>
      <c r="E98" s="7"/>
      <c r="F98" s="7"/>
      <c r="G98" s="7"/>
      <c r="H98" s="7"/>
      <c r="I98" s="7"/>
    </row>
    <row r="99" spans="1:9" x14ac:dyDescent="0.2">
      <c r="A99" s="7"/>
      <c r="B99" s="7"/>
      <c r="C99" s="7"/>
      <c r="D99" s="7"/>
      <c r="E99" s="7"/>
      <c r="F99" s="7"/>
      <c r="G99" s="7"/>
      <c r="H99" s="7"/>
      <c r="I99" s="7"/>
    </row>
    <row r="100" spans="1:9" x14ac:dyDescent="0.2">
      <c r="A100" s="7"/>
      <c r="B100" s="7"/>
      <c r="C100" s="7"/>
      <c r="D100" s="7"/>
      <c r="E100" s="7"/>
      <c r="F100" s="7"/>
      <c r="G100" s="7"/>
      <c r="H100" s="7"/>
      <c r="I100" s="7"/>
    </row>
    <row r="101" spans="1:9" x14ac:dyDescent="0.2">
      <c r="A101" s="7"/>
      <c r="B101" s="7"/>
      <c r="C101" s="7"/>
      <c r="D101" s="7"/>
      <c r="E101" s="7"/>
      <c r="F101" s="7"/>
      <c r="G101" s="7"/>
      <c r="H101" s="7"/>
      <c r="I101" s="7"/>
    </row>
    <row r="102" spans="1:9" x14ac:dyDescent="0.2">
      <c r="A102" s="7"/>
      <c r="B102" s="7"/>
      <c r="C102" s="7"/>
      <c r="D102" s="7"/>
      <c r="E102" s="7"/>
      <c r="F102" s="7"/>
      <c r="G102" s="7"/>
      <c r="H102" s="7"/>
      <c r="I102" s="7"/>
    </row>
    <row r="103" spans="1:9" x14ac:dyDescent="0.2">
      <c r="A103" s="7"/>
      <c r="B103" s="7"/>
      <c r="C103" s="7"/>
      <c r="D103" s="7"/>
      <c r="E103" s="7"/>
      <c r="F103" s="7"/>
      <c r="G103" s="7"/>
      <c r="H103" s="7"/>
      <c r="I103" s="7"/>
    </row>
    <row r="104" spans="1:9" x14ac:dyDescent="0.2">
      <c r="A104" s="7"/>
      <c r="B104" s="7"/>
      <c r="C104" s="7"/>
      <c r="D104" s="7"/>
      <c r="E104" s="7"/>
      <c r="F104" s="7"/>
      <c r="G104" s="7"/>
      <c r="H104" s="7"/>
      <c r="I104" s="7"/>
    </row>
    <row r="105" spans="1:9" x14ac:dyDescent="0.2">
      <c r="A105" s="7"/>
      <c r="B105" s="7"/>
      <c r="C105" s="7"/>
      <c r="D105" s="7"/>
      <c r="E105" s="7"/>
      <c r="F105" s="7"/>
      <c r="G105" s="7"/>
      <c r="H105" s="7"/>
      <c r="I105" s="7"/>
    </row>
    <row r="106" spans="1:9" x14ac:dyDescent="0.2">
      <c r="A106" s="7"/>
      <c r="B106" s="7"/>
      <c r="C106" s="7"/>
      <c r="D106" s="7"/>
      <c r="E106" s="7"/>
      <c r="F106" s="7"/>
      <c r="G106" s="7"/>
      <c r="H106" s="7"/>
      <c r="I106" s="7"/>
    </row>
    <row r="107" spans="1:9" x14ac:dyDescent="0.2">
      <c r="A107" s="7"/>
      <c r="B107" s="7"/>
      <c r="C107" s="7"/>
      <c r="D107" s="7"/>
      <c r="E107" s="7"/>
      <c r="F107" s="7"/>
      <c r="G107" s="7"/>
      <c r="H107" s="7"/>
      <c r="I107" s="7"/>
    </row>
    <row r="108" spans="1:9" x14ac:dyDescent="0.2">
      <c r="A108" s="7"/>
      <c r="B108" s="7"/>
      <c r="C108" s="7"/>
      <c r="D108" s="7"/>
      <c r="E108" s="7"/>
      <c r="F108" s="7"/>
      <c r="G108" s="7"/>
      <c r="H108" s="7"/>
      <c r="I108" s="7"/>
    </row>
    <row r="109" spans="1:9" x14ac:dyDescent="0.2">
      <c r="A109" s="7"/>
      <c r="B109" s="7"/>
      <c r="C109" s="7"/>
      <c r="D109" s="7"/>
      <c r="E109" s="7"/>
      <c r="F109" s="7"/>
      <c r="G109" s="7"/>
      <c r="H109" s="7"/>
      <c r="I109" s="7"/>
    </row>
    <row r="110" spans="1:9" x14ac:dyDescent="0.2">
      <c r="A110" s="7"/>
      <c r="B110" s="7"/>
      <c r="C110" s="7"/>
      <c r="D110" s="7"/>
      <c r="E110" s="7"/>
      <c r="F110" s="7"/>
      <c r="G110" s="7"/>
      <c r="H110" s="7"/>
      <c r="I110" s="7"/>
    </row>
    <row r="111" spans="1:9" x14ac:dyDescent="0.2">
      <c r="A111" s="11" t="s">
        <v>1</v>
      </c>
      <c r="B111" s="12"/>
      <c r="C111" s="12"/>
      <c r="D111" s="13"/>
      <c r="E111" s="8"/>
      <c r="F111" s="8"/>
      <c r="G111" s="8"/>
      <c r="H111" s="8"/>
      <c r="I111" s="1"/>
    </row>
    <row r="112" spans="1:9" x14ac:dyDescent="0.2">
      <c r="A112" s="14" t="s">
        <v>15</v>
      </c>
      <c r="B112" s="15"/>
      <c r="C112" s="15"/>
      <c r="D112" s="16"/>
      <c r="E112" s="8"/>
      <c r="F112" s="8"/>
      <c r="G112" s="8"/>
      <c r="H112" s="8"/>
      <c r="I112" s="1"/>
    </row>
    <row r="113" spans="1:9" x14ac:dyDescent="0.2">
      <c r="A113" s="17" t="s">
        <v>62</v>
      </c>
      <c r="B113" s="18"/>
      <c r="C113" s="18"/>
      <c r="D113" s="19"/>
      <c r="E113" s="8"/>
      <c r="F113" s="8"/>
      <c r="G113" s="8"/>
      <c r="H113" s="8"/>
      <c r="I113" s="1"/>
    </row>
    <row r="114" spans="1:9" x14ac:dyDescent="0.2">
      <c r="A114" s="20"/>
      <c r="B114" s="21"/>
      <c r="C114" s="22"/>
      <c r="D114" s="23"/>
      <c r="E114" s="8"/>
      <c r="F114" s="8" t="s">
        <v>34</v>
      </c>
      <c r="G114" s="8"/>
      <c r="H114" s="8"/>
      <c r="I114" s="1"/>
    </row>
    <row r="115" spans="1:9" ht="15.75" x14ac:dyDescent="0.25">
      <c r="A115" s="24" t="s">
        <v>2</v>
      </c>
      <c r="B115" s="25" t="str">
        <f>[1]Charters!B120</f>
        <v>Athenian eAcademy</v>
      </c>
      <c r="C115" s="26"/>
      <c r="D115" s="27"/>
      <c r="E115" s="8"/>
      <c r="F115" s="8"/>
      <c r="G115" s="8"/>
      <c r="H115" s="8"/>
      <c r="I115" s="1"/>
    </row>
    <row r="116" spans="1:9" x14ac:dyDescent="0.2">
      <c r="A116" s="24"/>
      <c r="B116" s="28"/>
      <c r="C116" s="26"/>
      <c r="D116" s="27"/>
      <c r="E116" s="8"/>
      <c r="F116" s="8"/>
      <c r="G116" s="8"/>
      <c r="H116" s="8"/>
      <c r="I116" s="1"/>
    </row>
    <row r="117" spans="1:9" x14ac:dyDescent="0.2">
      <c r="A117" s="29" t="s">
        <v>0</v>
      </c>
      <c r="B117" s="30">
        <f>[1]Charters!$E$6</f>
        <v>3184</v>
      </c>
      <c r="C117" s="26"/>
      <c r="D117" s="31"/>
      <c r="E117" s="8"/>
      <c r="F117" s="8"/>
      <c r="G117" s="8"/>
      <c r="H117" s="8"/>
      <c r="I117" s="1"/>
    </row>
    <row r="118" spans="1:9" x14ac:dyDescent="0.2">
      <c r="A118" s="32"/>
      <c r="B118" s="6"/>
      <c r="C118" s="33"/>
      <c r="D118" s="34" t="s">
        <v>3</v>
      </c>
      <c r="E118" s="8"/>
      <c r="F118" s="8"/>
      <c r="G118" s="8"/>
      <c r="H118" s="8"/>
      <c r="I118" s="1"/>
    </row>
    <row r="119" spans="1:9" x14ac:dyDescent="0.2">
      <c r="A119" s="29" t="s">
        <v>19</v>
      </c>
      <c r="B119" s="35" t="str">
        <f>[1]Charters!A120</f>
        <v>4K</v>
      </c>
      <c r="C119" s="36" t="s">
        <v>4</v>
      </c>
      <c r="D119" s="37" t="s">
        <v>5</v>
      </c>
      <c r="E119" s="8"/>
      <c r="F119" s="8"/>
      <c r="G119" s="8"/>
      <c r="H119" s="8"/>
      <c r="I119" s="1"/>
    </row>
    <row r="120" spans="1:9" x14ac:dyDescent="0.2">
      <c r="A120" s="38" t="s">
        <v>6</v>
      </c>
      <c r="B120" s="39"/>
      <c r="C120" s="40"/>
      <c r="D120" s="41"/>
      <c r="E120" s="8"/>
      <c r="F120" s="8"/>
      <c r="G120" s="8"/>
      <c r="H120" s="8"/>
      <c r="I120" s="1"/>
    </row>
    <row r="121" spans="1:9" x14ac:dyDescent="0.2">
      <c r="A121" s="38" t="s">
        <v>7</v>
      </c>
      <c r="B121" s="39"/>
      <c r="C121" s="40"/>
      <c r="D121" s="41"/>
      <c r="E121" s="8"/>
      <c r="F121" s="42" t="s">
        <v>23</v>
      </c>
      <c r="G121" s="8"/>
      <c r="H121" s="42" t="s">
        <v>26</v>
      </c>
      <c r="I121" s="1"/>
    </row>
    <row r="122" spans="1:9" x14ac:dyDescent="0.2">
      <c r="A122" s="20" t="s">
        <v>8</v>
      </c>
      <c r="B122" s="43"/>
      <c r="C122" s="44">
        <f>[1]Charters!C580</f>
        <v>469.899</v>
      </c>
      <c r="D122" s="45">
        <f>[1]Charters!E580</f>
        <v>1496158.42</v>
      </c>
      <c r="E122" s="8"/>
      <c r="F122" s="42">
        <f>[1]Charters!E736</f>
        <v>1567324.69</v>
      </c>
      <c r="G122" s="8"/>
      <c r="H122" s="42">
        <f>[2]Charters!E274</f>
        <v>1929956.32</v>
      </c>
      <c r="I122" s="1"/>
    </row>
    <row r="123" spans="1:9" x14ac:dyDescent="0.2">
      <c r="A123" s="20" t="s">
        <v>14</v>
      </c>
      <c r="B123" s="43"/>
      <c r="C123" s="44">
        <f>[1]Charters!F580</f>
        <v>22.350999999999999</v>
      </c>
      <c r="D123" s="45">
        <f>[1]Charters!H580</f>
        <v>71166.27</v>
      </c>
      <c r="E123" s="8"/>
      <c r="F123" s="42">
        <f>SUM(D122:D124)</f>
        <v>1567324.69</v>
      </c>
      <c r="G123" s="8"/>
      <c r="H123" s="42">
        <f>D135</f>
        <v>1929956.32</v>
      </c>
      <c r="I123" s="1"/>
    </row>
    <row r="124" spans="1:9" x14ac:dyDescent="0.2">
      <c r="A124" s="20" t="s">
        <v>32</v>
      </c>
      <c r="B124" s="43"/>
      <c r="C124" s="44">
        <f>[1]Charters!C273</f>
        <v>0</v>
      </c>
      <c r="D124" s="45">
        <f>[1]Charters!E273</f>
        <v>0</v>
      </c>
      <c r="E124" s="8"/>
      <c r="F124" s="42">
        <f>+F122-F123</f>
        <v>0</v>
      </c>
      <c r="G124" s="8"/>
      <c r="H124" s="42">
        <f>+H122-H123</f>
        <v>0</v>
      </c>
      <c r="I124" s="1"/>
    </row>
    <row r="125" spans="1:9" x14ac:dyDescent="0.2">
      <c r="A125" s="38" t="s">
        <v>9</v>
      </c>
      <c r="B125" s="39"/>
      <c r="C125" s="46"/>
      <c r="D125" s="47"/>
      <c r="E125" s="8"/>
      <c r="F125" s="8"/>
      <c r="G125" s="8"/>
      <c r="H125" s="8"/>
      <c r="I125" s="1"/>
    </row>
    <row r="126" spans="1:9" x14ac:dyDescent="0.2">
      <c r="A126" s="20" t="s">
        <v>10</v>
      </c>
      <c r="B126" s="43"/>
      <c r="C126" s="40">
        <f>[3]Charters!C119</f>
        <v>68.007000000000005</v>
      </c>
      <c r="D126" s="41">
        <f>[3]Charters!E119</f>
        <v>216533.9</v>
      </c>
      <c r="E126" s="8"/>
      <c r="F126" s="42" t="s">
        <v>24</v>
      </c>
      <c r="G126" s="8"/>
      <c r="H126" s="8"/>
      <c r="I126" s="1"/>
    </row>
    <row r="127" spans="1:9" x14ac:dyDescent="0.2">
      <c r="A127" s="48" t="s">
        <v>11</v>
      </c>
      <c r="B127" s="43"/>
      <c r="C127" s="40">
        <f>[3]Charters!F119</f>
        <v>4.9619999999999997</v>
      </c>
      <c r="D127" s="49">
        <f>[3]Charters!H119</f>
        <v>15799.24</v>
      </c>
      <c r="E127" s="8"/>
      <c r="F127" s="42">
        <f>[3]Charters!N432</f>
        <v>240367.38</v>
      </c>
      <c r="G127" s="8"/>
      <c r="H127" s="8"/>
      <c r="I127" s="1"/>
    </row>
    <row r="128" spans="1:9" x14ac:dyDescent="0.2">
      <c r="A128" s="48" t="s">
        <v>12</v>
      </c>
      <c r="B128" s="43"/>
      <c r="C128" s="40">
        <f>[3]Charters!C274</f>
        <v>0</v>
      </c>
      <c r="D128" s="41">
        <f>[3]Charters!E274</f>
        <v>0</v>
      </c>
      <c r="E128" s="8"/>
      <c r="F128" s="42">
        <f>SUM(D126:D132)</f>
        <v>240367.38</v>
      </c>
      <c r="G128" s="8"/>
      <c r="H128" s="8"/>
      <c r="I128" s="1"/>
    </row>
    <row r="129" spans="1:9" x14ac:dyDescent="0.2">
      <c r="A129" s="20" t="s">
        <v>13</v>
      </c>
      <c r="B129" s="43"/>
      <c r="C129" s="40">
        <f>[3]Charters!F274</f>
        <v>0.70899999999999996</v>
      </c>
      <c r="D129" s="41">
        <f>[3]Charters!H274</f>
        <v>2259</v>
      </c>
      <c r="E129" s="8"/>
      <c r="F129" s="42">
        <f>+F127-F128</f>
        <v>0</v>
      </c>
      <c r="G129" s="8"/>
      <c r="H129" s="8"/>
      <c r="I129" s="1"/>
    </row>
    <row r="130" spans="1:9" x14ac:dyDescent="0.2">
      <c r="A130" s="48" t="s">
        <v>54</v>
      </c>
      <c r="B130" s="43"/>
      <c r="C130" s="40">
        <f>[3]Charters!C432</f>
        <v>1.8140000000000001</v>
      </c>
      <c r="D130" s="41">
        <f>[3]Charters!E432</f>
        <v>5775.24</v>
      </c>
      <c r="E130" s="8"/>
      <c r="F130" s="8"/>
      <c r="G130" s="8"/>
      <c r="H130" s="8"/>
      <c r="I130" s="1"/>
    </row>
    <row r="131" spans="1:9" x14ac:dyDescent="0.2">
      <c r="A131" s="48" t="s">
        <v>55</v>
      </c>
      <c r="B131" s="43"/>
      <c r="C131" s="40">
        <f>[3]Charters!F432</f>
        <v>0</v>
      </c>
      <c r="D131" s="41">
        <f>[3]Charters!H432</f>
        <v>0</v>
      </c>
      <c r="E131" s="8"/>
      <c r="F131" s="42" t="s">
        <v>25</v>
      </c>
      <c r="G131" s="8"/>
      <c r="H131" s="8"/>
      <c r="I131" s="1"/>
    </row>
    <row r="132" spans="1:9" x14ac:dyDescent="0.2">
      <c r="A132" s="48" t="s">
        <v>56</v>
      </c>
      <c r="B132" s="43"/>
      <c r="C132" s="40">
        <f>[3]Charters!I432</f>
        <v>0</v>
      </c>
      <c r="D132" s="41">
        <f>[3]Charters!K432</f>
        <v>0</v>
      </c>
      <c r="E132" s="8"/>
      <c r="F132" s="42">
        <f>[2]Charters!H120</f>
        <v>362631.63</v>
      </c>
      <c r="G132" s="8"/>
      <c r="H132" s="8"/>
      <c r="I132" s="1"/>
    </row>
    <row r="133" spans="1:9" x14ac:dyDescent="0.2">
      <c r="A133" s="20" t="s">
        <v>49</v>
      </c>
      <c r="B133" s="43"/>
      <c r="C133" s="40">
        <f>[3]Charters!C587</f>
        <v>0</v>
      </c>
      <c r="D133" s="41">
        <f>[3]Charters!E587</f>
        <v>0</v>
      </c>
      <c r="E133" s="8"/>
      <c r="F133" s="42">
        <f>SUM(D126:D134)</f>
        <v>362631.63</v>
      </c>
      <c r="G133" s="8"/>
      <c r="H133" s="8"/>
      <c r="I133" s="1"/>
    </row>
    <row r="134" spans="1:9" x14ac:dyDescent="0.2">
      <c r="A134" s="20" t="s">
        <v>50</v>
      </c>
      <c r="B134" s="43"/>
      <c r="C134" s="40">
        <f>[2]Charters!C120</f>
        <v>38.4</v>
      </c>
      <c r="D134" s="41">
        <f>[2]Charters!E120</f>
        <v>122264.25</v>
      </c>
      <c r="E134" s="8"/>
      <c r="F134" s="42">
        <f>+F132-F133</f>
        <v>0</v>
      </c>
      <c r="G134" s="8"/>
      <c r="H134" s="8"/>
      <c r="I134" s="1"/>
    </row>
    <row r="135" spans="1:9" x14ac:dyDescent="0.2">
      <c r="A135" s="50"/>
      <c r="B135" s="51" t="s">
        <v>16</v>
      </c>
      <c r="C135" s="52">
        <f>SUM(C122:C134)</f>
        <v>606.14200000000005</v>
      </c>
      <c r="D135" s="53">
        <f>SUM(D122:D134)</f>
        <v>1929956.32</v>
      </c>
      <c r="E135" s="8"/>
      <c r="F135" s="8"/>
      <c r="G135" s="8"/>
      <c r="H135" s="8"/>
      <c r="I135" s="1"/>
    </row>
    <row r="136" spans="1:9" x14ac:dyDescent="0.2">
      <c r="A136" s="54" t="s">
        <v>17</v>
      </c>
      <c r="B136" s="39"/>
      <c r="C136" s="55"/>
      <c r="D136" s="47"/>
      <c r="E136" s="8"/>
      <c r="F136" s="8"/>
      <c r="G136" s="8"/>
      <c r="H136" s="42" t="s">
        <v>29</v>
      </c>
      <c r="I136" s="1"/>
    </row>
    <row r="137" spans="1:9" x14ac:dyDescent="0.2">
      <c r="A137" s="20" t="s">
        <v>33</v>
      </c>
      <c r="B137" s="43"/>
      <c r="C137" s="56"/>
      <c r="D137" s="57">
        <f>[4]Charters!C121</f>
        <v>5593.92</v>
      </c>
      <c r="E137" s="8"/>
      <c r="F137" s="8"/>
      <c r="G137" s="8"/>
      <c r="H137" s="42">
        <f>[4]Charters!F1060</f>
        <v>3358796.22</v>
      </c>
      <c r="I137" s="1"/>
    </row>
    <row r="138" spans="1:9" x14ac:dyDescent="0.2">
      <c r="A138" s="58" t="s">
        <v>35</v>
      </c>
      <c r="B138" s="43"/>
      <c r="C138" s="56"/>
      <c r="D138" s="41">
        <f>+[4]Charters!F442</f>
        <v>2261.62</v>
      </c>
      <c r="E138" s="8"/>
      <c r="F138" s="8"/>
      <c r="G138" s="8"/>
      <c r="H138" s="42">
        <f>SUM(D135:D154)</f>
        <v>3358796.22</v>
      </c>
      <c r="I138" s="1"/>
    </row>
    <row r="139" spans="1:9" x14ac:dyDescent="0.2">
      <c r="A139" s="59" t="s">
        <v>36</v>
      </c>
      <c r="B139" s="43"/>
      <c r="C139" s="56"/>
      <c r="D139" s="41">
        <f>[4]Charters!E281</f>
        <v>6757</v>
      </c>
      <c r="E139" s="8"/>
      <c r="F139" s="8"/>
      <c r="G139" s="8"/>
      <c r="H139" s="42">
        <f>+H137-H138</f>
        <v>0</v>
      </c>
      <c r="I139" s="1"/>
    </row>
    <row r="140" spans="1:9" x14ac:dyDescent="0.2">
      <c r="A140" s="59" t="s">
        <v>52</v>
      </c>
      <c r="B140" s="43"/>
      <c r="C140" s="56"/>
      <c r="D140" s="41">
        <f>[4]Charters!G442</f>
        <v>0</v>
      </c>
      <c r="E140" s="8"/>
      <c r="F140" s="42" t="s">
        <v>27</v>
      </c>
      <c r="G140" s="8"/>
      <c r="H140" s="42"/>
      <c r="I140" s="1"/>
    </row>
    <row r="141" spans="1:9" x14ac:dyDescent="0.2">
      <c r="A141" s="20" t="s">
        <v>37</v>
      </c>
      <c r="B141" s="43"/>
      <c r="C141" s="56"/>
      <c r="D141" s="41">
        <f>[4]Charters!E598</f>
        <v>40895</v>
      </c>
      <c r="E141" s="8"/>
      <c r="F141" s="42">
        <f>[4]Charters!E281</f>
        <v>6757</v>
      </c>
      <c r="G141" s="8"/>
      <c r="H141" s="8"/>
      <c r="I141" s="1"/>
    </row>
    <row r="142" spans="1:9" x14ac:dyDescent="0.2">
      <c r="A142" s="20" t="s">
        <v>38</v>
      </c>
      <c r="B142" s="43"/>
      <c r="C142" s="56"/>
      <c r="D142" s="41">
        <f>[4]Charters!F598</f>
        <v>0</v>
      </c>
      <c r="E142" s="8"/>
      <c r="F142" s="42">
        <f>SUM(D139:D139)</f>
        <v>6757</v>
      </c>
      <c r="G142" s="8"/>
      <c r="H142" s="8"/>
      <c r="I142" s="1"/>
    </row>
    <row r="143" spans="1:9" x14ac:dyDescent="0.2">
      <c r="A143" s="59" t="s">
        <v>40</v>
      </c>
      <c r="B143" s="43"/>
      <c r="C143" s="56"/>
      <c r="D143" s="41">
        <f>[4]Charters!G598</f>
        <v>0</v>
      </c>
      <c r="E143" s="8"/>
      <c r="F143" s="42">
        <f>+F141-F142</f>
        <v>0</v>
      </c>
      <c r="G143" s="8"/>
      <c r="H143" s="8"/>
      <c r="I143" s="1"/>
    </row>
    <row r="144" spans="1:9" x14ac:dyDescent="0.2">
      <c r="A144" s="20" t="s">
        <v>41</v>
      </c>
      <c r="B144" s="43"/>
      <c r="C144" s="56"/>
      <c r="D144" s="41">
        <f>[4]Charters!C751</f>
        <v>1150575</v>
      </c>
      <c r="E144" s="8"/>
      <c r="F144" s="42" t="s">
        <v>28</v>
      </c>
      <c r="G144" s="8"/>
      <c r="H144" s="8"/>
      <c r="I144" s="1"/>
    </row>
    <row r="145" spans="1:9" x14ac:dyDescent="0.2">
      <c r="A145" s="20" t="s">
        <v>42</v>
      </c>
      <c r="B145" s="43"/>
      <c r="C145" s="56"/>
      <c r="D145" s="41">
        <f>[4]Charters!D751</f>
        <v>146508.79999999999</v>
      </c>
      <c r="E145" s="8"/>
      <c r="F145" s="42">
        <f>[4]Charters!D598</f>
        <v>9018.6200000000008</v>
      </c>
      <c r="G145" s="8"/>
      <c r="H145" s="8"/>
      <c r="I145" s="1"/>
    </row>
    <row r="146" spans="1:9" x14ac:dyDescent="0.2">
      <c r="A146" s="20" t="s">
        <v>44</v>
      </c>
      <c r="B146" s="43"/>
      <c r="C146" s="56"/>
      <c r="D146" s="41">
        <f>[4]Charters!E751</f>
        <v>57500</v>
      </c>
      <c r="E146" s="8"/>
      <c r="F146" s="42">
        <f>SUM(D138:D140)</f>
        <v>9018.6200000000008</v>
      </c>
      <c r="G146" s="8"/>
      <c r="H146" s="8"/>
      <c r="I146" s="1"/>
    </row>
    <row r="147" spans="1:9" x14ac:dyDescent="0.2">
      <c r="A147" s="59" t="s">
        <v>43</v>
      </c>
      <c r="B147" s="43"/>
      <c r="C147" s="56"/>
      <c r="D147" s="41">
        <f>[4]Charters!F751</f>
        <v>18020.61</v>
      </c>
      <c r="E147" s="8"/>
      <c r="F147" s="42">
        <f>+F145-F146</f>
        <v>0</v>
      </c>
      <c r="G147" s="8"/>
      <c r="H147" s="8"/>
      <c r="I147" s="1"/>
    </row>
    <row r="148" spans="1:9" x14ac:dyDescent="0.2">
      <c r="A148" s="59" t="s">
        <v>45</v>
      </c>
      <c r="B148" s="43"/>
      <c r="C148" s="56"/>
      <c r="D148" s="41">
        <f>[4]Charters!C598</f>
        <v>0</v>
      </c>
      <c r="E148" s="8"/>
      <c r="F148" s="8"/>
      <c r="G148" s="8"/>
      <c r="H148" s="8"/>
      <c r="I148" s="1"/>
    </row>
    <row r="149" spans="1:9" x14ac:dyDescent="0.2">
      <c r="A149" s="59" t="s">
        <v>46</v>
      </c>
      <c r="B149" s="43"/>
      <c r="C149" s="56"/>
      <c r="D149" s="41">
        <f>[4]Charters!C907</f>
        <v>0</v>
      </c>
      <c r="E149" s="42"/>
      <c r="F149" s="42"/>
      <c r="G149" s="42"/>
      <c r="H149" s="42" t="s">
        <v>31</v>
      </c>
      <c r="I149" s="82"/>
    </row>
    <row r="150" spans="1:9" x14ac:dyDescent="0.2">
      <c r="A150" s="59" t="s">
        <v>51</v>
      </c>
      <c r="B150" s="43"/>
      <c r="C150" s="56"/>
      <c r="D150" s="60">
        <f>[4]Charters!D907</f>
        <v>727.95</v>
      </c>
      <c r="E150" s="42"/>
      <c r="F150" s="42"/>
      <c r="G150" s="42"/>
      <c r="H150" s="42">
        <f>[4]Charters!D1366</f>
        <v>3364306.01</v>
      </c>
      <c r="I150" s="82"/>
    </row>
    <row r="151" spans="1:9" x14ac:dyDescent="0.2">
      <c r="A151" s="20" t="s">
        <v>47</v>
      </c>
      <c r="B151" s="43"/>
      <c r="C151" s="56"/>
      <c r="D151" s="60">
        <f>[4]Charters!E907</f>
        <v>0</v>
      </c>
      <c r="E151" s="42"/>
      <c r="F151" s="42"/>
      <c r="G151" s="42"/>
      <c r="H151" s="42">
        <f>D160</f>
        <v>3364306.01</v>
      </c>
      <c r="I151" s="82"/>
    </row>
    <row r="152" spans="1:9" x14ac:dyDescent="0.2">
      <c r="A152" s="20" t="s">
        <v>57</v>
      </c>
      <c r="B152" s="43"/>
      <c r="C152" s="56"/>
      <c r="D152" s="60">
        <f>[4]Charters!C1060</f>
        <v>0</v>
      </c>
      <c r="E152" s="42"/>
      <c r="F152" s="42"/>
      <c r="G152" s="42"/>
      <c r="H152" s="42">
        <f>+H150-H151</f>
        <v>0</v>
      </c>
      <c r="I152" s="82"/>
    </row>
    <row r="153" spans="1:9" x14ac:dyDescent="0.2">
      <c r="A153" s="59" t="s">
        <v>53</v>
      </c>
      <c r="B153" s="43"/>
      <c r="C153" s="56"/>
      <c r="D153" s="60">
        <f>[4]Charters!D1060</f>
        <v>0</v>
      </c>
      <c r="E153" s="42"/>
      <c r="F153" s="42" t="s">
        <v>30</v>
      </c>
      <c r="G153" s="42"/>
      <c r="H153" s="42"/>
      <c r="I153" s="82"/>
    </row>
    <row r="154" spans="1:9" x14ac:dyDescent="0.2">
      <c r="A154" s="59" t="s">
        <v>59</v>
      </c>
      <c r="B154" s="43"/>
      <c r="C154" s="56"/>
      <c r="D154" s="60">
        <f>[4]Charters!E1060</f>
        <v>0</v>
      </c>
      <c r="E154" s="42"/>
      <c r="F154" s="42"/>
      <c r="G154" s="42"/>
      <c r="H154" s="42"/>
      <c r="I154" s="82"/>
    </row>
    <row r="155" spans="1:9" x14ac:dyDescent="0.2">
      <c r="A155" s="38" t="s">
        <v>18</v>
      </c>
      <c r="B155" s="61"/>
      <c r="C155" s="62"/>
      <c r="D155" s="87"/>
      <c r="E155" s="42"/>
      <c r="F155" s="42">
        <f>[4]Charters!C1366</f>
        <v>5509.79</v>
      </c>
      <c r="G155" s="42"/>
      <c r="H155" s="42"/>
      <c r="I155" s="82"/>
    </row>
    <row r="156" spans="1:9" x14ac:dyDescent="0.2">
      <c r="A156" s="59" t="s">
        <v>39</v>
      </c>
      <c r="B156" s="43"/>
      <c r="C156" s="56"/>
      <c r="D156" s="41">
        <f>[4]Charters!C1213</f>
        <v>5509.79</v>
      </c>
      <c r="E156" s="42"/>
      <c r="F156" s="42">
        <f>SUM(D156:D159)</f>
        <v>5509.79</v>
      </c>
      <c r="G156" s="42"/>
      <c r="H156" s="42"/>
      <c r="I156" s="82"/>
    </row>
    <row r="157" spans="1:9" x14ac:dyDescent="0.2">
      <c r="A157" s="59" t="s">
        <v>48</v>
      </c>
      <c r="B157" s="43"/>
      <c r="C157" s="56"/>
      <c r="D157" s="41">
        <f>[4]Charters!D1213</f>
        <v>0</v>
      </c>
      <c r="E157" s="42"/>
      <c r="F157" s="42">
        <f>+F155-F156</f>
        <v>0</v>
      </c>
      <c r="G157" s="42"/>
      <c r="H157" s="42"/>
      <c r="I157" s="82"/>
    </row>
    <row r="158" spans="1:9" x14ac:dyDescent="0.2">
      <c r="A158" s="59" t="s">
        <v>60</v>
      </c>
      <c r="B158" s="43"/>
      <c r="C158" s="56"/>
      <c r="D158" s="41">
        <f>[4]Charters!E1213</f>
        <v>0</v>
      </c>
      <c r="E158" s="42"/>
      <c r="F158" s="42"/>
      <c r="G158" s="42"/>
      <c r="H158" s="42"/>
      <c r="I158" s="82"/>
    </row>
    <row r="159" spans="1:9" x14ac:dyDescent="0.2">
      <c r="A159" s="59" t="s">
        <v>61</v>
      </c>
      <c r="B159" s="43"/>
      <c r="C159" s="56"/>
      <c r="D159" s="41">
        <f>[4]Charters!F1213</f>
        <v>0</v>
      </c>
      <c r="E159" s="42"/>
      <c r="F159" s="42"/>
      <c r="G159" s="42"/>
      <c r="H159" s="42"/>
      <c r="I159" s="82"/>
    </row>
    <row r="160" spans="1:9" ht="13.5" thickBot="1" x14ac:dyDescent="0.25">
      <c r="A160" s="64"/>
      <c r="B160" s="65"/>
      <c r="C160" s="66"/>
      <c r="D160" s="67">
        <f>SUM(D135:D159)</f>
        <v>3364306.01</v>
      </c>
      <c r="E160" s="42"/>
      <c r="F160" s="42"/>
      <c r="G160" s="42"/>
      <c r="H160" s="42"/>
      <c r="I160" s="82"/>
    </row>
    <row r="161" spans="1:9" ht="13.5" thickTop="1" x14ac:dyDescent="0.2">
      <c r="A161" s="68"/>
      <c r="B161" s="43"/>
      <c r="C161" s="56"/>
      <c r="D161" s="86"/>
      <c r="E161" s="42"/>
      <c r="F161" s="42"/>
      <c r="G161" s="42"/>
      <c r="H161" s="42"/>
      <c r="I161" s="82"/>
    </row>
    <row r="162" spans="1:9" x14ac:dyDescent="0.2">
      <c r="A162" s="38" t="s">
        <v>20</v>
      </c>
      <c r="B162" s="39"/>
      <c r="C162" s="70"/>
      <c r="D162" s="71" t="s">
        <v>21</v>
      </c>
      <c r="E162" s="42"/>
      <c r="F162" s="42"/>
      <c r="G162" s="42"/>
      <c r="H162" s="42"/>
      <c r="I162" s="82"/>
    </row>
    <row r="163" spans="1:9" x14ac:dyDescent="0.2">
      <c r="A163" s="72" t="s">
        <v>22</v>
      </c>
      <c r="B163" s="73"/>
      <c r="C163" s="74"/>
      <c r="D163" s="41">
        <f>[5]Charters!C119</f>
        <v>1313.37</v>
      </c>
      <c r="E163" s="42"/>
      <c r="F163" s="42"/>
      <c r="G163" s="42"/>
      <c r="H163" s="42"/>
      <c r="I163" s="82"/>
    </row>
    <row r="164" spans="1:9" x14ac:dyDescent="0.2">
      <c r="A164" s="75"/>
      <c r="B164" s="61"/>
      <c r="C164" s="76"/>
      <c r="D164" s="77">
        <f>SUM(D163:D163)</f>
        <v>1313.37</v>
      </c>
      <c r="E164" s="42"/>
      <c r="F164" s="42"/>
      <c r="G164" s="42"/>
      <c r="H164" s="42"/>
      <c r="I164" s="82"/>
    </row>
    <row r="165" spans="1:9" x14ac:dyDescent="0.2">
      <c r="A165" s="78" t="s">
        <v>58</v>
      </c>
      <c r="B165" s="79"/>
      <c r="C165" s="80"/>
      <c r="D165" s="77">
        <f>D164+D160</f>
        <v>3365619.38</v>
      </c>
      <c r="E165" s="42"/>
      <c r="F165" s="42"/>
      <c r="G165" s="42"/>
      <c r="H165" s="42"/>
      <c r="I165" s="82"/>
    </row>
    <row r="166" spans="1:9" x14ac:dyDescent="0.2">
      <c r="A166" s="84"/>
      <c r="B166" s="84"/>
      <c r="C166" s="85"/>
      <c r="D166" s="81"/>
      <c r="E166" s="42"/>
      <c r="F166" s="42"/>
      <c r="G166" s="42"/>
      <c r="H166" s="42"/>
      <c r="I166" s="82"/>
    </row>
    <row r="167" spans="1:9" x14ac:dyDescent="0.2">
      <c r="A167" s="84"/>
      <c r="B167" s="84"/>
      <c r="C167" s="85"/>
      <c r="D167" s="81">
        <f>[5]Charters!E275</f>
        <v>3365619.38</v>
      </c>
      <c r="E167" s="42"/>
      <c r="F167" s="42"/>
      <c r="G167" s="42"/>
      <c r="H167" s="42"/>
      <c r="I167" s="82"/>
    </row>
    <row r="168" spans="1:9" x14ac:dyDescent="0.2">
      <c r="A168" s="84"/>
      <c r="B168" s="84"/>
      <c r="C168" s="85"/>
      <c r="D168" s="81">
        <f>D165</f>
        <v>3365619.38</v>
      </c>
      <c r="E168" s="42"/>
      <c r="F168" s="42"/>
      <c r="G168" s="42"/>
      <c r="H168" s="42"/>
      <c r="I168" s="82"/>
    </row>
    <row r="169" spans="1:9" x14ac:dyDescent="0.2">
      <c r="A169" s="82"/>
      <c r="B169" s="82"/>
      <c r="C169" s="83"/>
      <c r="D169" s="42">
        <f>D167-D168</f>
        <v>0</v>
      </c>
      <c r="E169" s="42"/>
      <c r="F169" s="42"/>
      <c r="G169" s="42"/>
      <c r="H169" s="42"/>
      <c r="I169" s="82"/>
    </row>
  </sheetData>
  <mergeCells count="4">
    <mergeCell ref="A111:D111"/>
    <mergeCell ref="A112:D112"/>
    <mergeCell ref="A113:D113"/>
    <mergeCell ref="A165:C165"/>
  </mergeCells>
  <printOptions horizontalCentered="1" verticalCentered="1"/>
  <pageMargins left="0.7" right="0.7" top="0.75" bottom="0.75" header="0.3" footer="0.3"/>
  <pageSetup orientation="portrait" horizontalDpi="1200" r:id="rId1"/>
  <headerFooter>
    <oddHeader xml:space="preserve">&amp;R&amp;8Current as of : &amp;D&amp;10
</oddHeader>
    <oddFooter>&amp;L&amp;8USOE, School Finance</oddFooter>
  </headerFooter>
  <picture r:id="rId2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700-000000000000}">
  <dimension ref="A1:I170"/>
  <sheetViews>
    <sheetView topLeftCell="A107" workbookViewId="0">
      <selection activeCell="C12" sqref="C12"/>
    </sheetView>
  </sheetViews>
  <sheetFormatPr defaultRowHeight="12.75" x14ac:dyDescent="0.2"/>
  <cols>
    <col min="1" max="1" width="33.140625" style="89" customWidth="1"/>
    <col min="2" max="2" width="17.85546875" style="89" customWidth="1"/>
    <col min="3" max="3" width="15.5703125" style="89" customWidth="1"/>
    <col min="4" max="4" width="15.28515625" style="89" customWidth="1"/>
    <col min="5" max="5" width="9.140625" style="89"/>
    <col min="6" max="6" width="23.42578125" style="89" bestFit="1" customWidth="1"/>
    <col min="7" max="7" width="9.140625" style="89"/>
    <col min="8" max="8" width="23" style="89" bestFit="1" customWidth="1"/>
    <col min="9" max="16384" width="9.140625" style="89"/>
  </cols>
  <sheetData>
    <row r="1" spans="1:9" x14ac:dyDescent="0.2">
      <c r="A1" s="7"/>
      <c r="B1" s="7"/>
      <c r="C1" s="7"/>
      <c r="D1" s="7"/>
      <c r="E1" s="7"/>
      <c r="F1" s="7"/>
      <c r="G1" s="7"/>
      <c r="H1" s="7"/>
      <c r="I1" s="7"/>
    </row>
    <row r="2" spans="1:9" x14ac:dyDescent="0.2">
      <c r="A2" s="7"/>
      <c r="B2" s="7"/>
      <c r="C2" s="7"/>
      <c r="D2" s="7"/>
      <c r="E2" s="7"/>
      <c r="F2" s="7"/>
      <c r="G2" s="7"/>
      <c r="H2" s="7"/>
      <c r="I2" s="7"/>
    </row>
    <row r="3" spans="1:9" x14ac:dyDescent="0.2">
      <c r="A3" s="7"/>
      <c r="B3" s="7"/>
      <c r="C3" s="7"/>
      <c r="D3" s="7"/>
      <c r="E3" s="7"/>
      <c r="F3" s="7"/>
      <c r="G3" s="7"/>
      <c r="H3" s="7"/>
      <c r="I3" s="7"/>
    </row>
    <row r="4" spans="1:9" x14ac:dyDescent="0.2">
      <c r="A4" s="7"/>
      <c r="B4" s="7"/>
      <c r="C4" s="7"/>
      <c r="D4" s="7"/>
      <c r="E4" s="7"/>
      <c r="F4" s="7"/>
      <c r="G4" s="7"/>
      <c r="H4" s="7"/>
      <c r="I4" s="7"/>
    </row>
    <row r="5" spans="1:9" x14ac:dyDescent="0.2">
      <c r="A5" s="7"/>
      <c r="B5" s="7"/>
      <c r="C5" s="7"/>
      <c r="D5" s="7"/>
      <c r="E5" s="7"/>
      <c r="F5" s="7"/>
      <c r="G5" s="7"/>
      <c r="H5" s="7"/>
      <c r="I5" s="7"/>
    </row>
    <row r="6" spans="1:9" x14ac:dyDescent="0.2">
      <c r="A6" s="7"/>
      <c r="B6" s="7"/>
      <c r="C6" s="7"/>
      <c r="D6" s="7"/>
      <c r="E6" s="7"/>
      <c r="F6" s="7"/>
      <c r="G6" s="7"/>
      <c r="H6" s="7"/>
      <c r="I6" s="7"/>
    </row>
    <row r="7" spans="1:9" x14ac:dyDescent="0.2">
      <c r="A7" s="7"/>
      <c r="B7" s="7"/>
      <c r="C7" s="7"/>
      <c r="D7" s="7"/>
      <c r="E7" s="7"/>
      <c r="F7" s="7"/>
      <c r="G7" s="7"/>
      <c r="H7" s="7"/>
      <c r="I7" s="7"/>
    </row>
    <row r="8" spans="1:9" x14ac:dyDescent="0.2">
      <c r="A8" s="7"/>
      <c r="B8" s="7"/>
      <c r="C8" s="7"/>
      <c r="D8" s="7"/>
      <c r="E8" s="7"/>
      <c r="F8" s="7"/>
      <c r="G8" s="7"/>
      <c r="H8" s="7"/>
      <c r="I8" s="7"/>
    </row>
    <row r="9" spans="1:9" x14ac:dyDescent="0.2">
      <c r="A9" s="7"/>
      <c r="B9" s="7"/>
      <c r="C9" s="7"/>
      <c r="D9" s="7"/>
      <c r="E9" s="7"/>
      <c r="F9" s="7"/>
      <c r="G9" s="7"/>
      <c r="H9" s="7"/>
      <c r="I9" s="7"/>
    </row>
    <row r="10" spans="1:9" x14ac:dyDescent="0.2">
      <c r="A10" s="7"/>
      <c r="B10" s="7"/>
      <c r="C10" s="7"/>
      <c r="D10" s="7"/>
      <c r="E10" s="7"/>
      <c r="F10" s="7"/>
      <c r="G10" s="7"/>
      <c r="H10" s="7"/>
      <c r="I10" s="7"/>
    </row>
    <row r="11" spans="1:9" x14ac:dyDescent="0.2">
      <c r="A11" s="7"/>
      <c r="B11" s="7"/>
      <c r="C11" s="7"/>
      <c r="D11" s="7"/>
      <c r="E11" s="7"/>
      <c r="F11" s="7"/>
      <c r="G11" s="7"/>
      <c r="H11" s="7"/>
      <c r="I11" s="7"/>
    </row>
    <row r="12" spans="1:9" x14ac:dyDescent="0.2">
      <c r="A12" s="7"/>
      <c r="B12" s="7"/>
      <c r="C12" s="7"/>
      <c r="D12" s="7"/>
      <c r="E12" s="7"/>
      <c r="F12" s="7"/>
      <c r="G12" s="7"/>
      <c r="H12" s="7"/>
      <c r="I12" s="7"/>
    </row>
    <row r="13" spans="1:9" x14ac:dyDescent="0.2">
      <c r="A13" s="7"/>
      <c r="B13" s="7"/>
      <c r="C13" s="7"/>
      <c r="D13" s="7"/>
      <c r="E13" s="7"/>
      <c r="F13" s="7"/>
      <c r="G13" s="7"/>
      <c r="H13" s="7"/>
      <c r="I13" s="7"/>
    </row>
    <row r="14" spans="1:9" x14ac:dyDescent="0.2">
      <c r="A14" s="7"/>
      <c r="B14" s="7"/>
      <c r="C14" s="7"/>
      <c r="D14" s="7"/>
      <c r="E14" s="7"/>
      <c r="F14" s="7"/>
      <c r="G14" s="7"/>
      <c r="H14" s="7"/>
      <c r="I14" s="7"/>
    </row>
    <row r="15" spans="1:9" x14ac:dyDescent="0.2">
      <c r="A15" s="7"/>
      <c r="B15" s="7"/>
      <c r="C15" s="7"/>
      <c r="D15" s="7"/>
      <c r="E15" s="7"/>
      <c r="F15" s="7"/>
      <c r="G15" s="7"/>
      <c r="H15" s="7"/>
      <c r="I15" s="7"/>
    </row>
    <row r="16" spans="1:9" x14ac:dyDescent="0.2">
      <c r="A16" s="7"/>
      <c r="B16" s="7"/>
      <c r="C16" s="7"/>
      <c r="D16" s="7"/>
      <c r="E16" s="7"/>
      <c r="F16" s="7"/>
      <c r="G16" s="7"/>
      <c r="H16" s="7"/>
      <c r="I16" s="7"/>
    </row>
    <row r="17" spans="1:9" x14ac:dyDescent="0.2">
      <c r="A17" s="7"/>
      <c r="B17" s="7"/>
      <c r="C17" s="7"/>
      <c r="D17" s="7"/>
      <c r="E17" s="7"/>
      <c r="F17" s="7"/>
      <c r="G17" s="7"/>
      <c r="H17" s="7"/>
      <c r="I17" s="7"/>
    </row>
    <row r="18" spans="1:9" x14ac:dyDescent="0.2">
      <c r="A18" s="7"/>
      <c r="B18" s="7"/>
      <c r="C18" s="7"/>
      <c r="D18" s="7"/>
      <c r="E18" s="7"/>
      <c r="F18" s="7"/>
      <c r="G18" s="7"/>
      <c r="H18" s="7"/>
      <c r="I18" s="7"/>
    </row>
    <row r="19" spans="1:9" x14ac:dyDescent="0.2">
      <c r="A19" s="7"/>
      <c r="B19" s="7"/>
      <c r="C19" s="7"/>
      <c r="D19" s="7"/>
      <c r="E19" s="7"/>
      <c r="F19" s="7"/>
      <c r="G19" s="7"/>
      <c r="H19" s="7"/>
      <c r="I19" s="7"/>
    </row>
    <row r="20" spans="1:9" x14ac:dyDescent="0.2">
      <c r="A20" s="7"/>
      <c r="B20" s="7"/>
      <c r="C20" s="7"/>
      <c r="D20" s="7"/>
      <c r="E20" s="7"/>
      <c r="F20" s="7"/>
      <c r="G20" s="7"/>
      <c r="H20" s="7"/>
      <c r="I20" s="7"/>
    </row>
    <row r="21" spans="1:9" x14ac:dyDescent="0.2">
      <c r="A21" s="7"/>
      <c r="B21" s="7"/>
      <c r="C21" s="7"/>
      <c r="D21" s="7"/>
      <c r="E21" s="7"/>
      <c r="F21" s="7"/>
      <c r="G21" s="7"/>
      <c r="H21" s="7"/>
      <c r="I21" s="7"/>
    </row>
    <row r="22" spans="1:9" x14ac:dyDescent="0.2">
      <c r="A22" s="7"/>
      <c r="B22" s="7"/>
      <c r="C22" s="7"/>
      <c r="D22" s="4"/>
      <c r="E22" s="7"/>
      <c r="F22" s="7"/>
      <c r="G22" s="7"/>
      <c r="H22" s="7"/>
      <c r="I22" s="7"/>
    </row>
    <row r="23" spans="1:9" x14ac:dyDescent="0.2">
      <c r="A23" s="7"/>
      <c r="B23" s="7"/>
      <c r="C23" s="7"/>
      <c r="D23" s="7"/>
      <c r="E23" s="7"/>
      <c r="F23" s="7"/>
      <c r="G23" s="7"/>
      <c r="H23" s="7"/>
      <c r="I23" s="7"/>
    </row>
    <row r="24" spans="1:9" x14ac:dyDescent="0.2">
      <c r="A24" s="7"/>
      <c r="B24" s="7"/>
      <c r="C24" s="7"/>
      <c r="D24" s="7"/>
      <c r="E24" s="7"/>
      <c r="F24" s="7"/>
      <c r="G24" s="7"/>
      <c r="H24" s="7"/>
      <c r="I24" s="7"/>
    </row>
    <row r="25" spans="1:9" x14ac:dyDescent="0.2">
      <c r="A25" s="7"/>
      <c r="B25" s="7"/>
      <c r="C25" s="7"/>
      <c r="D25" s="7"/>
      <c r="E25" s="7"/>
      <c r="F25" s="7"/>
      <c r="G25" s="7"/>
      <c r="H25" s="7"/>
      <c r="I25" s="7"/>
    </row>
    <row r="26" spans="1:9" x14ac:dyDescent="0.2">
      <c r="A26" s="7"/>
      <c r="B26" s="7"/>
      <c r="C26" s="7"/>
      <c r="D26" s="7"/>
      <c r="E26" s="7"/>
      <c r="F26" s="7"/>
      <c r="G26" s="7"/>
      <c r="H26" s="7"/>
      <c r="I26" s="7"/>
    </row>
    <row r="27" spans="1:9" x14ac:dyDescent="0.2">
      <c r="A27" s="7"/>
      <c r="B27" s="7"/>
      <c r="C27" s="7"/>
      <c r="D27" s="7"/>
      <c r="E27" s="7"/>
      <c r="F27" s="7"/>
      <c r="G27" s="7"/>
      <c r="H27" s="7"/>
      <c r="I27" s="7"/>
    </row>
    <row r="28" spans="1:9" x14ac:dyDescent="0.2">
      <c r="A28" s="7"/>
      <c r="B28" s="7"/>
      <c r="C28" s="7"/>
      <c r="D28" s="7"/>
      <c r="E28" s="7"/>
      <c r="F28" s="7"/>
      <c r="G28" s="7"/>
      <c r="H28" s="7"/>
      <c r="I28" s="7"/>
    </row>
    <row r="29" spans="1:9" x14ac:dyDescent="0.2">
      <c r="A29" s="7"/>
      <c r="B29" s="7"/>
      <c r="C29" s="7"/>
      <c r="D29" s="7"/>
      <c r="E29" s="7"/>
      <c r="F29" s="7"/>
      <c r="G29" s="7"/>
      <c r="H29" s="7"/>
      <c r="I29" s="7"/>
    </row>
    <row r="30" spans="1:9" x14ac:dyDescent="0.2">
      <c r="A30" s="7"/>
      <c r="B30" s="7"/>
      <c r="C30" s="7"/>
      <c r="D30" s="7"/>
      <c r="E30" s="7"/>
      <c r="F30" s="7"/>
      <c r="G30" s="7"/>
      <c r="H30" s="7"/>
      <c r="I30" s="7"/>
    </row>
    <row r="31" spans="1:9" x14ac:dyDescent="0.2">
      <c r="A31" s="7"/>
      <c r="B31" s="7"/>
      <c r="C31" s="7"/>
      <c r="D31" s="7"/>
      <c r="E31" s="7"/>
      <c r="F31" s="7"/>
      <c r="G31" s="7"/>
      <c r="H31" s="7"/>
      <c r="I31" s="7"/>
    </row>
    <row r="32" spans="1:9" x14ac:dyDescent="0.2">
      <c r="A32" s="7"/>
      <c r="B32" s="7"/>
      <c r="C32" s="7"/>
      <c r="D32" s="7"/>
      <c r="E32" s="7"/>
      <c r="F32" s="7"/>
      <c r="G32" s="7"/>
      <c r="H32" s="7"/>
      <c r="I32" s="7"/>
    </row>
    <row r="33" spans="1:9" x14ac:dyDescent="0.2">
      <c r="A33" s="7"/>
      <c r="B33" s="7"/>
      <c r="C33" s="7"/>
      <c r="D33" s="7"/>
      <c r="E33" s="7"/>
      <c r="F33" s="7"/>
      <c r="G33" s="7"/>
      <c r="H33" s="7"/>
      <c r="I33" s="7"/>
    </row>
    <row r="34" spans="1:9" x14ac:dyDescent="0.2">
      <c r="A34" s="7"/>
      <c r="B34" s="7"/>
      <c r="C34" s="7"/>
      <c r="D34" s="7"/>
      <c r="E34" s="7"/>
      <c r="F34" s="7"/>
      <c r="G34" s="7"/>
      <c r="H34" s="7"/>
      <c r="I34" s="7"/>
    </row>
    <row r="35" spans="1:9" x14ac:dyDescent="0.2">
      <c r="A35" s="7"/>
      <c r="B35" s="7"/>
      <c r="C35" s="7"/>
      <c r="D35" s="7"/>
      <c r="E35" s="7"/>
      <c r="F35" s="7"/>
      <c r="G35" s="7"/>
      <c r="H35" s="7"/>
      <c r="I35" s="7"/>
    </row>
    <row r="36" spans="1:9" x14ac:dyDescent="0.2">
      <c r="A36" s="7"/>
      <c r="B36" s="7"/>
      <c r="C36" s="7"/>
      <c r="D36" s="7"/>
      <c r="E36" s="7"/>
      <c r="F36" s="7"/>
      <c r="G36" s="7"/>
      <c r="H36" s="7"/>
      <c r="I36" s="7"/>
    </row>
    <row r="37" spans="1:9" x14ac:dyDescent="0.2">
      <c r="A37" s="7"/>
      <c r="B37" s="7"/>
      <c r="C37" s="7"/>
      <c r="D37" s="7"/>
      <c r="E37" s="7"/>
      <c r="F37" s="7"/>
      <c r="G37" s="7"/>
      <c r="H37" s="7"/>
      <c r="I37" s="7"/>
    </row>
    <row r="38" spans="1:9" x14ac:dyDescent="0.2">
      <c r="A38" s="7"/>
      <c r="B38" s="7"/>
      <c r="C38" s="7"/>
      <c r="D38" s="7"/>
      <c r="E38" s="7"/>
      <c r="F38" s="7"/>
      <c r="G38" s="7"/>
      <c r="H38" s="7"/>
      <c r="I38" s="7"/>
    </row>
    <row r="39" spans="1:9" x14ac:dyDescent="0.2">
      <c r="A39" s="7"/>
      <c r="B39" s="7"/>
      <c r="C39" s="7"/>
      <c r="D39" s="7"/>
      <c r="E39" s="7"/>
      <c r="F39" s="7"/>
      <c r="G39" s="7"/>
      <c r="H39" s="7"/>
      <c r="I39" s="7"/>
    </row>
    <row r="40" spans="1:9" x14ac:dyDescent="0.2">
      <c r="A40" s="7"/>
      <c r="B40" s="7"/>
      <c r="C40" s="7"/>
      <c r="D40" s="7"/>
      <c r="E40" s="7"/>
      <c r="F40" s="7"/>
      <c r="G40" s="7"/>
      <c r="H40" s="7"/>
      <c r="I40" s="7"/>
    </row>
    <row r="41" spans="1:9" x14ac:dyDescent="0.2">
      <c r="A41" s="7"/>
      <c r="B41" s="7"/>
      <c r="C41" s="7"/>
      <c r="D41" s="7"/>
      <c r="E41" s="7"/>
      <c r="F41" s="7"/>
      <c r="G41" s="7"/>
      <c r="H41" s="7"/>
      <c r="I41" s="7"/>
    </row>
    <row r="42" spans="1:9" x14ac:dyDescent="0.2">
      <c r="A42" s="7"/>
      <c r="B42" s="7"/>
      <c r="C42" s="7"/>
      <c r="D42" s="7"/>
      <c r="E42" s="7"/>
      <c r="F42" s="7"/>
      <c r="G42" s="7"/>
      <c r="H42" s="7"/>
      <c r="I42" s="7"/>
    </row>
    <row r="43" spans="1:9" x14ac:dyDescent="0.2">
      <c r="A43" s="7"/>
      <c r="B43" s="7"/>
      <c r="C43" s="7"/>
      <c r="D43" s="7"/>
      <c r="E43" s="7"/>
      <c r="F43" s="7"/>
      <c r="G43" s="7"/>
      <c r="H43" s="7"/>
      <c r="I43" s="7"/>
    </row>
    <row r="44" spans="1:9" x14ac:dyDescent="0.2">
      <c r="A44" s="7"/>
      <c r="B44" s="7"/>
      <c r="C44" s="7"/>
      <c r="D44" s="7"/>
      <c r="E44" s="7"/>
      <c r="F44" s="7"/>
      <c r="G44" s="7"/>
      <c r="H44" s="7"/>
      <c r="I44" s="7"/>
    </row>
    <row r="45" spans="1:9" x14ac:dyDescent="0.2">
      <c r="A45" s="7"/>
      <c r="B45" s="7"/>
      <c r="C45" s="7"/>
      <c r="D45" s="7"/>
      <c r="E45" s="7"/>
      <c r="F45" s="7"/>
      <c r="G45" s="7"/>
      <c r="H45" s="7"/>
      <c r="I45" s="7"/>
    </row>
    <row r="46" spans="1:9" x14ac:dyDescent="0.2">
      <c r="A46" s="7"/>
      <c r="B46" s="7"/>
      <c r="C46" s="7"/>
      <c r="D46" s="7"/>
      <c r="E46" s="7"/>
      <c r="F46" s="7"/>
      <c r="G46" s="7"/>
      <c r="H46" s="7"/>
      <c r="I46" s="7"/>
    </row>
    <row r="47" spans="1:9" x14ac:dyDescent="0.2">
      <c r="A47" s="7"/>
      <c r="B47" s="7"/>
      <c r="C47" s="7"/>
      <c r="D47" s="7"/>
      <c r="E47" s="7"/>
      <c r="F47" s="7"/>
      <c r="G47" s="7"/>
      <c r="H47" s="7"/>
      <c r="I47" s="7"/>
    </row>
    <row r="48" spans="1:9" x14ac:dyDescent="0.2">
      <c r="A48" s="7"/>
      <c r="B48" s="7"/>
      <c r="C48" s="7"/>
      <c r="D48" s="7"/>
      <c r="E48" s="7"/>
      <c r="F48" s="7"/>
      <c r="G48" s="7"/>
      <c r="H48" s="7"/>
      <c r="I48" s="7"/>
    </row>
    <row r="49" spans="1:9" x14ac:dyDescent="0.2">
      <c r="A49" s="7"/>
      <c r="B49" s="7"/>
      <c r="C49" s="7"/>
      <c r="D49" s="7"/>
      <c r="E49" s="7"/>
      <c r="F49" s="7"/>
      <c r="G49" s="7"/>
      <c r="H49" s="7"/>
      <c r="I49" s="7"/>
    </row>
    <row r="50" spans="1:9" x14ac:dyDescent="0.2">
      <c r="A50" s="7"/>
      <c r="B50" s="7"/>
      <c r="C50" s="7"/>
      <c r="D50" s="7"/>
      <c r="E50" s="7"/>
      <c r="F50" s="7"/>
      <c r="G50" s="7"/>
      <c r="H50" s="7"/>
      <c r="I50" s="7"/>
    </row>
    <row r="51" spans="1:9" x14ac:dyDescent="0.2">
      <c r="A51" s="7"/>
      <c r="B51" s="7"/>
      <c r="C51" s="7"/>
      <c r="D51" s="7"/>
      <c r="E51" s="7"/>
      <c r="F51" s="7"/>
      <c r="G51" s="7"/>
      <c r="H51" s="7"/>
      <c r="I51" s="7"/>
    </row>
    <row r="52" spans="1:9" x14ac:dyDescent="0.2">
      <c r="A52" s="7"/>
      <c r="B52" s="7"/>
      <c r="C52" s="7"/>
      <c r="D52" s="7"/>
      <c r="E52" s="7"/>
      <c r="F52" s="7"/>
      <c r="G52" s="7"/>
      <c r="H52" s="7"/>
      <c r="I52" s="7"/>
    </row>
    <row r="53" spans="1:9" x14ac:dyDescent="0.2">
      <c r="A53" s="7"/>
      <c r="B53" s="7"/>
      <c r="C53" s="7"/>
      <c r="D53" s="7"/>
      <c r="E53" s="7"/>
      <c r="F53" s="7"/>
      <c r="G53" s="7"/>
      <c r="H53" s="7"/>
      <c r="I53" s="7"/>
    </row>
    <row r="54" spans="1:9" x14ac:dyDescent="0.2">
      <c r="A54" s="7"/>
      <c r="B54" s="7"/>
      <c r="C54" s="7"/>
      <c r="D54" s="7"/>
      <c r="E54" s="7"/>
      <c r="F54" s="7"/>
      <c r="G54" s="7"/>
      <c r="H54" s="7"/>
      <c r="I54" s="7"/>
    </row>
    <row r="55" spans="1:9" x14ac:dyDescent="0.2">
      <c r="A55" s="7"/>
      <c r="B55" s="7"/>
      <c r="C55" s="7"/>
      <c r="D55" s="7"/>
      <c r="E55" s="7"/>
      <c r="F55" s="7"/>
      <c r="G55" s="7"/>
      <c r="H55" s="7"/>
      <c r="I55" s="7"/>
    </row>
    <row r="56" spans="1:9" x14ac:dyDescent="0.2">
      <c r="A56" s="7"/>
      <c r="B56" s="7"/>
      <c r="C56" s="7"/>
      <c r="D56" s="7"/>
      <c r="E56" s="7"/>
      <c r="F56" s="7"/>
      <c r="G56" s="7"/>
      <c r="H56" s="7"/>
      <c r="I56" s="7"/>
    </row>
    <row r="57" spans="1:9" x14ac:dyDescent="0.2">
      <c r="A57" s="7"/>
      <c r="B57" s="7"/>
      <c r="C57" s="7"/>
      <c r="D57" s="7"/>
      <c r="E57" s="7"/>
      <c r="F57" s="7"/>
      <c r="G57" s="7"/>
      <c r="H57" s="7"/>
      <c r="I57" s="7"/>
    </row>
    <row r="58" spans="1:9" x14ac:dyDescent="0.2">
      <c r="A58" s="7"/>
      <c r="B58" s="7"/>
      <c r="C58" s="7"/>
      <c r="D58" s="7"/>
      <c r="E58" s="7"/>
      <c r="F58" s="7"/>
      <c r="G58" s="7"/>
      <c r="H58" s="7"/>
      <c r="I58" s="7"/>
    </row>
    <row r="59" spans="1:9" x14ac:dyDescent="0.2">
      <c r="A59" s="7"/>
      <c r="B59" s="7"/>
      <c r="C59" s="7"/>
      <c r="D59" s="7"/>
      <c r="E59" s="7"/>
      <c r="F59" s="7"/>
      <c r="G59" s="7"/>
      <c r="H59" s="7"/>
      <c r="I59" s="7"/>
    </row>
    <row r="60" spans="1:9" x14ac:dyDescent="0.2">
      <c r="A60" s="7"/>
      <c r="B60" s="7"/>
      <c r="C60" s="7"/>
      <c r="D60" s="7"/>
      <c r="E60" s="7"/>
      <c r="F60" s="7"/>
      <c r="G60" s="7"/>
      <c r="H60" s="7"/>
      <c r="I60" s="7"/>
    </row>
    <row r="61" spans="1:9" x14ac:dyDescent="0.2">
      <c r="A61" s="7"/>
      <c r="B61" s="7"/>
      <c r="C61" s="7"/>
      <c r="D61" s="7"/>
      <c r="E61" s="7"/>
      <c r="F61" s="7"/>
      <c r="G61" s="7"/>
      <c r="H61" s="7"/>
      <c r="I61" s="7"/>
    </row>
    <row r="62" spans="1:9" x14ac:dyDescent="0.2">
      <c r="A62" s="7"/>
      <c r="B62" s="7"/>
      <c r="C62" s="7"/>
      <c r="D62" s="7"/>
      <c r="E62" s="7"/>
      <c r="F62" s="7"/>
      <c r="G62" s="7"/>
      <c r="H62" s="7"/>
      <c r="I62" s="7"/>
    </row>
    <row r="63" spans="1:9" x14ac:dyDescent="0.2">
      <c r="A63" s="7"/>
      <c r="B63" s="7"/>
      <c r="C63" s="7"/>
      <c r="D63" s="7"/>
      <c r="E63" s="7"/>
      <c r="F63" s="7"/>
      <c r="G63" s="7"/>
      <c r="H63" s="7"/>
      <c r="I63" s="7"/>
    </row>
    <row r="64" spans="1:9" x14ac:dyDescent="0.2">
      <c r="A64" s="7"/>
      <c r="B64" s="7"/>
      <c r="C64" s="7"/>
      <c r="D64" s="7"/>
      <c r="E64" s="7"/>
      <c r="F64" s="7"/>
      <c r="G64" s="7"/>
      <c r="H64" s="7"/>
      <c r="I64" s="7"/>
    </row>
    <row r="65" spans="1:9" x14ac:dyDescent="0.2">
      <c r="A65" s="7"/>
      <c r="B65" s="7"/>
      <c r="C65" s="7"/>
      <c r="D65" s="7"/>
      <c r="E65" s="7"/>
      <c r="F65" s="7"/>
      <c r="G65" s="7"/>
      <c r="H65" s="7"/>
      <c r="I65" s="7"/>
    </row>
    <row r="66" spans="1:9" x14ac:dyDescent="0.2">
      <c r="A66" s="7"/>
      <c r="B66" s="7"/>
      <c r="C66" s="7"/>
      <c r="D66" s="7"/>
      <c r="E66" s="7"/>
      <c r="F66" s="7"/>
      <c r="G66" s="7"/>
      <c r="H66" s="7"/>
      <c r="I66" s="7"/>
    </row>
    <row r="67" spans="1:9" x14ac:dyDescent="0.2">
      <c r="A67" s="7"/>
      <c r="B67" s="7"/>
      <c r="C67" s="7"/>
      <c r="D67" s="7"/>
      <c r="E67" s="7"/>
      <c r="F67" s="7"/>
      <c r="G67" s="7"/>
      <c r="H67" s="7"/>
      <c r="I67" s="7"/>
    </row>
    <row r="68" spans="1:9" x14ac:dyDescent="0.2">
      <c r="A68" s="7"/>
      <c r="B68" s="7"/>
      <c r="C68" s="7"/>
      <c r="D68" s="7"/>
      <c r="E68" s="7"/>
      <c r="F68" s="7"/>
      <c r="G68" s="7"/>
      <c r="H68" s="7"/>
      <c r="I68" s="7"/>
    </row>
    <row r="69" spans="1:9" x14ac:dyDescent="0.2">
      <c r="A69" s="7"/>
      <c r="B69" s="7"/>
      <c r="C69" s="7"/>
      <c r="D69" s="7"/>
      <c r="E69" s="7"/>
      <c r="F69" s="7"/>
      <c r="G69" s="7"/>
      <c r="H69" s="7"/>
      <c r="I69" s="7"/>
    </row>
    <row r="70" spans="1:9" x14ac:dyDescent="0.2">
      <c r="A70" s="7"/>
      <c r="B70" s="7"/>
      <c r="C70" s="7"/>
      <c r="D70" s="7"/>
      <c r="E70" s="7"/>
      <c r="F70" s="7"/>
      <c r="G70" s="7"/>
      <c r="H70" s="7"/>
      <c r="I70" s="7"/>
    </row>
    <row r="71" spans="1:9" x14ac:dyDescent="0.2">
      <c r="A71" s="7"/>
      <c r="B71" s="7"/>
      <c r="C71" s="7"/>
      <c r="D71" s="7"/>
      <c r="E71" s="7"/>
      <c r="F71" s="7"/>
      <c r="G71" s="7"/>
      <c r="H71" s="7"/>
      <c r="I71" s="7"/>
    </row>
    <row r="72" spans="1:9" x14ac:dyDescent="0.2">
      <c r="A72" s="7"/>
      <c r="B72" s="7"/>
      <c r="C72" s="7"/>
      <c r="D72" s="7"/>
      <c r="E72" s="7"/>
      <c r="F72" s="7"/>
      <c r="G72" s="7"/>
      <c r="H72" s="7"/>
      <c r="I72" s="7"/>
    </row>
    <row r="73" spans="1:9" x14ac:dyDescent="0.2">
      <c r="A73" s="7"/>
      <c r="B73" s="7"/>
      <c r="C73" s="7"/>
      <c r="D73" s="7"/>
      <c r="E73" s="7"/>
      <c r="F73" s="7"/>
      <c r="G73" s="7"/>
      <c r="H73" s="7"/>
      <c r="I73" s="7"/>
    </row>
    <row r="74" spans="1:9" x14ac:dyDescent="0.2">
      <c r="A74" s="7"/>
      <c r="B74" s="7"/>
      <c r="C74" s="7"/>
      <c r="D74" s="7"/>
      <c r="E74" s="7"/>
      <c r="F74" s="7"/>
      <c r="G74" s="7"/>
      <c r="H74" s="7"/>
      <c r="I74" s="7"/>
    </row>
    <row r="75" spans="1:9" x14ac:dyDescent="0.2">
      <c r="A75" s="7"/>
      <c r="B75" s="7"/>
      <c r="C75" s="7"/>
      <c r="D75" s="7"/>
      <c r="E75" s="7"/>
      <c r="F75" s="7"/>
      <c r="G75" s="7"/>
      <c r="H75" s="7"/>
      <c r="I75" s="7"/>
    </row>
    <row r="76" spans="1:9" x14ac:dyDescent="0.2">
      <c r="A76" s="7"/>
      <c r="B76" s="7"/>
      <c r="C76" s="7"/>
      <c r="D76" s="7"/>
      <c r="E76" s="7"/>
      <c r="F76" s="7"/>
      <c r="G76" s="7"/>
      <c r="H76" s="7"/>
      <c r="I76" s="7"/>
    </row>
    <row r="77" spans="1:9" x14ac:dyDescent="0.2">
      <c r="A77" s="7"/>
      <c r="B77" s="7"/>
      <c r="C77" s="7"/>
      <c r="D77" s="7"/>
      <c r="E77" s="7"/>
      <c r="F77" s="7"/>
      <c r="G77" s="7"/>
      <c r="H77" s="7"/>
      <c r="I77" s="7"/>
    </row>
    <row r="78" spans="1:9" x14ac:dyDescent="0.2">
      <c r="A78" s="7"/>
      <c r="B78" s="7"/>
      <c r="C78" s="7"/>
      <c r="D78" s="7"/>
      <c r="E78" s="7"/>
      <c r="F78" s="7"/>
      <c r="G78" s="7"/>
      <c r="H78" s="7"/>
      <c r="I78" s="7"/>
    </row>
    <row r="79" spans="1:9" x14ac:dyDescent="0.2">
      <c r="A79" s="7"/>
      <c r="B79" s="7"/>
      <c r="C79" s="7"/>
      <c r="D79" s="7"/>
      <c r="E79" s="7"/>
      <c r="F79" s="7"/>
      <c r="G79" s="7"/>
      <c r="H79" s="7"/>
      <c r="I79" s="7"/>
    </row>
    <row r="80" spans="1:9" x14ac:dyDescent="0.2">
      <c r="A80" s="7"/>
      <c r="B80" s="7"/>
      <c r="C80" s="7"/>
      <c r="D80" s="7"/>
      <c r="E80" s="7"/>
      <c r="F80" s="7"/>
      <c r="G80" s="7"/>
      <c r="H80" s="7"/>
      <c r="I80" s="7"/>
    </row>
    <row r="81" spans="1:9" x14ac:dyDescent="0.2">
      <c r="A81" s="7"/>
      <c r="B81" s="7"/>
      <c r="C81" s="7"/>
      <c r="D81" s="7"/>
      <c r="E81" s="7"/>
      <c r="F81" s="7"/>
      <c r="G81" s="7"/>
      <c r="H81" s="7"/>
      <c r="I81" s="7"/>
    </row>
    <row r="82" spans="1:9" x14ac:dyDescent="0.2">
      <c r="A82" s="7"/>
      <c r="B82" s="7"/>
      <c r="C82" s="7"/>
      <c r="D82" s="7"/>
      <c r="E82" s="7"/>
      <c r="F82" s="7"/>
      <c r="G82" s="7"/>
      <c r="H82" s="7"/>
      <c r="I82" s="7"/>
    </row>
    <row r="83" spans="1:9" x14ac:dyDescent="0.2">
      <c r="A83" s="7"/>
      <c r="B83" s="7"/>
      <c r="C83" s="7"/>
      <c r="D83" s="7"/>
      <c r="E83" s="7"/>
      <c r="F83" s="7"/>
      <c r="G83" s="7"/>
      <c r="H83" s="7"/>
      <c r="I83" s="7"/>
    </row>
    <row r="84" spans="1:9" x14ac:dyDescent="0.2">
      <c r="A84" s="7"/>
      <c r="B84" s="7"/>
      <c r="C84" s="7"/>
      <c r="D84" s="7"/>
      <c r="E84" s="7"/>
      <c r="F84" s="7"/>
      <c r="G84" s="7"/>
      <c r="H84" s="7"/>
      <c r="I84" s="7"/>
    </row>
    <row r="85" spans="1:9" x14ac:dyDescent="0.2">
      <c r="A85" s="7"/>
      <c r="B85" s="7"/>
      <c r="C85" s="7"/>
      <c r="D85" s="7"/>
      <c r="E85" s="7"/>
      <c r="F85" s="7"/>
      <c r="G85" s="7"/>
      <c r="H85" s="7"/>
      <c r="I85" s="7"/>
    </row>
    <row r="86" spans="1:9" x14ac:dyDescent="0.2">
      <c r="A86" s="7"/>
      <c r="B86" s="7"/>
      <c r="C86" s="7"/>
      <c r="D86" s="7"/>
      <c r="E86" s="7"/>
      <c r="F86" s="7"/>
      <c r="G86" s="7"/>
      <c r="H86" s="7"/>
      <c r="I86" s="7"/>
    </row>
    <row r="87" spans="1:9" x14ac:dyDescent="0.2">
      <c r="A87" s="7"/>
      <c r="B87" s="7"/>
      <c r="C87" s="7"/>
      <c r="D87" s="7"/>
      <c r="E87" s="7"/>
      <c r="F87" s="7"/>
      <c r="G87" s="7"/>
      <c r="H87" s="7"/>
      <c r="I87" s="7"/>
    </row>
    <row r="88" spans="1:9" x14ac:dyDescent="0.2">
      <c r="A88" s="7"/>
      <c r="B88" s="7"/>
      <c r="C88" s="7"/>
      <c r="D88" s="7"/>
      <c r="E88" s="7"/>
      <c r="F88" s="7"/>
      <c r="G88" s="7"/>
      <c r="H88" s="7"/>
      <c r="I88" s="7"/>
    </row>
    <row r="89" spans="1:9" x14ac:dyDescent="0.2">
      <c r="A89" s="7"/>
      <c r="B89" s="7"/>
      <c r="C89" s="7"/>
      <c r="D89" s="7"/>
      <c r="E89" s="7"/>
      <c r="F89" s="7"/>
      <c r="G89" s="7"/>
      <c r="H89" s="7"/>
      <c r="I89" s="7"/>
    </row>
    <row r="90" spans="1:9" x14ac:dyDescent="0.2">
      <c r="A90" s="7"/>
      <c r="B90" s="7"/>
      <c r="C90" s="7"/>
      <c r="D90" s="7"/>
      <c r="E90" s="7"/>
      <c r="F90" s="7"/>
      <c r="G90" s="7"/>
      <c r="H90" s="7"/>
      <c r="I90" s="7"/>
    </row>
    <row r="91" spans="1:9" x14ac:dyDescent="0.2">
      <c r="A91" s="7"/>
      <c r="B91" s="7"/>
      <c r="C91" s="7"/>
      <c r="D91" s="7"/>
      <c r="E91" s="7"/>
      <c r="F91" s="7"/>
      <c r="G91" s="7"/>
      <c r="H91" s="7"/>
      <c r="I91" s="7"/>
    </row>
    <row r="92" spans="1:9" x14ac:dyDescent="0.2">
      <c r="A92" s="7"/>
      <c r="B92" s="7"/>
      <c r="C92" s="7"/>
      <c r="D92" s="7"/>
      <c r="E92" s="7"/>
      <c r="F92" s="7"/>
      <c r="G92" s="7"/>
      <c r="H92" s="7"/>
      <c r="I92" s="7"/>
    </row>
    <row r="93" spans="1:9" x14ac:dyDescent="0.2">
      <c r="A93" s="7"/>
      <c r="B93" s="7"/>
      <c r="C93" s="7"/>
      <c r="D93" s="7"/>
      <c r="E93" s="7"/>
      <c r="F93" s="7"/>
      <c r="G93" s="7"/>
      <c r="H93" s="7"/>
      <c r="I93" s="7"/>
    </row>
    <row r="94" spans="1:9" x14ac:dyDescent="0.2">
      <c r="A94" s="7"/>
      <c r="B94" s="7"/>
      <c r="C94" s="7"/>
      <c r="D94" s="7"/>
      <c r="E94" s="7"/>
      <c r="F94" s="7"/>
      <c r="G94" s="7"/>
      <c r="H94" s="7"/>
      <c r="I94" s="7"/>
    </row>
    <row r="95" spans="1:9" x14ac:dyDescent="0.2">
      <c r="A95" s="7"/>
      <c r="B95" s="7"/>
      <c r="C95" s="7"/>
      <c r="D95" s="7"/>
      <c r="E95" s="7"/>
      <c r="F95" s="7"/>
      <c r="G95" s="7"/>
      <c r="H95" s="7"/>
      <c r="I95" s="7"/>
    </row>
    <row r="96" spans="1:9" x14ac:dyDescent="0.2">
      <c r="A96" s="7"/>
      <c r="B96" s="7"/>
      <c r="C96" s="7"/>
      <c r="D96" s="7"/>
      <c r="E96" s="7"/>
      <c r="F96" s="7"/>
      <c r="G96" s="7"/>
      <c r="H96" s="7"/>
      <c r="I96" s="7"/>
    </row>
    <row r="97" spans="1:9" x14ac:dyDescent="0.2">
      <c r="A97" s="7"/>
      <c r="B97" s="7"/>
      <c r="C97" s="7"/>
      <c r="D97" s="7"/>
      <c r="E97" s="7"/>
      <c r="F97" s="7"/>
      <c r="G97" s="7"/>
      <c r="H97" s="7"/>
      <c r="I97" s="7"/>
    </row>
    <row r="98" spans="1:9" x14ac:dyDescent="0.2">
      <c r="A98" s="7"/>
      <c r="B98" s="7"/>
      <c r="C98" s="7"/>
      <c r="D98" s="7"/>
      <c r="E98" s="7"/>
      <c r="F98" s="7"/>
      <c r="G98" s="7"/>
      <c r="H98" s="7"/>
      <c r="I98" s="7"/>
    </row>
    <row r="99" spans="1:9" x14ac:dyDescent="0.2">
      <c r="A99" s="7"/>
      <c r="B99" s="7"/>
      <c r="C99" s="7"/>
      <c r="D99" s="7"/>
      <c r="E99" s="7"/>
      <c r="F99" s="7"/>
      <c r="G99" s="7"/>
      <c r="H99" s="7"/>
      <c r="I99" s="7"/>
    </row>
    <row r="100" spans="1:9" x14ac:dyDescent="0.2">
      <c r="A100" s="7"/>
      <c r="B100" s="7"/>
      <c r="C100" s="7"/>
      <c r="D100" s="7"/>
      <c r="E100" s="7"/>
      <c r="F100" s="7"/>
      <c r="G100" s="7"/>
      <c r="H100" s="7"/>
      <c r="I100" s="7"/>
    </row>
    <row r="101" spans="1:9" x14ac:dyDescent="0.2">
      <c r="A101" s="7"/>
      <c r="B101" s="7"/>
      <c r="C101" s="7"/>
      <c r="D101" s="7"/>
      <c r="E101" s="7"/>
      <c r="F101" s="7"/>
      <c r="G101" s="7"/>
      <c r="H101" s="7"/>
      <c r="I101" s="7"/>
    </row>
    <row r="102" spans="1:9" x14ac:dyDescent="0.2">
      <c r="A102" s="7"/>
      <c r="B102" s="7"/>
      <c r="C102" s="7"/>
      <c r="D102" s="7"/>
      <c r="E102" s="7"/>
      <c r="F102" s="7"/>
      <c r="G102" s="7"/>
      <c r="H102" s="7"/>
      <c r="I102" s="7"/>
    </row>
    <row r="103" spans="1:9" x14ac:dyDescent="0.2">
      <c r="A103" s="7"/>
      <c r="B103" s="7"/>
      <c r="C103" s="7"/>
      <c r="D103" s="7"/>
      <c r="E103" s="7"/>
      <c r="F103" s="7"/>
      <c r="G103" s="7"/>
      <c r="H103" s="7"/>
      <c r="I103" s="7"/>
    </row>
    <row r="104" spans="1:9" x14ac:dyDescent="0.2">
      <c r="A104" s="7"/>
      <c r="B104" s="7"/>
      <c r="C104" s="7"/>
      <c r="D104" s="7"/>
      <c r="E104" s="7"/>
      <c r="F104" s="7"/>
      <c r="G104" s="7"/>
      <c r="H104" s="7"/>
      <c r="I104" s="7"/>
    </row>
    <row r="105" spans="1:9" x14ac:dyDescent="0.2">
      <c r="A105" s="7"/>
      <c r="B105" s="7"/>
      <c r="C105" s="7"/>
      <c r="D105" s="7"/>
      <c r="E105" s="7"/>
      <c r="F105" s="7"/>
      <c r="G105" s="7"/>
      <c r="H105" s="7"/>
      <c r="I105" s="7"/>
    </row>
    <row r="106" spans="1:9" x14ac:dyDescent="0.2">
      <c r="A106" s="7"/>
      <c r="B106" s="7"/>
      <c r="C106" s="7"/>
      <c r="D106" s="7"/>
      <c r="E106" s="7"/>
      <c r="F106" s="7"/>
      <c r="G106" s="7"/>
      <c r="H106" s="7"/>
      <c r="I106" s="7"/>
    </row>
    <row r="107" spans="1:9" x14ac:dyDescent="0.2">
      <c r="A107" s="7"/>
      <c r="B107" s="7"/>
      <c r="C107" s="7"/>
      <c r="D107" s="7"/>
      <c r="E107" s="7"/>
      <c r="F107" s="7"/>
      <c r="G107" s="7"/>
      <c r="H107" s="7"/>
      <c r="I107" s="7"/>
    </row>
    <row r="108" spans="1:9" x14ac:dyDescent="0.2">
      <c r="A108" s="7"/>
      <c r="B108" s="7"/>
      <c r="C108" s="7"/>
      <c r="D108" s="7"/>
      <c r="E108" s="7"/>
      <c r="F108" s="7"/>
      <c r="G108" s="7"/>
      <c r="H108" s="7"/>
      <c r="I108" s="7"/>
    </row>
    <row r="109" spans="1:9" x14ac:dyDescent="0.2">
      <c r="A109" s="7"/>
      <c r="B109" s="7"/>
      <c r="C109" s="7"/>
      <c r="D109" s="7"/>
      <c r="E109" s="7"/>
      <c r="F109" s="7"/>
      <c r="G109" s="7"/>
      <c r="H109" s="7"/>
      <c r="I109" s="7"/>
    </row>
    <row r="110" spans="1:9" x14ac:dyDescent="0.2">
      <c r="A110" s="7"/>
      <c r="B110" s="7"/>
      <c r="C110" s="7"/>
      <c r="D110" s="7"/>
      <c r="E110" s="7"/>
      <c r="F110" s="7"/>
      <c r="G110" s="7"/>
      <c r="H110" s="7"/>
      <c r="I110" s="7"/>
    </row>
    <row r="111" spans="1:9" x14ac:dyDescent="0.2">
      <c r="A111" s="7"/>
      <c r="B111" s="7"/>
      <c r="C111" s="7"/>
      <c r="D111" s="7"/>
      <c r="E111" s="7"/>
      <c r="F111" s="7"/>
      <c r="G111" s="7"/>
      <c r="H111" s="7"/>
      <c r="I111" s="7"/>
    </row>
    <row r="112" spans="1:9" x14ac:dyDescent="0.2">
      <c r="A112" s="11" t="s">
        <v>1</v>
      </c>
      <c r="B112" s="12"/>
      <c r="C112" s="12"/>
      <c r="D112" s="13"/>
      <c r="E112" s="8"/>
      <c r="F112" s="8"/>
      <c r="G112" s="8"/>
      <c r="H112" s="8"/>
      <c r="I112" s="1"/>
    </row>
    <row r="113" spans="1:9" x14ac:dyDescent="0.2">
      <c r="A113" s="14" t="s">
        <v>15</v>
      </c>
      <c r="B113" s="15"/>
      <c r="C113" s="15"/>
      <c r="D113" s="16"/>
      <c r="E113" s="8"/>
      <c r="F113" s="8"/>
      <c r="G113" s="8"/>
      <c r="H113" s="8"/>
      <c r="I113" s="1"/>
    </row>
    <row r="114" spans="1:9" x14ac:dyDescent="0.2">
      <c r="A114" s="17" t="s">
        <v>62</v>
      </c>
      <c r="B114" s="18"/>
      <c r="C114" s="18"/>
      <c r="D114" s="19"/>
      <c r="E114" s="8"/>
      <c r="F114" s="8"/>
      <c r="G114" s="8"/>
      <c r="H114" s="8"/>
      <c r="I114" s="1"/>
    </row>
    <row r="115" spans="1:9" x14ac:dyDescent="0.2">
      <c r="A115" s="20"/>
      <c r="B115" s="21"/>
      <c r="C115" s="22"/>
      <c r="D115" s="23"/>
      <c r="E115" s="8"/>
      <c r="F115" s="8" t="s">
        <v>34</v>
      </c>
      <c r="G115" s="8"/>
      <c r="H115" s="8"/>
      <c r="I115" s="1"/>
    </row>
    <row r="116" spans="1:9" ht="15.75" x14ac:dyDescent="0.25">
      <c r="A116" s="24" t="s">
        <v>2</v>
      </c>
      <c r="B116" s="25" t="str">
        <f>[1]Charters!B121</f>
        <v>Wasatch Waldorf Academy</v>
      </c>
      <c r="C116" s="26"/>
      <c r="D116" s="27"/>
      <c r="E116" s="8"/>
      <c r="F116" s="8"/>
      <c r="G116" s="8"/>
      <c r="H116" s="8"/>
      <c r="I116" s="1"/>
    </row>
    <row r="117" spans="1:9" x14ac:dyDescent="0.2">
      <c r="A117" s="24"/>
      <c r="B117" s="28"/>
      <c r="C117" s="26"/>
      <c r="D117" s="27"/>
      <c r="E117" s="8"/>
      <c r="F117" s="8"/>
      <c r="G117" s="8"/>
      <c r="H117" s="8"/>
      <c r="I117" s="1"/>
    </row>
    <row r="118" spans="1:9" x14ac:dyDescent="0.2">
      <c r="A118" s="29" t="s">
        <v>0</v>
      </c>
      <c r="B118" s="30">
        <f>[1]Charters!$E$6</f>
        <v>3184</v>
      </c>
      <c r="C118" s="26"/>
      <c r="D118" s="31"/>
      <c r="E118" s="8"/>
      <c r="F118" s="8"/>
      <c r="G118" s="8"/>
      <c r="H118" s="8"/>
      <c r="I118" s="1"/>
    </row>
    <row r="119" spans="1:9" x14ac:dyDescent="0.2">
      <c r="A119" s="32"/>
      <c r="B119" s="6"/>
      <c r="C119" s="33"/>
      <c r="D119" s="34" t="s">
        <v>3</v>
      </c>
      <c r="E119" s="8"/>
      <c r="F119" s="8"/>
      <c r="G119" s="8"/>
      <c r="H119" s="8"/>
      <c r="I119" s="1"/>
    </row>
    <row r="120" spans="1:9" x14ac:dyDescent="0.2">
      <c r="A120" s="29" t="s">
        <v>19</v>
      </c>
      <c r="B120" s="35" t="str">
        <f>[1]Charters!A121</f>
        <v>5K</v>
      </c>
      <c r="C120" s="36" t="s">
        <v>4</v>
      </c>
      <c r="D120" s="37" t="s">
        <v>5</v>
      </c>
      <c r="E120" s="8"/>
      <c r="F120" s="8"/>
      <c r="G120" s="8"/>
      <c r="H120" s="8"/>
      <c r="I120" s="1"/>
    </row>
    <row r="121" spans="1:9" x14ac:dyDescent="0.2">
      <c r="A121" s="38" t="s">
        <v>6</v>
      </c>
      <c r="B121" s="39"/>
      <c r="C121" s="40"/>
      <c r="D121" s="41"/>
      <c r="E121" s="8"/>
      <c r="F121" s="8"/>
      <c r="G121" s="8"/>
      <c r="H121" s="8"/>
      <c r="I121" s="1"/>
    </row>
    <row r="122" spans="1:9" x14ac:dyDescent="0.2">
      <c r="A122" s="38" t="s">
        <v>7</v>
      </c>
      <c r="B122" s="39"/>
      <c r="C122" s="40"/>
      <c r="D122" s="41"/>
      <c r="E122" s="8"/>
      <c r="F122" s="42" t="s">
        <v>23</v>
      </c>
      <c r="G122" s="8"/>
      <c r="H122" s="42" t="s">
        <v>26</v>
      </c>
      <c r="I122" s="1"/>
    </row>
    <row r="123" spans="1:9" x14ac:dyDescent="0.2">
      <c r="A123" s="20" t="s">
        <v>8</v>
      </c>
      <c r="B123" s="43"/>
      <c r="C123" s="44">
        <f>[1]Charters!C581</f>
        <v>463.63</v>
      </c>
      <c r="D123" s="45">
        <f>[1]Charters!E581</f>
        <v>1476197.92</v>
      </c>
      <c r="E123" s="8"/>
      <c r="F123" s="42">
        <f>[1]Charters!E737</f>
        <v>1549067.48</v>
      </c>
      <c r="G123" s="8"/>
      <c r="H123" s="42">
        <f>[2]Charters!E275</f>
        <v>1893920.4</v>
      </c>
      <c r="I123" s="1"/>
    </row>
    <row r="124" spans="1:9" x14ac:dyDescent="0.2">
      <c r="A124" s="20" t="s">
        <v>14</v>
      </c>
      <c r="B124" s="43"/>
      <c r="C124" s="44">
        <f>[1]Charters!F581</f>
        <v>22.885999999999999</v>
      </c>
      <c r="D124" s="45">
        <f>[1]Charters!H581</f>
        <v>72869.56</v>
      </c>
      <c r="E124" s="8"/>
      <c r="F124" s="42">
        <f>SUM(D123:D125)</f>
        <v>1549067.48</v>
      </c>
      <c r="G124" s="8"/>
      <c r="H124" s="42">
        <f>D136</f>
        <v>1893920.4</v>
      </c>
      <c r="I124" s="1"/>
    </row>
    <row r="125" spans="1:9" x14ac:dyDescent="0.2">
      <c r="A125" s="20" t="s">
        <v>32</v>
      </c>
      <c r="B125" s="43"/>
      <c r="C125" s="44">
        <f>[1]Charters!C274</f>
        <v>0</v>
      </c>
      <c r="D125" s="45">
        <f>[1]Charters!E274</f>
        <v>0</v>
      </c>
      <c r="E125" s="8"/>
      <c r="F125" s="42">
        <f>+F123-F124</f>
        <v>0</v>
      </c>
      <c r="G125" s="8"/>
      <c r="H125" s="42">
        <f>+H123-H124</f>
        <v>0</v>
      </c>
      <c r="I125" s="1"/>
    </row>
    <row r="126" spans="1:9" x14ac:dyDescent="0.2">
      <c r="A126" s="38" t="s">
        <v>9</v>
      </c>
      <c r="B126" s="39"/>
      <c r="C126" s="46"/>
      <c r="D126" s="47"/>
      <c r="E126" s="8"/>
      <c r="F126" s="8"/>
      <c r="G126" s="8"/>
      <c r="H126" s="8"/>
      <c r="I126" s="1"/>
    </row>
    <row r="127" spans="1:9" x14ac:dyDescent="0.2">
      <c r="A127" s="20" t="s">
        <v>10</v>
      </c>
      <c r="B127" s="43"/>
      <c r="C127" s="40">
        <f>[3]Charters!C120</f>
        <v>54</v>
      </c>
      <c r="D127" s="41">
        <f>[3]Charters!E120</f>
        <v>171936</v>
      </c>
      <c r="E127" s="8"/>
      <c r="F127" s="42" t="s">
        <v>24</v>
      </c>
      <c r="G127" s="8"/>
      <c r="H127" s="8"/>
      <c r="I127" s="1"/>
    </row>
    <row r="128" spans="1:9" x14ac:dyDescent="0.2">
      <c r="A128" s="48" t="s">
        <v>11</v>
      </c>
      <c r="B128" s="43"/>
      <c r="C128" s="40">
        <f>[3]Charters!F120</f>
        <v>4.6840000000000002</v>
      </c>
      <c r="D128" s="49">
        <f>[3]Charters!H120</f>
        <v>14915.37</v>
      </c>
      <c r="E128" s="8"/>
      <c r="F128" s="42">
        <f>[3]Charters!N433</f>
        <v>193160.54</v>
      </c>
      <c r="G128" s="8"/>
      <c r="H128" s="8"/>
      <c r="I128" s="1"/>
    </row>
    <row r="129" spans="1:9" x14ac:dyDescent="0.2">
      <c r="A129" s="48" t="s">
        <v>12</v>
      </c>
      <c r="B129" s="43"/>
      <c r="C129" s="40">
        <f>[3]Charters!C275</f>
        <v>0</v>
      </c>
      <c r="D129" s="41">
        <f>[3]Charters!E275</f>
        <v>0</v>
      </c>
      <c r="E129" s="8"/>
      <c r="F129" s="42">
        <f>SUM(D127:D133)</f>
        <v>193160.54</v>
      </c>
      <c r="G129" s="8"/>
      <c r="H129" s="8"/>
      <c r="I129" s="1"/>
    </row>
    <row r="130" spans="1:9" x14ac:dyDescent="0.2">
      <c r="A130" s="20" t="s">
        <v>13</v>
      </c>
      <c r="B130" s="43"/>
      <c r="C130" s="40">
        <f>[3]Charters!F275</f>
        <v>0.70899999999999996</v>
      </c>
      <c r="D130" s="41">
        <f>[3]Charters!H275</f>
        <v>2259</v>
      </c>
      <c r="E130" s="8"/>
      <c r="F130" s="42">
        <f>+F128-F129</f>
        <v>0</v>
      </c>
      <c r="G130" s="8"/>
      <c r="H130" s="8"/>
      <c r="I130" s="1"/>
    </row>
    <row r="131" spans="1:9" x14ac:dyDescent="0.2">
      <c r="A131" s="48" t="s">
        <v>54</v>
      </c>
      <c r="B131" s="43"/>
      <c r="C131" s="40">
        <f>[3]Charters!C433</f>
        <v>1.272</v>
      </c>
      <c r="D131" s="41">
        <f>[3]Charters!E433</f>
        <v>4050.17</v>
      </c>
      <c r="E131" s="8"/>
      <c r="F131" s="8"/>
      <c r="G131" s="8"/>
      <c r="H131" s="8"/>
      <c r="I131" s="1"/>
    </row>
    <row r="132" spans="1:9" x14ac:dyDescent="0.2">
      <c r="A132" s="48" t="s">
        <v>55</v>
      </c>
      <c r="B132" s="43"/>
      <c r="C132" s="40">
        <f>[3]Charters!F433</f>
        <v>0</v>
      </c>
      <c r="D132" s="41">
        <f>[3]Charters!H433</f>
        <v>0</v>
      </c>
      <c r="E132" s="8"/>
      <c r="F132" s="42" t="s">
        <v>25</v>
      </c>
      <c r="G132" s="8"/>
      <c r="H132" s="8"/>
      <c r="I132" s="1"/>
    </row>
    <row r="133" spans="1:9" x14ac:dyDescent="0.2">
      <c r="A133" s="48" t="s">
        <v>56</v>
      </c>
      <c r="B133" s="43"/>
      <c r="C133" s="40">
        <f>[3]Charters!I433</f>
        <v>0</v>
      </c>
      <c r="D133" s="41">
        <f>[3]Charters!K433</f>
        <v>0</v>
      </c>
      <c r="E133" s="8"/>
      <c r="F133" s="42">
        <f>[2]Charters!H121</f>
        <v>344852.92</v>
      </c>
      <c r="G133" s="8"/>
      <c r="H133" s="8"/>
      <c r="I133" s="1"/>
    </row>
    <row r="134" spans="1:9" x14ac:dyDescent="0.2">
      <c r="A134" s="20" t="s">
        <v>49</v>
      </c>
      <c r="B134" s="43"/>
      <c r="C134" s="40">
        <f>[3]Charters!C588</f>
        <v>0</v>
      </c>
      <c r="D134" s="41">
        <f>[3]Charters!E588</f>
        <v>0</v>
      </c>
      <c r="E134" s="8"/>
      <c r="F134" s="42">
        <f>SUM(D127:D135)</f>
        <v>344852.92</v>
      </c>
      <c r="G134" s="8"/>
      <c r="H134" s="8"/>
      <c r="I134" s="1"/>
    </row>
    <row r="135" spans="1:9" x14ac:dyDescent="0.2">
      <c r="A135" s="20" t="s">
        <v>50</v>
      </c>
      <c r="B135" s="43"/>
      <c r="C135" s="40">
        <f>[2]Charters!C121</f>
        <v>47.642000000000003</v>
      </c>
      <c r="D135" s="41">
        <f>[2]Charters!E121</f>
        <v>151692.38</v>
      </c>
      <c r="E135" s="8"/>
      <c r="F135" s="42">
        <f>+F133-F134</f>
        <v>0</v>
      </c>
      <c r="G135" s="8"/>
      <c r="H135" s="8"/>
      <c r="I135" s="1"/>
    </row>
    <row r="136" spans="1:9" x14ac:dyDescent="0.2">
      <c r="A136" s="50"/>
      <c r="B136" s="51" t="s">
        <v>16</v>
      </c>
      <c r="C136" s="52">
        <f>SUM(C123:C135)</f>
        <v>594.82299999999998</v>
      </c>
      <c r="D136" s="53">
        <f>SUM(D123:D135)</f>
        <v>1893920.4</v>
      </c>
      <c r="E136" s="8"/>
      <c r="F136" s="8"/>
      <c r="G136" s="8"/>
      <c r="H136" s="8"/>
      <c r="I136" s="1"/>
    </row>
    <row r="137" spans="1:9" x14ac:dyDescent="0.2">
      <c r="A137" s="54" t="s">
        <v>17</v>
      </c>
      <c r="B137" s="39"/>
      <c r="C137" s="55"/>
      <c r="D137" s="47"/>
      <c r="E137" s="8"/>
      <c r="F137" s="8"/>
      <c r="G137" s="8"/>
      <c r="H137" s="42" t="s">
        <v>29</v>
      </c>
      <c r="I137" s="1"/>
    </row>
    <row r="138" spans="1:9" x14ac:dyDescent="0.2">
      <c r="A138" s="20" t="s">
        <v>33</v>
      </c>
      <c r="B138" s="43"/>
      <c r="C138" s="56"/>
      <c r="D138" s="57">
        <f>[4]Charters!C122</f>
        <v>5489.47</v>
      </c>
      <c r="E138" s="8"/>
      <c r="F138" s="8"/>
      <c r="G138" s="8"/>
      <c r="H138" s="42">
        <f>[4]Charters!F1061</f>
        <v>3192811.81</v>
      </c>
      <c r="I138" s="1"/>
    </row>
    <row r="139" spans="1:9" x14ac:dyDescent="0.2">
      <c r="A139" s="58" t="s">
        <v>35</v>
      </c>
      <c r="B139" s="43"/>
      <c r="C139" s="56"/>
      <c r="D139" s="41">
        <f>+[4]Charters!F443</f>
        <v>2231.44</v>
      </c>
      <c r="E139" s="8"/>
      <c r="F139" s="8"/>
      <c r="G139" s="8"/>
      <c r="H139" s="42">
        <f>SUM(D136:D155)</f>
        <v>3192811.81</v>
      </c>
      <c r="I139" s="1"/>
    </row>
    <row r="140" spans="1:9" x14ac:dyDescent="0.2">
      <c r="A140" s="59" t="s">
        <v>36</v>
      </c>
      <c r="B140" s="43"/>
      <c r="C140" s="56"/>
      <c r="D140" s="41">
        <f>[4]Charters!E282</f>
        <v>6757</v>
      </c>
      <c r="E140" s="8"/>
      <c r="F140" s="8"/>
      <c r="G140" s="8"/>
      <c r="H140" s="42">
        <f>+H138-H139</f>
        <v>0</v>
      </c>
      <c r="I140" s="1"/>
    </row>
    <row r="141" spans="1:9" x14ac:dyDescent="0.2">
      <c r="A141" s="59" t="s">
        <v>52</v>
      </c>
      <c r="B141" s="43"/>
      <c r="C141" s="56"/>
      <c r="D141" s="41">
        <f>[4]Charters!G443</f>
        <v>0</v>
      </c>
      <c r="E141" s="8"/>
      <c r="F141" s="42" t="s">
        <v>27</v>
      </c>
      <c r="G141" s="8"/>
      <c r="H141" s="42"/>
      <c r="I141" s="1"/>
    </row>
    <row r="142" spans="1:9" x14ac:dyDescent="0.2">
      <c r="A142" s="20" t="s">
        <v>37</v>
      </c>
      <c r="B142" s="43"/>
      <c r="C142" s="56"/>
      <c r="D142" s="41">
        <f>[4]Charters!E599</f>
        <v>38607</v>
      </c>
      <c r="E142" s="8"/>
      <c r="F142" s="42">
        <f>[4]Charters!E282</f>
        <v>6757</v>
      </c>
      <c r="G142" s="8"/>
      <c r="H142" s="8"/>
      <c r="I142" s="1"/>
    </row>
    <row r="143" spans="1:9" x14ac:dyDescent="0.2">
      <c r="A143" s="20" t="s">
        <v>38</v>
      </c>
      <c r="B143" s="43"/>
      <c r="C143" s="56"/>
      <c r="D143" s="41">
        <f>[4]Charters!F599</f>
        <v>0</v>
      </c>
      <c r="E143" s="8"/>
      <c r="F143" s="42">
        <f>SUM(D140:D140)</f>
        <v>6757</v>
      </c>
      <c r="G143" s="8"/>
      <c r="H143" s="8"/>
      <c r="I143" s="1"/>
    </row>
    <row r="144" spans="1:9" x14ac:dyDescent="0.2">
      <c r="A144" s="59" t="s">
        <v>40</v>
      </c>
      <c r="B144" s="43"/>
      <c r="C144" s="56"/>
      <c r="D144" s="41">
        <f>[4]Charters!G599</f>
        <v>0</v>
      </c>
      <c r="E144" s="8"/>
      <c r="F144" s="42">
        <f>+F142-F143</f>
        <v>0</v>
      </c>
      <c r="G144" s="8"/>
      <c r="H144" s="8"/>
      <c r="I144" s="1"/>
    </row>
    <row r="145" spans="1:9" x14ac:dyDescent="0.2">
      <c r="A145" s="20" t="s">
        <v>41</v>
      </c>
      <c r="B145" s="43"/>
      <c r="C145" s="56"/>
      <c r="D145" s="41">
        <f>[4]Charters!C752</f>
        <v>1072536</v>
      </c>
      <c r="E145" s="8"/>
      <c r="F145" s="42" t="s">
        <v>28</v>
      </c>
      <c r="G145" s="8"/>
      <c r="H145" s="8"/>
      <c r="I145" s="1"/>
    </row>
    <row r="146" spans="1:9" x14ac:dyDescent="0.2">
      <c r="A146" s="20" t="s">
        <v>42</v>
      </c>
      <c r="B146" s="43"/>
      <c r="C146" s="56"/>
      <c r="D146" s="41">
        <f>[4]Charters!D752</f>
        <v>106901.75999999999</v>
      </c>
      <c r="E146" s="8"/>
      <c r="F146" s="42">
        <f>[4]Charters!D599</f>
        <v>8988.44</v>
      </c>
      <c r="G146" s="8"/>
      <c r="H146" s="8"/>
      <c r="I146" s="1"/>
    </row>
    <row r="147" spans="1:9" x14ac:dyDescent="0.2">
      <c r="A147" s="20" t="s">
        <v>44</v>
      </c>
      <c r="B147" s="43"/>
      <c r="C147" s="56"/>
      <c r="D147" s="41">
        <f>[4]Charters!E752</f>
        <v>53600</v>
      </c>
      <c r="E147" s="8"/>
      <c r="F147" s="42">
        <f>SUM(D139:D141)</f>
        <v>8988.44</v>
      </c>
      <c r="G147" s="8"/>
      <c r="H147" s="8"/>
      <c r="I147" s="1"/>
    </row>
    <row r="148" spans="1:9" x14ac:dyDescent="0.2">
      <c r="A148" s="59" t="s">
        <v>43</v>
      </c>
      <c r="B148" s="43"/>
      <c r="C148" s="56"/>
      <c r="D148" s="41">
        <f>[4]Charters!F752</f>
        <v>12011.29</v>
      </c>
      <c r="E148" s="8"/>
      <c r="F148" s="42">
        <f>+F146-F147</f>
        <v>0</v>
      </c>
      <c r="G148" s="8"/>
      <c r="H148" s="8"/>
      <c r="I148" s="1"/>
    </row>
    <row r="149" spans="1:9" x14ac:dyDescent="0.2">
      <c r="A149" s="59" t="s">
        <v>45</v>
      </c>
      <c r="B149" s="43"/>
      <c r="C149" s="56"/>
      <c r="D149" s="41">
        <f>[4]Charters!C599</f>
        <v>0</v>
      </c>
      <c r="E149" s="8"/>
      <c r="F149" s="8"/>
      <c r="G149" s="8"/>
      <c r="H149" s="8"/>
      <c r="I149" s="1"/>
    </row>
    <row r="150" spans="1:9" x14ac:dyDescent="0.2">
      <c r="A150" s="59" t="s">
        <v>46</v>
      </c>
      <c r="B150" s="43"/>
      <c r="C150" s="56"/>
      <c r="D150" s="41">
        <f>[4]Charters!C908</f>
        <v>0</v>
      </c>
      <c r="E150" s="42"/>
      <c r="F150" s="42"/>
      <c r="G150" s="42"/>
      <c r="H150" s="42" t="s">
        <v>31</v>
      </c>
      <c r="I150" s="82"/>
    </row>
    <row r="151" spans="1:9" x14ac:dyDescent="0.2">
      <c r="A151" s="59" t="s">
        <v>51</v>
      </c>
      <c r="B151" s="43"/>
      <c r="C151" s="56"/>
      <c r="D151" s="60">
        <f>[4]Charters!D908</f>
        <v>757.45</v>
      </c>
      <c r="E151" s="42"/>
      <c r="F151" s="42"/>
      <c r="G151" s="42"/>
      <c r="H151" s="42">
        <f>[4]Charters!D1367</f>
        <v>3196919.11</v>
      </c>
      <c r="I151" s="82"/>
    </row>
    <row r="152" spans="1:9" x14ac:dyDescent="0.2">
      <c r="A152" s="20" t="s">
        <v>47</v>
      </c>
      <c r="B152" s="43"/>
      <c r="C152" s="56"/>
      <c r="D152" s="60">
        <f>[4]Charters!E908</f>
        <v>0</v>
      </c>
      <c r="E152" s="42"/>
      <c r="F152" s="42"/>
      <c r="G152" s="42"/>
      <c r="H152" s="42">
        <f>D161</f>
        <v>3196919.11</v>
      </c>
      <c r="I152" s="82"/>
    </row>
    <row r="153" spans="1:9" x14ac:dyDescent="0.2">
      <c r="A153" s="20" t="s">
        <v>57</v>
      </c>
      <c r="B153" s="43"/>
      <c r="C153" s="56"/>
      <c r="D153" s="60">
        <f>[4]Charters!C1061</f>
        <v>0</v>
      </c>
      <c r="E153" s="42"/>
      <c r="F153" s="42"/>
      <c r="G153" s="42"/>
      <c r="H153" s="42">
        <f>+H151-H152</f>
        <v>0</v>
      </c>
      <c r="I153" s="82"/>
    </row>
    <row r="154" spans="1:9" x14ac:dyDescent="0.2">
      <c r="A154" s="59" t="s">
        <v>53</v>
      </c>
      <c r="B154" s="43"/>
      <c r="C154" s="56"/>
      <c r="D154" s="60">
        <f>[4]Charters!D1061</f>
        <v>0</v>
      </c>
      <c r="E154" s="42"/>
      <c r="F154" s="42" t="s">
        <v>30</v>
      </c>
      <c r="G154" s="42"/>
      <c r="H154" s="42"/>
      <c r="I154" s="82"/>
    </row>
    <row r="155" spans="1:9" x14ac:dyDescent="0.2">
      <c r="A155" s="59" t="s">
        <v>59</v>
      </c>
      <c r="B155" s="43"/>
      <c r="C155" s="56"/>
      <c r="D155" s="60">
        <f>[4]Charters!E1061</f>
        <v>0</v>
      </c>
      <c r="E155" s="42"/>
      <c r="F155" s="42"/>
      <c r="G155" s="42"/>
      <c r="H155" s="42"/>
      <c r="I155" s="82"/>
    </row>
    <row r="156" spans="1:9" x14ac:dyDescent="0.2">
      <c r="A156" s="38" t="s">
        <v>18</v>
      </c>
      <c r="B156" s="61"/>
      <c r="C156" s="62"/>
      <c r="D156" s="87"/>
      <c r="E156" s="42"/>
      <c r="F156" s="42">
        <f>[4]Charters!C1367</f>
        <v>4107.3</v>
      </c>
      <c r="G156" s="42"/>
      <c r="H156" s="42"/>
      <c r="I156" s="82"/>
    </row>
    <row r="157" spans="1:9" x14ac:dyDescent="0.2">
      <c r="A157" s="59" t="s">
        <v>39</v>
      </c>
      <c r="B157" s="43"/>
      <c r="C157" s="56"/>
      <c r="D157" s="41">
        <f>[4]Charters!C1214</f>
        <v>4107.3</v>
      </c>
      <c r="E157" s="42"/>
      <c r="F157" s="42">
        <f>SUM(D157:D160)</f>
        <v>4107.3</v>
      </c>
      <c r="G157" s="42"/>
      <c r="H157" s="42"/>
      <c r="I157" s="82"/>
    </row>
    <row r="158" spans="1:9" x14ac:dyDescent="0.2">
      <c r="A158" s="59" t="s">
        <v>48</v>
      </c>
      <c r="B158" s="43"/>
      <c r="C158" s="56"/>
      <c r="D158" s="41">
        <f>[4]Charters!D1214</f>
        <v>0</v>
      </c>
      <c r="E158" s="42"/>
      <c r="F158" s="42">
        <f>+F156-F157</f>
        <v>0</v>
      </c>
      <c r="G158" s="42"/>
      <c r="H158" s="42"/>
      <c r="I158" s="82"/>
    </row>
    <row r="159" spans="1:9" x14ac:dyDescent="0.2">
      <c r="A159" s="59" t="s">
        <v>60</v>
      </c>
      <c r="B159" s="43"/>
      <c r="C159" s="56"/>
      <c r="D159" s="41">
        <f>[4]Charters!E1214</f>
        <v>0</v>
      </c>
      <c r="E159" s="42"/>
      <c r="F159" s="42"/>
      <c r="G159" s="42"/>
      <c r="H159" s="42"/>
      <c r="I159" s="82"/>
    </row>
    <row r="160" spans="1:9" x14ac:dyDescent="0.2">
      <c r="A160" s="59" t="s">
        <v>61</v>
      </c>
      <c r="B160" s="43"/>
      <c r="C160" s="56"/>
      <c r="D160" s="41">
        <f>[4]Charters!F1214</f>
        <v>0</v>
      </c>
      <c r="E160" s="42"/>
      <c r="F160" s="42"/>
      <c r="G160" s="42"/>
      <c r="H160" s="42"/>
      <c r="I160" s="82"/>
    </row>
    <row r="161" spans="1:9" ht="13.5" thickBot="1" x14ac:dyDescent="0.25">
      <c r="A161" s="64"/>
      <c r="B161" s="65"/>
      <c r="C161" s="66"/>
      <c r="D161" s="67">
        <f>SUM(D136:D160)</f>
        <v>3196919.11</v>
      </c>
      <c r="E161" s="42"/>
      <c r="F161" s="42"/>
      <c r="G161" s="42"/>
      <c r="H161" s="42"/>
      <c r="I161" s="82"/>
    </row>
    <row r="162" spans="1:9" ht="13.5" thickTop="1" x14ac:dyDescent="0.2">
      <c r="A162" s="68"/>
      <c r="B162" s="43"/>
      <c r="C162" s="56"/>
      <c r="D162" s="86"/>
      <c r="E162" s="42"/>
      <c r="F162" s="42"/>
      <c r="G162" s="42"/>
      <c r="H162" s="42"/>
      <c r="I162" s="82"/>
    </row>
    <row r="163" spans="1:9" x14ac:dyDescent="0.2">
      <c r="A163" s="38" t="s">
        <v>20</v>
      </c>
      <c r="B163" s="39"/>
      <c r="C163" s="70"/>
      <c r="D163" s="71" t="s">
        <v>21</v>
      </c>
      <c r="E163" s="42"/>
      <c r="F163" s="42"/>
      <c r="G163" s="42"/>
      <c r="H163" s="42"/>
      <c r="I163" s="82"/>
    </row>
    <row r="164" spans="1:9" x14ac:dyDescent="0.2">
      <c r="A164" s="72" t="s">
        <v>22</v>
      </c>
      <c r="B164" s="73"/>
      <c r="C164" s="74"/>
      <c r="D164" s="41">
        <f>[5]Charters!C120</f>
        <v>1236.95</v>
      </c>
      <c r="E164" s="42"/>
      <c r="F164" s="42"/>
      <c r="G164" s="42"/>
      <c r="H164" s="42"/>
      <c r="I164" s="82"/>
    </row>
    <row r="165" spans="1:9" x14ac:dyDescent="0.2">
      <c r="A165" s="75"/>
      <c r="B165" s="61"/>
      <c r="C165" s="76"/>
      <c r="D165" s="77">
        <f>SUM(D164:D164)</f>
        <v>1236.95</v>
      </c>
      <c r="E165" s="42"/>
      <c r="F165" s="42"/>
      <c r="G165" s="42"/>
      <c r="H165" s="42"/>
      <c r="I165" s="82"/>
    </row>
    <row r="166" spans="1:9" x14ac:dyDescent="0.2">
      <c r="A166" s="78" t="s">
        <v>58</v>
      </c>
      <c r="B166" s="79"/>
      <c r="C166" s="80"/>
      <c r="D166" s="77">
        <f>D165+D161</f>
        <v>3198156.06</v>
      </c>
      <c r="E166" s="42"/>
      <c r="F166" s="42"/>
      <c r="G166" s="42"/>
      <c r="H166" s="42"/>
      <c r="I166" s="82"/>
    </row>
    <row r="167" spans="1:9" x14ac:dyDescent="0.2">
      <c r="A167" s="84"/>
      <c r="B167" s="84"/>
      <c r="C167" s="85"/>
      <c r="D167" s="81"/>
      <c r="E167" s="42"/>
      <c r="F167" s="42"/>
      <c r="G167" s="42"/>
      <c r="H167" s="42"/>
      <c r="I167" s="82"/>
    </row>
    <row r="168" spans="1:9" x14ac:dyDescent="0.2">
      <c r="A168" s="84"/>
      <c r="B168" s="84"/>
      <c r="C168" s="85"/>
      <c r="D168" s="81">
        <f>[5]Charters!E276</f>
        <v>3198156.06</v>
      </c>
      <c r="E168" s="42"/>
      <c r="F168" s="42"/>
      <c r="G168" s="42"/>
      <c r="H168" s="42"/>
      <c r="I168" s="82"/>
    </row>
    <row r="169" spans="1:9" x14ac:dyDescent="0.2">
      <c r="A169" s="84"/>
      <c r="B169" s="84"/>
      <c r="C169" s="85"/>
      <c r="D169" s="81">
        <f>D166</f>
        <v>3198156.06</v>
      </c>
      <c r="E169" s="42"/>
      <c r="F169" s="42"/>
      <c r="G169" s="42"/>
      <c r="H169" s="42"/>
      <c r="I169" s="82"/>
    </row>
    <row r="170" spans="1:9" x14ac:dyDescent="0.2">
      <c r="A170" s="82"/>
      <c r="B170" s="82"/>
      <c r="C170" s="83"/>
      <c r="D170" s="42">
        <f>D168-D169</f>
        <v>0</v>
      </c>
      <c r="E170" s="42"/>
      <c r="F170" s="42"/>
      <c r="G170" s="42"/>
      <c r="H170" s="42"/>
      <c r="I170" s="82"/>
    </row>
  </sheetData>
  <mergeCells count="4">
    <mergeCell ref="A112:D112"/>
    <mergeCell ref="A113:D113"/>
    <mergeCell ref="A114:D114"/>
    <mergeCell ref="A166:C166"/>
  </mergeCells>
  <pageMargins left="0.7" right="0.7" top="0.75" bottom="0.75" header="0.3" footer="0.3"/>
  <picture r:id="rId1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800-000000000000}">
  <dimension ref="A1:I171"/>
  <sheetViews>
    <sheetView topLeftCell="A106" workbookViewId="0">
      <selection activeCell="C12" sqref="C12"/>
    </sheetView>
  </sheetViews>
  <sheetFormatPr defaultRowHeight="12.75" x14ac:dyDescent="0.2"/>
  <cols>
    <col min="1" max="1" width="32.5703125" style="89" customWidth="1"/>
    <col min="2" max="2" width="16.7109375" style="89" customWidth="1"/>
    <col min="3" max="3" width="15.42578125" style="89" customWidth="1"/>
    <col min="4" max="4" width="16.28515625" style="89" customWidth="1"/>
    <col min="5" max="5" width="9.140625" style="89"/>
    <col min="6" max="6" width="23.42578125" style="89" bestFit="1" customWidth="1"/>
    <col min="7" max="7" width="9.140625" style="89"/>
    <col min="8" max="8" width="23" style="89" bestFit="1" customWidth="1"/>
    <col min="9" max="16384" width="9.140625" style="89"/>
  </cols>
  <sheetData>
    <row r="1" spans="1:9" x14ac:dyDescent="0.2">
      <c r="A1" s="7"/>
      <c r="B1" s="7"/>
      <c r="C1" s="7"/>
      <c r="D1" s="7"/>
      <c r="E1" s="7"/>
      <c r="F1" s="7"/>
      <c r="G1" s="7"/>
      <c r="H1" s="7"/>
      <c r="I1" s="7"/>
    </row>
    <row r="2" spans="1:9" x14ac:dyDescent="0.2">
      <c r="A2" s="7"/>
      <c r="B2" s="7"/>
      <c r="C2" s="7"/>
      <c r="D2" s="7"/>
      <c r="E2" s="7"/>
      <c r="F2" s="7"/>
      <c r="G2" s="7"/>
      <c r="H2" s="7"/>
      <c r="I2" s="7"/>
    </row>
    <row r="3" spans="1:9" x14ac:dyDescent="0.2">
      <c r="A3" s="7"/>
      <c r="B3" s="7"/>
      <c r="C3" s="7"/>
      <c r="D3" s="7"/>
      <c r="E3" s="7"/>
      <c r="F3" s="7"/>
      <c r="G3" s="7"/>
      <c r="H3" s="7"/>
      <c r="I3" s="7"/>
    </row>
    <row r="4" spans="1:9" x14ac:dyDescent="0.2">
      <c r="A4" s="7"/>
      <c r="B4" s="7"/>
      <c r="C4" s="7"/>
      <c r="D4" s="7"/>
      <c r="E4" s="7"/>
      <c r="F4" s="7"/>
      <c r="G4" s="7"/>
      <c r="H4" s="7"/>
      <c r="I4" s="7"/>
    </row>
    <row r="5" spans="1:9" x14ac:dyDescent="0.2">
      <c r="A5" s="7"/>
      <c r="B5" s="7"/>
      <c r="C5" s="7"/>
      <c r="D5" s="7"/>
      <c r="E5" s="7"/>
      <c r="F5" s="7"/>
      <c r="G5" s="7"/>
      <c r="H5" s="7"/>
      <c r="I5" s="7"/>
    </row>
    <row r="6" spans="1:9" x14ac:dyDescent="0.2">
      <c r="A6" s="7"/>
      <c r="B6" s="7"/>
      <c r="C6" s="7"/>
      <c r="D6" s="7"/>
      <c r="E6" s="7"/>
      <c r="F6" s="7"/>
      <c r="G6" s="7"/>
      <c r="H6" s="7"/>
      <c r="I6" s="7"/>
    </row>
    <row r="7" spans="1:9" x14ac:dyDescent="0.2">
      <c r="A7" s="7"/>
      <c r="B7" s="7"/>
      <c r="C7" s="7"/>
      <c r="D7" s="7"/>
      <c r="E7" s="7"/>
      <c r="F7" s="7"/>
      <c r="G7" s="7"/>
      <c r="H7" s="7"/>
      <c r="I7" s="7"/>
    </row>
    <row r="8" spans="1:9" x14ac:dyDescent="0.2">
      <c r="A8" s="7"/>
      <c r="B8" s="7"/>
      <c r="C8" s="7"/>
      <c r="D8" s="7"/>
      <c r="E8" s="7"/>
      <c r="F8" s="7"/>
      <c r="G8" s="7"/>
      <c r="H8" s="7"/>
      <c r="I8" s="7"/>
    </row>
    <row r="9" spans="1:9" x14ac:dyDescent="0.2">
      <c r="A9" s="7"/>
      <c r="B9" s="7"/>
      <c r="C9" s="7"/>
      <c r="D9" s="7"/>
      <c r="E9" s="7"/>
      <c r="F9" s="7"/>
      <c r="G9" s="7"/>
      <c r="H9" s="7"/>
      <c r="I9" s="7"/>
    </row>
    <row r="10" spans="1:9" x14ac:dyDescent="0.2">
      <c r="A10" s="7"/>
      <c r="B10" s="7"/>
      <c r="C10" s="7"/>
      <c r="D10" s="7"/>
      <c r="E10" s="7"/>
      <c r="F10" s="7"/>
      <c r="G10" s="7"/>
      <c r="H10" s="7"/>
      <c r="I10" s="7"/>
    </row>
    <row r="11" spans="1:9" x14ac:dyDescent="0.2">
      <c r="A11" s="7"/>
      <c r="B11" s="7"/>
      <c r="C11" s="7"/>
      <c r="D11" s="7"/>
      <c r="E11" s="7"/>
      <c r="F11" s="7"/>
      <c r="G11" s="7"/>
      <c r="H11" s="7"/>
      <c r="I11" s="7"/>
    </row>
    <row r="12" spans="1:9" x14ac:dyDescent="0.2">
      <c r="A12" s="7"/>
      <c r="B12" s="7"/>
      <c r="C12" s="7"/>
      <c r="D12" s="7"/>
      <c r="E12" s="7"/>
      <c r="F12" s="7"/>
      <c r="G12" s="7"/>
      <c r="H12" s="7"/>
      <c r="I12" s="7"/>
    </row>
    <row r="13" spans="1:9" x14ac:dyDescent="0.2">
      <c r="A13" s="7"/>
      <c r="B13" s="7"/>
      <c r="C13" s="7"/>
      <c r="D13" s="7"/>
      <c r="E13" s="7"/>
      <c r="F13" s="7"/>
      <c r="G13" s="7"/>
      <c r="H13" s="7"/>
      <c r="I13" s="7"/>
    </row>
    <row r="14" spans="1:9" x14ac:dyDescent="0.2">
      <c r="A14" s="7"/>
      <c r="B14" s="7"/>
      <c r="C14" s="7"/>
      <c r="D14" s="7"/>
      <c r="E14" s="7"/>
      <c r="F14" s="7"/>
      <c r="G14" s="7"/>
      <c r="H14" s="7"/>
      <c r="I14" s="7"/>
    </row>
    <row r="15" spans="1:9" x14ac:dyDescent="0.2">
      <c r="A15" s="7"/>
      <c r="B15" s="7"/>
      <c r="C15" s="7"/>
      <c r="D15" s="7"/>
      <c r="E15" s="7"/>
      <c r="F15" s="7"/>
      <c r="G15" s="7"/>
      <c r="H15" s="7"/>
      <c r="I15" s="7"/>
    </row>
    <row r="16" spans="1:9" x14ac:dyDescent="0.2">
      <c r="A16" s="7"/>
      <c r="B16" s="7"/>
      <c r="C16" s="7"/>
      <c r="D16" s="7"/>
      <c r="E16" s="7"/>
      <c r="F16" s="7"/>
      <c r="G16" s="7"/>
      <c r="H16" s="7"/>
      <c r="I16" s="7"/>
    </row>
    <row r="17" spans="1:9" x14ac:dyDescent="0.2">
      <c r="A17" s="7"/>
      <c r="B17" s="7"/>
      <c r="C17" s="7"/>
      <c r="D17" s="7"/>
      <c r="E17" s="7"/>
      <c r="F17" s="7"/>
      <c r="G17" s="7"/>
      <c r="H17" s="7"/>
      <c r="I17" s="7"/>
    </row>
    <row r="18" spans="1:9" x14ac:dyDescent="0.2">
      <c r="A18" s="7"/>
      <c r="B18" s="7"/>
      <c r="C18" s="7"/>
      <c r="D18" s="7"/>
      <c r="E18" s="7"/>
      <c r="F18" s="7"/>
      <c r="G18" s="7"/>
      <c r="H18" s="7"/>
      <c r="I18" s="7"/>
    </row>
    <row r="19" spans="1:9" x14ac:dyDescent="0.2">
      <c r="A19" s="7"/>
      <c r="B19" s="7"/>
      <c r="C19" s="7"/>
      <c r="D19" s="7"/>
      <c r="E19" s="7"/>
      <c r="F19" s="7"/>
      <c r="G19" s="7"/>
      <c r="H19" s="7"/>
      <c r="I19" s="7"/>
    </row>
    <row r="20" spans="1:9" x14ac:dyDescent="0.2">
      <c r="A20" s="7"/>
      <c r="B20" s="7"/>
      <c r="C20" s="7"/>
      <c r="D20" s="7"/>
      <c r="E20" s="7"/>
      <c r="F20" s="7"/>
      <c r="G20" s="7"/>
      <c r="H20" s="7"/>
      <c r="I20" s="7"/>
    </row>
    <row r="21" spans="1:9" x14ac:dyDescent="0.2">
      <c r="A21" s="7"/>
      <c r="B21" s="7"/>
      <c r="C21" s="7"/>
      <c r="D21" s="7"/>
      <c r="E21" s="7"/>
      <c r="F21" s="7"/>
      <c r="G21" s="7"/>
      <c r="H21" s="7"/>
      <c r="I21" s="7"/>
    </row>
    <row r="22" spans="1:9" x14ac:dyDescent="0.2">
      <c r="A22" s="7"/>
      <c r="B22" s="7"/>
      <c r="C22" s="7"/>
      <c r="D22" s="4"/>
      <c r="E22" s="7"/>
      <c r="F22" s="7"/>
      <c r="G22" s="7"/>
      <c r="H22" s="7"/>
      <c r="I22" s="7"/>
    </row>
    <row r="23" spans="1:9" x14ac:dyDescent="0.2">
      <c r="A23" s="7"/>
      <c r="B23" s="7"/>
      <c r="C23" s="7"/>
      <c r="D23" s="7"/>
      <c r="E23" s="7"/>
      <c r="F23" s="7"/>
      <c r="G23" s="7"/>
      <c r="H23" s="7"/>
      <c r="I23" s="7"/>
    </row>
    <row r="24" spans="1:9" x14ac:dyDescent="0.2">
      <c r="A24" s="7"/>
      <c r="B24" s="7"/>
      <c r="C24" s="7"/>
      <c r="D24" s="7"/>
      <c r="E24" s="7"/>
      <c r="F24" s="7"/>
      <c r="G24" s="7"/>
      <c r="H24" s="7"/>
      <c r="I24" s="7"/>
    </row>
    <row r="25" spans="1:9" x14ac:dyDescent="0.2">
      <c r="A25" s="7"/>
      <c r="B25" s="7"/>
      <c r="C25" s="7"/>
      <c r="D25" s="7"/>
      <c r="E25" s="7"/>
      <c r="F25" s="7"/>
      <c r="G25" s="7"/>
      <c r="H25" s="7"/>
      <c r="I25" s="7"/>
    </row>
    <row r="26" spans="1:9" x14ac:dyDescent="0.2">
      <c r="A26" s="7"/>
      <c r="B26" s="7"/>
      <c r="C26" s="7"/>
      <c r="D26" s="7"/>
      <c r="E26" s="7"/>
      <c r="F26" s="7"/>
      <c r="G26" s="7"/>
      <c r="H26" s="7"/>
      <c r="I26" s="7"/>
    </row>
    <row r="27" spans="1:9" x14ac:dyDescent="0.2">
      <c r="A27" s="7"/>
      <c r="B27" s="7"/>
      <c r="C27" s="7"/>
      <c r="D27" s="7"/>
      <c r="E27" s="7"/>
      <c r="F27" s="7"/>
      <c r="G27" s="7"/>
      <c r="H27" s="7"/>
      <c r="I27" s="7"/>
    </row>
    <row r="28" spans="1:9" x14ac:dyDescent="0.2">
      <c r="A28" s="7"/>
      <c r="B28" s="7"/>
      <c r="C28" s="7"/>
      <c r="D28" s="7"/>
      <c r="E28" s="7"/>
      <c r="F28" s="7"/>
      <c r="G28" s="7"/>
      <c r="H28" s="7"/>
      <c r="I28" s="7"/>
    </row>
    <row r="29" spans="1:9" x14ac:dyDescent="0.2">
      <c r="A29" s="7"/>
      <c r="B29" s="7"/>
      <c r="C29" s="7"/>
      <c r="D29" s="7"/>
      <c r="E29" s="7"/>
      <c r="F29" s="7"/>
      <c r="G29" s="7"/>
      <c r="H29" s="7"/>
      <c r="I29" s="7"/>
    </row>
    <row r="30" spans="1:9" x14ac:dyDescent="0.2">
      <c r="A30" s="7"/>
      <c r="B30" s="7"/>
      <c r="C30" s="7"/>
      <c r="D30" s="7"/>
      <c r="E30" s="7"/>
      <c r="F30" s="7"/>
      <c r="G30" s="7"/>
      <c r="H30" s="7"/>
      <c r="I30" s="7"/>
    </row>
    <row r="31" spans="1:9" x14ac:dyDescent="0.2">
      <c r="A31" s="7"/>
      <c r="B31" s="7"/>
      <c r="C31" s="7"/>
      <c r="D31" s="7"/>
      <c r="E31" s="7"/>
      <c r="F31" s="7"/>
      <c r="G31" s="7"/>
      <c r="H31" s="7"/>
      <c r="I31" s="7"/>
    </row>
    <row r="32" spans="1:9" x14ac:dyDescent="0.2">
      <c r="A32" s="7"/>
      <c r="B32" s="7"/>
      <c r="C32" s="7"/>
      <c r="D32" s="7"/>
      <c r="E32" s="7"/>
      <c r="F32" s="7"/>
      <c r="G32" s="7"/>
      <c r="H32" s="7"/>
      <c r="I32" s="7"/>
    </row>
    <row r="33" spans="1:9" x14ac:dyDescent="0.2">
      <c r="A33" s="7"/>
      <c r="B33" s="7"/>
      <c r="C33" s="7"/>
      <c r="D33" s="7"/>
      <c r="E33" s="7"/>
      <c r="F33" s="7"/>
      <c r="G33" s="7"/>
      <c r="H33" s="7"/>
      <c r="I33" s="7"/>
    </row>
    <row r="34" spans="1:9" x14ac:dyDescent="0.2">
      <c r="A34" s="7"/>
      <c r="B34" s="7"/>
      <c r="C34" s="7"/>
      <c r="D34" s="7"/>
      <c r="E34" s="7"/>
      <c r="F34" s="7"/>
      <c r="G34" s="7"/>
      <c r="H34" s="7"/>
      <c r="I34" s="7"/>
    </row>
    <row r="35" spans="1:9" x14ac:dyDescent="0.2">
      <c r="A35" s="7"/>
      <c r="B35" s="7"/>
      <c r="C35" s="7"/>
      <c r="D35" s="7"/>
      <c r="E35" s="7"/>
      <c r="F35" s="7"/>
      <c r="G35" s="7"/>
      <c r="H35" s="7"/>
      <c r="I35" s="7"/>
    </row>
    <row r="36" spans="1:9" x14ac:dyDescent="0.2">
      <c r="A36" s="7"/>
      <c r="B36" s="7"/>
      <c r="C36" s="7"/>
      <c r="D36" s="7"/>
      <c r="E36" s="7"/>
      <c r="F36" s="7"/>
      <c r="G36" s="7"/>
      <c r="H36" s="7"/>
      <c r="I36" s="7"/>
    </row>
    <row r="37" spans="1:9" x14ac:dyDescent="0.2">
      <c r="A37" s="7"/>
      <c r="B37" s="7"/>
      <c r="C37" s="7"/>
      <c r="D37" s="7"/>
      <c r="E37" s="7"/>
      <c r="F37" s="7"/>
      <c r="G37" s="7"/>
      <c r="H37" s="7"/>
      <c r="I37" s="7"/>
    </row>
    <row r="38" spans="1:9" x14ac:dyDescent="0.2">
      <c r="A38" s="7"/>
      <c r="B38" s="7"/>
      <c r="C38" s="7"/>
      <c r="D38" s="7"/>
      <c r="E38" s="7"/>
      <c r="F38" s="7"/>
      <c r="G38" s="7"/>
      <c r="H38" s="7"/>
      <c r="I38" s="7"/>
    </row>
    <row r="39" spans="1:9" x14ac:dyDescent="0.2">
      <c r="A39" s="7"/>
      <c r="B39" s="7"/>
      <c r="C39" s="7"/>
      <c r="D39" s="7"/>
      <c r="E39" s="7"/>
      <c r="F39" s="7"/>
      <c r="G39" s="7"/>
      <c r="H39" s="7"/>
      <c r="I39" s="7"/>
    </row>
    <row r="40" spans="1:9" x14ac:dyDescent="0.2">
      <c r="A40" s="7"/>
      <c r="B40" s="7"/>
      <c r="C40" s="7"/>
      <c r="D40" s="7"/>
      <c r="E40" s="7"/>
      <c r="F40" s="7"/>
      <c r="G40" s="7"/>
      <c r="H40" s="7"/>
      <c r="I40" s="7"/>
    </row>
    <row r="41" spans="1:9" x14ac:dyDescent="0.2">
      <c r="A41" s="7"/>
      <c r="B41" s="7"/>
      <c r="C41" s="7"/>
      <c r="D41" s="7"/>
      <c r="E41" s="7"/>
      <c r="F41" s="7"/>
      <c r="G41" s="7"/>
      <c r="H41" s="7"/>
      <c r="I41" s="7"/>
    </row>
    <row r="42" spans="1:9" x14ac:dyDescent="0.2">
      <c r="A42" s="7"/>
      <c r="B42" s="7"/>
      <c r="C42" s="7"/>
      <c r="D42" s="7"/>
      <c r="E42" s="7"/>
      <c r="F42" s="7"/>
      <c r="G42" s="7"/>
      <c r="H42" s="7"/>
      <c r="I42" s="7"/>
    </row>
    <row r="43" spans="1:9" x14ac:dyDescent="0.2">
      <c r="A43" s="7"/>
      <c r="B43" s="7"/>
      <c r="C43" s="7"/>
      <c r="D43" s="7"/>
      <c r="E43" s="7"/>
      <c r="F43" s="7"/>
      <c r="G43" s="7"/>
      <c r="H43" s="7"/>
      <c r="I43" s="7"/>
    </row>
    <row r="44" spans="1:9" x14ac:dyDescent="0.2">
      <c r="A44" s="7"/>
      <c r="B44" s="7"/>
      <c r="C44" s="7"/>
      <c r="D44" s="7"/>
      <c r="E44" s="7"/>
      <c r="F44" s="7"/>
      <c r="G44" s="7"/>
      <c r="H44" s="7"/>
      <c r="I44" s="7"/>
    </row>
    <row r="45" spans="1:9" x14ac:dyDescent="0.2">
      <c r="A45" s="7"/>
      <c r="B45" s="7"/>
      <c r="C45" s="7"/>
      <c r="D45" s="7"/>
      <c r="E45" s="7"/>
      <c r="F45" s="7"/>
      <c r="G45" s="7"/>
      <c r="H45" s="7"/>
      <c r="I45" s="7"/>
    </row>
    <row r="46" spans="1:9" x14ac:dyDescent="0.2">
      <c r="A46" s="7"/>
      <c r="B46" s="7"/>
      <c r="C46" s="7"/>
      <c r="D46" s="7"/>
      <c r="E46" s="7"/>
      <c r="F46" s="7"/>
      <c r="G46" s="7"/>
      <c r="H46" s="7"/>
      <c r="I46" s="7"/>
    </row>
    <row r="47" spans="1:9" x14ac:dyDescent="0.2">
      <c r="A47" s="7"/>
      <c r="B47" s="7"/>
      <c r="C47" s="7"/>
      <c r="D47" s="7"/>
      <c r="E47" s="7"/>
      <c r="F47" s="7"/>
      <c r="G47" s="7"/>
      <c r="H47" s="7"/>
      <c r="I47" s="7"/>
    </row>
    <row r="48" spans="1:9" x14ac:dyDescent="0.2">
      <c r="A48" s="7"/>
      <c r="B48" s="7"/>
      <c r="C48" s="7"/>
      <c r="D48" s="7"/>
      <c r="E48" s="7"/>
      <c r="F48" s="7"/>
      <c r="G48" s="7"/>
      <c r="H48" s="7"/>
      <c r="I48" s="7"/>
    </row>
    <row r="49" spans="1:9" x14ac:dyDescent="0.2">
      <c r="A49" s="7"/>
      <c r="B49" s="7"/>
      <c r="C49" s="7"/>
      <c r="D49" s="7"/>
      <c r="E49" s="7"/>
      <c r="F49" s="7"/>
      <c r="G49" s="7"/>
      <c r="H49" s="7"/>
      <c r="I49" s="7"/>
    </row>
    <row r="50" spans="1:9" x14ac:dyDescent="0.2">
      <c r="A50" s="7"/>
      <c r="B50" s="7"/>
      <c r="C50" s="7"/>
      <c r="D50" s="7"/>
      <c r="E50" s="7"/>
      <c r="F50" s="7"/>
      <c r="G50" s="7"/>
      <c r="H50" s="7"/>
      <c r="I50" s="7"/>
    </row>
    <row r="51" spans="1:9" x14ac:dyDescent="0.2">
      <c r="A51" s="7"/>
      <c r="B51" s="7"/>
      <c r="C51" s="7"/>
      <c r="D51" s="7"/>
      <c r="E51" s="7"/>
      <c r="F51" s="7"/>
      <c r="G51" s="7"/>
      <c r="H51" s="7"/>
      <c r="I51" s="7"/>
    </row>
    <row r="52" spans="1:9" x14ac:dyDescent="0.2">
      <c r="A52" s="7"/>
      <c r="B52" s="7"/>
      <c r="C52" s="7"/>
      <c r="D52" s="7"/>
      <c r="E52" s="7"/>
      <c r="F52" s="7"/>
      <c r="G52" s="7"/>
      <c r="H52" s="7"/>
      <c r="I52" s="7"/>
    </row>
    <row r="53" spans="1:9" x14ac:dyDescent="0.2">
      <c r="A53" s="7"/>
      <c r="B53" s="7"/>
      <c r="C53" s="7"/>
      <c r="D53" s="7"/>
      <c r="E53" s="7"/>
      <c r="F53" s="7"/>
      <c r="G53" s="7"/>
      <c r="H53" s="7"/>
      <c r="I53" s="7"/>
    </row>
    <row r="54" spans="1:9" x14ac:dyDescent="0.2">
      <c r="A54" s="7"/>
      <c r="B54" s="7"/>
      <c r="C54" s="7"/>
      <c r="D54" s="7"/>
      <c r="E54" s="7"/>
      <c r="F54" s="7"/>
      <c r="G54" s="7"/>
      <c r="H54" s="7"/>
      <c r="I54" s="7"/>
    </row>
    <row r="55" spans="1:9" x14ac:dyDescent="0.2">
      <c r="A55" s="7"/>
      <c r="B55" s="7"/>
      <c r="C55" s="7"/>
      <c r="D55" s="7"/>
      <c r="E55" s="7"/>
      <c r="F55" s="7"/>
      <c r="G55" s="7"/>
      <c r="H55" s="7"/>
      <c r="I55" s="7"/>
    </row>
    <row r="56" spans="1:9" x14ac:dyDescent="0.2">
      <c r="A56" s="7"/>
      <c r="B56" s="7"/>
      <c r="C56" s="7"/>
      <c r="D56" s="7"/>
      <c r="E56" s="7"/>
      <c r="F56" s="7"/>
      <c r="G56" s="7"/>
      <c r="H56" s="7"/>
      <c r="I56" s="7"/>
    </row>
    <row r="57" spans="1:9" x14ac:dyDescent="0.2">
      <c r="A57" s="7"/>
      <c r="B57" s="7"/>
      <c r="C57" s="7"/>
      <c r="D57" s="7"/>
      <c r="E57" s="7"/>
      <c r="F57" s="7"/>
      <c r="G57" s="7"/>
      <c r="H57" s="7"/>
      <c r="I57" s="7"/>
    </row>
    <row r="58" spans="1:9" x14ac:dyDescent="0.2">
      <c r="A58" s="7"/>
      <c r="B58" s="7"/>
      <c r="C58" s="7"/>
      <c r="D58" s="7"/>
      <c r="E58" s="7"/>
      <c r="F58" s="7"/>
      <c r="G58" s="7"/>
      <c r="H58" s="7"/>
      <c r="I58" s="7"/>
    </row>
    <row r="59" spans="1:9" x14ac:dyDescent="0.2">
      <c r="A59" s="7"/>
      <c r="B59" s="7"/>
      <c r="C59" s="7"/>
      <c r="D59" s="7"/>
      <c r="E59" s="7"/>
      <c r="F59" s="7"/>
      <c r="G59" s="7"/>
      <c r="H59" s="7"/>
      <c r="I59" s="7"/>
    </row>
    <row r="60" spans="1:9" x14ac:dyDescent="0.2">
      <c r="A60" s="7"/>
      <c r="B60" s="7"/>
      <c r="C60" s="7"/>
      <c r="D60" s="7"/>
      <c r="E60" s="7"/>
      <c r="F60" s="7"/>
      <c r="G60" s="7"/>
      <c r="H60" s="7"/>
      <c r="I60" s="7"/>
    </row>
    <row r="61" spans="1:9" x14ac:dyDescent="0.2">
      <c r="A61" s="7"/>
      <c r="B61" s="7"/>
      <c r="C61" s="7"/>
      <c r="D61" s="7"/>
      <c r="E61" s="7"/>
      <c r="F61" s="7"/>
      <c r="G61" s="7"/>
      <c r="H61" s="7"/>
      <c r="I61" s="7"/>
    </row>
    <row r="62" spans="1:9" x14ac:dyDescent="0.2">
      <c r="A62" s="7"/>
      <c r="B62" s="7"/>
      <c r="C62" s="7"/>
      <c r="D62" s="7"/>
      <c r="E62" s="7"/>
      <c r="F62" s="7"/>
      <c r="G62" s="7"/>
      <c r="H62" s="7"/>
      <c r="I62" s="7"/>
    </row>
    <row r="63" spans="1:9" x14ac:dyDescent="0.2">
      <c r="A63" s="7"/>
      <c r="B63" s="7"/>
      <c r="C63" s="7"/>
      <c r="D63" s="7"/>
      <c r="E63" s="7"/>
      <c r="F63" s="7"/>
      <c r="G63" s="7"/>
      <c r="H63" s="7"/>
      <c r="I63" s="7"/>
    </row>
    <row r="64" spans="1:9" x14ac:dyDescent="0.2">
      <c r="A64" s="7"/>
      <c r="B64" s="7"/>
      <c r="C64" s="7"/>
      <c r="D64" s="7"/>
      <c r="E64" s="7"/>
      <c r="F64" s="7"/>
      <c r="G64" s="7"/>
      <c r="H64" s="7"/>
      <c r="I64" s="7"/>
    </row>
    <row r="65" spans="1:9" x14ac:dyDescent="0.2">
      <c r="A65" s="7"/>
      <c r="B65" s="7"/>
      <c r="C65" s="7"/>
      <c r="D65" s="7"/>
      <c r="E65" s="7"/>
      <c r="F65" s="7"/>
      <c r="G65" s="7"/>
      <c r="H65" s="7"/>
      <c r="I65" s="7"/>
    </row>
    <row r="66" spans="1:9" x14ac:dyDescent="0.2">
      <c r="A66" s="7"/>
      <c r="B66" s="7"/>
      <c r="C66" s="7"/>
      <c r="D66" s="7"/>
      <c r="E66" s="7"/>
      <c r="F66" s="7"/>
      <c r="G66" s="7"/>
      <c r="H66" s="7"/>
      <c r="I66" s="7"/>
    </row>
    <row r="67" spans="1:9" x14ac:dyDescent="0.2">
      <c r="A67" s="7"/>
      <c r="B67" s="7"/>
      <c r="C67" s="7"/>
      <c r="D67" s="7"/>
      <c r="E67" s="7"/>
      <c r="F67" s="7"/>
      <c r="G67" s="7"/>
      <c r="H67" s="7"/>
      <c r="I67" s="7"/>
    </row>
    <row r="68" spans="1:9" x14ac:dyDescent="0.2">
      <c r="A68" s="7"/>
      <c r="B68" s="7"/>
      <c r="C68" s="7"/>
      <c r="D68" s="7"/>
      <c r="E68" s="7"/>
      <c r="F68" s="7"/>
      <c r="G68" s="7"/>
      <c r="H68" s="7"/>
      <c r="I68" s="7"/>
    </row>
    <row r="69" spans="1:9" x14ac:dyDescent="0.2">
      <c r="A69" s="7"/>
      <c r="B69" s="7"/>
      <c r="C69" s="7"/>
      <c r="D69" s="7"/>
      <c r="E69" s="7"/>
      <c r="F69" s="7"/>
      <c r="G69" s="7"/>
      <c r="H69" s="7"/>
      <c r="I69" s="7"/>
    </row>
    <row r="70" spans="1:9" x14ac:dyDescent="0.2">
      <c r="A70" s="7"/>
      <c r="B70" s="7"/>
      <c r="C70" s="7"/>
      <c r="D70" s="7"/>
      <c r="E70" s="7"/>
      <c r="F70" s="7"/>
      <c r="G70" s="7"/>
      <c r="H70" s="7"/>
      <c r="I70" s="7"/>
    </row>
    <row r="71" spans="1:9" x14ac:dyDescent="0.2">
      <c r="A71" s="7"/>
      <c r="B71" s="7"/>
      <c r="C71" s="7"/>
      <c r="D71" s="7"/>
      <c r="E71" s="7"/>
      <c r="F71" s="7"/>
      <c r="G71" s="7"/>
      <c r="H71" s="7"/>
      <c r="I71" s="7"/>
    </row>
    <row r="72" spans="1:9" x14ac:dyDescent="0.2">
      <c r="A72" s="7"/>
      <c r="B72" s="7"/>
      <c r="C72" s="7"/>
      <c r="D72" s="7"/>
      <c r="E72" s="7"/>
      <c r="F72" s="7"/>
      <c r="G72" s="7"/>
      <c r="H72" s="7"/>
      <c r="I72" s="7"/>
    </row>
    <row r="73" spans="1:9" x14ac:dyDescent="0.2">
      <c r="A73" s="7"/>
      <c r="B73" s="7"/>
      <c r="C73" s="7"/>
      <c r="D73" s="7"/>
      <c r="E73" s="7"/>
      <c r="F73" s="7"/>
      <c r="G73" s="7"/>
      <c r="H73" s="7"/>
      <c r="I73" s="7"/>
    </row>
    <row r="74" spans="1:9" x14ac:dyDescent="0.2">
      <c r="A74" s="7"/>
      <c r="B74" s="7"/>
      <c r="C74" s="7"/>
      <c r="D74" s="7"/>
      <c r="E74" s="7"/>
      <c r="F74" s="7"/>
      <c r="G74" s="7"/>
      <c r="H74" s="7"/>
      <c r="I74" s="7"/>
    </row>
    <row r="75" spans="1:9" x14ac:dyDescent="0.2">
      <c r="A75" s="7"/>
      <c r="B75" s="7"/>
      <c r="C75" s="7"/>
      <c r="D75" s="7"/>
      <c r="E75" s="7"/>
      <c r="F75" s="7"/>
      <c r="G75" s="7"/>
      <c r="H75" s="7"/>
      <c r="I75" s="7"/>
    </row>
    <row r="76" spans="1:9" x14ac:dyDescent="0.2">
      <c r="A76" s="7"/>
      <c r="B76" s="7"/>
      <c r="C76" s="7"/>
      <c r="D76" s="7"/>
      <c r="E76" s="7"/>
      <c r="F76" s="7"/>
      <c r="G76" s="7"/>
      <c r="H76" s="7"/>
      <c r="I76" s="7"/>
    </row>
    <row r="77" spans="1:9" x14ac:dyDescent="0.2">
      <c r="A77" s="7"/>
      <c r="B77" s="7"/>
      <c r="C77" s="7"/>
      <c r="D77" s="7"/>
      <c r="E77" s="7"/>
      <c r="F77" s="7"/>
      <c r="G77" s="7"/>
      <c r="H77" s="7"/>
      <c r="I77" s="7"/>
    </row>
    <row r="78" spans="1:9" x14ac:dyDescent="0.2">
      <c r="A78" s="7"/>
      <c r="B78" s="7"/>
      <c r="C78" s="7"/>
      <c r="D78" s="7"/>
      <c r="E78" s="7"/>
      <c r="F78" s="7"/>
      <c r="G78" s="7"/>
      <c r="H78" s="7"/>
      <c r="I78" s="7"/>
    </row>
    <row r="79" spans="1:9" x14ac:dyDescent="0.2">
      <c r="A79" s="7"/>
      <c r="B79" s="7"/>
      <c r="C79" s="7"/>
      <c r="D79" s="7"/>
      <c r="E79" s="7"/>
      <c r="F79" s="7"/>
      <c r="G79" s="7"/>
      <c r="H79" s="7"/>
      <c r="I79" s="7"/>
    </row>
    <row r="80" spans="1:9" x14ac:dyDescent="0.2">
      <c r="A80" s="7"/>
      <c r="B80" s="7"/>
      <c r="C80" s="7"/>
      <c r="D80" s="7"/>
      <c r="E80" s="7"/>
      <c r="F80" s="7"/>
      <c r="G80" s="7"/>
      <c r="H80" s="7"/>
      <c r="I80" s="7"/>
    </row>
    <row r="81" spans="1:9" x14ac:dyDescent="0.2">
      <c r="A81" s="7"/>
      <c r="B81" s="7"/>
      <c r="C81" s="7"/>
      <c r="D81" s="7"/>
      <c r="E81" s="7"/>
      <c r="F81" s="7"/>
      <c r="G81" s="7"/>
      <c r="H81" s="7"/>
      <c r="I81" s="7"/>
    </row>
    <row r="82" spans="1:9" x14ac:dyDescent="0.2">
      <c r="A82" s="7"/>
      <c r="B82" s="7"/>
      <c r="C82" s="7"/>
      <c r="D82" s="7"/>
      <c r="E82" s="7"/>
      <c r="F82" s="7"/>
      <c r="G82" s="7"/>
      <c r="H82" s="7"/>
      <c r="I82" s="7"/>
    </row>
    <row r="83" spans="1:9" x14ac:dyDescent="0.2">
      <c r="A83" s="7"/>
      <c r="B83" s="7"/>
      <c r="C83" s="7"/>
      <c r="D83" s="7"/>
      <c r="E83" s="7"/>
      <c r="F83" s="7"/>
      <c r="G83" s="7"/>
      <c r="H83" s="7"/>
      <c r="I83" s="7"/>
    </row>
    <row r="84" spans="1:9" x14ac:dyDescent="0.2">
      <c r="A84" s="7"/>
      <c r="B84" s="7"/>
      <c r="C84" s="7"/>
      <c r="D84" s="7"/>
      <c r="E84" s="7"/>
      <c r="F84" s="7"/>
      <c r="G84" s="7"/>
      <c r="H84" s="7"/>
      <c r="I84" s="7"/>
    </row>
    <row r="85" spans="1:9" x14ac:dyDescent="0.2">
      <c r="A85" s="7"/>
      <c r="B85" s="7"/>
      <c r="C85" s="7"/>
      <c r="D85" s="7"/>
      <c r="E85" s="7"/>
      <c r="F85" s="7"/>
      <c r="G85" s="7"/>
      <c r="H85" s="7"/>
      <c r="I85" s="7"/>
    </row>
    <row r="86" spans="1:9" x14ac:dyDescent="0.2">
      <c r="A86" s="7"/>
      <c r="B86" s="7"/>
      <c r="C86" s="7"/>
      <c r="D86" s="7"/>
      <c r="E86" s="7"/>
      <c r="F86" s="7"/>
      <c r="G86" s="7"/>
      <c r="H86" s="7"/>
      <c r="I86" s="7"/>
    </row>
    <row r="87" spans="1:9" x14ac:dyDescent="0.2">
      <c r="A87" s="7"/>
      <c r="B87" s="7"/>
      <c r="C87" s="7"/>
      <c r="D87" s="7"/>
      <c r="E87" s="7"/>
      <c r="F87" s="7"/>
      <c r="G87" s="7"/>
      <c r="H87" s="7"/>
      <c r="I87" s="7"/>
    </row>
    <row r="88" spans="1:9" x14ac:dyDescent="0.2">
      <c r="A88" s="7"/>
      <c r="B88" s="7"/>
      <c r="C88" s="7"/>
      <c r="D88" s="7"/>
      <c r="E88" s="7"/>
      <c r="F88" s="7"/>
      <c r="G88" s="7"/>
      <c r="H88" s="7"/>
      <c r="I88" s="7"/>
    </row>
    <row r="89" spans="1:9" x14ac:dyDescent="0.2">
      <c r="A89" s="7"/>
      <c r="B89" s="7"/>
      <c r="C89" s="7"/>
      <c r="D89" s="7"/>
      <c r="E89" s="7"/>
      <c r="F89" s="7"/>
      <c r="G89" s="7"/>
      <c r="H89" s="7"/>
      <c r="I89" s="7"/>
    </row>
    <row r="90" spans="1:9" x14ac:dyDescent="0.2">
      <c r="A90" s="7"/>
      <c r="B90" s="7"/>
      <c r="C90" s="7"/>
      <c r="D90" s="7"/>
      <c r="E90" s="7"/>
      <c r="F90" s="7"/>
      <c r="G90" s="7"/>
      <c r="H90" s="7"/>
      <c r="I90" s="7"/>
    </row>
    <row r="91" spans="1:9" x14ac:dyDescent="0.2">
      <c r="A91" s="7"/>
      <c r="B91" s="7"/>
      <c r="C91" s="7"/>
      <c r="D91" s="7"/>
      <c r="E91" s="7"/>
      <c r="F91" s="7"/>
      <c r="G91" s="7"/>
      <c r="H91" s="7"/>
      <c r="I91" s="7"/>
    </row>
    <row r="92" spans="1:9" x14ac:dyDescent="0.2">
      <c r="A92" s="7"/>
      <c r="B92" s="7"/>
      <c r="C92" s="7"/>
      <c r="D92" s="7"/>
      <c r="E92" s="7"/>
      <c r="F92" s="7"/>
      <c r="G92" s="7"/>
      <c r="H92" s="7"/>
      <c r="I92" s="7"/>
    </row>
    <row r="93" spans="1:9" x14ac:dyDescent="0.2">
      <c r="A93" s="7"/>
      <c r="B93" s="7"/>
      <c r="C93" s="7"/>
      <c r="D93" s="7"/>
      <c r="E93" s="7"/>
      <c r="F93" s="7"/>
      <c r="G93" s="7"/>
      <c r="H93" s="7"/>
      <c r="I93" s="7"/>
    </row>
    <row r="94" spans="1:9" x14ac:dyDescent="0.2">
      <c r="A94" s="7"/>
      <c r="B94" s="7"/>
      <c r="C94" s="7"/>
      <c r="D94" s="7"/>
      <c r="E94" s="7"/>
      <c r="F94" s="7"/>
      <c r="G94" s="7"/>
      <c r="H94" s="7"/>
      <c r="I94" s="7"/>
    </row>
    <row r="95" spans="1:9" x14ac:dyDescent="0.2">
      <c r="A95" s="7"/>
      <c r="B95" s="7"/>
      <c r="C95" s="7"/>
      <c r="D95" s="7"/>
      <c r="E95" s="7"/>
      <c r="F95" s="7"/>
      <c r="G95" s="7"/>
      <c r="H95" s="7"/>
      <c r="I95" s="7"/>
    </row>
    <row r="96" spans="1:9" x14ac:dyDescent="0.2">
      <c r="A96" s="7"/>
      <c r="B96" s="7"/>
      <c r="C96" s="7"/>
      <c r="D96" s="7"/>
      <c r="E96" s="7"/>
      <c r="F96" s="7"/>
      <c r="G96" s="7"/>
      <c r="H96" s="7"/>
      <c r="I96" s="7"/>
    </row>
    <row r="97" spans="1:9" x14ac:dyDescent="0.2">
      <c r="A97" s="7"/>
      <c r="B97" s="7"/>
      <c r="C97" s="7"/>
      <c r="D97" s="7"/>
      <c r="E97" s="7"/>
      <c r="F97" s="7"/>
      <c r="G97" s="7"/>
      <c r="H97" s="7"/>
      <c r="I97" s="7"/>
    </row>
    <row r="98" spans="1:9" x14ac:dyDescent="0.2">
      <c r="A98" s="7"/>
      <c r="B98" s="7"/>
      <c r="C98" s="7"/>
      <c r="D98" s="7"/>
      <c r="E98" s="7"/>
      <c r="F98" s="7"/>
      <c r="G98" s="7"/>
      <c r="H98" s="7"/>
      <c r="I98" s="7"/>
    </row>
    <row r="99" spans="1:9" x14ac:dyDescent="0.2">
      <c r="A99" s="7"/>
      <c r="B99" s="7"/>
      <c r="C99" s="7"/>
      <c r="D99" s="7"/>
      <c r="E99" s="7"/>
      <c r="F99" s="7"/>
      <c r="G99" s="7"/>
      <c r="H99" s="7"/>
      <c r="I99" s="7"/>
    </row>
    <row r="100" spans="1:9" x14ac:dyDescent="0.2">
      <c r="A100" s="7"/>
      <c r="B100" s="7"/>
      <c r="C100" s="7"/>
      <c r="D100" s="7"/>
      <c r="E100" s="7"/>
      <c r="F100" s="7"/>
      <c r="G100" s="7"/>
      <c r="H100" s="7"/>
      <c r="I100" s="7"/>
    </row>
    <row r="101" spans="1:9" x14ac:dyDescent="0.2">
      <c r="A101" s="7"/>
      <c r="B101" s="7"/>
      <c r="C101" s="7"/>
      <c r="D101" s="7"/>
      <c r="E101" s="7"/>
      <c r="F101" s="7"/>
      <c r="G101" s="7"/>
      <c r="H101" s="7"/>
      <c r="I101" s="7"/>
    </row>
    <row r="102" spans="1:9" x14ac:dyDescent="0.2">
      <c r="A102" s="7"/>
      <c r="B102" s="7"/>
      <c r="C102" s="7"/>
      <c r="D102" s="7"/>
      <c r="E102" s="7"/>
      <c r="F102" s="7"/>
      <c r="G102" s="7"/>
      <c r="H102" s="7"/>
      <c r="I102" s="7"/>
    </row>
    <row r="103" spans="1:9" x14ac:dyDescent="0.2">
      <c r="A103" s="7"/>
      <c r="B103" s="7"/>
      <c r="C103" s="7"/>
      <c r="D103" s="7"/>
      <c r="E103" s="7"/>
      <c r="F103" s="7"/>
      <c r="G103" s="7"/>
      <c r="H103" s="7"/>
      <c r="I103" s="7"/>
    </row>
    <row r="104" spans="1:9" x14ac:dyDescent="0.2">
      <c r="A104" s="7"/>
      <c r="B104" s="7"/>
      <c r="C104" s="7"/>
      <c r="D104" s="7"/>
      <c r="E104" s="7"/>
      <c r="F104" s="7"/>
      <c r="G104" s="7"/>
      <c r="H104" s="7"/>
      <c r="I104" s="7"/>
    </row>
    <row r="105" spans="1:9" x14ac:dyDescent="0.2">
      <c r="A105" s="7"/>
      <c r="B105" s="7"/>
      <c r="C105" s="7"/>
      <c r="D105" s="7"/>
      <c r="E105" s="7"/>
      <c r="F105" s="7"/>
      <c r="G105" s="7"/>
      <c r="H105" s="7"/>
      <c r="I105" s="7"/>
    </row>
    <row r="106" spans="1:9" x14ac:dyDescent="0.2">
      <c r="A106" s="7"/>
      <c r="B106" s="7"/>
      <c r="C106" s="7"/>
      <c r="D106" s="7"/>
      <c r="E106" s="7"/>
      <c r="F106" s="7"/>
      <c r="G106" s="7"/>
      <c r="H106" s="7"/>
      <c r="I106" s="7"/>
    </row>
    <row r="107" spans="1:9" x14ac:dyDescent="0.2">
      <c r="A107" s="7"/>
      <c r="B107" s="7"/>
      <c r="C107" s="7"/>
      <c r="D107" s="7"/>
      <c r="E107" s="7"/>
      <c r="F107" s="7"/>
      <c r="G107" s="7"/>
      <c r="H107" s="7"/>
      <c r="I107" s="7"/>
    </row>
    <row r="108" spans="1:9" x14ac:dyDescent="0.2">
      <c r="A108" s="7"/>
      <c r="B108" s="7"/>
      <c r="C108" s="7"/>
      <c r="D108" s="7"/>
      <c r="E108" s="7"/>
      <c r="F108" s="7"/>
      <c r="G108" s="7"/>
      <c r="H108" s="7"/>
      <c r="I108" s="7"/>
    </row>
    <row r="109" spans="1:9" x14ac:dyDescent="0.2">
      <c r="A109" s="7"/>
      <c r="B109" s="7"/>
      <c r="C109" s="7"/>
      <c r="D109" s="7"/>
      <c r="E109" s="7"/>
      <c r="F109" s="7"/>
      <c r="G109" s="7"/>
      <c r="H109" s="7"/>
      <c r="I109" s="7"/>
    </row>
    <row r="110" spans="1:9" x14ac:dyDescent="0.2">
      <c r="A110" s="7"/>
      <c r="B110" s="7"/>
      <c r="C110" s="7"/>
      <c r="D110" s="7"/>
      <c r="E110" s="7"/>
      <c r="F110" s="7"/>
      <c r="G110" s="7"/>
      <c r="H110" s="7"/>
      <c r="I110" s="7"/>
    </row>
    <row r="111" spans="1:9" x14ac:dyDescent="0.2">
      <c r="A111" s="7"/>
      <c r="B111" s="7"/>
      <c r="C111" s="7"/>
      <c r="D111" s="7"/>
      <c r="E111" s="7"/>
      <c r="F111" s="7"/>
      <c r="G111" s="7"/>
      <c r="H111" s="7"/>
      <c r="I111" s="7"/>
    </row>
    <row r="112" spans="1:9" x14ac:dyDescent="0.2">
      <c r="A112" s="7"/>
      <c r="B112" s="7"/>
      <c r="C112" s="7"/>
      <c r="D112" s="7"/>
      <c r="E112" s="7"/>
      <c r="F112" s="7"/>
      <c r="G112" s="7"/>
      <c r="H112" s="7"/>
      <c r="I112" s="7"/>
    </row>
    <row r="113" spans="1:9" x14ac:dyDescent="0.2">
      <c r="A113" s="11" t="s">
        <v>1</v>
      </c>
      <c r="B113" s="12"/>
      <c r="C113" s="12"/>
      <c r="D113" s="13"/>
      <c r="E113" s="8"/>
      <c r="F113" s="8"/>
      <c r="G113" s="8"/>
      <c r="H113" s="8"/>
      <c r="I113" s="1"/>
    </row>
    <row r="114" spans="1:9" x14ac:dyDescent="0.2">
      <c r="A114" s="14" t="s">
        <v>15</v>
      </c>
      <c r="B114" s="15"/>
      <c r="C114" s="15"/>
      <c r="D114" s="16"/>
      <c r="E114" s="8"/>
      <c r="F114" s="8"/>
      <c r="G114" s="8"/>
      <c r="H114" s="8"/>
      <c r="I114" s="1"/>
    </row>
    <row r="115" spans="1:9" x14ac:dyDescent="0.2">
      <c r="A115" s="17" t="s">
        <v>62</v>
      </c>
      <c r="B115" s="18"/>
      <c r="C115" s="18"/>
      <c r="D115" s="19"/>
      <c r="E115" s="8"/>
      <c r="F115" s="8"/>
      <c r="G115" s="8"/>
      <c r="H115" s="8"/>
      <c r="I115" s="1"/>
    </row>
    <row r="116" spans="1:9" x14ac:dyDescent="0.2">
      <c r="A116" s="20"/>
      <c r="B116" s="21"/>
      <c r="C116" s="22"/>
      <c r="D116" s="23"/>
      <c r="E116" s="8"/>
      <c r="F116" s="8" t="s">
        <v>34</v>
      </c>
      <c r="G116" s="8"/>
      <c r="H116" s="8"/>
      <c r="I116" s="1"/>
    </row>
    <row r="117" spans="1:9" ht="15.75" x14ac:dyDescent="0.25">
      <c r="A117" s="24" t="s">
        <v>2</v>
      </c>
      <c r="B117" s="25" t="str">
        <f>[1]Charters!B122</f>
        <v>Franklin Discovery Academy</v>
      </c>
      <c r="C117" s="26"/>
      <c r="D117" s="27"/>
      <c r="E117" s="8"/>
      <c r="F117" s="8"/>
      <c r="G117" s="8"/>
      <c r="H117" s="8"/>
      <c r="I117" s="1"/>
    </row>
    <row r="118" spans="1:9" x14ac:dyDescent="0.2">
      <c r="A118" s="24"/>
      <c r="B118" s="28"/>
      <c r="C118" s="26"/>
      <c r="D118" s="27"/>
      <c r="E118" s="8"/>
      <c r="F118" s="8"/>
      <c r="G118" s="8"/>
      <c r="H118" s="8"/>
      <c r="I118" s="1"/>
    </row>
    <row r="119" spans="1:9" x14ac:dyDescent="0.2">
      <c r="A119" s="29" t="s">
        <v>0</v>
      </c>
      <c r="B119" s="30">
        <f>[1]Charters!$E$6</f>
        <v>3184</v>
      </c>
      <c r="C119" s="26"/>
      <c r="D119" s="31"/>
      <c r="E119" s="8"/>
      <c r="F119" s="8"/>
      <c r="G119" s="8"/>
      <c r="H119" s="8"/>
      <c r="I119" s="1"/>
    </row>
    <row r="120" spans="1:9" x14ac:dyDescent="0.2">
      <c r="A120" s="32"/>
      <c r="B120" s="6"/>
      <c r="C120" s="33"/>
      <c r="D120" s="34" t="s">
        <v>3</v>
      </c>
      <c r="E120" s="8"/>
      <c r="F120" s="8"/>
      <c r="G120" s="8"/>
      <c r="H120" s="8"/>
      <c r="I120" s="1"/>
    </row>
    <row r="121" spans="1:9" x14ac:dyDescent="0.2">
      <c r="A121" s="29" t="s">
        <v>19</v>
      </c>
      <c r="B121" s="35" t="str">
        <f>[1]Charters!A122</f>
        <v>6K</v>
      </c>
      <c r="C121" s="36" t="s">
        <v>4</v>
      </c>
      <c r="D121" s="37" t="s">
        <v>5</v>
      </c>
      <c r="E121" s="8"/>
      <c r="F121" s="8"/>
      <c r="G121" s="8"/>
      <c r="H121" s="8"/>
      <c r="I121" s="1"/>
    </row>
    <row r="122" spans="1:9" x14ac:dyDescent="0.2">
      <c r="A122" s="38" t="s">
        <v>6</v>
      </c>
      <c r="B122" s="39"/>
      <c r="C122" s="40"/>
      <c r="D122" s="41"/>
      <c r="E122" s="8"/>
      <c r="F122" s="8"/>
      <c r="G122" s="8"/>
      <c r="H122" s="8"/>
      <c r="I122" s="1"/>
    </row>
    <row r="123" spans="1:9" x14ac:dyDescent="0.2">
      <c r="A123" s="38" t="s">
        <v>7</v>
      </c>
      <c r="B123" s="39"/>
      <c r="C123" s="40"/>
      <c r="D123" s="41"/>
      <c r="E123" s="8"/>
      <c r="F123" s="42" t="s">
        <v>23</v>
      </c>
      <c r="G123" s="8"/>
      <c r="H123" s="42" t="s">
        <v>26</v>
      </c>
      <c r="I123" s="1"/>
    </row>
    <row r="124" spans="1:9" x14ac:dyDescent="0.2">
      <c r="A124" s="20" t="s">
        <v>8</v>
      </c>
      <c r="B124" s="43"/>
      <c r="C124" s="44">
        <f>[1]Charters!C582</f>
        <v>417.45</v>
      </c>
      <c r="D124" s="45">
        <f>[1]Charters!E582</f>
        <v>1329160.8</v>
      </c>
      <c r="E124" s="8"/>
      <c r="F124" s="42">
        <f>[1]Charters!E738</f>
        <v>1362625.08</v>
      </c>
      <c r="G124" s="8"/>
      <c r="H124" s="42">
        <f>[2]Charters!E276</f>
        <v>1683148.86</v>
      </c>
      <c r="I124" s="1"/>
    </row>
    <row r="125" spans="1:9" x14ac:dyDescent="0.2">
      <c r="A125" s="20" t="s">
        <v>14</v>
      </c>
      <c r="B125" s="43"/>
      <c r="C125" s="44">
        <f>[1]Charters!F582</f>
        <v>10.51</v>
      </c>
      <c r="D125" s="45">
        <f>[1]Charters!H582</f>
        <v>33464.28</v>
      </c>
      <c r="E125" s="8"/>
      <c r="F125" s="42">
        <f>SUM(D124:D126)</f>
        <v>1362625.08</v>
      </c>
      <c r="G125" s="8"/>
      <c r="H125" s="42">
        <f>D137</f>
        <v>1683148.86</v>
      </c>
      <c r="I125" s="1"/>
    </row>
    <row r="126" spans="1:9" x14ac:dyDescent="0.2">
      <c r="A126" s="20" t="s">
        <v>32</v>
      </c>
      <c r="B126" s="43"/>
      <c r="C126" s="44">
        <f>[1]Charters!C275</f>
        <v>0</v>
      </c>
      <c r="D126" s="45">
        <f>[1]Charters!E275</f>
        <v>0</v>
      </c>
      <c r="E126" s="8"/>
      <c r="F126" s="42">
        <f>+F124-F125</f>
        <v>0</v>
      </c>
      <c r="G126" s="8"/>
      <c r="H126" s="42">
        <f>+H124-H125</f>
        <v>0</v>
      </c>
      <c r="I126" s="1"/>
    </row>
    <row r="127" spans="1:9" x14ac:dyDescent="0.2">
      <c r="A127" s="38" t="s">
        <v>9</v>
      </c>
      <c r="B127" s="39"/>
      <c r="C127" s="46"/>
      <c r="D127" s="47"/>
      <c r="E127" s="8"/>
      <c r="F127" s="8"/>
      <c r="G127" s="8"/>
      <c r="H127" s="8"/>
      <c r="I127" s="1"/>
    </row>
    <row r="128" spans="1:9" x14ac:dyDescent="0.2">
      <c r="A128" s="20" t="s">
        <v>10</v>
      </c>
      <c r="B128" s="43"/>
      <c r="C128" s="40">
        <f>[3]Charters!C121</f>
        <v>50</v>
      </c>
      <c r="D128" s="41">
        <f>[3]Charters!E121</f>
        <v>159200</v>
      </c>
      <c r="E128" s="8"/>
      <c r="F128" s="42" t="s">
        <v>24</v>
      </c>
      <c r="G128" s="8"/>
      <c r="H128" s="8"/>
      <c r="I128" s="1"/>
    </row>
    <row r="129" spans="1:9" x14ac:dyDescent="0.2">
      <c r="A129" s="48" t="s">
        <v>11</v>
      </c>
      <c r="B129" s="43"/>
      <c r="C129" s="40">
        <f>[3]Charters!F121</f>
        <v>4.3369999999999997</v>
      </c>
      <c r="D129" s="49">
        <f>[3]Charters!H121</f>
        <v>13810.53</v>
      </c>
      <c r="E129" s="8"/>
      <c r="F129" s="42">
        <f>[3]Charters!N434</f>
        <v>179019.69</v>
      </c>
      <c r="G129" s="8"/>
      <c r="H129" s="8"/>
      <c r="I129" s="1"/>
    </row>
    <row r="130" spans="1:9" x14ac:dyDescent="0.2">
      <c r="A130" s="48" t="s">
        <v>12</v>
      </c>
      <c r="B130" s="43"/>
      <c r="C130" s="40">
        <f>[3]Charters!C276</f>
        <v>0</v>
      </c>
      <c r="D130" s="41">
        <f>[3]Charters!E276</f>
        <v>0</v>
      </c>
      <c r="E130" s="8"/>
      <c r="F130" s="42">
        <f>SUM(D128:D134)</f>
        <v>179019.69</v>
      </c>
      <c r="G130" s="8"/>
      <c r="H130" s="8"/>
      <c r="I130" s="1"/>
    </row>
    <row r="131" spans="1:9" x14ac:dyDescent="0.2">
      <c r="A131" s="20" t="s">
        <v>13</v>
      </c>
      <c r="B131" s="43"/>
      <c r="C131" s="40">
        <f>[3]Charters!F276</f>
        <v>0.70899999999999996</v>
      </c>
      <c r="D131" s="41">
        <f>[3]Charters!H276</f>
        <v>2259</v>
      </c>
      <c r="E131" s="8"/>
      <c r="F131" s="42">
        <f>+F129-F130</f>
        <v>0</v>
      </c>
      <c r="G131" s="8"/>
      <c r="H131" s="8"/>
      <c r="I131" s="1"/>
    </row>
    <row r="132" spans="1:9" x14ac:dyDescent="0.2">
      <c r="A132" s="48" t="s">
        <v>54</v>
      </c>
      <c r="B132" s="43"/>
      <c r="C132" s="40">
        <f>[3]Charters!C434</f>
        <v>1.1779999999999999</v>
      </c>
      <c r="D132" s="41">
        <f>[3]Charters!E434</f>
        <v>3750.16</v>
      </c>
      <c r="E132" s="8"/>
      <c r="F132" s="8"/>
      <c r="G132" s="8"/>
      <c r="H132" s="8"/>
      <c r="I132" s="1"/>
    </row>
    <row r="133" spans="1:9" x14ac:dyDescent="0.2">
      <c r="A133" s="48" t="s">
        <v>55</v>
      </c>
      <c r="B133" s="43"/>
      <c r="C133" s="40">
        <f>[3]Charters!F434</f>
        <v>0</v>
      </c>
      <c r="D133" s="41">
        <f>[3]Charters!H434</f>
        <v>0</v>
      </c>
      <c r="E133" s="8"/>
      <c r="F133" s="42" t="s">
        <v>25</v>
      </c>
      <c r="G133" s="8"/>
      <c r="H133" s="8"/>
      <c r="I133" s="1"/>
    </row>
    <row r="134" spans="1:9" x14ac:dyDescent="0.2">
      <c r="A134" s="48" t="s">
        <v>56</v>
      </c>
      <c r="B134" s="43"/>
      <c r="C134" s="40">
        <f>[3]Charters!I434</f>
        <v>0</v>
      </c>
      <c r="D134" s="41">
        <f>[3]Charters!K434</f>
        <v>0</v>
      </c>
      <c r="E134" s="8"/>
      <c r="F134" s="42">
        <f>[2]Charters!H122</f>
        <v>320523.78000000003</v>
      </c>
      <c r="G134" s="8"/>
      <c r="H134" s="8"/>
      <c r="I134" s="1"/>
    </row>
    <row r="135" spans="1:9" x14ac:dyDescent="0.2">
      <c r="A135" s="20" t="s">
        <v>49</v>
      </c>
      <c r="B135" s="43"/>
      <c r="C135" s="40">
        <f>[3]Charters!C589</f>
        <v>0</v>
      </c>
      <c r="D135" s="41">
        <f>[3]Charters!E589</f>
        <v>0</v>
      </c>
      <c r="E135" s="8"/>
      <c r="F135" s="42">
        <f>SUM(D128:D136)</f>
        <v>320523.78000000003</v>
      </c>
      <c r="G135" s="8"/>
      <c r="H135" s="8"/>
      <c r="I135" s="1"/>
    </row>
    <row r="136" spans="1:9" x14ac:dyDescent="0.2">
      <c r="A136" s="20" t="s">
        <v>50</v>
      </c>
      <c r="B136" s="43"/>
      <c r="C136" s="40">
        <f>[2]Charters!C122</f>
        <v>44.442</v>
      </c>
      <c r="D136" s="41">
        <f>[2]Charters!E122</f>
        <v>141504.09</v>
      </c>
      <c r="E136" s="8"/>
      <c r="F136" s="42">
        <f>+F134-F135</f>
        <v>0</v>
      </c>
      <c r="G136" s="8"/>
      <c r="H136" s="8"/>
      <c r="I136" s="1"/>
    </row>
    <row r="137" spans="1:9" x14ac:dyDescent="0.2">
      <c r="A137" s="50"/>
      <c r="B137" s="51" t="s">
        <v>16</v>
      </c>
      <c r="C137" s="52">
        <f>SUM(C124:C136)</f>
        <v>528.62599999999998</v>
      </c>
      <c r="D137" s="53">
        <f>SUM(D124:D136)</f>
        <v>1683148.86</v>
      </c>
      <c r="E137" s="8"/>
      <c r="F137" s="8"/>
      <c r="G137" s="8"/>
      <c r="H137" s="8"/>
      <c r="I137" s="1"/>
    </row>
    <row r="138" spans="1:9" x14ac:dyDescent="0.2">
      <c r="A138" s="54" t="s">
        <v>17</v>
      </c>
      <c r="B138" s="39"/>
      <c r="C138" s="55"/>
      <c r="D138" s="47"/>
      <c r="E138" s="8"/>
      <c r="F138" s="8"/>
      <c r="G138" s="8"/>
      <c r="H138" s="42" t="s">
        <v>29</v>
      </c>
      <c r="I138" s="1"/>
    </row>
    <row r="139" spans="1:9" x14ac:dyDescent="0.2">
      <c r="A139" s="20" t="s">
        <v>33</v>
      </c>
      <c r="B139" s="43"/>
      <c r="C139" s="56"/>
      <c r="D139" s="57">
        <f>[4]Charters!C123</f>
        <v>4878.55</v>
      </c>
      <c r="E139" s="8"/>
      <c r="F139" s="8"/>
      <c r="G139" s="8"/>
      <c r="H139" s="42">
        <f>[4]Charters!F1062</f>
        <v>2921387.56</v>
      </c>
      <c r="I139" s="1"/>
    </row>
    <row r="140" spans="1:9" x14ac:dyDescent="0.2">
      <c r="A140" s="58" t="s">
        <v>35</v>
      </c>
      <c r="B140" s="43"/>
      <c r="C140" s="56"/>
      <c r="D140" s="41">
        <f>+[4]Charters!F444</f>
        <v>2009.18</v>
      </c>
      <c r="E140" s="8"/>
      <c r="F140" s="8"/>
      <c r="G140" s="8"/>
      <c r="H140" s="42">
        <f>SUM(D137:D156)</f>
        <v>2921387.56</v>
      </c>
      <c r="I140" s="1"/>
    </row>
    <row r="141" spans="1:9" x14ac:dyDescent="0.2">
      <c r="A141" s="59" t="s">
        <v>36</v>
      </c>
      <c r="B141" s="43"/>
      <c r="C141" s="56"/>
      <c r="D141" s="41">
        <f>[4]Charters!E283</f>
        <v>6757</v>
      </c>
      <c r="E141" s="8"/>
      <c r="F141" s="8"/>
      <c r="G141" s="8"/>
      <c r="H141" s="42">
        <f>+H139-H140</f>
        <v>0</v>
      </c>
      <c r="I141" s="1"/>
    </row>
    <row r="142" spans="1:9" x14ac:dyDescent="0.2">
      <c r="A142" s="59" t="s">
        <v>52</v>
      </c>
      <c r="B142" s="43"/>
      <c r="C142" s="56"/>
      <c r="D142" s="41">
        <f>[4]Charters!G444</f>
        <v>0</v>
      </c>
      <c r="E142" s="8"/>
      <c r="F142" s="42" t="s">
        <v>27</v>
      </c>
      <c r="G142" s="8"/>
      <c r="H142" s="42"/>
      <c r="I142" s="1"/>
    </row>
    <row r="143" spans="1:9" x14ac:dyDescent="0.2">
      <c r="A143" s="20" t="s">
        <v>37</v>
      </c>
      <c r="B143" s="43"/>
      <c r="C143" s="56"/>
      <c r="D143" s="41">
        <f>[4]Charters!E600</f>
        <v>35747</v>
      </c>
      <c r="E143" s="8"/>
      <c r="F143" s="42">
        <f>[4]Charters!E283</f>
        <v>6757</v>
      </c>
      <c r="G143" s="8"/>
      <c r="H143" s="8"/>
      <c r="I143" s="1"/>
    </row>
    <row r="144" spans="1:9" x14ac:dyDescent="0.2">
      <c r="A144" s="20" t="s">
        <v>38</v>
      </c>
      <c r="B144" s="43"/>
      <c r="C144" s="56"/>
      <c r="D144" s="41">
        <f>[4]Charters!F600</f>
        <v>0</v>
      </c>
      <c r="E144" s="8"/>
      <c r="F144" s="42">
        <f>SUM(D141:D141)</f>
        <v>6757</v>
      </c>
      <c r="G144" s="8"/>
      <c r="H144" s="8"/>
      <c r="I144" s="1"/>
    </row>
    <row r="145" spans="1:9" x14ac:dyDescent="0.2">
      <c r="A145" s="59" t="s">
        <v>40</v>
      </c>
      <c r="B145" s="43"/>
      <c r="C145" s="56"/>
      <c r="D145" s="41">
        <f>[4]Charters!G600</f>
        <v>0</v>
      </c>
      <c r="E145" s="8"/>
      <c r="F145" s="42">
        <f>+F143-F144</f>
        <v>0</v>
      </c>
      <c r="G145" s="8"/>
      <c r="H145" s="8"/>
      <c r="I145" s="1"/>
    </row>
    <row r="146" spans="1:9" x14ac:dyDescent="0.2">
      <c r="A146" s="20" t="s">
        <v>41</v>
      </c>
      <c r="B146" s="43"/>
      <c r="C146" s="56"/>
      <c r="D146" s="41">
        <f>[4]Charters!C753</f>
        <v>1000500</v>
      </c>
      <c r="E146" s="8"/>
      <c r="F146" s="42" t="s">
        <v>28</v>
      </c>
      <c r="G146" s="8"/>
      <c r="H146" s="8"/>
      <c r="I146" s="1"/>
    </row>
    <row r="147" spans="1:9" x14ac:dyDescent="0.2">
      <c r="A147" s="20" t="s">
        <v>42</v>
      </c>
      <c r="B147" s="43"/>
      <c r="C147" s="56"/>
      <c r="D147" s="41">
        <f>[4]Charters!D753</f>
        <v>103251.46</v>
      </c>
      <c r="E147" s="8"/>
      <c r="F147" s="42">
        <f>[4]Charters!D600</f>
        <v>8766.18</v>
      </c>
      <c r="G147" s="8"/>
      <c r="H147" s="8"/>
      <c r="I147" s="1"/>
    </row>
    <row r="148" spans="1:9" x14ac:dyDescent="0.2">
      <c r="A148" s="20" t="s">
        <v>44</v>
      </c>
      <c r="B148" s="43"/>
      <c r="C148" s="56"/>
      <c r="D148" s="41">
        <f>[4]Charters!E753</f>
        <v>50000</v>
      </c>
      <c r="E148" s="8"/>
      <c r="F148" s="42">
        <f>SUM(D140:D142)</f>
        <v>8766.18</v>
      </c>
      <c r="G148" s="8"/>
      <c r="H148" s="8"/>
      <c r="I148" s="1"/>
    </row>
    <row r="149" spans="1:9" x14ac:dyDescent="0.2">
      <c r="A149" s="59" t="s">
        <v>43</v>
      </c>
      <c r="B149" s="43"/>
      <c r="C149" s="56"/>
      <c r="D149" s="41">
        <f>[4]Charters!F753</f>
        <v>10786.64</v>
      </c>
      <c r="E149" s="8"/>
      <c r="F149" s="42">
        <f>+F147-F148</f>
        <v>0</v>
      </c>
      <c r="G149" s="8"/>
      <c r="H149" s="8"/>
      <c r="I149" s="1"/>
    </row>
    <row r="150" spans="1:9" x14ac:dyDescent="0.2">
      <c r="A150" s="59" t="s">
        <v>45</v>
      </c>
      <c r="B150" s="43"/>
      <c r="C150" s="56"/>
      <c r="D150" s="41">
        <f>[4]Charters!C600</f>
        <v>0</v>
      </c>
      <c r="E150" s="8"/>
      <c r="F150" s="8"/>
      <c r="G150" s="8"/>
      <c r="H150" s="8"/>
      <c r="I150" s="1"/>
    </row>
    <row r="151" spans="1:9" x14ac:dyDescent="0.2">
      <c r="A151" s="59" t="s">
        <v>46</v>
      </c>
      <c r="B151" s="43"/>
      <c r="C151" s="56"/>
      <c r="D151" s="41">
        <f>[4]Charters!C909</f>
        <v>0</v>
      </c>
      <c r="E151" s="42"/>
      <c r="F151" s="42"/>
      <c r="G151" s="42"/>
      <c r="H151" s="42" t="s">
        <v>31</v>
      </c>
      <c r="I151" s="82"/>
    </row>
    <row r="152" spans="1:9" x14ac:dyDescent="0.2">
      <c r="A152" s="59" t="s">
        <v>51</v>
      </c>
      <c r="B152" s="43"/>
      <c r="C152" s="56"/>
      <c r="D152" s="60">
        <f>[4]Charters!D909</f>
        <v>721.07</v>
      </c>
      <c r="E152" s="42"/>
      <c r="F152" s="42"/>
      <c r="G152" s="42"/>
      <c r="H152" s="42">
        <f>[4]Charters!D1368</f>
        <v>2930821.29</v>
      </c>
      <c r="I152" s="82"/>
    </row>
    <row r="153" spans="1:9" x14ac:dyDescent="0.2">
      <c r="A153" s="20" t="s">
        <v>47</v>
      </c>
      <c r="B153" s="43"/>
      <c r="C153" s="56"/>
      <c r="D153" s="60">
        <f>[4]Charters!E909</f>
        <v>0</v>
      </c>
      <c r="E153" s="42"/>
      <c r="F153" s="42"/>
      <c r="G153" s="42"/>
      <c r="H153" s="42">
        <f>D162</f>
        <v>2930821.29</v>
      </c>
      <c r="I153" s="82"/>
    </row>
    <row r="154" spans="1:9" x14ac:dyDescent="0.2">
      <c r="A154" s="20" t="s">
        <v>57</v>
      </c>
      <c r="B154" s="43"/>
      <c r="C154" s="56"/>
      <c r="D154" s="60">
        <f>[4]Charters!C1062</f>
        <v>0</v>
      </c>
      <c r="E154" s="42"/>
      <c r="F154" s="42"/>
      <c r="G154" s="42"/>
      <c r="H154" s="42">
        <f>+H152-H153</f>
        <v>0</v>
      </c>
      <c r="I154" s="82"/>
    </row>
    <row r="155" spans="1:9" x14ac:dyDescent="0.2">
      <c r="A155" s="59" t="s">
        <v>53</v>
      </c>
      <c r="B155" s="43"/>
      <c r="C155" s="56"/>
      <c r="D155" s="60">
        <f>[4]Charters!D1062</f>
        <v>0</v>
      </c>
      <c r="E155" s="42"/>
      <c r="F155" s="42" t="s">
        <v>30</v>
      </c>
      <c r="G155" s="42"/>
      <c r="H155" s="42"/>
      <c r="I155" s="82"/>
    </row>
    <row r="156" spans="1:9" x14ac:dyDescent="0.2">
      <c r="A156" s="59" t="s">
        <v>59</v>
      </c>
      <c r="B156" s="43"/>
      <c r="C156" s="56"/>
      <c r="D156" s="60">
        <f>[4]Charters!E1062</f>
        <v>23587.8</v>
      </c>
      <c r="E156" s="42"/>
      <c r="F156" s="42"/>
      <c r="G156" s="42"/>
      <c r="H156" s="42"/>
      <c r="I156" s="82"/>
    </row>
    <row r="157" spans="1:9" x14ac:dyDescent="0.2">
      <c r="A157" s="38" t="s">
        <v>18</v>
      </c>
      <c r="B157" s="61"/>
      <c r="C157" s="62"/>
      <c r="D157" s="87"/>
      <c r="E157" s="42"/>
      <c r="F157" s="42">
        <f>[4]Charters!C1368</f>
        <v>9433.73</v>
      </c>
      <c r="G157" s="42"/>
      <c r="H157" s="42"/>
      <c r="I157" s="82"/>
    </row>
    <row r="158" spans="1:9" x14ac:dyDescent="0.2">
      <c r="A158" s="59" t="s">
        <v>39</v>
      </c>
      <c r="B158" s="43"/>
      <c r="C158" s="56"/>
      <c r="D158" s="41">
        <f>[4]Charters!C1215</f>
        <v>3967.05</v>
      </c>
      <c r="E158" s="42"/>
      <c r="F158" s="42">
        <f>SUM(D158:D161)</f>
        <v>9433.73</v>
      </c>
      <c r="G158" s="42"/>
      <c r="H158" s="42"/>
      <c r="I158" s="82"/>
    </row>
    <row r="159" spans="1:9" x14ac:dyDescent="0.2">
      <c r="A159" s="59" t="s">
        <v>48</v>
      </c>
      <c r="B159" s="43"/>
      <c r="C159" s="56"/>
      <c r="D159" s="41">
        <f>[4]Charters!D1215</f>
        <v>0</v>
      </c>
      <c r="E159" s="42"/>
      <c r="F159" s="42">
        <f>+F157-F158</f>
        <v>0</v>
      </c>
      <c r="G159" s="42"/>
      <c r="H159" s="42"/>
      <c r="I159" s="82"/>
    </row>
    <row r="160" spans="1:9" x14ac:dyDescent="0.2">
      <c r="A160" s="59" t="s">
        <v>60</v>
      </c>
      <c r="B160" s="43"/>
      <c r="C160" s="56"/>
      <c r="D160" s="41">
        <f>[4]Charters!E1215</f>
        <v>0</v>
      </c>
      <c r="E160" s="42"/>
      <c r="F160" s="42"/>
      <c r="G160" s="42"/>
      <c r="H160" s="42"/>
      <c r="I160" s="82"/>
    </row>
    <row r="161" spans="1:9" x14ac:dyDescent="0.2">
      <c r="A161" s="59" t="s">
        <v>61</v>
      </c>
      <c r="B161" s="43"/>
      <c r="C161" s="56"/>
      <c r="D161" s="41">
        <f>[4]Charters!F1215</f>
        <v>5466.68</v>
      </c>
      <c r="E161" s="42"/>
      <c r="F161" s="42"/>
      <c r="G161" s="42"/>
      <c r="H161" s="42"/>
      <c r="I161" s="82"/>
    </row>
    <row r="162" spans="1:9" ht="13.5" thickBot="1" x14ac:dyDescent="0.25">
      <c r="A162" s="64"/>
      <c r="B162" s="65"/>
      <c r="C162" s="66"/>
      <c r="D162" s="67">
        <f>SUM(D137:D161)</f>
        <v>2930821.29</v>
      </c>
      <c r="E162" s="42"/>
      <c r="F162" s="42"/>
      <c r="G162" s="42"/>
      <c r="H162" s="42"/>
      <c r="I162" s="82"/>
    </row>
    <row r="163" spans="1:9" ht="13.5" thickTop="1" x14ac:dyDescent="0.2">
      <c r="A163" s="68"/>
      <c r="B163" s="43"/>
      <c r="C163" s="56"/>
      <c r="D163" s="86"/>
      <c r="E163" s="42"/>
      <c r="F163" s="42"/>
      <c r="G163" s="42"/>
      <c r="H163" s="42"/>
      <c r="I163" s="82"/>
    </row>
    <row r="164" spans="1:9" x14ac:dyDescent="0.2">
      <c r="A164" s="38" t="s">
        <v>20</v>
      </c>
      <c r="B164" s="39"/>
      <c r="C164" s="70"/>
      <c r="D164" s="71" t="s">
        <v>21</v>
      </c>
      <c r="E164" s="42"/>
      <c r="F164" s="42"/>
      <c r="G164" s="42"/>
      <c r="H164" s="42"/>
      <c r="I164" s="82"/>
    </row>
    <row r="165" spans="1:9" x14ac:dyDescent="0.2">
      <c r="A165" s="72" t="s">
        <v>22</v>
      </c>
      <c r="B165" s="73"/>
      <c r="C165" s="74"/>
      <c r="D165" s="41">
        <f>[5]Charters!C121</f>
        <v>1160.54</v>
      </c>
      <c r="E165" s="42"/>
      <c r="F165" s="42"/>
      <c r="G165" s="42"/>
      <c r="H165" s="42"/>
      <c r="I165" s="82"/>
    </row>
    <row r="166" spans="1:9" x14ac:dyDescent="0.2">
      <c r="A166" s="75"/>
      <c r="B166" s="61"/>
      <c r="C166" s="76"/>
      <c r="D166" s="77">
        <f>SUM(D165:D165)</f>
        <v>1160.54</v>
      </c>
      <c r="E166" s="42"/>
      <c r="F166" s="42"/>
      <c r="G166" s="42"/>
      <c r="H166" s="42"/>
      <c r="I166" s="82"/>
    </row>
    <row r="167" spans="1:9" x14ac:dyDescent="0.2">
      <c r="A167" s="78" t="s">
        <v>58</v>
      </c>
      <c r="B167" s="79"/>
      <c r="C167" s="80"/>
      <c r="D167" s="77">
        <f>D166+D162</f>
        <v>2931981.83</v>
      </c>
      <c r="E167" s="42"/>
      <c r="F167" s="42"/>
      <c r="G167" s="42"/>
      <c r="H167" s="42"/>
      <c r="I167" s="82"/>
    </row>
    <row r="168" spans="1:9" x14ac:dyDescent="0.2">
      <c r="A168" s="84"/>
      <c r="B168" s="84"/>
      <c r="C168" s="85"/>
      <c r="D168" s="81"/>
      <c r="E168" s="42"/>
      <c r="F168" s="42"/>
      <c r="G168" s="42"/>
      <c r="H168" s="42"/>
      <c r="I168" s="82"/>
    </row>
    <row r="169" spans="1:9" x14ac:dyDescent="0.2">
      <c r="A169" s="84"/>
      <c r="B169" s="84"/>
      <c r="C169" s="85"/>
      <c r="D169" s="81">
        <f>[5]Charters!E277</f>
        <v>2931981.83</v>
      </c>
      <c r="E169" s="42"/>
      <c r="F169" s="42"/>
      <c r="G169" s="42"/>
      <c r="H169" s="42"/>
      <c r="I169" s="82"/>
    </row>
    <row r="170" spans="1:9" x14ac:dyDescent="0.2">
      <c r="A170" s="84"/>
      <c r="B170" s="84"/>
      <c r="C170" s="85"/>
      <c r="D170" s="81">
        <f>D167</f>
        <v>2931981.83</v>
      </c>
      <c r="E170" s="42"/>
      <c r="F170" s="42"/>
      <c r="G170" s="42"/>
      <c r="H170" s="42"/>
      <c r="I170" s="82"/>
    </row>
    <row r="171" spans="1:9" x14ac:dyDescent="0.2">
      <c r="A171" s="82"/>
      <c r="B171" s="82"/>
      <c r="C171" s="83"/>
      <c r="D171" s="42">
        <f>D169-D170</f>
        <v>0</v>
      </c>
      <c r="E171" s="42"/>
      <c r="F171" s="42"/>
      <c r="G171" s="42"/>
      <c r="H171" s="42"/>
      <c r="I171" s="82"/>
    </row>
  </sheetData>
  <mergeCells count="4">
    <mergeCell ref="A113:D113"/>
    <mergeCell ref="A114:D114"/>
    <mergeCell ref="A115:D115"/>
    <mergeCell ref="A167:C167"/>
  </mergeCells>
  <pageMargins left="0.7" right="0.7" top="0.75" bottom="0.75" header="0.3" footer="0.3"/>
  <picture r:id="rId1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900-000000000000}">
  <dimension ref="A1:I172"/>
  <sheetViews>
    <sheetView topLeftCell="A109" workbookViewId="0">
      <selection activeCell="C12" sqref="C12"/>
    </sheetView>
  </sheetViews>
  <sheetFormatPr defaultRowHeight="12.75" x14ac:dyDescent="0.2"/>
  <cols>
    <col min="1" max="1" width="32.42578125" style="89" customWidth="1"/>
    <col min="2" max="2" width="16.5703125" style="89" customWidth="1"/>
    <col min="3" max="3" width="15.7109375" style="89" customWidth="1"/>
    <col min="4" max="4" width="15.42578125" style="89" customWidth="1"/>
    <col min="5" max="5" width="9.140625" style="89"/>
    <col min="6" max="6" width="23.42578125" style="89" bestFit="1" customWidth="1"/>
    <col min="7" max="7" width="9.140625" style="89"/>
    <col min="8" max="8" width="23" style="89" bestFit="1" customWidth="1"/>
    <col min="9" max="16384" width="9.140625" style="89"/>
  </cols>
  <sheetData>
    <row r="1" spans="1:9" x14ac:dyDescent="0.2">
      <c r="A1" s="7"/>
      <c r="B1" s="7"/>
      <c r="C1" s="7"/>
      <c r="D1" s="7"/>
      <c r="E1" s="7"/>
      <c r="F1" s="7"/>
      <c r="G1" s="7"/>
      <c r="H1" s="7"/>
      <c r="I1" s="7"/>
    </row>
    <row r="2" spans="1:9" x14ac:dyDescent="0.2">
      <c r="A2" s="7"/>
      <c r="B2" s="7"/>
      <c r="C2" s="7"/>
      <c r="D2" s="7"/>
      <c r="E2" s="7"/>
      <c r="F2" s="7"/>
      <c r="G2" s="7"/>
      <c r="H2" s="7"/>
      <c r="I2" s="7"/>
    </row>
    <row r="3" spans="1:9" x14ac:dyDescent="0.2">
      <c r="A3" s="7"/>
      <c r="B3" s="7"/>
      <c r="C3" s="7"/>
      <c r="D3" s="7"/>
      <c r="E3" s="7"/>
      <c r="F3" s="7"/>
      <c r="G3" s="7"/>
      <c r="H3" s="7"/>
      <c r="I3" s="7"/>
    </row>
    <row r="4" spans="1:9" x14ac:dyDescent="0.2">
      <c r="A4" s="7"/>
      <c r="B4" s="7"/>
      <c r="C4" s="7"/>
      <c r="D4" s="7"/>
      <c r="E4" s="7"/>
      <c r="F4" s="7"/>
      <c r="G4" s="7"/>
      <c r="H4" s="7"/>
      <c r="I4" s="7"/>
    </row>
    <row r="5" spans="1:9" x14ac:dyDescent="0.2">
      <c r="A5" s="7"/>
      <c r="B5" s="7"/>
      <c r="C5" s="7"/>
      <c r="D5" s="7"/>
      <c r="E5" s="7"/>
      <c r="F5" s="7"/>
      <c r="G5" s="7"/>
      <c r="H5" s="7"/>
      <c r="I5" s="7"/>
    </row>
    <row r="6" spans="1:9" x14ac:dyDescent="0.2">
      <c r="A6" s="7"/>
      <c r="B6" s="7"/>
      <c r="C6" s="7"/>
      <c r="D6" s="7"/>
      <c r="E6" s="7"/>
      <c r="F6" s="7"/>
      <c r="G6" s="7"/>
      <c r="H6" s="7"/>
      <c r="I6" s="7"/>
    </row>
    <row r="7" spans="1:9" x14ac:dyDescent="0.2">
      <c r="A7" s="7"/>
      <c r="B7" s="7"/>
      <c r="C7" s="7"/>
      <c r="D7" s="7"/>
      <c r="E7" s="7"/>
      <c r="F7" s="7"/>
      <c r="G7" s="7"/>
      <c r="H7" s="7"/>
      <c r="I7" s="7"/>
    </row>
    <row r="8" spans="1:9" x14ac:dyDescent="0.2">
      <c r="A8" s="7"/>
      <c r="B8" s="7"/>
      <c r="C8" s="7"/>
      <c r="D8" s="7"/>
      <c r="E8" s="7"/>
      <c r="F8" s="7"/>
      <c r="G8" s="7"/>
      <c r="H8" s="7"/>
      <c r="I8" s="7"/>
    </row>
    <row r="9" spans="1:9" x14ac:dyDescent="0.2">
      <c r="A9" s="7"/>
      <c r="B9" s="7"/>
      <c r="C9" s="7"/>
      <c r="D9" s="7"/>
      <c r="E9" s="7"/>
      <c r="F9" s="7"/>
      <c r="G9" s="7"/>
      <c r="H9" s="7"/>
      <c r="I9" s="7"/>
    </row>
    <row r="10" spans="1:9" x14ac:dyDescent="0.2">
      <c r="A10" s="7"/>
      <c r="B10" s="7"/>
      <c r="C10" s="7"/>
      <c r="D10" s="7"/>
      <c r="E10" s="7"/>
      <c r="F10" s="7"/>
      <c r="G10" s="7"/>
      <c r="H10" s="7"/>
      <c r="I10" s="7"/>
    </row>
    <row r="11" spans="1:9" x14ac:dyDescent="0.2">
      <c r="A11" s="7"/>
      <c r="B11" s="7"/>
      <c r="C11" s="7"/>
      <c r="D11" s="7"/>
      <c r="E11" s="7"/>
      <c r="F11" s="7"/>
      <c r="G11" s="7"/>
      <c r="H11" s="7"/>
      <c r="I11" s="7"/>
    </row>
    <row r="12" spans="1:9" x14ac:dyDescent="0.2">
      <c r="A12" s="7"/>
      <c r="B12" s="7"/>
      <c r="C12" s="7"/>
      <c r="D12" s="7"/>
      <c r="E12" s="7"/>
      <c r="F12" s="7"/>
      <c r="G12" s="7"/>
      <c r="H12" s="7"/>
      <c r="I12" s="7"/>
    </row>
    <row r="13" spans="1:9" x14ac:dyDescent="0.2">
      <c r="A13" s="7"/>
      <c r="B13" s="7"/>
      <c r="C13" s="7"/>
      <c r="D13" s="7"/>
      <c r="E13" s="7"/>
      <c r="F13" s="7"/>
      <c r="G13" s="7"/>
      <c r="H13" s="7"/>
      <c r="I13" s="7"/>
    </row>
    <row r="14" spans="1:9" x14ac:dyDescent="0.2">
      <c r="A14" s="7"/>
      <c r="B14" s="7"/>
      <c r="C14" s="7"/>
      <c r="D14" s="7"/>
      <c r="E14" s="7"/>
      <c r="F14" s="7"/>
      <c r="G14" s="7"/>
      <c r="H14" s="7"/>
      <c r="I14" s="7"/>
    </row>
    <row r="15" spans="1:9" x14ac:dyDescent="0.2">
      <c r="A15" s="7"/>
      <c r="B15" s="7"/>
      <c r="C15" s="7"/>
      <c r="D15" s="7"/>
      <c r="E15" s="7"/>
      <c r="F15" s="7"/>
      <c r="G15" s="7"/>
      <c r="H15" s="7"/>
      <c r="I15" s="7"/>
    </row>
    <row r="16" spans="1:9" x14ac:dyDescent="0.2">
      <c r="A16" s="7"/>
      <c r="B16" s="7"/>
      <c r="C16" s="7"/>
      <c r="D16" s="7"/>
      <c r="E16" s="7"/>
      <c r="F16" s="7"/>
      <c r="G16" s="7"/>
      <c r="H16" s="7"/>
      <c r="I16" s="7"/>
    </row>
    <row r="17" spans="1:9" x14ac:dyDescent="0.2">
      <c r="A17" s="7"/>
      <c r="B17" s="7"/>
      <c r="C17" s="7"/>
      <c r="D17" s="7"/>
      <c r="E17" s="7"/>
      <c r="F17" s="7"/>
      <c r="G17" s="7"/>
      <c r="H17" s="7"/>
      <c r="I17" s="7"/>
    </row>
    <row r="18" spans="1:9" x14ac:dyDescent="0.2">
      <c r="A18" s="7"/>
      <c r="B18" s="7"/>
      <c r="C18" s="7"/>
      <c r="D18" s="7"/>
      <c r="E18" s="7"/>
      <c r="F18" s="7"/>
      <c r="G18" s="7"/>
      <c r="H18" s="7"/>
      <c r="I18" s="7"/>
    </row>
    <row r="19" spans="1:9" x14ac:dyDescent="0.2">
      <c r="A19" s="7"/>
      <c r="B19" s="7"/>
      <c r="C19" s="7"/>
      <c r="D19" s="7"/>
      <c r="E19" s="7"/>
      <c r="F19" s="7"/>
      <c r="G19" s="7"/>
      <c r="H19" s="7"/>
      <c r="I19" s="7"/>
    </row>
    <row r="20" spans="1:9" x14ac:dyDescent="0.2">
      <c r="A20" s="7"/>
      <c r="B20" s="7"/>
      <c r="C20" s="7"/>
      <c r="D20" s="7"/>
      <c r="E20" s="7"/>
      <c r="F20" s="7"/>
      <c r="G20" s="7"/>
      <c r="H20" s="7"/>
      <c r="I20" s="7"/>
    </row>
    <row r="21" spans="1:9" x14ac:dyDescent="0.2">
      <c r="A21" s="7"/>
      <c r="B21" s="7"/>
      <c r="C21" s="7"/>
      <c r="D21" s="7"/>
      <c r="E21" s="7"/>
      <c r="F21" s="7"/>
      <c r="G21" s="7"/>
      <c r="H21" s="7"/>
      <c r="I21" s="7"/>
    </row>
    <row r="22" spans="1:9" x14ac:dyDescent="0.2">
      <c r="A22" s="7"/>
      <c r="B22" s="7"/>
      <c r="C22" s="7"/>
      <c r="D22" s="4"/>
      <c r="E22" s="7"/>
      <c r="F22" s="7"/>
      <c r="G22" s="7"/>
      <c r="H22" s="7"/>
      <c r="I22" s="7"/>
    </row>
    <row r="23" spans="1:9" x14ac:dyDescent="0.2">
      <c r="A23" s="7"/>
      <c r="B23" s="7"/>
      <c r="C23" s="7"/>
      <c r="D23" s="7"/>
      <c r="E23" s="7"/>
      <c r="F23" s="7"/>
      <c r="G23" s="7"/>
      <c r="H23" s="7"/>
      <c r="I23" s="7"/>
    </row>
    <row r="24" spans="1:9" x14ac:dyDescent="0.2">
      <c r="A24" s="7"/>
      <c r="B24" s="7"/>
      <c r="C24" s="7"/>
      <c r="D24" s="7"/>
      <c r="E24" s="7"/>
      <c r="F24" s="7"/>
      <c r="G24" s="7"/>
      <c r="H24" s="7"/>
      <c r="I24" s="7"/>
    </row>
    <row r="25" spans="1:9" x14ac:dyDescent="0.2">
      <c r="A25" s="7"/>
      <c r="B25" s="7"/>
      <c r="C25" s="7"/>
      <c r="D25" s="7"/>
      <c r="E25" s="7"/>
      <c r="F25" s="7"/>
      <c r="G25" s="7"/>
      <c r="H25" s="7"/>
      <c r="I25" s="7"/>
    </row>
    <row r="26" spans="1:9" x14ac:dyDescent="0.2">
      <c r="A26" s="7"/>
      <c r="B26" s="7"/>
      <c r="C26" s="7"/>
      <c r="D26" s="7"/>
      <c r="E26" s="7"/>
      <c r="F26" s="7"/>
      <c r="G26" s="7"/>
      <c r="H26" s="7"/>
      <c r="I26" s="7"/>
    </row>
    <row r="27" spans="1:9" x14ac:dyDescent="0.2">
      <c r="A27" s="7"/>
      <c r="B27" s="7"/>
      <c r="C27" s="7"/>
      <c r="D27" s="7"/>
      <c r="E27" s="7"/>
      <c r="F27" s="7"/>
      <c r="G27" s="7"/>
      <c r="H27" s="7"/>
      <c r="I27" s="7"/>
    </row>
    <row r="28" spans="1:9" x14ac:dyDescent="0.2">
      <c r="A28" s="7"/>
      <c r="B28" s="7"/>
      <c r="C28" s="7"/>
      <c r="D28" s="7"/>
      <c r="E28" s="7"/>
      <c r="F28" s="7"/>
      <c r="G28" s="7"/>
      <c r="H28" s="7"/>
      <c r="I28" s="7"/>
    </row>
    <row r="29" spans="1:9" x14ac:dyDescent="0.2">
      <c r="A29" s="7"/>
      <c r="B29" s="7"/>
      <c r="C29" s="7"/>
      <c r="D29" s="7"/>
      <c r="E29" s="7"/>
      <c r="F29" s="7"/>
      <c r="G29" s="7"/>
      <c r="H29" s="7"/>
      <c r="I29" s="7"/>
    </row>
    <row r="30" spans="1:9" x14ac:dyDescent="0.2">
      <c r="A30" s="7"/>
      <c r="B30" s="7"/>
      <c r="C30" s="7"/>
      <c r="D30" s="7"/>
      <c r="E30" s="7"/>
      <c r="F30" s="7"/>
      <c r="G30" s="7"/>
      <c r="H30" s="7"/>
      <c r="I30" s="7"/>
    </row>
    <row r="31" spans="1:9" x14ac:dyDescent="0.2">
      <c r="A31" s="7"/>
      <c r="B31" s="7"/>
      <c r="C31" s="7"/>
      <c r="D31" s="7"/>
      <c r="E31" s="7"/>
      <c r="F31" s="7"/>
      <c r="G31" s="7"/>
      <c r="H31" s="7"/>
      <c r="I31" s="7"/>
    </row>
    <row r="32" spans="1:9" x14ac:dyDescent="0.2">
      <c r="A32" s="7"/>
      <c r="B32" s="7"/>
      <c r="C32" s="7"/>
      <c r="D32" s="7"/>
      <c r="E32" s="7"/>
      <c r="F32" s="7"/>
      <c r="G32" s="7"/>
      <c r="H32" s="7"/>
      <c r="I32" s="7"/>
    </row>
    <row r="33" spans="1:9" x14ac:dyDescent="0.2">
      <c r="A33" s="7"/>
      <c r="B33" s="7"/>
      <c r="C33" s="7"/>
      <c r="D33" s="7"/>
      <c r="E33" s="7"/>
      <c r="F33" s="7"/>
      <c r="G33" s="7"/>
      <c r="H33" s="7"/>
      <c r="I33" s="7"/>
    </row>
    <row r="34" spans="1:9" x14ac:dyDescent="0.2">
      <c r="A34" s="7"/>
      <c r="B34" s="7"/>
      <c r="C34" s="7"/>
      <c r="D34" s="7"/>
      <c r="E34" s="7"/>
      <c r="F34" s="7"/>
      <c r="G34" s="7"/>
      <c r="H34" s="7"/>
      <c r="I34" s="7"/>
    </row>
    <row r="35" spans="1:9" x14ac:dyDescent="0.2">
      <c r="A35" s="7"/>
      <c r="B35" s="7"/>
      <c r="C35" s="7"/>
      <c r="D35" s="7"/>
      <c r="E35" s="7"/>
      <c r="F35" s="7"/>
      <c r="G35" s="7"/>
      <c r="H35" s="7"/>
      <c r="I35" s="7"/>
    </row>
    <row r="36" spans="1:9" x14ac:dyDescent="0.2">
      <c r="A36" s="7"/>
      <c r="B36" s="7"/>
      <c r="C36" s="7"/>
      <c r="D36" s="7"/>
      <c r="E36" s="7"/>
      <c r="F36" s="7"/>
      <c r="G36" s="7"/>
      <c r="H36" s="7"/>
      <c r="I36" s="7"/>
    </row>
    <row r="37" spans="1:9" x14ac:dyDescent="0.2">
      <c r="A37" s="7"/>
      <c r="B37" s="7"/>
      <c r="C37" s="7"/>
      <c r="D37" s="7"/>
      <c r="E37" s="7"/>
      <c r="F37" s="7"/>
      <c r="G37" s="7"/>
      <c r="H37" s="7"/>
      <c r="I37" s="7"/>
    </row>
    <row r="38" spans="1:9" x14ac:dyDescent="0.2">
      <c r="A38" s="7"/>
      <c r="B38" s="7"/>
      <c r="C38" s="7"/>
      <c r="D38" s="7"/>
      <c r="E38" s="7"/>
      <c r="F38" s="7"/>
      <c r="G38" s="7"/>
      <c r="H38" s="7"/>
      <c r="I38" s="7"/>
    </row>
    <row r="39" spans="1:9" x14ac:dyDescent="0.2">
      <c r="A39" s="7"/>
      <c r="B39" s="7"/>
      <c r="C39" s="7"/>
      <c r="D39" s="7"/>
      <c r="E39" s="7"/>
      <c r="F39" s="7"/>
      <c r="G39" s="7"/>
      <c r="H39" s="7"/>
      <c r="I39" s="7"/>
    </row>
    <row r="40" spans="1:9" x14ac:dyDescent="0.2">
      <c r="A40" s="7"/>
      <c r="B40" s="7"/>
      <c r="C40" s="7"/>
      <c r="D40" s="7"/>
      <c r="E40" s="7"/>
      <c r="F40" s="7"/>
      <c r="G40" s="7"/>
      <c r="H40" s="7"/>
      <c r="I40" s="7"/>
    </row>
    <row r="41" spans="1:9" x14ac:dyDescent="0.2">
      <c r="A41" s="7"/>
      <c r="B41" s="7"/>
      <c r="C41" s="7"/>
      <c r="D41" s="7"/>
      <c r="E41" s="7"/>
      <c r="F41" s="7"/>
      <c r="G41" s="7"/>
      <c r="H41" s="7"/>
      <c r="I41" s="7"/>
    </row>
    <row r="42" spans="1:9" x14ac:dyDescent="0.2">
      <c r="A42" s="7"/>
      <c r="B42" s="7"/>
      <c r="C42" s="7"/>
      <c r="D42" s="7"/>
      <c r="E42" s="7"/>
      <c r="F42" s="7"/>
      <c r="G42" s="7"/>
      <c r="H42" s="7"/>
      <c r="I42" s="7"/>
    </row>
    <row r="43" spans="1:9" x14ac:dyDescent="0.2">
      <c r="A43" s="7"/>
      <c r="B43" s="7"/>
      <c r="C43" s="7"/>
      <c r="D43" s="7"/>
      <c r="E43" s="7"/>
      <c r="F43" s="7"/>
      <c r="G43" s="7"/>
      <c r="H43" s="7"/>
      <c r="I43" s="7"/>
    </row>
    <row r="44" spans="1:9" x14ac:dyDescent="0.2">
      <c r="A44" s="7"/>
      <c r="B44" s="7"/>
      <c r="C44" s="7"/>
      <c r="D44" s="7"/>
      <c r="E44" s="7"/>
      <c r="F44" s="7"/>
      <c r="G44" s="7"/>
      <c r="H44" s="7"/>
      <c r="I44" s="7"/>
    </row>
    <row r="45" spans="1:9" x14ac:dyDescent="0.2">
      <c r="A45" s="7"/>
      <c r="B45" s="7"/>
      <c r="C45" s="7"/>
      <c r="D45" s="7"/>
      <c r="E45" s="7"/>
      <c r="F45" s="7"/>
      <c r="G45" s="7"/>
      <c r="H45" s="7"/>
      <c r="I45" s="7"/>
    </row>
    <row r="46" spans="1:9" x14ac:dyDescent="0.2">
      <c r="A46" s="7"/>
      <c r="B46" s="7"/>
      <c r="C46" s="7"/>
      <c r="D46" s="7"/>
      <c r="E46" s="7"/>
      <c r="F46" s="7"/>
      <c r="G46" s="7"/>
      <c r="H46" s="7"/>
      <c r="I46" s="7"/>
    </row>
    <row r="47" spans="1:9" x14ac:dyDescent="0.2">
      <c r="A47" s="7"/>
      <c r="B47" s="7"/>
      <c r="C47" s="7"/>
      <c r="D47" s="7"/>
      <c r="E47" s="7"/>
      <c r="F47" s="7"/>
      <c r="G47" s="7"/>
      <c r="H47" s="7"/>
      <c r="I47" s="7"/>
    </row>
    <row r="48" spans="1:9" x14ac:dyDescent="0.2">
      <c r="A48" s="7"/>
      <c r="B48" s="7"/>
      <c r="C48" s="7"/>
      <c r="D48" s="7"/>
      <c r="E48" s="7"/>
      <c r="F48" s="7"/>
      <c r="G48" s="7"/>
      <c r="H48" s="7"/>
      <c r="I48" s="7"/>
    </row>
    <row r="49" spans="1:9" x14ac:dyDescent="0.2">
      <c r="A49" s="7"/>
      <c r="B49" s="7"/>
      <c r="C49" s="7"/>
      <c r="D49" s="7"/>
      <c r="E49" s="7"/>
      <c r="F49" s="7"/>
      <c r="G49" s="7"/>
      <c r="H49" s="7"/>
      <c r="I49" s="7"/>
    </row>
    <row r="50" spans="1:9" x14ac:dyDescent="0.2">
      <c r="A50" s="7"/>
      <c r="B50" s="7"/>
      <c r="C50" s="7"/>
      <c r="D50" s="7"/>
      <c r="E50" s="7"/>
      <c r="F50" s="7"/>
      <c r="G50" s="7"/>
      <c r="H50" s="7"/>
      <c r="I50" s="7"/>
    </row>
    <row r="51" spans="1:9" x14ac:dyDescent="0.2">
      <c r="A51" s="7"/>
      <c r="B51" s="7"/>
      <c r="C51" s="7"/>
      <c r="D51" s="7"/>
      <c r="E51" s="7"/>
      <c r="F51" s="7"/>
      <c r="G51" s="7"/>
      <c r="H51" s="7"/>
      <c r="I51" s="7"/>
    </row>
    <row r="52" spans="1:9" x14ac:dyDescent="0.2">
      <c r="A52" s="7"/>
      <c r="B52" s="7"/>
      <c r="C52" s="7"/>
      <c r="D52" s="7"/>
      <c r="E52" s="7"/>
      <c r="F52" s="7"/>
      <c r="G52" s="7"/>
      <c r="H52" s="7"/>
      <c r="I52" s="7"/>
    </row>
    <row r="53" spans="1:9" x14ac:dyDescent="0.2">
      <c r="A53" s="7"/>
      <c r="B53" s="7"/>
      <c r="C53" s="7"/>
      <c r="D53" s="7"/>
      <c r="E53" s="7"/>
      <c r="F53" s="7"/>
      <c r="G53" s="7"/>
      <c r="H53" s="7"/>
      <c r="I53" s="7"/>
    </row>
    <row r="54" spans="1:9" x14ac:dyDescent="0.2">
      <c r="A54" s="7"/>
      <c r="B54" s="7"/>
      <c r="C54" s="7"/>
      <c r="D54" s="7"/>
      <c r="E54" s="7"/>
      <c r="F54" s="7"/>
      <c r="G54" s="7"/>
      <c r="H54" s="7"/>
      <c r="I54" s="7"/>
    </row>
    <row r="55" spans="1:9" x14ac:dyDescent="0.2">
      <c r="A55" s="7"/>
      <c r="B55" s="7"/>
      <c r="C55" s="7"/>
      <c r="D55" s="7"/>
      <c r="E55" s="7"/>
      <c r="F55" s="7"/>
      <c r="G55" s="7"/>
      <c r="H55" s="7"/>
      <c r="I55" s="7"/>
    </row>
    <row r="56" spans="1:9" x14ac:dyDescent="0.2">
      <c r="A56" s="7"/>
      <c r="B56" s="7"/>
      <c r="C56" s="7"/>
      <c r="D56" s="7"/>
      <c r="E56" s="7"/>
      <c r="F56" s="7"/>
      <c r="G56" s="7"/>
      <c r="H56" s="7"/>
      <c r="I56" s="7"/>
    </row>
    <row r="57" spans="1:9" x14ac:dyDescent="0.2">
      <c r="A57" s="7"/>
      <c r="B57" s="7"/>
      <c r="C57" s="7"/>
      <c r="D57" s="7"/>
      <c r="E57" s="7"/>
      <c r="F57" s="7"/>
      <c r="G57" s="7"/>
      <c r="H57" s="7"/>
      <c r="I57" s="7"/>
    </row>
    <row r="58" spans="1:9" x14ac:dyDescent="0.2">
      <c r="A58" s="7"/>
      <c r="B58" s="7"/>
      <c r="C58" s="7"/>
      <c r="D58" s="7"/>
      <c r="E58" s="7"/>
      <c r="F58" s="7"/>
      <c r="G58" s="7"/>
      <c r="H58" s="7"/>
      <c r="I58" s="7"/>
    </row>
    <row r="59" spans="1:9" x14ac:dyDescent="0.2">
      <c r="A59" s="7"/>
      <c r="B59" s="7"/>
      <c r="C59" s="7"/>
      <c r="D59" s="7"/>
      <c r="E59" s="7"/>
      <c r="F59" s="7"/>
      <c r="G59" s="7"/>
      <c r="H59" s="7"/>
      <c r="I59" s="7"/>
    </row>
    <row r="60" spans="1:9" x14ac:dyDescent="0.2">
      <c r="A60" s="7"/>
      <c r="B60" s="7"/>
      <c r="C60" s="7"/>
      <c r="D60" s="7"/>
      <c r="E60" s="7"/>
      <c r="F60" s="7"/>
      <c r="G60" s="7"/>
      <c r="H60" s="7"/>
      <c r="I60" s="7"/>
    </row>
    <row r="61" spans="1:9" x14ac:dyDescent="0.2">
      <c r="A61" s="7"/>
      <c r="B61" s="7"/>
      <c r="C61" s="7"/>
      <c r="D61" s="7"/>
      <c r="E61" s="7"/>
      <c r="F61" s="7"/>
      <c r="G61" s="7"/>
      <c r="H61" s="7"/>
      <c r="I61" s="7"/>
    </row>
    <row r="62" spans="1:9" x14ac:dyDescent="0.2">
      <c r="A62" s="7"/>
      <c r="B62" s="7"/>
      <c r="C62" s="7"/>
      <c r="D62" s="7"/>
      <c r="E62" s="7"/>
      <c r="F62" s="7"/>
      <c r="G62" s="7"/>
      <c r="H62" s="7"/>
      <c r="I62" s="7"/>
    </row>
    <row r="63" spans="1:9" x14ac:dyDescent="0.2">
      <c r="A63" s="7"/>
      <c r="B63" s="7"/>
      <c r="C63" s="7"/>
      <c r="D63" s="7"/>
      <c r="E63" s="7"/>
      <c r="F63" s="7"/>
      <c r="G63" s="7"/>
      <c r="H63" s="7"/>
      <c r="I63" s="7"/>
    </row>
    <row r="64" spans="1:9" x14ac:dyDescent="0.2">
      <c r="A64" s="7"/>
      <c r="B64" s="7"/>
      <c r="C64" s="7"/>
      <c r="D64" s="7"/>
      <c r="E64" s="7"/>
      <c r="F64" s="7"/>
      <c r="G64" s="7"/>
      <c r="H64" s="7"/>
      <c r="I64" s="7"/>
    </row>
    <row r="65" spans="1:9" x14ac:dyDescent="0.2">
      <c r="A65" s="7"/>
      <c r="B65" s="7"/>
      <c r="C65" s="7"/>
      <c r="D65" s="7"/>
      <c r="E65" s="7"/>
      <c r="F65" s="7"/>
      <c r="G65" s="7"/>
      <c r="H65" s="7"/>
      <c r="I65" s="7"/>
    </row>
    <row r="66" spans="1:9" x14ac:dyDescent="0.2">
      <c r="A66" s="7"/>
      <c r="B66" s="7"/>
      <c r="C66" s="7"/>
      <c r="D66" s="7"/>
      <c r="E66" s="7"/>
      <c r="F66" s="7"/>
      <c r="G66" s="7"/>
      <c r="H66" s="7"/>
      <c r="I66" s="7"/>
    </row>
    <row r="67" spans="1:9" x14ac:dyDescent="0.2">
      <c r="A67" s="7"/>
      <c r="B67" s="7"/>
      <c r="C67" s="7"/>
      <c r="D67" s="7"/>
      <c r="E67" s="7"/>
      <c r="F67" s="7"/>
      <c r="G67" s="7"/>
      <c r="H67" s="7"/>
      <c r="I67" s="7"/>
    </row>
    <row r="68" spans="1:9" x14ac:dyDescent="0.2">
      <c r="A68" s="7"/>
      <c r="B68" s="7"/>
      <c r="C68" s="7"/>
      <c r="D68" s="7"/>
      <c r="E68" s="7"/>
      <c r="F68" s="7"/>
      <c r="G68" s="7"/>
      <c r="H68" s="7"/>
      <c r="I68" s="7"/>
    </row>
    <row r="69" spans="1:9" x14ac:dyDescent="0.2">
      <c r="A69" s="7"/>
      <c r="B69" s="7"/>
      <c r="C69" s="7"/>
      <c r="D69" s="7"/>
      <c r="E69" s="7"/>
      <c r="F69" s="7"/>
      <c r="G69" s="7"/>
      <c r="H69" s="7"/>
      <c r="I69" s="7"/>
    </row>
    <row r="70" spans="1:9" x14ac:dyDescent="0.2">
      <c r="A70" s="7"/>
      <c r="B70" s="7"/>
      <c r="C70" s="7"/>
      <c r="D70" s="7"/>
      <c r="E70" s="7"/>
      <c r="F70" s="7"/>
      <c r="G70" s="7"/>
      <c r="H70" s="7"/>
      <c r="I70" s="7"/>
    </row>
    <row r="71" spans="1:9" x14ac:dyDescent="0.2">
      <c r="A71" s="7"/>
      <c r="B71" s="7"/>
      <c r="C71" s="7"/>
      <c r="D71" s="7"/>
      <c r="E71" s="7"/>
      <c r="F71" s="7"/>
      <c r="G71" s="7"/>
      <c r="H71" s="7"/>
      <c r="I71" s="7"/>
    </row>
    <row r="72" spans="1:9" x14ac:dyDescent="0.2">
      <c r="A72" s="7"/>
      <c r="B72" s="7"/>
      <c r="C72" s="7"/>
      <c r="D72" s="7"/>
      <c r="E72" s="7"/>
      <c r="F72" s="7"/>
      <c r="G72" s="7"/>
      <c r="H72" s="7"/>
      <c r="I72" s="7"/>
    </row>
    <row r="73" spans="1:9" x14ac:dyDescent="0.2">
      <c r="A73" s="7"/>
      <c r="B73" s="7"/>
      <c r="C73" s="7"/>
      <c r="D73" s="7"/>
      <c r="E73" s="7"/>
      <c r="F73" s="7"/>
      <c r="G73" s="7"/>
      <c r="H73" s="7"/>
      <c r="I73" s="7"/>
    </row>
    <row r="74" spans="1:9" x14ac:dyDescent="0.2">
      <c r="A74" s="7"/>
      <c r="B74" s="7"/>
      <c r="C74" s="7"/>
      <c r="D74" s="7"/>
      <c r="E74" s="7"/>
      <c r="F74" s="7"/>
      <c r="G74" s="7"/>
      <c r="H74" s="7"/>
      <c r="I74" s="7"/>
    </row>
    <row r="75" spans="1:9" x14ac:dyDescent="0.2">
      <c r="A75" s="7"/>
      <c r="B75" s="7"/>
      <c r="C75" s="7"/>
      <c r="D75" s="7"/>
      <c r="E75" s="7"/>
      <c r="F75" s="7"/>
      <c r="G75" s="7"/>
      <c r="H75" s="7"/>
      <c r="I75" s="7"/>
    </row>
    <row r="76" spans="1:9" x14ac:dyDescent="0.2">
      <c r="A76" s="7"/>
      <c r="B76" s="7"/>
      <c r="C76" s="7"/>
      <c r="D76" s="7"/>
      <c r="E76" s="7"/>
      <c r="F76" s="7"/>
      <c r="G76" s="7"/>
      <c r="H76" s="7"/>
      <c r="I76" s="7"/>
    </row>
    <row r="77" spans="1:9" x14ac:dyDescent="0.2">
      <c r="A77" s="7"/>
      <c r="B77" s="7"/>
      <c r="C77" s="7"/>
      <c r="D77" s="7"/>
      <c r="E77" s="7"/>
      <c r="F77" s="7"/>
      <c r="G77" s="7"/>
      <c r="H77" s="7"/>
      <c r="I77" s="7"/>
    </row>
    <row r="78" spans="1:9" x14ac:dyDescent="0.2">
      <c r="A78" s="7"/>
      <c r="B78" s="7"/>
      <c r="C78" s="7"/>
      <c r="D78" s="7"/>
      <c r="E78" s="7"/>
      <c r="F78" s="7"/>
      <c r="G78" s="7"/>
      <c r="H78" s="7"/>
      <c r="I78" s="7"/>
    </row>
    <row r="79" spans="1:9" x14ac:dyDescent="0.2">
      <c r="A79" s="7"/>
      <c r="B79" s="7"/>
      <c r="C79" s="7"/>
      <c r="D79" s="7"/>
      <c r="E79" s="7"/>
      <c r="F79" s="7"/>
      <c r="G79" s="7"/>
      <c r="H79" s="7"/>
      <c r="I79" s="7"/>
    </row>
    <row r="80" spans="1:9" x14ac:dyDescent="0.2">
      <c r="A80" s="7"/>
      <c r="B80" s="7"/>
      <c r="C80" s="7"/>
      <c r="D80" s="7"/>
      <c r="E80" s="7"/>
      <c r="F80" s="7"/>
      <c r="G80" s="7"/>
      <c r="H80" s="7"/>
      <c r="I80" s="7"/>
    </row>
    <row r="81" spans="1:9" x14ac:dyDescent="0.2">
      <c r="A81" s="7"/>
      <c r="B81" s="7"/>
      <c r="C81" s="7"/>
      <c r="D81" s="7"/>
      <c r="E81" s="7"/>
      <c r="F81" s="7"/>
      <c r="G81" s="7"/>
      <c r="H81" s="7"/>
      <c r="I81" s="7"/>
    </row>
    <row r="82" spans="1:9" x14ac:dyDescent="0.2">
      <c r="A82" s="7"/>
      <c r="B82" s="7"/>
      <c r="C82" s="7"/>
      <c r="D82" s="7"/>
      <c r="E82" s="7"/>
      <c r="F82" s="7"/>
      <c r="G82" s="7"/>
      <c r="H82" s="7"/>
      <c r="I82" s="7"/>
    </row>
    <row r="83" spans="1:9" x14ac:dyDescent="0.2">
      <c r="A83" s="7"/>
      <c r="B83" s="7"/>
      <c r="C83" s="7"/>
      <c r="D83" s="7"/>
      <c r="E83" s="7"/>
      <c r="F83" s="7"/>
      <c r="G83" s="7"/>
      <c r="H83" s="7"/>
      <c r="I83" s="7"/>
    </row>
    <row r="84" spans="1:9" x14ac:dyDescent="0.2">
      <c r="A84" s="7"/>
      <c r="B84" s="7"/>
      <c r="C84" s="7"/>
      <c r="D84" s="7"/>
      <c r="E84" s="7"/>
      <c r="F84" s="7"/>
      <c r="G84" s="7"/>
      <c r="H84" s="7"/>
      <c r="I84" s="7"/>
    </row>
    <row r="85" spans="1:9" x14ac:dyDescent="0.2">
      <c r="A85" s="7"/>
      <c r="B85" s="7"/>
      <c r="C85" s="7"/>
      <c r="D85" s="7"/>
      <c r="E85" s="7"/>
      <c r="F85" s="7"/>
      <c r="G85" s="7"/>
      <c r="H85" s="7"/>
      <c r="I85" s="7"/>
    </row>
    <row r="86" spans="1:9" x14ac:dyDescent="0.2">
      <c r="A86" s="7"/>
      <c r="B86" s="7"/>
      <c r="C86" s="7"/>
      <c r="D86" s="7"/>
      <c r="E86" s="7"/>
      <c r="F86" s="7"/>
      <c r="G86" s="7"/>
      <c r="H86" s="7"/>
      <c r="I86" s="7"/>
    </row>
    <row r="87" spans="1:9" x14ac:dyDescent="0.2">
      <c r="A87" s="7"/>
      <c r="B87" s="7"/>
      <c r="C87" s="7"/>
      <c r="D87" s="7"/>
      <c r="E87" s="7"/>
      <c r="F87" s="7"/>
      <c r="G87" s="7"/>
      <c r="H87" s="7"/>
      <c r="I87" s="7"/>
    </row>
    <row r="88" spans="1:9" x14ac:dyDescent="0.2">
      <c r="A88" s="7"/>
      <c r="B88" s="7"/>
      <c r="C88" s="7"/>
      <c r="D88" s="7"/>
      <c r="E88" s="7"/>
      <c r="F88" s="7"/>
      <c r="G88" s="7"/>
      <c r="H88" s="7"/>
      <c r="I88" s="7"/>
    </row>
    <row r="89" spans="1:9" x14ac:dyDescent="0.2">
      <c r="A89" s="7"/>
      <c r="B89" s="7"/>
      <c r="C89" s="7"/>
      <c r="D89" s="7"/>
      <c r="E89" s="7"/>
      <c r="F89" s="7"/>
      <c r="G89" s="7"/>
      <c r="H89" s="7"/>
      <c r="I89" s="7"/>
    </row>
    <row r="90" spans="1:9" x14ac:dyDescent="0.2">
      <c r="A90" s="7"/>
      <c r="B90" s="7"/>
      <c r="C90" s="7"/>
      <c r="D90" s="7"/>
      <c r="E90" s="7"/>
      <c r="F90" s="7"/>
      <c r="G90" s="7"/>
      <c r="H90" s="7"/>
      <c r="I90" s="7"/>
    </row>
    <row r="91" spans="1:9" x14ac:dyDescent="0.2">
      <c r="A91" s="7"/>
      <c r="B91" s="7"/>
      <c r="C91" s="7"/>
      <c r="D91" s="7"/>
      <c r="E91" s="7"/>
      <c r="F91" s="7"/>
      <c r="G91" s="7"/>
      <c r="H91" s="7"/>
      <c r="I91" s="7"/>
    </row>
    <row r="92" spans="1:9" x14ac:dyDescent="0.2">
      <c r="A92" s="7"/>
      <c r="B92" s="7"/>
      <c r="C92" s="7"/>
      <c r="D92" s="7"/>
      <c r="E92" s="7"/>
      <c r="F92" s="7"/>
      <c r="G92" s="7"/>
      <c r="H92" s="7"/>
      <c r="I92" s="7"/>
    </row>
    <row r="93" spans="1:9" x14ac:dyDescent="0.2">
      <c r="A93" s="7"/>
      <c r="B93" s="7"/>
      <c r="C93" s="7"/>
      <c r="D93" s="7"/>
      <c r="E93" s="7"/>
      <c r="F93" s="7"/>
      <c r="G93" s="7"/>
      <c r="H93" s="7"/>
      <c r="I93" s="7"/>
    </row>
    <row r="94" spans="1:9" x14ac:dyDescent="0.2">
      <c r="A94" s="7"/>
      <c r="B94" s="7"/>
      <c r="C94" s="7"/>
      <c r="D94" s="7"/>
      <c r="E94" s="7"/>
      <c r="F94" s="7"/>
      <c r="G94" s="7"/>
      <c r="H94" s="7"/>
      <c r="I94" s="7"/>
    </row>
    <row r="95" spans="1:9" x14ac:dyDescent="0.2">
      <c r="A95" s="7"/>
      <c r="B95" s="7"/>
      <c r="C95" s="7"/>
      <c r="D95" s="7"/>
      <c r="E95" s="7"/>
      <c r="F95" s="7"/>
      <c r="G95" s="7"/>
      <c r="H95" s="7"/>
      <c r="I95" s="7"/>
    </row>
    <row r="96" spans="1:9" x14ac:dyDescent="0.2">
      <c r="A96" s="7"/>
      <c r="B96" s="7"/>
      <c r="C96" s="7"/>
      <c r="D96" s="7"/>
      <c r="E96" s="7"/>
      <c r="F96" s="7"/>
      <c r="G96" s="7"/>
      <c r="H96" s="7"/>
      <c r="I96" s="7"/>
    </row>
    <row r="97" spans="1:9" x14ac:dyDescent="0.2">
      <c r="A97" s="7"/>
      <c r="B97" s="7"/>
      <c r="C97" s="7"/>
      <c r="D97" s="7"/>
      <c r="E97" s="7"/>
      <c r="F97" s="7"/>
      <c r="G97" s="7"/>
      <c r="H97" s="7"/>
      <c r="I97" s="7"/>
    </row>
    <row r="98" spans="1:9" x14ac:dyDescent="0.2">
      <c r="A98" s="7"/>
      <c r="B98" s="7"/>
      <c r="C98" s="7"/>
      <c r="D98" s="7"/>
      <c r="E98" s="7"/>
      <c r="F98" s="7"/>
      <c r="G98" s="7"/>
      <c r="H98" s="7"/>
      <c r="I98" s="7"/>
    </row>
    <row r="99" spans="1:9" x14ac:dyDescent="0.2">
      <c r="A99" s="7"/>
      <c r="B99" s="7"/>
      <c r="C99" s="7"/>
      <c r="D99" s="7"/>
      <c r="E99" s="7"/>
      <c r="F99" s="7"/>
      <c r="G99" s="7"/>
      <c r="H99" s="7"/>
      <c r="I99" s="7"/>
    </row>
    <row r="100" spans="1:9" x14ac:dyDescent="0.2">
      <c r="A100" s="7"/>
      <c r="B100" s="7"/>
      <c r="C100" s="7"/>
      <c r="D100" s="7"/>
      <c r="E100" s="7"/>
      <c r="F100" s="7"/>
      <c r="G100" s="7"/>
      <c r="H100" s="7"/>
      <c r="I100" s="7"/>
    </row>
    <row r="101" spans="1:9" x14ac:dyDescent="0.2">
      <c r="A101" s="7"/>
      <c r="B101" s="7"/>
      <c r="C101" s="7"/>
      <c r="D101" s="7"/>
      <c r="E101" s="7"/>
      <c r="F101" s="7"/>
      <c r="G101" s="7"/>
      <c r="H101" s="7"/>
      <c r="I101" s="7"/>
    </row>
    <row r="102" spans="1:9" x14ac:dyDescent="0.2">
      <c r="A102" s="7"/>
      <c r="B102" s="7"/>
      <c r="C102" s="7"/>
      <c r="D102" s="7"/>
      <c r="E102" s="7"/>
      <c r="F102" s="7"/>
      <c r="G102" s="7"/>
      <c r="H102" s="7"/>
      <c r="I102" s="7"/>
    </row>
    <row r="103" spans="1:9" x14ac:dyDescent="0.2">
      <c r="A103" s="7"/>
      <c r="B103" s="7"/>
      <c r="C103" s="7"/>
      <c r="D103" s="7"/>
      <c r="E103" s="7"/>
      <c r="F103" s="7"/>
      <c r="G103" s="7"/>
      <c r="H103" s="7"/>
      <c r="I103" s="7"/>
    </row>
    <row r="104" spans="1:9" x14ac:dyDescent="0.2">
      <c r="A104" s="7"/>
      <c r="B104" s="7"/>
      <c r="C104" s="7"/>
      <c r="D104" s="7"/>
      <c r="E104" s="7"/>
      <c r="F104" s="7"/>
      <c r="G104" s="7"/>
      <c r="H104" s="7"/>
      <c r="I104" s="7"/>
    </row>
    <row r="105" spans="1:9" x14ac:dyDescent="0.2">
      <c r="A105" s="7"/>
      <c r="B105" s="7"/>
      <c r="C105" s="7"/>
      <c r="D105" s="7"/>
      <c r="E105" s="7"/>
      <c r="F105" s="7"/>
      <c r="G105" s="7"/>
      <c r="H105" s="7"/>
      <c r="I105" s="7"/>
    </row>
    <row r="106" spans="1:9" x14ac:dyDescent="0.2">
      <c r="A106" s="7"/>
      <c r="B106" s="7"/>
      <c r="C106" s="7"/>
      <c r="D106" s="7"/>
      <c r="E106" s="7"/>
      <c r="F106" s="7"/>
      <c r="G106" s="7"/>
      <c r="H106" s="7"/>
      <c r="I106" s="7"/>
    </row>
    <row r="107" spans="1:9" x14ac:dyDescent="0.2">
      <c r="A107" s="7"/>
      <c r="B107" s="7"/>
      <c r="C107" s="7"/>
      <c r="D107" s="7"/>
      <c r="E107" s="7"/>
      <c r="F107" s="7"/>
      <c r="G107" s="7"/>
      <c r="H107" s="7"/>
      <c r="I107" s="7"/>
    </row>
    <row r="108" spans="1:9" x14ac:dyDescent="0.2">
      <c r="A108" s="7"/>
      <c r="B108" s="7"/>
      <c r="C108" s="7"/>
      <c r="D108" s="7"/>
      <c r="E108" s="7"/>
      <c r="F108" s="7"/>
      <c r="G108" s="7"/>
      <c r="H108" s="7"/>
      <c r="I108" s="7"/>
    </row>
    <row r="109" spans="1:9" x14ac:dyDescent="0.2">
      <c r="A109" s="7"/>
      <c r="B109" s="7"/>
      <c r="C109" s="7"/>
      <c r="D109" s="7"/>
      <c r="E109" s="7"/>
      <c r="F109" s="7"/>
      <c r="G109" s="7"/>
      <c r="H109" s="7"/>
      <c r="I109" s="7"/>
    </row>
    <row r="110" spans="1:9" x14ac:dyDescent="0.2">
      <c r="A110" s="7"/>
      <c r="B110" s="7"/>
      <c r="C110" s="7"/>
      <c r="D110" s="7"/>
      <c r="E110" s="7"/>
      <c r="F110" s="7"/>
      <c r="G110" s="7"/>
      <c r="H110" s="7"/>
      <c r="I110" s="7"/>
    </row>
    <row r="111" spans="1:9" x14ac:dyDescent="0.2">
      <c r="A111" s="7"/>
      <c r="B111" s="7"/>
      <c r="C111" s="7"/>
      <c r="D111" s="7"/>
      <c r="E111" s="7"/>
      <c r="F111" s="7"/>
      <c r="G111" s="7"/>
      <c r="H111" s="7"/>
      <c r="I111" s="7"/>
    </row>
    <row r="112" spans="1:9" x14ac:dyDescent="0.2">
      <c r="A112" s="7"/>
      <c r="B112" s="7"/>
      <c r="C112" s="7"/>
      <c r="D112" s="7"/>
      <c r="E112" s="7"/>
      <c r="F112" s="7"/>
      <c r="G112" s="7"/>
      <c r="H112" s="7"/>
      <c r="I112" s="7"/>
    </row>
    <row r="113" spans="1:9" x14ac:dyDescent="0.2">
      <c r="A113" s="7"/>
      <c r="B113" s="7"/>
      <c r="C113" s="7"/>
      <c r="D113" s="7"/>
      <c r="E113" s="7"/>
      <c r="F113" s="7"/>
      <c r="G113" s="7"/>
      <c r="H113" s="7"/>
      <c r="I113" s="7"/>
    </row>
    <row r="114" spans="1:9" x14ac:dyDescent="0.2">
      <c r="A114" s="11" t="s">
        <v>1</v>
      </c>
      <c r="B114" s="12"/>
      <c r="C114" s="12"/>
      <c r="D114" s="13"/>
      <c r="E114" s="8"/>
      <c r="F114" s="8"/>
      <c r="G114" s="8"/>
      <c r="H114" s="8"/>
      <c r="I114" s="1"/>
    </row>
    <row r="115" spans="1:9" x14ac:dyDescent="0.2">
      <c r="A115" s="14" t="s">
        <v>15</v>
      </c>
      <c r="B115" s="15"/>
      <c r="C115" s="15"/>
      <c r="D115" s="16"/>
      <c r="E115" s="8"/>
      <c r="F115" s="8"/>
      <c r="G115" s="8"/>
      <c r="H115" s="8"/>
      <c r="I115" s="1"/>
    </row>
    <row r="116" spans="1:9" x14ac:dyDescent="0.2">
      <c r="A116" s="17" t="s">
        <v>62</v>
      </c>
      <c r="B116" s="18"/>
      <c r="C116" s="18"/>
      <c r="D116" s="19"/>
      <c r="E116" s="8"/>
      <c r="F116" s="8"/>
      <c r="G116" s="8"/>
      <c r="H116" s="8"/>
      <c r="I116" s="1"/>
    </row>
    <row r="117" spans="1:9" x14ac:dyDescent="0.2">
      <c r="A117" s="20"/>
      <c r="B117" s="21"/>
      <c r="C117" s="22"/>
      <c r="D117" s="23"/>
      <c r="E117" s="8"/>
      <c r="F117" s="8" t="s">
        <v>34</v>
      </c>
      <c r="G117" s="8"/>
      <c r="H117" s="8"/>
      <c r="I117" s="1"/>
    </row>
    <row r="118" spans="1:9" ht="15.75" x14ac:dyDescent="0.25">
      <c r="A118" s="24" t="s">
        <v>2</v>
      </c>
      <c r="B118" s="25" t="str">
        <f>[1]Charters!B123</f>
        <v>Wallace Stegner Academy</v>
      </c>
      <c r="C118" s="26"/>
      <c r="D118" s="27"/>
      <c r="E118" s="8"/>
      <c r="F118" s="8"/>
      <c r="G118" s="8"/>
      <c r="H118" s="8"/>
      <c r="I118" s="1"/>
    </row>
    <row r="119" spans="1:9" x14ac:dyDescent="0.2">
      <c r="A119" s="24"/>
      <c r="B119" s="28"/>
      <c r="C119" s="26"/>
      <c r="D119" s="27"/>
      <c r="E119" s="8"/>
      <c r="F119" s="8"/>
      <c r="G119" s="8"/>
      <c r="H119" s="8"/>
      <c r="I119" s="1"/>
    </row>
    <row r="120" spans="1:9" x14ac:dyDescent="0.2">
      <c r="A120" s="29" t="s">
        <v>0</v>
      </c>
      <c r="B120" s="30">
        <f>[1]Charters!$E$6</f>
        <v>3184</v>
      </c>
      <c r="C120" s="26"/>
      <c r="D120" s="31"/>
      <c r="E120" s="8"/>
      <c r="F120" s="8"/>
      <c r="G120" s="8"/>
      <c r="H120" s="8"/>
      <c r="I120" s="1"/>
    </row>
    <row r="121" spans="1:9" x14ac:dyDescent="0.2">
      <c r="A121" s="32"/>
      <c r="B121" s="6"/>
      <c r="C121" s="33"/>
      <c r="D121" s="34" t="s">
        <v>3</v>
      </c>
      <c r="E121" s="8"/>
      <c r="F121" s="8"/>
      <c r="G121" s="8"/>
      <c r="H121" s="8"/>
      <c r="I121" s="1"/>
    </row>
    <row r="122" spans="1:9" x14ac:dyDescent="0.2">
      <c r="A122" s="29" t="s">
        <v>19</v>
      </c>
      <c r="B122" s="35" t="str">
        <f>[1]Charters!A123</f>
        <v>7K</v>
      </c>
      <c r="C122" s="36" t="s">
        <v>4</v>
      </c>
      <c r="D122" s="37" t="s">
        <v>5</v>
      </c>
      <c r="E122" s="8"/>
      <c r="F122" s="8"/>
      <c r="G122" s="8"/>
      <c r="H122" s="8"/>
      <c r="I122" s="1"/>
    </row>
    <row r="123" spans="1:9" x14ac:dyDescent="0.2">
      <c r="A123" s="38" t="s">
        <v>6</v>
      </c>
      <c r="B123" s="39"/>
      <c r="C123" s="40"/>
      <c r="D123" s="41"/>
      <c r="E123" s="8"/>
      <c r="F123" s="8"/>
      <c r="G123" s="8"/>
      <c r="H123" s="8"/>
      <c r="I123" s="1"/>
    </row>
    <row r="124" spans="1:9" x14ac:dyDescent="0.2">
      <c r="A124" s="38" t="s">
        <v>7</v>
      </c>
      <c r="B124" s="39"/>
      <c r="C124" s="40"/>
      <c r="D124" s="41"/>
      <c r="E124" s="8"/>
      <c r="F124" s="42" t="s">
        <v>23</v>
      </c>
      <c r="G124" s="8"/>
      <c r="H124" s="42" t="s">
        <v>26</v>
      </c>
      <c r="I124" s="1"/>
    </row>
    <row r="125" spans="1:9" x14ac:dyDescent="0.2">
      <c r="A125" s="20" t="s">
        <v>8</v>
      </c>
      <c r="B125" s="43"/>
      <c r="C125" s="44">
        <f>[1]Charters!C583</f>
        <v>435.33</v>
      </c>
      <c r="D125" s="45">
        <f>[1]Charters!E583</f>
        <v>1386090.72</v>
      </c>
      <c r="E125" s="8"/>
      <c r="F125" s="42">
        <f>[1]Charters!E739</f>
        <v>1430643.83</v>
      </c>
      <c r="G125" s="8"/>
      <c r="H125" s="42">
        <f>[2]Charters!E277</f>
        <v>1778461.17</v>
      </c>
      <c r="I125" s="1"/>
    </row>
    <row r="126" spans="1:9" x14ac:dyDescent="0.2">
      <c r="A126" s="20" t="s">
        <v>14</v>
      </c>
      <c r="B126" s="43"/>
      <c r="C126" s="44">
        <f>[1]Charters!F583</f>
        <v>13.993</v>
      </c>
      <c r="D126" s="45">
        <f>[1]Charters!H583</f>
        <v>44553.11</v>
      </c>
      <c r="E126" s="8"/>
      <c r="F126" s="42">
        <f>SUM(D125:D127)</f>
        <v>1430643.83</v>
      </c>
      <c r="G126" s="8"/>
      <c r="H126" s="42">
        <f>D138</f>
        <v>1778461.17</v>
      </c>
      <c r="I126" s="1"/>
    </row>
    <row r="127" spans="1:9" x14ac:dyDescent="0.2">
      <c r="A127" s="20" t="s">
        <v>32</v>
      </c>
      <c r="B127" s="43"/>
      <c r="C127" s="44">
        <f>[1]Charters!C276</f>
        <v>0</v>
      </c>
      <c r="D127" s="45">
        <f>[1]Charters!E276</f>
        <v>0</v>
      </c>
      <c r="E127" s="8"/>
      <c r="F127" s="42">
        <f>+F125-F126</f>
        <v>0</v>
      </c>
      <c r="G127" s="8"/>
      <c r="H127" s="42">
        <f>+H125-H126</f>
        <v>0</v>
      </c>
      <c r="I127" s="1"/>
    </row>
    <row r="128" spans="1:9" x14ac:dyDescent="0.2">
      <c r="A128" s="38" t="s">
        <v>9</v>
      </c>
      <c r="B128" s="39"/>
      <c r="C128" s="46"/>
      <c r="D128" s="47"/>
      <c r="E128" s="8"/>
      <c r="F128" s="8"/>
      <c r="G128" s="8"/>
      <c r="H128" s="8"/>
      <c r="I128" s="1"/>
    </row>
    <row r="129" spans="1:9" x14ac:dyDescent="0.2">
      <c r="A129" s="20" t="s">
        <v>10</v>
      </c>
      <c r="B129" s="43"/>
      <c r="C129" s="40">
        <f>[3]Charters!C122</f>
        <v>57</v>
      </c>
      <c r="D129" s="41">
        <f>[3]Charters!E122</f>
        <v>181488</v>
      </c>
      <c r="E129" s="8"/>
      <c r="F129" s="42" t="s">
        <v>24</v>
      </c>
      <c r="G129" s="8"/>
      <c r="H129" s="8"/>
      <c r="I129" s="1"/>
    </row>
    <row r="130" spans="1:9" x14ac:dyDescent="0.2">
      <c r="A130" s="48" t="s">
        <v>11</v>
      </c>
      <c r="B130" s="43"/>
      <c r="C130" s="40">
        <f>[3]Charters!F122</f>
        <v>4.9450000000000003</v>
      </c>
      <c r="D130" s="49">
        <f>[3]Charters!H122</f>
        <v>15744</v>
      </c>
      <c r="E130" s="8"/>
      <c r="F130" s="42">
        <f>[3]Charters!N435</f>
        <v>203766.18</v>
      </c>
      <c r="G130" s="8"/>
      <c r="H130" s="8"/>
      <c r="I130" s="1"/>
    </row>
    <row r="131" spans="1:9" x14ac:dyDescent="0.2">
      <c r="A131" s="48" t="s">
        <v>12</v>
      </c>
      <c r="B131" s="43"/>
      <c r="C131" s="40">
        <f>[3]Charters!C277</f>
        <v>0</v>
      </c>
      <c r="D131" s="41">
        <f>[3]Charters!E277</f>
        <v>0</v>
      </c>
      <c r="E131" s="8"/>
      <c r="F131" s="42">
        <f>SUM(D129:D135)</f>
        <v>203766.18</v>
      </c>
      <c r="G131" s="8"/>
      <c r="H131" s="8"/>
      <c r="I131" s="1"/>
    </row>
    <row r="132" spans="1:9" x14ac:dyDescent="0.2">
      <c r="A132" s="20" t="s">
        <v>13</v>
      </c>
      <c r="B132" s="43"/>
      <c r="C132" s="40">
        <f>[3]Charters!F277</f>
        <v>0.70899999999999996</v>
      </c>
      <c r="D132" s="41">
        <f>[3]Charters!H277</f>
        <v>2259</v>
      </c>
      <c r="E132" s="8"/>
      <c r="F132" s="42">
        <f>+F130-F131</f>
        <v>0</v>
      </c>
      <c r="G132" s="8"/>
      <c r="H132" s="8"/>
      <c r="I132" s="1"/>
    </row>
    <row r="133" spans="1:9" x14ac:dyDescent="0.2">
      <c r="A133" s="48" t="s">
        <v>54</v>
      </c>
      <c r="B133" s="43"/>
      <c r="C133" s="40">
        <f>[3]Charters!C435</f>
        <v>1.343</v>
      </c>
      <c r="D133" s="41">
        <f>[3]Charters!E435</f>
        <v>4275.18</v>
      </c>
      <c r="E133" s="8"/>
      <c r="F133" s="8"/>
      <c r="G133" s="8"/>
      <c r="H133" s="8"/>
      <c r="I133" s="1"/>
    </row>
    <row r="134" spans="1:9" x14ac:dyDescent="0.2">
      <c r="A134" s="48" t="s">
        <v>55</v>
      </c>
      <c r="B134" s="43"/>
      <c r="C134" s="40">
        <f>[3]Charters!F435</f>
        <v>0</v>
      </c>
      <c r="D134" s="41">
        <f>[3]Charters!H435</f>
        <v>0</v>
      </c>
      <c r="E134" s="8"/>
      <c r="F134" s="42" t="s">
        <v>25</v>
      </c>
      <c r="G134" s="8"/>
      <c r="H134" s="8"/>
      <c r="I134" s="1"/>
    </row>
    <row r="135" spans="1:9" x14ac:dyDescent="0.2">
      <c r="A135" s="48" t="s">
        <v>56</v>
      </c>
      <c r="B135" s="43"/>
      <c r="C135" s="40">
        <f>[3]Charters!I435</f>
        <v>0</v>
      </c>
      <c r="D135" s="41">
        <f>[3]Charters!K435</f>
        <v>0</v>
      </c>
      <c r="E135" s="8"/>
      <c r="F135" s="42">
        <f>[2]Charters!H123</f>
        <v>347817.34</v>
      </c>
      <c r="G135" s="8"/>
      <c r="H135" s="8"/>
      <c r="I135" s="1"/>
    </row>
    <row r="136" spans="1:9" x14ac:dyDescent="0.2">
      <c r="A136" s="20" t="s">
        <v>49</v>
      </c>
      <c r="B136" s="43"/>
      <c r="C136" s="40">
        <f>[3]Charters!C590</f>
        <v>0</v>
      </c>
      <c r="D136" s="41">
        <f>[3]Charters!E590</f>
        <v>0</v>
      </c>
      <c r="E136" s="8"/>
      <c r="F136" s="42">
        <f>SUM(D129:D137)</f>
        <v>347817.34</v>
      </c>
      <c r="G136" s="8"/>
      <c r="H136" s="8"/>
      <c r="I136" s="1"/>
    </row>
    <row r="137" spans="1:9" x14ac:dyDescent="0.2">
      <c r="A137" s="20" t="s">
        <v>50</v>
      </c>
      <c r="B137" s="43"/>
      <c r="C137" s="40">
        <f>[2]Charters!C123</f>
        <v>45.241999999999997</v>
      </c>
      <c r="D137" s="41">
        <f>[2]Charters!E123</f>
        <v>144051.16</v>
      </c>
      <c r="E137" s="8"/>
      <c r="F137" s="42">
        <f>+F135-F136</f>
        <v>0</v>
      </c>
      <c r="G137" s="8"/>
      <c r="H137" s="8"/>
      <c r="I137" s="1"/>
    </row>
    <row r="138" spans="1:9" x14ac:dyDescent="0.2">
      <c r="A138" s="50"/>
      <c r="B138" s="51" t="s">
        <v>16</v>
      </c>
      <c r="C138" s="52">
        <f>SUM(C125:C137)</f>
        <v>558.56200000000001</v>
      </c>
      <c r="D138" s="53">
        <f>SUM(D125:D137)</f>
        <v>1778461.17</v>
      </c>
      <c r="E138" s="8"/>
      <c r="F138" s="8"/>
      <c r="G138" s="8"/>
      <c r="H138" s="8"/>
      <c r="I138" s="1"/>
    </row>
    <row r="139" spans="1:9" x14ac:dyDescent="0.2">
      <c r="A139" s="54" t="s">
        <v>17</v>
      </c>
      <c r="B139" s="39"/>
      <c r="C139" s="55"/>
      <c r="D139" s="47"/>
      <c r="E139" s="8"/>
      <c r="F139" s="8"/>
      <c r="G139" s="8"/>
      <c r="H139" s="42" t="s">
        <v>29</v>
      </c>
      <c r="I139" s="1"/>
    </row>
    <row r="140" spans="1:9" x14ac:dyDescent="0.2">
      <c r="A140" s="20" t="s">
        <v>33</v>
      </c>
      <c r="B140" s="43"/>
      <c r="C140" s="56"/>
      <c r="D140" s="57">
        <f>[4]Charters!C124</f>
        <v>5154.8100000000004</v>
      </c>
      <c r="E140" s="8"/>
      <c r="F140" s="8"/>
      <c r="G140" s="8"/>
      <c r="H140" s="42">
        <f>[4]Charters!F1063</f>
        <v>2998140.97</v>
      </c>
      <c r="I140" s="1"/>
    </row>
    <row r="141" spans="1:9" x14ac:dyDescent="0.2">
      <c r="A141" s="58" t="s">
        <v>35</v>
      </c>
      <c r="B141" s="43"/>
      <c r="C141" s="56"/>
      <c r="D141" s="41">
        <f>+[4]Charters!F445</f>
        <v>2095.2399999999998</v>
      </c>
      <c r="E141" s="8"/>
      <c r="F141" s="8"/>
      <c r="G141" s="8"/>
      <c r="H141" s="42">
        <f>SUM(D138:D157)</f>
        <v>2998140.97</v>
      </c>
      <c r="I141" s="1"/>
    </row>
    <row r="142" spans="1:9" x14ac:dyDescent="0.2">
      <c r="A142" s="59" t="s">
        <v>36</v>
      </c>
      <c r="B142" s="43"/>
      <c r="C142" s="56"/>
      <c r="D142" s="41">
        <f>[4]Charters!E284</f>
        <v>6757</v>
      </c>
      <c r="E142" s="8"/>
      <c r="F142" s="8"/>
      <c r="G142" s="8"/>
      <c r="H142" s="42">
        <f>+H140-H141</f>
        <v>0</v>
      </c>
      <c r="I142" s="1"/>
    </row>
    <row r="143" spans="1:9" x14ac:dyDescent="0.2">
      <c r="A143" s="59" t="s">
        <v>52</v>
      </c>
      <c r="B143" s="43"/>
      <c r="C143" s="56"/>
      <c r="D143" s="41">
        <f>[4]Charters!G445</f>
        <v>0</v>
      </c>
      <c r="E143" s="8"/>
      <c r="F143" s="42" t="s">
        <v>27</v>
      </c>
      <c r="G143" s="8"/>
      <c r="H143" s="42"/>
      <c r="I143" s="1"/>
    </row>
    <row r="144" spans="1:9" x14ac:dyDescent="0.2">
      <c r="A144" s="20" t="s">
        <v>37</v>
      </c>
      <c r="B144" s="43"/>
      <c r="C144" s="56"/>
      <c r="D144" s="41">
        <f>[4]Charters!E601</f>
        <v>40752</v>
      </c>
      <c r="E144" s="8"/>
      <c r="F144" s="42">
        <f>[4]Charters!E284</f>
        <v>6757</v>
      </c>
      <c r="G144" s="8"/>
      <c r="H144" s="8"/>
      <c r="I144" s="1"/>
    </row>
    <row r="145" spans="1:9" x14ac:dyDescent="0.2">
      <c r="A145" s="20" t="s">
        <v>38</v>
      </c>
      <c r="B145" s="43"/>
      <c r="C145" s="56"/>
      <c r="D145" s="41">
        <f>[4]Charters!F601</f>
        <v>0</v>
      </c>
      <c r="E145" s="8"/>
      <c r="F145" s="42">
        <f>SUM(D142:D142)</f>
        <v>6757</v>
      </c>
      <c r="G145" s="8"/>
      <c r="H145" s="8"/>
      <c r="I145" s="1"/>
    </row>
    <row r="146" spans="1:9" x14ac:dyDescent="0.2">
      <c r="A146" s="59" t="s">
        <v>40</v>
      </c>
      <c r="B146" s="43"/>
      <c r="C146" s="56"/>
      <c r="D146" s="41">
        <f>[4]Charters!G601</f>
        <v>0</v>
      </c>
      <c r="E146" s="8"/>
      <c r="F146" s="42">
        <f>+F144-F145</f>
        <v>0</v>
      </c>
      <c r="G146" s="8"/>
      <c r="H146" s="8"/>
      <c r="I146" s="1"/>
    </row>
    <row r="147" spans="1:9" x14ac:dyDescent="0.2">
      <c r="A147" s="20" t="s">
        <v>41</v>
      </c>
      <c r="B147" s="43"/>
      <c r="C147" s="56"/>
      <c r="D147" s="41">
        <f>[4]Charters!C754</f>
        <v>1018509</v>
      </c>
      <c r="E147" s="8"/>
      <c r="F147" s="42" t="s">
        <v>28</v>
      </c>
      <c r="G147" s="8"/>
      <c r="H147" s="8"/>
      <c r="I147" s="1"/>
    </row>
    <row r="148" spans="1:9" x14ac:dyDescent="0.2">
      <c r="A148" s="20" t="s">
        <v>42</v>
      </c>
      <c r="B148" s="43"/>
      <c r="C148" s="56"/>
      <c r="D148" s="41">
        <f>[4]Charters!D754</f>
        <v>83435.520000000004</v>
      </c>
      <c r="E148" s="8"/>
      <c r="F148" s="42">
        <f>[4]Charters!D601</f>
        <v>8852.24</v>
      </c>
      <c r="G148" s="8"/>
      <c r="H148" s="8"/>
      <c r="I148" s="1"/>
    </row>
    <row r="149" spans="1:9" x14ac:dyDescent="0.2">
      <c r="A149" s="20" t="s">
        <v>44</v>
      </c>
      <c r="B149" s="43"/>
      <c r="C149" s="56"/>
      <c r="D149" s="41">
        <f>[4]Charters!E754</f>
        <v>50900</v>
      </c>
      <c r="E149" s="8"/>
      <c r="F149" s="42">
        <f>SUM(D141:D143)</f>
        <v>8852.24</v>
      </c>
      <c r="G149" s="8"/>
      <c r="H149" s="8"/>
      <c r="I149" s="1"/>
    </row>
    <row r="150" spans="1:9" x14ac:dyDescent="0.2">
      <c r="A150" s="59" t="s">
        <v>43</v>
      </c>
      <c r="B150" s="43"/>
      <c r="C150" s="56"/>
      <c r="D150" s="41">
        <f>[4]Charters!F754</f>
        <v>11346.07</v>
      </c>
      <c r="E150" s="8"/>
      <c r="F150" s="42">
        <f>+F148-F149</f>
        <v>0</v>
      </c>
      <c r="G150" s="8"/>
      <c r="H150" s="8"/>
      <c r="I150" s="1"/>
    </row>
    <row r="151" spans="1:9" x14ac:dyDescent="0.2">
      <c r="A151" s="59" t="s">
        <v>45</v>
      </c>
      <c r="B151" s="43"/>
      <c r="C151" s="56"/>
      <c r="D151" s="41">
        <f>[4]Charters!C601</f>
        <v>0</v>
      </c>
      <c r="E151" s="8"/>
      <c r="F151" s="8"/>
      <c r="G151" s="8"/>
      <c r="H151" s="8"/>
      <c r="I151" s="1"/>
    </row>
    <row r="152" spans="1:9" x14ac:dyDescent="0.2">
      <c r="A152" s="59" t="s">
        <v>46</v>
      </c>
      <c r="B152" s="43"/>
      <c r="C152" s="56"/>
      <c r="D152" s="41">
        <f>[4]Charters!C910</f>
        <v>0</v>
      </c>
      <c r="E152" s="42"/>
      <c r="F152" s="42"/>
      <c r="G152" s="42"/>
      <c r="H152" s="42" t="s">
        <v>31</v>
      </c>
      <c r="I152" s="82"/>
    </row>
    <row r="153" spans="1:9" x14ac:dyDescent="0.2">
      <c r="A153" s="59" t="s">
        <v>51</v>
      </c>
      <c r="B153" s="43"/>
      <c r="C153" s="56"/>
      <c r="D153" s="60">
        <f>[4]Charters!D910</f>
        <v>730.16</v>
      </c>
      <c r="E153" s="42"/>
      <c r="F153" s="42"/>
      <c r="G153" s="42"/>
      <c r="H153" s="42">
        <f>[4]Charters!D1369</f>
        <v>3001346.67</v>
      </c>
      <c r="I153" s="82"/>
    </row>
    <row r="154" spans="1:9" x14ac:dyDescent="0.2">
      <c r="A154" s="20" t="s">
        <v>47</v>
      </c>
      <c r="B154" s="43"/>
      <c r="C154" s="56"/>
      <c r="D154" s="60">
        <f>[4]Charters!E910</f>
        <v>0</v>
      </c>
      <c r="E154" s="42"/>
      <c r="F154" s="42"/>
      <c r="G154" s="42"/>
      <c r="H154" s="42">
        <f>D163</f>
        <v>3001346.67</v>
      </c>
      <c r="I154" s="82"/>
    </row>
    <row r="155" spans="1:9" x14ac:dyDescent="0.2">
      <c r="A155" s="20" t="s">
        <v>57</v>
      </c>
      <c r="B155" s="43"/>
      <c r="C155" s="56"/>
      <c r="D155" s="60">
        <f>[4]Charters!C1063</f>
        <v>0</v>
      </c>
      <c r="E155" s="42"/>
      <c r="F155" s="42"/>
      <c r="G155" s="42"/>
      <c r="H155" s="42">
        <f>+H153-H154</f>
        <v>0</v>
      </c>
      <c r="I155" s="82"/>
    </row>
    <row r="156" spans="1:9" x14ac:dyDescent="0.2">
      <c r="A156" s="59" t="s">
        <v>53</v>
      </c>
      <c r="B156" s="43"/>
      <c r="C156" s="56"/>
      <c r="D156" s="60">
        <f>[4]Charters!D1063</f>
        <v>0</v>
      </c>
      <c r="E156" s="42"/>
      <c r="F156" s="42" t="s">
        <v>30</v>
      </c>
      <c r="G156" s="42"/>
      <c r="H156" s="42"/>
      <c r="I156" s="82"/>
    </row>
    <row r="157" spans="1:9" x14ac:dyDescent="0.2">
      <c r="A157" s="59" t="s">
        <v>59</v>
      </c>
      <c r="B157" s="43"/>
      <c r="C157" s="56"/>
      <c r="D157" s="60">
        <f>[4]Charters!E1063</f>
        <v>0</v>
      </c>
      <c r="E157" s="42"/>
      <c r="F157" s="42"/>
      <c r="G157" s="42"/>
      <c r="H157" s="42"/>
      <c r="I157" s="82"/>
    </row>
    <row r="158" spans="1:9" x14ac:dyDescent="0.2">
      <c r="A158" s="38" t="s">
        <v>18</v>
      </c>
      <c r="B158" s="61"/>
      <c r="C158" s="62"/>
      <c r="D158" s="87"/>
      <c r="E158" s="42"/>
      <c r="F158" s="42">
        <f>[4]Charters!C1369</f>
        <v>3205.7</v>
      </c>
      <c r="G158" s="42"/>
      <c r="H158" s="42"/>
      <c r="I158" s="82"/>
    </row>
    <row r="159" spans="1:9" x14ac:dyDescent="0.2">
      <c r="A159" s="59" t="s">
        <v>39</v>
      </c>
      <c r="B159" s="43"/>
      <c r="C159" s="56"/>
      <c r="D159" s="41">
        <f>[4]Charters!C1216</f>
        <v>3205.7</v>
      </c>
      <c r="E159" s="42"/>
      <c r="F159" s="42">
        <f>SUM(D159:D162)</f>
        <v>3205.7</v>
      </c>
      <c r="G159" s="42"/>
      <c r="H159" s="42"/>
      <c r="I159" s="82"/>
    </row>
    <row r="160" spans="1:9" x14ac:dyDescent="0.2">
      <c r="A160" s="59" t="s">
        <v>48</v>
      </c>
      <c r="B160" s="43"/>
      <c r="C160" s="56"/>
      <c r="D160" s="41">
        <f>[4]Charters!D1216</f>
        <v>0</v>
      </c>
      <c r="E160" s="42"/>
      <c r="F160" s="42">
        <f>+F158-F159</f>
        <v>0</v>
      </c>
      <c r="G160" s="42"/>
      <c r="H160" s="42"/>
      <c r="I160" s="82"/>
    </row>
    <row r="161" spans="1:9" x14ac:dyDescent="0.2">
      <c r="A161" s="59" t="s">
        <v>60</v>
      </c>
      <c r="B161" s="43"/>
      <c r="C161" s="56"/>
      <c r="D161" s="41">
        <f>[4]Charters!E1216</f>
        <v>0</v>
      </c>
      <c r="E161" s="42"/>
      <c r="F161" s="42"/>
      <c r="G161" s="42"/>
      <c r="H161" s="42"/>
      <c r="I161" s="82"/>
    </row>
    <row r="162" spans="1:9" x14ac:dyDescent="0.2">
      <c r="A162" s="59" t="s">
        <v>61</v>
      </c>
      <c r="B162" s="43"/>
      <c r="C162" s="56"/>
      <c r="D162" s="41">
        <f>[4]Charters!F1216</f>
        <v>0</v>
      </c>
      <c r="E162" s="42"/>
      <c r="F162" s="42"/>
      <c r="G162" s="42"/>
      <c r="H162" s="42"/>
      <c r="I162" s="82"/>
    </row>
    <row r="163" spans="1:9" ht="13.5" thickBot="1" x14ac:dyDescent="0.25">
      <c r="A163" s="64"/>
      <c r="B163" s="65"/>
      <c r="C163" s="66"/>
      <c r="D163" s="67">
        <f>SUM(D138:D162)</f>
        <v>3001346.67</v>
      </c>
      <c r="E163" s="42"/>
      <c r="F163" s="42"/>
      <c r="G163" s="42"/>
      <c r="H163" s="42"/>
      <c r="I163" s="82"/>
    </row>
    <row r="164" spans="1:9" ht="13.5" thickTop="1" x14ac:dyDescent="0.2">
      <c r="A164" s="68"/>
      <c r="B164" s="43"/>
      <c r="C164" s="56"/>
      <c r="D164" s="86"/>
      <c r="E164" s="42"/>
      <c r="F164" s="42"/>
      <c r="G164" s="42"/>
      <c r="H164" s="42"/>
      <c r="I164" s="82"/>
    </row>
    <row r="165" spans="1:9" x14ac:dyDescent="0.2">
      <c r="A165" s="38" t="s">
        <v>20</v>
      </c>
      <c r="B165" s="39"/>
      <c r="C165" s="70"/>
      <c r="D165" s="71" t="s">
        <v>21</v>
      </c>
      <c r="E165" s="42"/>
      <c r="F165" s="42"/>
      <c r="G165" s="42"/>
      <c r="H165" s="42"/>
      <c r="I165" s="82"/>
    </row>
    <row r="166" spans="1:9" x14ac:dyDescent="0.2">
      <c r="A166" s="72" t="s">
        <v>22</v>
      </c>
      <c r="B166" s="73"/>
      <c r="C166" s="74"/>
      <c r="D166" s="41">
        <f>[5]Charters!C122</f>
        <v>1179.6400000000001</v>
      </c>
      <c r="E166" s="42"/>
      <c r="F166" s="42"/>
      <c r="G166" s="42"/>
      <c r="H166" s="42"/>
      <c r="I166" s="82"/>
    </row>
    <row r="167" spans="1:9" x14ac:dyDescent="0.2">
      <c r="A167" s="75"/>
      <c r="B167" s="61"/>
      <c r="C167" s="76"/>
      <c r="D167" s="77">
        <f>SUM(D166:D166)</f>
        <v>1179.6400000000001</v>
      </c>
      <c r="E167" s="42"/>
      <c r="F167" s="42"/>
      <c r="G167" s="42"/>
      <c r="H167" s="42"/>
      <c r="I167" s="82"/>
    </row>
    <row r="168" spans="1:9" x14ac:dyDescent="0.2">
      <c r="A168" s="78" t="s">
        <v>58</v>
      </c>
      <c r="B168" s="79"/>
      <c r="C168" s="80"/>
      <c r="D168" s="77">
        <f>D167+D163</f>
        <v>3002526.31</v>
      </c>
      <c r="E168" s="42"/>
      <c r="F168" s="42"/>
      <c r="G168" s="42"/>
      <c r="H168" s="42"/>
      <c r="I168" s="82"/>
    </row>
    <row r="169" spans="1:9" x14ac:dyDescent="0.2">
      <c r="A169" s="84"/>
      <c r="B169" s="84"/>
      <c r="C169" s="85"/>
      <c r="D169" s="81"/>
      <c r="E169" s="42"/>
      <c r="F169" s="42"/>
      <c r="G169" s="42"/>
      <c r="H169" s="42"/>
      <c r="I169" s="82"/>
    </row>
    <row r="170" spans="1:9" x14ac:dyDescent="0.2">
      <c r="A170" s="84"/>
      <c r="B170" s="84"/>
      <c r="C170" s="85"/>
      <c r="D170" s="81">
        <f>[5]Charters!E278</f>
        <v>3002526.31</v>
      </c>
      <c r="E170" s="42"/>
      <c r="F170" s="42"/>
      <c r="G170" s="42"/>
      <c r="H170" s="42"/>
      <c r="I170" s="82"/>
    </row>
    <row r="171" spans="1:9" x14ac:dyDescent="0.2">
      <c r="A171" s="84"/>
      <c r="B171" s="84"/>
      <c r="C171" s="85"/>
      <c r="D171" s="81">
        <f>D168</f>
        <v>3002526.31</v>
      </c>
      <c r="E171" s="42"/>
      <c r="F171" s="42"/>
      <c r="G171" s="42"/>
      <c r="H171" s="42"/>
      <c r="I171" s="82"/>
    </row>
    <row r="172" spans="1:9" x14ac:dyDescent="0.2">
      <c r="A172" s="82"/>
      <c r="B172" s="82"/>
      <c r="C172" s="83"/>
      <c r="D172" s="42">
        <f>D170-D171</f>
        <v>0</v>
      </c>
      <c r="E172" s="42"/>
      <c r="F172" s="42"/>
      <c r="G172" s="42"/>
      <c r="H172" s="42"/>
      <c r="I172" s="82"/>
    </row>
  </sheetData>
  <mergeCells count="4">
    <mergeCell ref="A114:D114"/>
    <mergeCell ref="A115:D115"/>
    <mergeCell ref="A116:D116"/>
    <mergeCell ref="A168:C168"/>
  </mergeCells>
  <pageMargins left="0.7" right="0.7" top="0.75" bottom="0.75" header="0.3" footer="0.3"/>
  <picture r:id="rId1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A00-000000000000}">
  <dimension ref="A1:I173"/>
  <sheetViews>
    <sheetView topLeftCell="A112" workbookViewId="0">
      <selection activeCell="C12" sqref="C12"/>
    </sheetView>
  </sheetViews>
  <sheetFormatPr defaultRowHeight="12.75" x14ac:dyDescent="0.2"/>
  <cols>
    <col min="1" max="1" width="31.5703125" style="89" customWidth="1"/>
    <col min="2" max="2" width="16.140625" style="89" customWidth="1"/>
    <col min="3" max="3" width="15.7109375" style="89" customWidth="1"/>
    <col min="4" max="4" width="15.5703125" style="89" customWidth="1"/>
    <col min="5" max="5" width="9.140625" style="89"/>
    <col min="6" max="6" width="23.42578125" style="89" bestFit="1" customWidth="1"/>
    <col min="7" max="7" width="9.140625" style="89"/>
    <col min="8" max="8" width="23" style="89" bestFit="1" customWidth="1"/>
    <col min="9" max="16384" width="9.140625" style="89"/>
  </cols>
  <sheetData>
    <row r="1" spans="1:9" x14ac:dyDescent="0.2">
      <c r="A1" s="7"/>
      <c r="B1" s="7"/>
      <c r="C1" s="7"/>
      <c r="D1" s="7"/>
      <c r="E1" s="7"/>
      <c r="F1" s="7"/>
      <c r="G1" s="7"/>
      <c r="H1" s="7"/>
      <c r="I1" s="7"/>
    </row>
    <row r="2" spans="1:9" x14ac:dyDescent="0.2">
      <c r="A2" s="7"/>
      <c r="B2" s="7"/>
      <c r="C2" s="7"/>
      <c r="D2" s="7"/>
      <c r="E2" s="7"/>
      <c r="F2" s="7"/>
      <c r="G2" s="7"/>
      <c r="H2" s="7"/>
      <c r="I2" s="7"/>
    </row>
    <row r="3" spans="1:9" x14ac:dyDescent="0.2">
      <c r="A3" s="7"/>
      <c r="B3" s="7"/>
      <c r="C3" s="7"/>
      <c r="D3" s="7"/>
      <c r="E3" s="7"/>
      <c r="F3" s="7"/>
      <c r="G3" s="7"/>
      <c r="H3" s="7"/>
      <c r="I3" s="7"/>
    </row>
    <row r="4" spans="1:9" x14ac:dyDescent="0.2">
      <c r="A4" s="7"/>
      <c r="B4" s="7"/>
      <c r="C4" s="7"/>
      <c r="D4" s="7"/>
      <c r="E4" s="7"/>
      <c r="F4" s="7"/>
      <c r="G4" s="7"/>
      <c r="H4" s="7"/>
      <c r="I4" s="7"/>
    </row>
    <row r="5" spans="1:9" x14ac:dyDescent="0.2">
      <c r="A5" s="7"/>
      <c r="B5" s="7"/>
      <c r="C5" s="7"/>
      <c r="D5" s="7"/>
      <c r="E5" s="7"/>
      <c r="F5" s="7"/>
      <c r="G5" s="7"/>
      <c r="H5" s="7"/>
      <c r="I5" s="7"/>
    </row>
    <row r="6" spans="1:9" x14ac:dyDescent="0.2">
      <c r="A6" s="7"/>
      <c r="B6" s="7"/>
      <c r="C6" s="7"/>
      <c r="D6" s="7"/>
      <c r="E6" s="7"/>
      <c r="F6" s="7"/>
      <c r="G6" s="7"/>
      <c r="H6" s="7"/>
      <c r="I6" s="7"/>
    </row>
    <row r="7" spans="1:9" x14ac:dyDescent="0.2">
      <c r="A7" s="7"/>
      <c r="B7" s="7"/>
      <c r="C7" s="7"/>
      <c r="D7" s="7"/>
      <c r="E7" s="7"/>
      <c r="F7" s="7"/>
      <c r="G7" s="7"/>
      <c r="H7" s="7"/>
      <c r="I7" s="7"/>
    </row>
    <row r="8" spans="1:9" x14ac:dyDescent="0.2">
      <c r="A8" s="7"/>
      <c r="B8" s="7"/>
      <c r="C8" s="7"/>
      <c r="D8" s="7"/>
      <c r="E8" s="7"/>
      <c r="F8" s="7"/>
      <c r="G8" s="7"/>
      <c r="H8" s="7"/>
      <c r="I8" s="7"/>
    </row>
    <row r="9" spans="1:9" x14ac:dyDescent="0.2">
      <c r="A9" s="7"/>
      <c r="B9" s="7"/>
      <c r="C9" s="7"/>
      <c r="D9" s="7"/>
      <c r="E9" s="7"/>
      <c r="F9" s="7"/>
      <c r="G9" s="7"/>
      <c r="H9" s="7"/>
      <c r="I9" s="7"/>
    </row>
    <row r="10" spans="1:9" x14ac:dyDescent="0.2">
      <c r="A10" s="7"/>
      <c r="B10" s="7"/>
      <c r="C10" s="7"/>
      <c r="D10" s="7"/>
      <c r="E10" s="7"/>
      <c r="F10" s="7"/>
      <c r="G10" s="7"/>
      <c r="H10" s="7"/>
      <c r="I10" s="7"/>
    </row>
    <row r="11" spans="1:9" x14ac:dyDescent="0.2">
      <c r="A11" s="7"/>
      <c r="B11" s="7"/>
      <c r="C11" s="7"/>
      <c r="D11" s="7"/>
      <c r="E11" s="7"/>
      <c r="F11" s="7"/>
      <c r="G11" s="7"/>
      <c r="H11" s="7"/>
      <c r="I11" s="7"/>
    </row>
    <row r="12" spans="1:9" x14ac:dyDescent="0.2">
      <c r="A12" s="7"/>
      <c r="B12" s="7"/>
      <c r="C12" s="7"/>
      <c r="D12" s="7"/>
      <c r="E12" s="7"/>
      <c r="F12" s="7"/>
      <c r="G12" s="7"/>
      <c r="H12" s="7"/>
      <c r="I12" s="7"/>
    </row>
    <row r="13" spans="1:9" x14ac:dyDescent="0.2">
      <c r="A13" s="7"/>
      <c r="B13" s="7"/>
      <c r="C13" s="7"/>
      <c r="D13" s="7"/>
      <c r="E13" s="7"/>
      <c r="F13" s="7"/>
      <c r="G13" s="7"/>
      <c r="H13" s="7"/>
      <c r="I13" s="7"/>
    </row>
    <row r="14" spans="1:9" x14ac:dyDescent="0.2">
      <c r="A14" s="7"/>
      <c r="B14" s="7"/>
      <c r="C14" s="7"/>
      <c r="D14" s="7"/>
      <c r="E14" s="7"/>
      <c r="F14" s="7"/>
      <c r="G14" s="7"/>
      <c r="H14" s="7"/>
      <c r="I14" s="7"/>
    </row>
    <row r="15" spans="1:9" x14ac:dyDescent="0.2">
      <c r="A15" s="7"/>
      <c r="B15" s="7"/>
      <c r="C15" s="7"/>
      <c r="D15" s="7"/>
      <c r="E15" s="7"/>
      <c r="F15" s="7"/>
      <c r="G15" s="7"/>
      <c r="H15" s="7"/>
      <c r="I15" s="7"/>
    </row>
    <row r="16" spans="1:9" x14ac:dyDescent="0.2">
      <c r="A16" s="7"/>
      <c r="B16" s="7"/>
      <c r="C16" s="7"/>
      <c r="D16" s="7"/>
      <c r="E16" s="7"/>
      <c r="F16" s="7"/>
      <c r="G16" s="7"/>
      <c r="H16" s="7"/>
      <c r="I16" s="7"/>
    </row>
    <row r="17" spans="1:9" x14ac:dyDescent="0.2">
      <c r="A17" s="7"/>
      <c r="B17" s="7"/>
      <c r="C17" s="7"/>
      <c r="D17" s="7"/>
      <c r="E17" s="7"/>
      <c r="F17" s="7"/>
      <c r="G17" s="7"/>
      <c r="H17" s="7"/>
      <c r="I17" s="7"/>
    </row>
    <row r="18" spans="1:9" x14ac:dyDescent="0.2">
      <c r="A18" s="7"/>
      <c r="B18" s="7"/>
      <c r="C18" s="7"/>
      <c r="D18" s="7"/>
      <c r="E18" s="7"/>
      <c r="F18" s="7"/>
      <c r="G18" s="7"/>
      <c r="H18" s="7"/>
      <c r="I18" s="7"/>
    </row>
    <row r="19" spans="1:9" x14ac:dyDescent="0.2">
      <c r="A19" s="7"/>
      <c r="B19" s="7"/>
      <c r="C19" s="7"/>
      <c r="D19" s="7"/>
      <c r="E19" s="7"/>
      <c r="F19" s="7"/>
      <c r="G19" s="7"/>
      <c r="H19" s="7"/>
      <c r="I19" s="7"/>
    </row>
    <row r="20" spans="1:9" x14ac:dyDescent="0.2">
      <c r="A20" s="7"/>
      <c r="B20" s="7"/>
      <c r="C20" s="7"/>
      <c r="D20" s="7"/>
      <c r="E20" s="7"/>
      <c r="F20" s="7"/>
      <c r="G20" s="7"/>
      <c r="H20" s="7"/>
      <c r="I20" s="7"/>
    </row>
    <row r="21" spans="1:9" x14ac:dyDescent="0.2">
      <c r="A21" s="7"/>
      <c r="B21" s="7"/>
      <c r="C21" s="7"/>
      <c r="D21" s="7"/>
      <c r="E21" s="7"/>
      <c r="F21" s="7"/>
      <c r="G21" s="7"/>
      <c r="H21" s="7"/>
      <c r="I21" s="7"/>
    </row>
    <row r="22" spans="1:9" x14ac:dyDescent="0.2">
      <c r="A22" s="7"/>
      <c r="B22" s="7"/>
      <c r="C22" s="7"/>
      <c r="D22" s="4"/>
      <c r="E22" s="7"/>
      <c r="F22" s="7"/>
      <c r="G22" s="7"/>
      <c r="H22" s="7"/>
      <c r="I22" s="7"/>
    </row>
    <row r="23" spans="1:9" x14ac:dyDescent="0.2">
      <c r="A23" s="7"/>
      <c r="B23" s="7"/>
      <c r="C23" s="7"/>
      <c r="D23" s="7"/>
      <c r="E23" s="7"/>
      <c r="F23" s="7"/>
      <c r="G23" s="7"/>
      <c r="H23" s="7"/>
      <c r="I23" s="7"/>
    </row>
    <row r="24" spans="1:9" x14ac:dyDescent="0.2">
      <c r="A24" s="7"/>
      <c r="B24" s="7"/>
      <c r="C24" s="7"/>
      <c r="D24" s="7"/>
      <c r="E24" s="7"/>
      <c r="F24" s="7"/>
      <c r="G24" s="7"/>
      <c r="H24" s="7"/>
      <c r="I24" s="7"/>
    </row>
    <row r="25" spans="1:9" x14ac:dyDescent="0.2">
      <c r="A25" s="7"/>
      <c r="B25" s="7"/>
      <c r="C25" s="7"/>
      <c r="D25" s="7"/>
      <c r="E25" s="7"/>
      <c r="F25" s="7"/>
      <c r="G25" s="7"/>
      <c r="H25" s="7"/>
      <c r="I25" s="7"/>
    </row>
    <row r="26" spans="1:9" x14ac:dyDescent="0.2">
      <c r="A26" s="7"/>
      <c r="B26" s="7"/>
      <c r="C26" s="7"/>
      <c r="D26" s="7"/>
      <c r="E26" s="7"/>
      <c r="F26" s="7"/>
      <c r="G26" s="7"/>
      <c r="H26" s="7"/>
      <c r="I26" s="7"/>
    </row>
    <row r="27" spans="1:9" x14ac:dyDescent="0.2">
      <c r="A27" s="7"/>
      <c r="B27" s="7"/>
      <c r="C27" s="7"/>
      <c r="D27" s="7"/>
      <c r="E27" s="7"/>
      <c r="F27" s="7"/>
      <c r="G27" s="7"/>
      <c r="H27" s="7"/>
      <c r="I27" s="7"/>
    </row>
    <row r="28" spans="1:9" x14ac:dyDescent="0.2">
      <c r="A28" s="7"/>
      <c r="B28" s="7"/>
      <c r="C28" s="7"/>
      <c r="D28" s="7"/>
      <c r="E28" s="7"/>
      <c r="F28" s="7"/>
      <c r="G28" s="7"/>
      <c r="H28" s="7"/>
      <c r="I28" s="7"/>
    </row>
    <row r="29" spans="1:9" x14ac:dyDescent="0.2">
      <c r="A29" s="7"/>
      <c r="B29" s="7"/>
      <c r="C29" s="7"/>
      <c r="D29" s="7"/>
      <c r="E29" s="7"/>
      <c r="F29" s="7"/>
      <c r="G29" s="7"/>
      <c r="H29" s="7"/>
      <c r="I29" s="7"/>
    </row>
    <row r="30" spans="1:9" x14ac:dyDescent="0.2">
      <c r="A30" s="7"/>
      <c r="B30" s="7"/>
      <c r="C30" s="7"/>
      <c r="D30" s="7"/>
      <c r="E30" s="7"/>
      <c r="F30" s="7"/>
      <c r="G30" s="7"/>
      <c r="H30" s="7"/>
      <c r="I30" s="7"/>
    </row>
    <row r="31" spans="1:9" x14ac:dyDescent="0.2">
      <c r="A31" s="7"/>
      <c r="B31" s="7"/>
      <c r="C31" s="7"/>
      <c r="D31" s="7"/>
      <c r="E31" s="7"/>
      <c r="F31" s="7"/>
      <c r="G31" s="7"/>
      <c r="H31" s="7"/>
      <c r="I31" s="7"/>
    </row>
    <row r="32" spans="1:9" x14ac:dyDescent="0.2">
      <c r="A32" s="7"/>
      <c r="B32" s="7"/>
      <c r="C32" s="7"/>
      <c r="D32" s="7"/>
      <c r="E32" s="7"/>
      <c r="F32" s="7"/>
      <c r="G32" s="7"/>
      <c r="H32" s="7"/>
      <c r="I32" s="7"/>
    </row>
    <row r="33" spans="1:9" x14ac:dyDescent="0.2">
      <c r="A33" s="7"/>
      <c r="B33" s="7"/>
      <c r="C33" s="7"/>
      <c r="D33" s="7"/>
      <c r="E33" s="7"/>
      <c r="F33" s="7"/>
      <c r="G33" s="7"/>
      <c r="H33" s="7"/>
      <c r="I33" s="7"/>
    </row>
    <row r="34" spans="1:9" x14ac:dyDescent="0.2">
      <c r="A34" s="7"/>
      <c r="B34" s="7"/>
      <c r="C34" s="7"/>
      <c r="D34" s="7"/>
      <c r="E34" s="7"/>
      <c r="F34" s="7"/>
      <c r="G34" s="7"/>
      <c r="H34" s="7"/>
      <c r="I34" s="7"/>
    </row>
    <row r="35" spans="1:9" x14ac:dyDescent="0.2">
      <c r="A35" s="7"/>
      <c r="B35" s="7"/>
      <c r="C35" s="7"/>
      <c r="D35" s="7"/>
      <c r="E35" s="7"/>
      <c r="F35" s="7"/>
      <c r="G35" s="7"/>
      <c r="H35" s="7"/>
      <c r="I35" s="7"/>
    </row>
    <row r="36" spans="1:9" x14ac:dyDescent="0.2">
      <c r="A36" s="7"/>
      <c r="B36" s="7"/>
      <c r="C36" s="7"/>
      <c r="D36" s="7"/>
      <c r="E36" s="7"/>
      <c r="F36" s="7"/>
      <c r="G36" s="7"/>
      <c r="H36" s="7"/>
      <c r="I36" s="7"/>
    </row>
    <row r="37" spans="1:9" x14ac:dyDescent="0.2">
      <c r="A37" s="7"/>
      <c r="B37" s="7"/>
      <c r="C37" s="7"/>
      <c r="D37" s="7"/>
      <c r="E37" s="7"/>
      <c r="F37" s="7"/>
      <c r="G37" s="7"/>
      <c r="H37" s="7"/>
      <c r="I37" s="7"/>
    </row>
    <row r="38" spans="1:9" x14ac:dyDescent="0.2">
      <c r="A38" s="7"/>
      <c r="B38" s="7"/>
      <c r="C38" s="7"/>
      <c r="D38" s="7"/>
      <c r="E38" s="7"/>
      <c r="F38" s="7"/>
      <c r="G38" s="7"/>
      <c r="H38" s="7"/>
      <c r="I38" s="7"/>
    </row>
    <row r="39" spans="1:9" x14ac:dyDescent="0.2">
      <c r="A39" s="7"/>
      <c r="B39" s="7"/>
      <c r="C39" s="7"/>
      <c r="D39" s="7"/>
      <c r="E39" s="7"/>
      <c r="F39" s="7"/>
      <c r="G39" s="7"/>
      <c r="H39" s="7"/>
      <c r="I39" s="7"/>
    </row>
    <row r="40" spans="1:9" x14ac:dyDescent="0.2">
      <c r="A40" s="7"/>
      <c r="B40" s="7"/>
      <c r="C40" s="7"/>
      <c r="D40" s="7"/>
      <c r="E40" s="7"/>
      <c r="F40" s="7"/>
      <c r="G40" s="7"/>
      <c r="H40" s="7"/>
      <c r="I40" s="7"/>
    </row>
    <row r="41" spans="1:9" x14ac:dyDescent="0.2">
      <c r="A41" s="7"/>
      <c r="B41" s="7"/>
      <c r="C41" s="7"/>
      <c r="D41" s="7"/>
      <c r="E41" s="7"/>
      <c r="F41" s="7"/>
      <c r="G41" s="7"/>
      <c r="H41" s="7"/>
      <c r="I41" s="7"/>
    </row>
    <row r="42" spans="1:9" x14ac:dyDescent="0.2">
      <c r="A42" s="7"/>
      <c r="B42" s="7"/>
      <c r="C42" s="7"/>
      <c r="D42" s="7"/>
      <c r="E42" s="7"/>
      <c r="F42" s="7"/>
      <c r="G42" s="7"/>
      <c r="H42" s="7"/>
      <c r="I42" s="7"/>
    </row>
    <row r="43" spans="1:9" x14ac:dyDescent="0.2">
      <c r="A43" s="7"/>
      <c r="B43" s="7"/>
      <c r="C43" s="7"/>
      <c r="D43" s="7"/>
      <c r="E43" s="7"/>
      <c r="F43" s="7"/>
      <c r="G43" s="7"/>
      <c r="H43" s="7"/>
      <c r="I43" s="7"/>
    </row>
    <row r="44" spans="1:9" x14ac:dyDescent="0.2">
      <c r="A44" s="7"/>
      <c r="B44" s="7"/>
      <c r="C44" s="7"/>
      <c r="D44" s="7"/>
      <c r="E44" s="7"/>
      <c r="F44" s="7"/>
      <c r="G44" s="7"/>
      <c r="H44" s="7"/>
      <c r="I44" s="7"/>
    </row>
    <row r="45" spans="1:9" x14ac:dyDescent="0.2">
      <c r="A45" s="7"/>
      <c r="B45" s="7"/>
      <c r="C45" s="7"/>
      <c r="D45" s="7"/>
      <c r="E45" s="7"/>
      <c r="F45" s="7"/>
      <c r="G45" s="7"/>
      <c r="H45" s="7"/>
      <c r="I45" s="7"/>
    </row>
    <row r="46" spans="1:9" x14ac:dyDescent="0.2">
      <c r="A46" s="7"/>
      <c r="B46" s="7"/>
      <c r="C46" s="7"/>
      <c r="D46" s="7"/>
      <c r="E46" s="7"/>
      <c r="F46" s="7"/>
      <c r="G46" s="7"/>
      <c r="H46" s="7"/>
      <c r="I46" s="7"/>
    </row>
    <row r="47" spans="1:9" x14ac:dyDescent="0.2">
      <c r="A47" s="7"/>
      <c r="B47" s="7"/>
      <c r="C47" s="7"/>
      <c r="D47" s="7"/>
      <c r="E47" s="7"/>
      <c r="F47" s="7"/>
      <c r="G47" s="7"/>
      <c r="H47" s="7"/>
      <c r="I47" s="7"/>
    </row>
    <row r="48" spans="1:9" x14ac:dyDescent="0.2">
      <c r="A48" s="7"/>
      <c r="B48" s="7"/>
      <c r="C48" s="7"/>
      <c r="D48" s="7"/>
      <c r="E48" s="7"/>
      <c r="F48" s="7"/>
      <c r="G48" s="7"/>
      <c r="H48" s="7"/>
      <c r="I48" s="7"/>
    </row>
    <row r="49" spans="1:9" x14ac:dyDescent="0.2">
      <c r="A49" s="7"/>
      <c r="B49" s="7"/>
      <c r="C49" s="7"/>
      <c r="D49" s="7"/>
      <c r="E49" s="7"/>
      <c r="F49" s="7"/>
      <c r="G49" s="7"/>
      <c r="H49" s="7"/>
      <c r="I49" s="7"/>
    </row>
    <row r="50" spans="1:9" x14ac:dyDescent="0.2">
      <c r="A50" s="7"/>
      <c r="B50" s="7"/>
      <c r="C50" s="7"/>
      <c r="D50" s="7"/>
      <c r="E50" s="7"/>
      <c r="F50" s="7"/>
      <c r="G50" s="7"/>
      <c r="H50" s="7"/>
      <c r="I50" s="7"/>
    </row>
    <row r="51" spans="1:9" x14ac:dyDescent="0.2">
      <c r="A51" s="7"/>
      <c r="B51" s="7"/>
      <c r="C51" s="7"/>
      <c r="D51" s="7"/>
      <c r="E51" s="7"/>
      <c r="F51" s="7"/>
      <c r="G51" s="7"/>
      <c r="H51" s="7"/>
      <c r="I51" s="7"/>
    </row>
    <row r="52" spans="1:9" x14ac:dyDescent="0.2">
      <c r="A52" s="7"/>
      <c r="B52" s="7"/>
      <c r="C52" s="7"/>
      <c r="D52" s="7"/>
      <c r="E52" s="7"/>
      <c r="F52" s="7"/>
      <c r="G52" s="7"/>
      <c r="H52" s="7"/>
      <c r="I52" s="7"/>
    </row>
    <row r="53" spans="1:9" x14ac:dyDescent="0.2">
      <c r="A53" s="7"/>
      <c r="B53" s="7"/>
      <c r="C53" s="7"/>
      <c r="D53" s="7"/>
      <c r="E53" s="7"/>
      <c r="F53" s="7"/>
      <c r="G53" s="7"/>
      <c r="H53" s="7"/>
      <c r="I53" s="7"/>
    </row>
    <row r="54" spans="1:9" x14ac:dyDescent="0.2">
      <c r="A54" s="7"/>
      <c r="B54" s="7"/>
      <c r="C54" s="7"/>
      <c r="D54" s="7"/>
      <c r="E54" s="7"/>
      <c r="F54" s="7"/>
      <c r="G54" s="7"/>
      <c r="H54" s="7"/>
      <c r="I54" s="7"/>
    </row>
    <row r="55" spans="1:9" x14ac:dyDescent="0.2">
      <c r="A55" s="7"/>
      <c r="B55" s="7"/>
      <c r="C55" s="7"/>
      <c r="D55" s="7"/>
      <c r="E55" s="7"/>
      <c r="F55" s="7"/>
      <c r="G55" s="7"/>
      <c r="H55" s="7"/>
      <c r="I55" s="7"/>
    </row>
    <row r="56" spans="1:9" x14ac:dyDescent="0.2">
      <c r="A56" s="7"/>
      <c r="B56" s="7"/>
      <c r="C56" s="7"/>
      <c r="D56" s="7"/>
      <c r="E56" s="7"/>
      <c r="F56" s="7"/>
      <c r="G56" s="7"/>
      <c r="H56" s="7"/>
      <c r="I56" s="7"/>
    </row>
    <row r="57" spans="1:9" x14ac:dyDescent="0.2">
      <c r="A57" s="7"/>
      <c r="B57" s="7"/>
      <c r="C57" s="7"/>
      <c r="D57" s="7"/>
      <c r="E57" s="7"/>
      <c r="F57" s="7"/>
      <c r="G57" s="7"/>
      <c r="H57" s="7"/>
      <c r="I57" s="7"/>
    </row>
    <row r="58" spans="1:9" x14ac:dyDescent="0.2">
      <c r="A58" s="7"/>
      <c r="B58" s="7"/>
      <c r="C58" s="7"/>
      <c r="D58" s="7"/>
      <c r="E58" s="7"/>
      <c r="F58" s="7"/>
      <c r="G58" s="7"/>
      <c r="H58" s="7"/>
      <c r="I58" s="7"/>
    </row>
    <row r="59" spans="1:9" x14ac:dyDescent="0.2">
      <c r="A59" s="7"/>
      <c r="B59" s="7"/>
      <c r="C59" s="7"/>
      <c r="D59" s="7"/>
      <c r="E59" s="7"/>
      <c r="F59" s="7"/>
      <c r="G59" s="7"/>
      <c r="H59" s="7"/>
      <c r="I59" s="7"/>
    </row>
    <row r="60" spans="1:9" x14ac:dyDescent="0.2">
      <c r="A60" s="7"/>
      <c r="B60" s="7"/>
      <c r="C60" s="7"/>
      <c r="D60" s="7"/>
      <c r="E60" s="7"/>
      <c r="F60" s="7"/>
      <c r="G60" s="7"/>
      <c r="H60" s="7"/>
      <c r="I60" s="7"/>
    </row>
    <row r="61" spans="1:9" x14ac:dyDescent="0.2">
      <c r="A61" s="7"/>
      <c r="B61" s="7"/>
      <c r="C61" s="7"/>
      <c r="D61" s="7"/>
      <c r="E61" s="7"/>
      <c r="F61" s="7"/>
      <c r="G61" s="7"/>
      <c r="H61" s="7"/>
      <c r="I61" s="7"/>
    </row>
    <row r="62" spans="1:9" x14ac:dyDescent="0.2">
      <c r="A62" s="7"/>
      <c r="B62" s="7"/>
      <c r="C62" s="7"/>
      <c r="D62" s="7"/>
      <c r="E62" s="7"/>
      <c r="F62" s="7"/>
      <c r="G62" s="7"/>
      <c r="H62" s="7"/>
      <c r="I62" s="7"/>
    </row>
    <row r="63" spans="1:9" x14ac:dyDescent="0.2">
      <c r="A63" s="7"/>
      <c r="B63" s="7"/>
      <c r="C63" s="7"/>
      <c r="D63" s="7"/>
      <c r="E63" s="7"/>
      <c r="F63" s="7"/>
      <c r="G63" s="7"/>
      <c r="H63" s="7"/>
      <c r="I63" s="7"/>
    </row>
    <row r="64" spans="1:9" x14ac:dyDescent="0.2">
      <c r="A64" s="7"/>
      <c r="B64" s="7"/>
      <c r="C64" s="7"/>
      <c r="D64" s="7"/>
      <c r="E64" s="7"/>
      <c r="F64" s="7"/>
      <c r="G64" s="7"/>
      <c r="H64" s="7"/>
      <c r="I64" s="7"/>
    </row>
    <row r="65" spans="1:9" x14ac:dyDescent="0.2">
      <c r="A65" s="7"/>
      <c r="B65" s="7"/>
      <c r="C65" s="7"/>
      <c r="D65" s="7"/>
      <c r="E65" s="7"/>
      <c r="F65" s="7"/>
      <c r="G65" s="7"/>
      <c r="H65" s="7"/>
      <c r="I65" s="7"/>
    </row>
    <row r="66" spans="1:9" x14ac:dyDescent="0.2">
      <c r="A66" s="7"/>
      <c r="B66" s="7"/>
      <c r="C66" s="7"/>
      <c r="D66" s="7"/>
      <c r="E66" s="7"/>
      <c r="F66" s="7"/>
      <c r="G66" s="7"/>
      <c r="H66" s="7"/>
      <c r="I66" s="7"/>
    </row>
    <row r="67" spans="1:9" x14ac:dyDescent="0.2">
      <c r="A67" s="7"/>
      <c r="B67" s="7"/>
      <c r="C67" s="7"/>
      <c r="D67" s="7"/>
      <c r="E67" s="7"/>
      <c r="F67" s="7"/>
      <c r="G67" s="7"/>
      <c r="H67" s="7"/>
      <c r="I67" s="7"/>
    </row>
    <row r="68" spans="1:9" x14ac:dyDescent="0.2">
      <c r="A68" s="7"/>
      <c r="B68" s="7"/>
      <c r="C68" s="7"/>
      <c r="D68" s="7"/>
      <c r="E68" s="7"/>
      <c r="F68" s="7"/>
      <c r="G68" s="7"/>
      <c r="H68" s="7"/>
      <c r="I68" s="7"/>
    </row>
    <row r="69" spans="1:9" x14ac:dyDescent="0.2">
      <c r="A69" s="7"/>
      <c r="B69" s="7"/>
      <c r="C69" s="7"/>
      <c r="D69" s="7"/>
      <c r="E69" s="7"/>
      <c r="F69" s="7"/>
      <c r="G69" s="7"/>
      <c r="H69" s="7"/>
      <c r="I69" s="7"/>
    </row>
    <row r="70" spans="1:9" x14ac:dyDescent="0.2">
      <c r="A70" s="7"/>
      <c r="B70" s="7"/>
      <c r="C70" s="7"/>
      <c r="D70" s="7"/>
      <c r="E70" s="7"/>
      <c r="F70" s="7"/>
      <c r="G70" s="7"/>
      <c r="H70" s="7"/>
      <c r="I70" s="7"/>
    </row>
    <row r="71" spans="1:9" x14ac:dyDescent="0.2">
      <c r="A71" s="7"/>
      <c r="B71" s="7"/>
      <c r="C71" s="7"/>
      <c r="D71" s="7"/>
      <c r="E71" s="7"/>
      <c r="F71" s="7"/>
      <c r="G71" s="7"/>
      <c r="H71" s="7"/>
      <c r="I71" s="7"/>
    </row>
    <row r="72" spans="1:9" x14ac:dyDescent="0.2">
      <c r="A72" s="7"/>
      <c r="B72" s="7"/>
      <c r="C72" s="7"/>
      <c r="D72" s="7"/>
      <c r="E72" s="7"/>
      <c r="F72" s="7"/>
      <c r="G72" s="7"/>
      <c r="H72" s="7"/>
      <c r="I72" s="7"/>
    </row>
    <row r="73" spans="1:9" x14ac:dyDescent="0.2">
      <c r="A73" s="7"/>
      <c r="B73" s="7"/>
      <c r="C73" s="7"/>
      <c r="D73" s="7"/>
      <c r="E73" s="7"/>
      <c r="F73" s="7"/>
      <c r="G73" s="7"/>
      <c r="H73" s="7"/>
      <c r="I73" s="7"/>
    </row>
    <row r="74" spans="1:9" x14ac:dyDescent="0.2">
      <c r="A74" s="7"/>
      <c r="B74" s="7"/>
      <c r="C74" s="7"/>
      <c r="D74" s="7"/>
      <c r="E74" s="7"/>
      <c r="F74" s="7"/>
      <c r="G74" s="7"/>
      <c r="H74" s="7"/>
      <c r="I74" s="7"/>
    </row>
    <row r="75" spans="1:9" x14ac:dyDescent="0.2">
      <c r="A75" s="7"/>
      <c r="B75" s="7"/>
      <c r="C75" s="7"/>
      <c r="D75" s="7"/>
      <c r="E75" s="7"/>
      <c r="F75" s="7"/>
      <c r="G75" s="7"/>
      <c r="H75" s="7"/>
      <c r="I75" s="7"/>
    </row>
    <row r="76" spans="1:9" x14ac:dyDescent="0.2">
      <c r="A76" s="7"/>
      <c r="B76" s="7"/>
      <c r="C76" s="7"/>
      <c r="D76" s="7"/>
      <c r="E76" s="7"/>
      <c r="F76" s="7"/>
      <c r="G76" s="7"/>
      <c r="H76" s="7"/>
      <c r="I76" s="7"/>
    </row>
    <row r="77" spans="1:9" x14ac:dyDescent="0.2">
      <c r="A77" s="7"/>
      <c r="B77" s="7"/>
      <c r="C77" s="7"/>
      <c r="D77" s="7"/>
      <c r="E77" s="7"/>
      <c r="F77" s="7"/>
      <c r="G77" s="7"/>
      <c r="H77" s="7"/>
      <c r="I77" s="7"/>
    </row>
    <row r="78" spans="1:9" x14ac:dyDescent="0.2">
      <c r="A78" s="7"/>
      <c r="B78" s="7"/>
      <c r="C78" s="7"/>
      <c r="D78" s="7"/>
      <c r="E78" s="7"/>
      <c r="F78" s="7"/>
      <c r="G78" s="7"/>
      <c r="H78" s="7"/>
      <c r="I78" s="7"/>
    </row>
    <row r="79" spans="1:9" x14ac:dyDescent="0.2">
      <c r="A79" s="7"/>
      <c r="B79" s="7"/>
      <c r="C79" s="7"/>
      <c r="D79" s="7"/>
      <c r="E79" s="7"/>
      <c r="F79" s="7"/>
      <c r="G79" s="7"/>
      <c r="H79" s="7"/>
      <c r="I79" s="7"/>
    </row>
    <row r="80" spans="1:9" x14ac:dyDescent="0.2">
      <c r="A80" s="7"/>
      <c r="B80" s="7"/>
      <c r="C80" s="7"/>
      <c r="D80" s="7"/>
      <c r="E80" s="7"/>
      <c r="F80" s="7"/>
      <c r="G80" s="7"/>
      <c r="H80" s="7"/>
      <c r="I80" s="7"/>
    </row>
    <row r="81" spans="1:9" x14ac:dyDescent="0.2">
      <c r="A81" s="7"/>
      <c r="B81" s="7"/>
      <c r="C81" s="7"/>
      <c r="D81" s="7"/>
      <c r="E81" s="7"/>
      <c r="F81" s="7"/>
      <c r="G81" s="7"/>
      <c r="H81" s="7"/>
      <c r="I81" s="7"/>
    </row>
    <row r="82" spans="1:9" x14ac:dyDescent="0.2">
      <c r="A82" s="7"/>
      <c r="B82" s="7"/>
      <c r="C82" s="7"/>
      <c r="D82" s="7"/>
      <c r="E82" s="7"/>
      <c r="F82" s="7"/>
      <c r="G82" s="7"/>
      <c r="H82" s="7"/>
      <c r="I82" s="7"/>
    </row>
    <row r="83" spans="1:9" x14ac:dyDescent="0.2">
      <c r="A83" s="7"/>
      <c r="B83" s="7"/>
      <c r="C83" s="7"/>
      <c r="D83" s="7"/>
      <c r="E83" s="7"/>
      <c r="F83" s="7"/>
      <c r="G83" s="7"/>
      <c r="H83" s="7"/>
      <c r="I83" s="7"/>
    </row>
    <row r="84" spans="1:9" x14ac:dyDescent="0.2">
      <c r="A84" s="7"/>
      <c r="B84" s="7"/>
      <c r="C84" s="7"/>
      <c r="D84" s="7"/>
      <c r="E84" s="7"/>
      <c r="F84" s="7"/>
      <c r="G84" s="7"/>
      <c r="H84" s="7"/>
      <c r="I84" s="7"/>
    </row>
    <row r="85" spans="1:9" x14ac:dyDescent="0.2">
      <c r="A85" s="7"/>
      <c r="B85" s="7"/>
      <c r="C85" s="7"/>
      <c r="D85" s="7"/>
      <c r="E85" s="7"/>
      <c r="F85" s="7"/>
      <c r="G85" s="7"/>
      <c r="H85" s="7"/>
      <c r="I85" s="7"/>
    </row>
    <row r="86" spans="1:9" x14ac:dyDescent="0.2">
      <c r="A86" s="7"/>
      <c r="B86" s="7"/>
      <c r="C86" s="7"/>
      <c r="D86" s="7"/>
      <c r="E86" s="7"/>
      <c r="F86" s="7"/>
      <c r="G86" s="7"/>
      <c r="H86" s="7"/>
      <c r="I86" s="7"/>
    </row>
    <row r="87" spans="1:9" x14ac:dyDescent="0.2">
      <c r="A87" s="7"/>
      <c r="B87" s="7"/>
      <c r="C87" s="7"/>
      <c r="D87" s="7"/>
      <c r="E87" s="7"/>
      <c r="F87" s="7"/>
      <c r="G87" s="7"/>
      <c r="H87" s="7"/>
      <c r="I87" s="7"/>
    </row>
    <row r="88" spans="1:9" x14ac:dyDescent="0.2">
      <c r="A88" s="7"/>
      <c r="B88" s="7"/>
      <c r="C88" s="7"/>
      <c r="D88" s="7"/>
      <c r="E88" s="7"/>
      <c r="F88" s="7"/>
      <c r="G88" s="7"/>
      <c r="H88" s="7"/>
      <c r="I88" s="7"/>
    </row>
    <row r="89" spans="1:9" x14ac:dyDescent="0.2">
      <c r="A89" s="7"/>
      <c r="B89" s="7"/>
      <c r="C89" s="7"/>
      <c r="D89" s="7"/>
      <c r="E89" s="7"/>
      <c r="F89" s="7"/>
      <c r="G89" s="7"/>
      <c r="H89" s="7"/>
      <c r="I89" s="7"/>
    </row>
    <row r="90" spans="1:9" x14ac:dyDescent="0.2">
      <c r="A90" s="7"/>
      <c r="B90" s="7"/>
      <c r="C90" s="7"/>
      <c r="D90" s="7"/>
      <c r="E90" s="7"/>
      <c r="F90" s="7"/>
      <c r="G90" s="7"/>
      <c r="H90" s="7"/>
      <c r="I90" s="7"/>
    </row>
    <row r="91" spans="1:9" x14ac:dyDescent="0.2">
      <c r="A91" s="7"/>
      <c r="B91" s="7"/>
      <c r="C91" s="7"/>
      <c r="D91" s="7"/>
      <c r="E91" s="7"/>
      <c r="F91" s="7"/>
      <c r="G91" s="7"/>
      <c r="H91" s="7"/>
      <c r="I91" s="7"/>
    </row>
    <row r="92" spans="1:9" x14ac:dyDescent="0.2">
      <c r="A92" s="7"/>
      <c r="B92" s="7"/>
      <c r="C92" s="7"/>
      <c r="D92" s="7"/>
      <c r="E92" s="7"/>
      <c r="F92" s="7"/>
      <c r="G92" s="7"/>
      <c r="H92" s="7"/>
      <c r="I92" s="7"/>
    </row>
    <row r="93" spans="1:9" x14ac:dyDescent="0.2">
      <c r="A93" s="7"/>
      <c r="B93" s="7"/>
      <c r="C93" s="7"/>
      <c r="D93" s="7"/>
      <c r="E93" s="7"/>
      <c r="F93" s="7"/>
      <c r="G93" s="7"/>
      <c r="H93" s="7"/>
      <c r="I93" s="7"/>
    </row>
    <row r="94" spans="1:9" x14ac:dyDescent="0.2">
      <c r="A94" s="7"/>
      <c r="B94" s="7"/>
      <c r="C94" s="7"/>
      <c r="D94" s="7"/>
      <c r="E94" s="7"/>
      <c r="F94" s="7"/>
      <c r="G94" s="7"/>
      <c r="H94" s="7"/>
      <c r="I94" s="7"/>
    </row>
    <row r="95" spans="1:9" x14ac:dyDescent="0.2">
      <c r="A95" s="7"/>
      <c r="B95" s="7"/>
      <c r="C95" s="7"/>
      <c r="D95" s="7"/>
      <c r="E95" s="7"/>
      <c r="F95" s="7"/>
      <c r="G95" s="7"/>
      <c r="H95" s="7"/>
      <c r="I95" s="7"/>
    </row>
    <row r="96" spans="1:9" x14ac:dyDescent="0.2">
      <c r="A96" s="7"/>
      <c r="B96" s="7"/>
      <c r="C96" s="7"/>
      <c r="D96" s="7"/>
      <c r="E96" s="7"/>
      <c r="F96" s="7"/>
      <c r="G96" s="7"/>
      <c r="H96" s="7"/>
      <c r="I96" s="7"/>
    </row>
    <row r="97" spans="1:9" x14ac:dyDescent="0.2">
      <c r="A97" s="7"/>
      <c r="B97" s="7"/>
      <c r="C97" s="7"/>
      <c r="D97" s="7"/>
      <c r="E97" s="7"/>
      <c r="F97" s="7"/>
      <c r="G97" s="7"/>
      <c r="H97" s="7"/>
      <c r="I97" s="7"/>
    </row>
    <row r="98" spans="1:9" x14ac:dyDescent="0.2">
      <c r="A98" s="7"/>
      <c r="B98" s="7"/>
      <c r="C98" s="7"/>
      <c r="D98" s="7"/>
      <c r="E98" s="7"/>
      <c r="F98" s="7"/>
      <c r="G98" s="7"/>
      <c r="H98" s="7"/>
      <c r="I98" s="7"/>
    </row>
    <row r="99" spans="1:9" x14ac:dyDescent="0.2">
      <c r="A99" s="7"/>
      <c r="B99" s="7"/>
      <c r="C99" s="7"/>
      <c r="D99" s="7"/>
      <c r="E99" s="7"/>
      <c r="F99" s="7"/>
      <c r="G99" s="7"/>
      <c r="H99" s="7"/>
      <c r="I99" s="7"/>
    </row>
    <row r="100" spans="1:9" x14ac:dyDescent="0.2">
      <c r="A100" s="7"/>
      <c r="B100" s="7"/>
      <c r="C100" s="7"/>
      <c r="D100" s="7"/>
      <c r="E100" s="7"/>
      <c r="F100" s="7"/>
      <c r="G100" s="7"/>
      <c r="H100" s="7"/>
      <c r="I100" s="7"/>
    </row>
    <row r="101" spans="1:9" x14ac:dyDescent="0.2">
      <c r="A101" s="7"/>
      <c r="B101" s="7"/>
      <c r="C101" s="7"/>
      <c r="D101" s="7"/>
      <c r="E101" s="7"/>
      <c r="F101" s="7"/>
      <c r="G101" s="7"/>
      <c r="H101" s="7"/>
      <c r="I101" s="7"/>
    </row>
    <row r="102" spans="1:9" x14ac:dyDescent="0.2">
      <c r="A102" s="7"/>
      <c r="B102" s="7"/>
      <c r="C102" s="7"/>
      <c r="D102" s="7"/>
      <c r="E102" s="7"/>
      <c r="F102" s="7"/>
      <c r="G102" s="7"/>
      <c r="H102" s="7"/>
      <c r="I102" s="7"/>
    </row>
    <row r="103" spans="1:9" x14ac:dyDescent="0.2">
      <c r="A103" s="7"/>
      <c r="B103" s="7"/>
      <c r="C103" s="7"/>
      <c r="D103" s="7"/>
      <c r="E103" s="7"/>
      <c r="F103" s="7"/>
      <c r="G103" s="7"/>
      <c r="H103" s="7"/>
      <c r="I103" s="7"/>
    </row>
    <row r="104" spans="1:9" x14ac:dyDescent="0.2">
      <c r="A104" s="7"/>
      <c r="B104" s="7"/>
      <c r="C104" s="7"/>
      <c r="D104" s="7"/>
      <c r="E104" s="7"/>
      <c r="F104" s="7"/>
      <c r="G104" s="7"/>
      <c r="H104" s="7"/>
      <c r="I104" s="7"/>
    </row>
    <row r="105" spans="1:9" x14ac:dyDescent="0.2">
      <c r="A105" s="7"/>
      <c r="B105" s="7"/>
      <c r="C105" s="7"/>
      <c r="D105" s="7"/>
      <c r="E105" s="7"/>
      <c r="F105" s="7"/>
      <c r="G105" s="7"/>
      <c r="H105" s="7"/>
      <c r="I105" s="7"/>
    </row>
    <row r="106" spans="1:9" x14ac:dyDescent="0.2">
      <c r="A106" s="7"/>
      <c r="B106" s="7"/>
      <c r="C106" s="7"/>
      <c r="D106" s="7"/>
      <c r="E106" s="7"/>
      <c r="F106" s="7"/>
      <c r="G106" s="7"/>
      <c r="H106" s="7"/>
      <c r="I106" s="7"/>
    </row>
    <row r="107" spans="1:9" x14ac:dyDescent="0.2">
      <c r="A107" s="7"/>
      <c r="B107" s="7"/>
      <c r="C107" s="7"/>
      <c r="D107" s="7"/>
      <c r="E107" s="7"/>
      <c r="F107" s="7"/>
      <c r="G107" s="7"/>
      <c r="H107" s="7"/>
      <c r="I107" s="7"/>
    </row>
    <row r="108" spans="1:9" x14ac:dyDescent="0.2">
      <c r="A108" s="7"/>
      <c r="B108" s="7"/>
      <c r="C108" s="7"/>
      <c r="D108" s="7"/>
      <c r="E108" s="7"/>
      <c r="F108" s="7"/>
      <c r="G108" s="7"/>
      <c r="H108" s="7"/>
      <c r="I108" s="7"/>
    </row>
    <row r="109" spans="1:9" x14ac:dyDescent="0.2">
      <c r="A109" s="7"/>
      <c r="B109" s="7"/>
      <c r="C109" s="7"/>
      <c r="D109" s="7"/>
      <c r="E109" s="7"/>
      <c r="F109" s="7"/>
      <c r="G109" s="7"/>
      <c r="H109" s="7"/>
      <c r="I109" s="7"/>
    </row>
    <row r="110" spans="1:9" x14ac:dyDescent="0.2">
      <c r="A110" s="7"/>
      <c r="B110" s="7"/>
      <c r="C110" s="7"/>
      <c r="D110" s="7"/>
      <c r="E110" s="7"/>
      <c r="F110" s="7"/>
      <c r="G110" s="7"/>
      <c r="H110" s="7"/>
      <c r="I110" s="7"/>
    </row>
    <row r="111" spans="1:9" x14ac:dyDescent="0.2">
      <c r="A111" s="7"/>
      <c r="B111" s="7"/>
      <c r="C111" s="7"/>
      <c r="D111" s="7"/>
      <c r="E111" s="7"/>
      <c r="F111" s="7"/>
      <c r="G111" s="7"/>
      <c r="H111" s="7"/>
      <c r="I111" s="7"/>
    </row>
    <row r="112" spans="1:9" x14ac:dyDescent="0.2">
      <c r="A112" s="7"/>
      <c r="B112" s="7"/>
      <c r="C112" s="7"/>
      <c r="D112" s="7"/>
      <c r="E112" s="7"/>
      <c r="F112" s="7"/>
      <c r="G112" s="7"/>
      <c r="H112" s="7"/>
      <c r="I112" s="7"/>
    </row>
    <row r="113" spans="1:9" x14ac:dyDescent="0.2">
      <c r="A113" s="7"/>
      <c r="B113" s="7"/>
      <c r="C113" s="7"/>
      <c r="D113" s="7"/>
      <c r="E113" s="7"/>
      <c r="F113" s="7"/>
      <c r="G113" s="7"/>
      <c r="H113" s="7"/>
      <c r="I113" s="7"/>
    </row>
    <row r="114" spans="1:9" x14ac:dyDescent="0.2">
      <c r="A114" s="7"/>
      <c r="B114" s="7"/>
      <c r="C114" s="7"/>
      <c r="D114" s="7"/>
      <c r="E114" s="7"/>
      <c r="F114" s="7"/>
      <c r="G114" s="7"/>
      <c r="H114" s="7"/>
      <c r="I114" s="7"/>
    </row>
    <row r="115" spans="1:9" x14ac:dyDescent="0.2">
      <c r="A115" s="11" t="s">
        <v>1</v>
      </c>
      <c r="B115" s="12"/>
      <c r="C115" s="12"/>
      <c r="D115" s="13"/>
      <c r="E115" s="8"/>
      <c r="F115" s="8"/>
      <c r="G115" s="8"/>
      <c r="H115" s="8"/>
      <c r="I115" s="1"/>
    </row>
    <row r="116" spans="1:9" x14ac:dyDescent="0.2">
      <c r="A116" s="14" t="s">
        <v>15</v>
      </c>
      <c r="B116" s="15"/>
      <c r="C116" s="15"/>
      <c r="D116" s="16"/>
      <c r="E116" s="8"/>
      <c r="F116" s="8"/>
      <c r="G116" s="8"/>
      <c r="H116" s="8"/>
      <c r="I116" s="1"/>
    </row>
    <row r="117" spans="1:9" x14ac:dyDescent="0.2">
      <c r="A117" s="17" t="s">
        <v>62</v>
      </c>
      <c r="B117" s="18"/>
      <c r="C117" s="18"/>
      <c r="D117" s="19"/>
      <c r="E117" s="8"/>
      <c r="F117" s="8"/>
      <c r="G117" s="8"/>
      <c r="H117" s="8"/>
      <c r="I117" s="1"/>
    </row>
    <row r="118" spans="1:9" x14ac:dyDescent="0.2">
      <c r="A118" s="20"/>
      <c r="B118" s="21"/>
      <c r="C118" s="22"/>
      <c r="D118" s="23"/>
      <c r="E118" s="8"/>
      <c r="F118" s="8" t="s">
        <v>34</v>
      </c>
      <c r="G118" s="8"/>
      <c r="H118" s="8"/>
      <c r="I118" s="1"/>
    </row>
    <row r="119" spans="1:9" ht="15.75" x14ac:dyDescent="0.25">
      <c r="A119" s="24" t="s">
        <v>2</v>
      </c>
      <c r="B119" s="25" t="str">
        <f>[1]Charters!B124</f>
        <v>American Academy of Innovation</v>
      </c>
      <c r="C119" s="26"/>
      <c r="D119" s="27"/>
      <c r="E119" s="8"/>
      <c r="F119" s="8"/>
      <c r="G119" s="8"/>
      <c r="H119" s="8"/>
      <c r="I119" s="1"/>
    </row>
    <row r="120" spans="1:9" x14ac:dyDescent="0.2">
      <c r="A120" s="24"/>
      <c r="B120" s="28"/>
      <c r="C120" s="26"/>
      <c r="D120" s="27"/>
      <c r="E120" s="8"/>
      <c r="F120" s="8"/>
      <c r="G120" s="8"/>
      <c r="H120" s="8"/>
      <c r="I120" s="1"/>
    </row>
    <row r="121" spans="1:9" x14ac:dyDescent="0.2">
      <c r="A121" s="29" t="s">
        <v>0</v>
      </c>
      <c r="B121" s="30">
        <f>[1]Charters!$E$6</f>
        <v>3184</v>
      </c>
      <c r="C121" s="26"/>
      <c r="D121" s="31"/>
      <c r="E121" s="8"/>
      <c r="F121" s="8"/>
      <c r="G121" s="8"/>
      <c r="H121" s="8"/>
      <c r="I121" s="1"/>
    </row>
    <row r="122" spans="1:9" x14ac:dyDescent="0.2">
      <c r="A122" s="32"/>
      <c r="B122" s="6"/>
      <c r="C122" s="33"/>
      <c r="D122" s="34" t="s">
        <v>3</v>
      </c>
      <c r="E122" s="8"/>
      <c r="F122" s="8"/>
      <c r="G122" s="8"/>
      <c r="H122" s="8"/>
      <c r="I122" s="1"/>
    </row>
    <row r="123" spans="1:9" x14ac:dyDescent="0.2">
      <c r="A123" s="29" t="s">
        <v>19</v>
      </c>
      <c r="B123" s="35" t="str">
        <f>[1]Charters!A124</f>
        <v>8K</v>
      </c>
      <c r="C123" s="36" t="s">
        <v>4</v>
      </c>
      <c r="D123" s="37" t="s">
        <v>5</v>
      </c>
      <c r="E123" s="8"/>
      <c r="F123" s="8"/>
      <c r="G123" s="8"/>
      <c r="H123" s="8"/>
      <c r="I123" s="1"/>
    </row>
    <row r="124" spans="1:9" x14ac:dyDescent="0.2">
      <c r="A124" s="38" t="s">
        <v>6</v>
      </c>
      <c r="B124" s="39"/>
      <c r="C124" s="40"/>
      <c r="D124" s="41"/>
      <c r="E124" s="8"/>
      <c r="F124" s="8"/>
      <c r="G124" s="8"/>
      <c r="H124" s="8"/>
      <c r="I124" s="1"/>
    </row>
    <row r="125" spans="1:9" x14ac:dyDescent="0.2">
      <c r="A125" s="38" t="s">
        <v>7</v>
      </c>
      <c r="B125" s="39"/>
      <c r="C125" s="40"/>
      <c r="D125" s="41"/>
      <c r="E125" s="8"/>
      <c r="F125" s="42" t="s">
        <v>23</v>
      </c>
      <c r="G125" s="8"/>
      <c r="H125" s="42" t="s">
        <v>26</v>
      </c>
      <c r="I125" s="1"/>
    </row>
    <row r="126" spans="1:9" x14ac:dyDescent="0.2">
      <c r="A126" s="20" t="s">
        <v>8</v>
      </c>
      <c r="B126" s="43"/>
      <c r="C126" s="44">
        <f>[1]Charters!C584</f>
        <v>220.32</v>
      </c>
      <c r="D126" s="45">
        <f>[1]Charters!E584</f>
        <v>701498.88</v>
      </c>
      <c r="E126" s="8"/>
      <c r="F126" s="42">
        <f>[1]Charters!E740</f>
        <v>741528.51</v>
      </c>
      <c r="G126" s="8"/>
      <c r="H126" s="42">
        <f>[2]Charters!E278</f>
        <v>912091.38</v>
      </c>
      <c r="I126" s="1"/>
    </row>
    <row r="127" spans="1:9" x14ac:dyDescent="0.2">
      <c r="A127" s="20" t="s">
        <v>14</v>
      </c>
      <c r="B127" s="43"/>
      <c r="C127" s="44">
        <f>[1]Charters!F584</f>
        <v>12.571999999999999</v>
      </c>
      <c r="D127" s="45">
        <f>[1]Charters!H584</f>
        <v>40029.629999999997</v>
      </c>
      <c r="E127" s="8"/>
      <c r="F127" s="42">
        <f>SUM(D126:D128)</f>
        <v>741528.51</v>
      </c>
      <c r="G127" s="8"/>
      <c r="H127" s="42">
        <f>D139</f>
        <v>912091.38</v>
      </c>
      <c r="I127" s="1"/>
    </row>
    <row r="128" spans="1:9" x14ac:dyDescent="0.2">
      <c r="A128" s="20" t="s">
        <v>32</v>
      </c>
      <c r="B128" s="43"/>
      <c r="C128" s="44">
        <f>[1]Charters!C277</f>
        <v>0</v>
      </c>
      <c r="D128" s="45">
        <f>[1]Charters!E277</f>
        <v>0</v>
      </c>
      <c r="E128" s="8"/>
      <c r="F128" s="42">
        <f>+F126-F127</f>
        <v>0</v>
      </c>
      <c r="G128" s="8"/>
      <c r="H128" s="42">
        <f>+H126-H127</f>
        <v>0</v>
      </c>
      <c r="I128" s="1"/>
    </row>
    <row r="129" spans="1:9" x14ac:dyDescent="0.2">
      <c r="A129" s="38" t="s">
        <v>9</v>
      </c>
      <c r="B129" s="39"/>
      <c r="C129" s="46"/>
      <c r="D129" s="47"/>
      <c r="E129" s="8"/>
      <c r="F129" s="8"/>
      <c r="G129" s="8"/>
      <c r="H129" s="8"/>
      <c r="I129" s="1"/>
    </row>
    <row r="130" spans="1:9" x14ac:dyDescent="0.2">
      <c r="A130" s="20" t="s">
        <v>10</v>
      </c>
      <c r="B130" s="43"/>
      <c r="C130" s="40">
        <f>[3]Charters!C123</f>
        <v>36</v>
      </c>
      <c r="D130" s="41">
        <f>[3]Charters!E123</f>
        <v>114624</v>
      </c>
      <c r="E130" s="8"/>
      <c r="F130" s="42" t="s">
        <v>24</v>
      </c>
      <c r="G130" s="8"/>
      <c r="H130" s="8"/>
      <c r="I130" s="1"/>
    </row>
    <row r="131" spans="1:9" x14ac:dyDescent="0.2">
      <c r="A131" s="48" t="s">
        <v>11</v>
      </c>
      <c r="B131" s="43"/>
      <c r="C131" s="40">
        <f>[3]Charters!F123</f>
        <v>3.1230000000000002</v>
      </c>
      <c r="D131" s="49">
        <f>[3]Charters!H123</f>
        <v>9943.58</v>
      </c>
      <c r="E131" s="8"/>
      <c r="F131" s="42">
        <f>[3]Charters!N436</f>
        <v>129526.69</v>
      </c>
      <c r="G131" s="8"/>
      <c r="H131" s="8"/>
      <c r="I131" s="1"/>
    </row>
    <row r="132" spans="1:9" x14ac:dyDescent="0.2">
      <c r="A132" s="48" t="s">
        <v>12</v>
      </c>
      <c r="B132" s="43"/>
      <c r="C132" s="40">
        <f>[3]Charters!C278</f>
        <v>0</v>
      </c>
      <c r="D132" s="41">
        <f>[3]Charters!E278</f>
        <v>0</v>
      </c>
      <c r="E132" s="8"/>
      <c r="F132" s="42">
        <f>SUM(D130:D136)</f>
        <v>129526.69</v>
      </c>
      <c r="G132" s="8"/>
      <c r="H132" s="8"/>
      <c r="I132" s="1"/>
    </row>
    <row r="133" spans="1:9" x14ac:dyDescent="0.2">
      <c r="A133" s="20" t="s">
        <v>13</v>
      </c>
      <c r="B133" s="43"/>
      <c r="C133" s="40">
        <f>[3]Charters!F278</f>
        <v>0.70899999999999996</v>
      </c>
      <c r="D133" s="41">
        <f>[3]Charters!H278</f>
        <v>2259</v>
      </c>
      <c r="E133" s="8"/>
      <c r="F133" s="42">
        <f>+F131-F132</f>
        <v>0</v>
      </c>
      <c r="G133" s="8"/>
      <c r="H133" s="8"/>
      <c r="I133" s="1"/>
    </row>
    <row r="134" spans="1:9" x14ac:dyDescent="0.2">
      <c r="A134" s="48" t="s">
        <v>54</v>
      </c>
      <c r="B134" s="43"/>
      <c r="C134" s="40">
        <f>[3]Charters!C436</f>
        <v>0.84799999999999998</v>
      </c>
      <c r="D134" s="41">
        <f>[3]Charters!E436</f>
        <v>2700.11</v>
      </c>
      <c r="E134" s="8"/>
      <c r="F134" s="8"/>
      <c r="G134" s="8"/>
      <c r="H134" s="8"/>
      <c r="I134" s="1"/>
    </row>
    <row r="135" spans="1:9" x14ac:dyDescent="0.2">
      <c r="A135" s="48" t="s">
        <v>55</v>
      </c>
      <c r="B135" s="43"/>
      <c r="C135" s="40">
        <f>[3]Charters!F436</f>
        <v>0</v>
      </c>
      <c r="D135" s="41">
        <f>[3]Charters!H436</f>
        <v>0</v>
      </c>
      <c r="E135" s="8"/>
      <c r="F135" s="42" t="s">
        <v>25</v>
      </c>
      <c r="G135" s="8"/>
      <c r="H135" s="8"/>
      <c r="I135" s="1"/>
    </row>
    <row r="136" spans="1:9" x14ac:dyDescent="0.2">
      <c r="A136" s="48" t="s">
        <v>56</v>
      </c>
      <c r="B136" s="43"/>
      <c r="C136" s="40">
        <f>[3]Charters!I436</f>
        <v>0</v>
      </c>
      <c r="D136" s="41">
        <f>[3]Charters!K436</f>
        <v>0</v>
      </c>
      <c r="E136" s="8"/>
      <c r="F136" s="42">
        <f>[2]Charters!H124</f>
        <v>170562.87</v>
      </c>
      <c r="G136" s="8"/>
      <c r="H136" s="8"/>
      <c r="I136" s="1"/>
    </row>
    <row r="137" spans="1:9" x14ac:dyDescent="0.2">
      <c r="A137" s="20" t="s">
        <v>49</v>
      </c>
      <c r="B137" s="43"/>
      <c r="C137" s="40">
        <f>[3]Charters!C591</f>
        <v>0</v>
      </c>
      <c r="D137" s="41">
        <f>[3]Charters!E591</f>
        <v>0</v>
      </c>
      <c r="E137" s="8"/>
      <c r="F137" s="42">
        <f>SUM(D130:D138)</f>
        <v>170562.87</v>
      </c>
      <c r="G137" s="8"/>
      <c r="H137" s="8"/>
      <c r="I137" s="1"/>
    </row>
    <row r="138" spans="1:9" x14ac:dyDescent="0.2">
      <c r="A138" s="20" t="s">
        <v>50</v>
      </c>
      <c r="B138" s="43"/>
      <c r="C138" s="40">
        <f>[2]Charters!C124</f>
        <v>12.888</v>
      </c>
      <c r="D138" s="41">
        <f>[2]Charters!E124</f>
        <v>41036.18</v>
      </c>
      <c r="E138" s="8"/>
      <c r="F138" s="42">
        <f>+F136-F137</f>
        <v>0</v>
      </c>
      <c r="G138" s="8"/>
      <c r="H138" s="8"/>
      <c r="I138" s="1"/>
    </row>
    <row r="139" spans="1:9" x14ac:dyDescent="0.2">
      <c r="A139" s="50"/>
      <c r="B139" s="51" t="s">
        <v>16</v>
      </c>
      <c r="C139" s="52">
        <f>SUM(C126:C138)</f>
        <v>286.45999999999998</v>
      </c>
      <c r="D139" s="53">
        <f>SUM(D126:D138)</f>
        <v>912091.38</v>
      </c>
      <c r="E139" s="8"/>
      <c r="F139" s="8"/>
      <c r="G139" s="8"/>
      <c r="H139" s="8"/>
      <c r="I139" s="1"/>
    </row>
    <row r="140" spans="1:9" x14ac:dyDescent="0.2">
      <c r="A140" s="54" t="s">
        <v>17</v>
      </c>
      <c r="B140" s="39"/>
      <c r="C140" s="55"/>
      <c r="D140" s="47"/>
      <c r="E140" s="8"/>
      <c r="F140" s="8"/>
      <c r="G140" s="8"/>
      <c r="H140" s="42" t="s">
        <v>29</v>
      </c>
      <c r="I140" s="1"/>
    </row>
    <row r="141" spans="1:9" x14ac:dyDescent="0.2">
      <c r="A141" s="20" t="s">
        <v>33</v>
      </c>
      <c r="B141" s="43"/>
      <c r="C141" s="56"/>
      <c r="D141" s="57">
        <f>[4]Charters!C125</f>
        <v>2643.67</v>
      </c>
      <c r="E141" s="8"/>
      <c r="F141" s="8"/>
      <c r="G141" s="8"/>
      <c r="H141" s="42">
        <f>[4]Charters!F1064</f>
        <v>1481537.33</v>
      </c>
      <c r="I141" s="1"/>
    </row>
    <row r="142" spans="1:9" x14ac:dyDescent="0.2">
      <c r="A142" s="58" t="s">
        <v>35</v>
      </c>
      <c r="B142" s="43"/>
      <c r="C142" s="56"/>
      <c r="D142" s="41">
        <f>+[4]Charters!F446</f>
        <v>1060.4000000000001</v>
      </c>
      <c r="E142" s="8"/>
      <c r="F142" s="8"/>
      <c r="G142" s="8"/>
      <c r="H142" s="42">
        <f>SUM(D139:D158)</f>
        <v>1481537.33</v>
      </c>
      <c r="I142" s="1"/>
    </row>
    <row r="143" spans="1:9" x14ac:dyDescent="0.2">
      <c r="A143" s="59" t="s">
        <v>36</v>
      </c>
      <c r="B143" s="43"/>
      <c r="C143" s="56"/>
      <c r="D143" s="41">
        <f>[4]Charters!E285</f>
        <v>6757</v>
      </c>
      <c r="E143" s="8"/>
      <c r="F143" s="8"/>
      <c r="G143" s="8"/>
      <c r="H143" s="42">
        <f>+H141-H142</f>
        <v>0</v>
      </c>
      <c r="I143" s="1"/>
    </row>
    <row r="144" spans="1:9" x14ac:dyDescent="0.2">
      <c r="A144" s="59" t="s">
        <v>52</v>
      </c>
      <c r="B144" s="43"/>
      <c r="C144" s="56"/>
      <c r="D144" s="41">
        <f>[4]Charters!G446</f>
        <v>0</v>
      </c>
      <c r="E144" s="8"/>
      <c r="F144" s="42" t="s">
        <v>27</v>
      </c>
      <c r="G144" s="8"/>
      <c r="H144" s="42"/>
      <c r="I144" s="1"/>
    </row>
    <row r="145" spans="1:9" x14ac:dyDescent="0.2">
      <c r="A145" s="20" t="s">
        <v>37</v>
      </c>
      <c r="B145" s="43"/>
      <c r="C145" s="56"/>
      <c r="D145" s="41">
        <f>[4]Charters!E602</f>
        <v>25738</v>
      </c>
      <c r="E145" s="8"/>
      <c r="F145" s="42">
        <f>[4]Charters!E285</f>
        <v>6757</v>
      </c>
      <c r="G145" s="8"/>
      <c r="H145" s="8"/>
      <c r="I145" s="1"/>
    </row>
    <row r="146" spans="1:9" x14ac:dyDescent="0.2">
      <c r="A146" s="20" t="s">
        <v>38</v>
      </c>
      <c r="B146" s="43"/>
      <c r="C146" s="56"/>
      <c r="D146" s="41">
        <f>[4]Charters!F602</f>
        <v>0</v>
      </c>
      <c r="E146" s="8"/>
      <c r="F146" s="42">
        <f>SUM(D143:D143)</f>
        <v>6757</v>
      </c>
      <c r="G146" s="8"/>
      <c r="H146" s="8"/>
      <c r="I146" s="1"/>
    </row>
    <row r="147" spans="1:9" x14ac:dyDescent="0.2">
      <c r="A147" s="59" t="s">
        <v>40</v>
      </c>
      <c r="B147" s="43"/>
      <c r="C147" s="56"/>
      <c r="D147" s="41">
        <f>[4]Charters!G602</f>
        <v>0</v>
      </c>
      <c r="E147" s="8"/>
      <c r="F147" s="42">
        <f>+F145-F146</f>
        <v>0</v>
      </c>
      <c r="G147" s="8"/>
      <c r="H147" s="8"/>
      <c r="I147" s="1"/>
    </row>
    <row r="148" spans="1:9" x14ac:dyDescent="0.2">
      <c r="A148" s="20" t="s">
        <v>41</v>
      </c>
      <c r="B148" s="43"/>
      <c r="C148" s="56"/>
      <c r="D148" s="41">
        <f>[4]Charters!C755</f>
        <v>428214</v>
      </c>
      <c r="E148" s="8"/>
      <c r="F148" s="42" t="s">
        <v>28</v>
      </c>
      <c r="G148" s="8"/>
      <c r="H148" s="8"/>
      <c r="I148" s="1"/>
    </row>
    <row r="149" spans="1:9" x14ac:dyDescent="0.2">
      <c r="A149" s="20" t="s">
        <v>42</v>
      </c>
      <c r="B149" s="43"/>
      <c r="C149" s="56"/>
      <c r="D149" s="41">
        <f>[4]Charters!D755</f>
        <v>83200.86</v>
      </c>
      <c r="E149" s="8"/>
      <c r="F149" s="42">
        <f>[4]Charters!D602</f>
        <v>7817.4</v>
      </c>
      <c r="G149" s="8"/>
      <c r="H149" s="8"/>
      <c r="I149" s="1"/>
    </row>
    <row r="150" spans="1:9" x14ac:dyDescent="0.2">
      <c r="A150" s="20" t="s">
        <v>44</v>
      </c>
      <c r="B150" s="43"/>
      <c r="C150" s="56"/>
      <c r="D150" s="41">
        <f>[4]Charters!E755</f>
        <v>21400</v>
      </c>
      <c r="E150" s="8"/>
      <c r="F150" s="42">
        <f>SUM(D142:D144)</f>
        <v>7817.4</v>
      </c>
      <c r="G150" s="8"/>
      <c r="H150" s="8"/>
      <c r="I150" s="1"/>
    </row>
    <row r="151" spans="1:9" x14ac:dyDescent="0.2">
      <c r="A151" s="59" t="s">
        <v>43</v>
      </c>
      <c r="B151" s="43"/>
      <c r="C151" s="56"/>
      <c r="D151" s="41">
        <f>[4]Charters!F755</f>
        <v>0</v>
      </c>
      <c r="E151" s="8"/>
      <c r="F151" s="42">
        <f>+F149-F150</f>
        <v>0</v>
      </c>
      <c r="G151" s="8"/>
      <c r="H151" s="8"/>
      <c r="I151" s="1"/>
    </row>
    <row r="152" spans="1:9" x14ac:dyDescent="0.2">
      <c r="A152" s="59" t="s">
        <v>45</v>
      </c>
      <c r="B152" s="43"/>
      <c r="C152" s="56"/>
      <c r="D152" s="41">
        <f>[4]Charters!C602</f>
        <v>0</v>
      </c>
      <c r="E152" s="8"/>
      <c r="F152" s="8"/>
      <c r="G152" s="8"/>
      <c r="H152" s="8"/>
      <c r="I152" s="1"/>
    </row>
    <row r="153" spans="1:9" x14ac:dyDescent="0.2">
      <c r="A153" s="59" t="s">
        <v>46</v>
      </c>
      <c r="B153" s="43"/>
      <c r="C153" s="56"/>
      <c r="D153" s="41">
        <f>[4]Charters!C911</f>
        <v>0</v>
      </c>
      <c r="E153" s="42"/>
      <c r="F153" s="42"/>
      <c r="G153" s="42"/>
      <c r="H153" s="42" t="s">
        <v>31</v>
      </c>
      <c r="I153" s="82"/>
    </row>
    <row r="154" spans="1:9" x14ac:dyDescent="0.2">
      <c r="A154" s="59" t="s">
        <v>51</v>
      </c>
      <c r="B154" s="43"/>
      <c r="C154" s="56"/>
      <c r="D154" s="60">
        <f>[4]Charters!D911</f>
        <v>432.02</v>
      </c>
      <c r="E154" s="42"/>
      <c r="F154" s="42"/>
      <c r="G154" s="42"/>
      <c r="H154" s="42">
        <f>[4]Charters!D1370</f>
        <v>1489734.01</v>
      </c>
      <c r="I154" s="82"/>
    </row>
    <row r="155" spans="1:9" x14ac:dyDescent="0.2">
      <c r="A155" s="20" t="s">
        <v>47</v>
      </c>
      <c r="B155" s="43"/>
      <c r="C155" s="56"/>
      <c r="D155" s="60">
        <f>[4]Charters!E911</f>
        <v>0</v>
      </c>
      <c r="E155" s="42"/>
      <c r="F155" s="42"/>
      <c r="G155" s="42"/>
      <c r="H155" s="42">
        <f>D164</f>
        <v>1489734.01</v>
      </c>
      <c r="I155" s="82"/>
    </row>
    <row r="156" spans="1:9" x14ac:dyDescent="0.2">
      <c r="A156" s="20" t="s">
        <v>57</v>
      </c>
      <c r="B156" s="43"/>
      <c r="C156" s="56"/>
      <c r="D156" s="60">
        <f>[4]Charters!C1064</f>
        <v>0</v>
      </c>
      <c r="E156" s="42"/>
      <c r="F156" s="42"/>
      <c r="G156" s="42"/>
      <c r="H156" s="42">
        <f>+H154-H155</f>
        <v>0</v>
      </c>
      <c r="I156" s="82"/>
    </row>
    <row r="157" spans="1:9" x14ac:dyDescent="0.2">
      <c r="A157" s="59" t="s">
        <v>53</v>
      </c>
      <c r="B157" s="43"/>
      <c r="C157" s="56"/>
      <c r="D157" s="60">
        <f>[4]Charters!D1064</f>
        <v>0</v>
      </c>
      <c r="E157" s="42"/>
      <c r="F157" s="42" t="s">
        <v>30</v>
      </c>
      <c r="G157" s="42"/>
      <c r="H157" s="42"/>
      <c r="I157" s="82"/>
    </row>
    <row r="158" spans="1:9" x14ac:dyDescent="0.2">
      <c r="A158" s="59" t="s">
        <v>59</v>
      </c>
      <c r="B158" s="43"/>
      <c r="C158" s="56"/>
      <c r="D158" s="60">
        <f>[4]Charters!E1064</f>
        <v>0</v>
      </c>
      <c r="E158" s="42"/>
      <c r="F158" s="42"/>
      <c r="G158" s="42"/>
      <c r="H158" s="42"/>
      <c r="I158" s="82"/>
    </row>
    <row r="159" spans="1:9" x14ac:dyDescent="0.2">
      <c r="A159" s="38" t="s">
        <v>18</v>
      </c>
      <c r="B159" s="61"/>
      <c r="C159" s="62"/>
      <c r="D159" s="87"/>
      <c r="E159" s="42"/>
      <c r="F159" s="42">
        <f>[4]Charters!C1370</f>
        <v>8196.68</v>
      </c>
      <c r="G159" s="42"/>
      <c r="H159" s="42"/>
      <c r="I159" s="82"/>
    </row>
    <row r="160" spans="1:9" x14ac:dyDescent="0.2">
      <c r="A160" s="59" t="s">
        <v>39</v>
      </c>
      <c r="B160" s="43"/>
      <c r="C160" s="56"/>
      <c r="D160" s="41">
        <f>[4]Charters!C1217</f>
        <v>3196.68</v>
      </c>
      <c r="E160" s="42"/>
      <c r="F160" s="42">
        <f>SUM(D160:D163)</f>
        <v>8196.68</v>
      </c>
      <c r="G160" s="42"/>
      <c r="H160" s="42"/>
      <c r="I160" s="82"/>
    </row>
    <row r="161" spans="1:9" x14ac:dyDescent="0.2">
      <c r="A161" s="59" t="s">
        <v>48</v>
      </c>
      <c r="B161" s="43"/>
      <c r="C161" s="56"/>
      <c r="D161" s="41">
        <f>[4]Charters!D1217</f>
        <v>0</v>
      </c>
      <c r="E161" s="42"/>
      <c r="F161" s="42">
        <f>+F159-F160</f>
        <v>0</v>
      </c>
      <c r="G161" s="42"/>
      <c r="H161" s="42"/>
      <c r="I161" s="82"/>
    </row>
    <row r="162" spans="1:9" x14ac:dyDescent="0.2">
      <c r="A162" s="59" t="s">
        <v>60</v>
      </c>
      <c r="B162" s="43"/>
      <c r="C162" s="56"/>
      <c r="D162" s="41">
        <f>[4]Charters!E1217</f>
        <v>0</v>
      </c>
      <c r="E162" s="42"/>
      <c r="F162" s="42"/>
      <c r="G162" s="42"/>
      <c r="H162" s="42"/>
      <c r="I162" s="82"/>
    </row>
    <row r="163" spans="1:9" x14ac:dyDescent="0.2">
      <c r="A163" s="59" t="s">
        <v>61</v>
      </c>
      <c r="B163" s="43"/>
      <c r="C163" s="56"/>
      <c r="D163" s="41">
        <f>[4]Charters!F1217</f>
        <v>5000</v>
      </c>
      <c r="E163" s="42"/>
      <c r="F163" s="42"/>
      <c r="G163" s="42"/>
      <c r="H163" s="42"/>
      <c r="I163" s="82"/>
    </row>
    <row r="164" spans="1:9" ht="13.5" thickBot="1" x14ac:dyDescent="0.25">
      <c r="A164" s="64"/>
      <c r="B164" s="65"/>
      <c r="C164" s="66"/>
      <c r="D164" s="67">
        <f>SUM(D139:D163)</f>
        <v>1489734.01</v>
      </c>
      <c r="E164" s="42"/>
      <c r="F164" s="42"/>
      <c r="G164" s="42"/>
      <c r="H164" s="42"/>
      <c r="I164" s="82"/>
    </row>
    <row r="165" spans="1:9" ht="13.5" thickTop="1" x14ac:dyDescent="0.2">
      <c r="A165" s="68"/>
      <c r="B165" s="43"/>
      <c r="C165" s="56"/>
      <c r="D165" s="86"/>
      <c r="E165" s="42"/>
      <c r="F165" s="42"/>
      <c r="G165" s="42"/>
      <c r="H165" s="42"/>
      <c r="I165" s="82"/>
    </row>
    <row r="166" spans="1:9" x14ac:dyDescent="0.2">
      <c r="A166" s="38" t="s">
        <v>20</v>
      </c>
      <c r="B166" s="39"/>
      <c r="C166" s="70"/>
      <c r="D166" s="71" t="s">
        <v>21</v>
      </c>
      <c r="E166" s="42"/>
      <c r="F166" s="42"/>
      <c r="G166" s="42"/>
      <c r="H166" s="42"/>
      <c r="I166" s="82"/>
    </row>
    <row r="167" spans="1:9" x14ac:dyDescent="0.2">
      <c r="A167" s="72" t="s">
        <v>22</v>
      </c>
      <c r="B167" s="73"/>
      <c r="C167" s="74"/>
      <c r="D167" s="41">
        <f>[5]Charters!C123</f>
        <v>553.46</v>
      </c>
      <c r="E167" s="42"/>
      <c r="F167" s="42"/>
      <c r="G167" s="42"/>
      <c r="H167" s="42"/>
      <c r="I167" s="82"/>
    </row>
    <row r="168" spans="1:9" x14ac:dyDescent="0.2">
      <c r="A168" s="75"/>
      <c r="B168" s="61"/>
      <c r="C168" s="76"/>
      <c r="D168" s="77">
        <f>SUM(D167:D167)</f>
        <v>553.46</v>
      </c>
      <c r="E168" s="42"/>
      <c r="F168" s="42"/>
      <c r="G168" s="42"/>
      <c r="H168" s="42"/>
      <c r="I168" s="82"/>
    </row>
    <row r="169" spans="1:9" x14ac:dyDescent="0.2">
      <c r="A169" s="78" t="s">
        <v>58</v>
      </c>
      <c r="B169" s="79"/>
      <c r="C169" s="80"/>
      <c r="D169" s="77">
        <f>D168+D164</f>
        <v>1490287.47</v>
      </c>
      <c r="E169" s="42"/>
      <c r="F169" s="42"/>
      <c r="G169" s="42"/>
      <c r="H169" s="42"/>
      <c r="I169" s="82"/>
    </row>
    <row r="170" spans="1:9" x14ac:dyDescent="0.2">
      <c r="A170" s="84"/>
      <c r="B170" s="84"/>
      <c r="C170" s="85"/>
      <c r="D170" s="81"/>
      <c r="E170" s="42"/>
      <c r="F170" s="42"/>
      <c r="G170" s="42"/>
      <c r="H170" s="42"/>
      <c r="I170" s="82"/>
    </row>
    <row r="171" spans="1:9" x14ac:dyDescent="0.2">
      <c r="A171" s="84"/>
      <c r="B171" s="84"/>
      <c r="C171" s="85"/>
      <c r="D171" s="81">
        <f>[5]Charters!E279</f>
        <v>1490287.47</v>
      </c>
      <c r="E171" s="42"/>
      <c r="F171" s="42"/>
      <c r="G171" s="42"/>
      <c r="H171" s="42"/>
      <c r="I171" s="82"/>
    </row>
    <row r="172" spans="1:9" x14ac:dyDescent="0.2">
      <c r="A172" s="84"/>
      <c r="B172" s="84"/>
      <c r="C172" s="85"/>
      <c r="D172" s="81">
        <f>D169</f>
        <v>1490287.47</v>
      </c>
      <c r="E172" s="42"/>
      <c r="F172" s="42"/>
      <c r="G172" s="42"/>
      <c r="H172" s="42"/>
      <c r="I172" s="82"/>
    </row>
    <row r="173" spans="1:9" x14ac:dyDescent="0.2">
      <c r="A173" s="82"/>
      <c r="B173" s="82"/>
      <c r="C173" s="83"/>
      <c r="D173" s="42">
        <f>D171-D172</f>
        <v>0</v>
      </c>
      <c r="E173" s="42"/>
      <c r="F173" s="42"/>
      <c r="G173" s="42"/>
      <c r="H173" s="42"/>
      <c r="I173" s="82"/>
    </row>
  </sheetData>
  <mergeCells count="4">
    <mergeCell ref="A115:D115"/>
    <mergeCell ref="A116:D116"/>
    <mergeCell ref="A117:D117"/>
    <mergeCell ref="A169:C169"/>
  </mergeCells>
  <pageMargins left="0.7" right="0.7" top="0.75" bottom="0.75" header="0.3" footer="0.3"/>
  <picture r:id="rId1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B00-000000000000}">
  <dimension ref="A1:I174"/>
  <sheetViews>
    <sheetView topLeftCell="A112" workbookViewId="0">
      <selection activeCell="C12" sqref="C12"/>
    </sheetView>
  </sheetViews>
  <sheetFormatPr defaultRowHeight="12.75" x14ac:dyDescent="0.2"/>
  <cols>
    <col min="1" max="1" width="31.42578125" style="89" customWidth="1"/>
    <col min="2" max="2" width="16.42578125" style="89" customWidth="1"/>
    <col min="3" max="3" width="15.28515625" style="89" customWidth="1"/>
    <col min="4" max="4" width="15.7109375" style="89" customWidth="1"/>
    <col min="5" max="5" width="9.140625" style="89"/>
    <col min="6" max="6" width="23.42578125" style="89" bestFit="1" customWidth="1"/>
    <col min="7" max="7" width="9.140625" style="89"/>
    <col min="8" max="8" width="23" style="89" bestFit="1" customWidth="1"/>
    <col min="9" max="16384" width="9.140625" style="89"/>
  </cols>
  <sheetData>
    <row r="1" spans="1:9" x14ac:dyDescent="0.2">
      <c r="A1" s="7"/>
      <c r="B1" s="7"/>
      <c r="C1" s="7"/>
      <c r="D1" s="7"/>
      <c r="E1" s="7"/>
      <c r="F1" s="7"/>
      <c r="G1" s="7"/>
      <c r="H1" s="7"/>
      <c r="I1" s="7"/>
    </row>
    <row r="2" spans="1:9" x14ac:dyDescent="0.2">
      <c r="A2" s="7"/>
      <c r="B2" s="7"/>
      <c r="C2" s="7"/>
      <c r="D2" s="7"/>
      <c r="E2" s="7"/>
      <c r="F2" s="7"/>
      <c r="G2" s="7"/>
      <c r="H2" s="7"/>
      <c r="I2" s="7"/>
    </row>
    <row r="3" spans="1:9" x14ac:dyDescent="0.2">
      <c r="A3" s="7"/>
      <c r="B3" s="7"/>
      <c r="C3" s="7"/>
      <c r="D3" s="7"/>
      <c r="E3" s="7"/>
      <c r="F3" s="7"/>
      <c r="G3" s="7"/>
      <c r="H3" s="7"/>
      <c r="I3" s="7"/>
    </row>
    <row r="4" spans="1:9" x14ac:dyDescent="0.2">
      <c r="A4" s="7"/>
      <c r="B4" s="7"/>
      <c r="C4" s="7"/>
      <c r="D4" s="7"/>
      <c r="E4" s="7"/>
      <c r="F4" s="7"/>
      <c r="G4" s="7"/>
      <c r="H4" s="7"/>
      <c r="I4" s="7"/>
    </row>
    <row r="5" spans="1:9" x14ac:dyDescent="0.2">
      <c r="A5" s="7"/>
      <c r="B5" s="7"/>
      <c r="C5" s="7"/>
      <c r="D5" s="7"/>
      <c r="E5" s="7"/>
      <c r="F5" s="7"/>
      <c r="G5" s="7"/>
      <c r="H5" s="7"/>
      <c r="I5" s="7"/>
    </row>
    <row r="6" spans="1:9" x14ac:dyDescent="0.2">
      <c r="A6" s="7"/>
      <c r="B6" s="7"/>
      <c r="C6" s="7"/>
      <c r="D6" s="7"/>
      <c r="E6" s="7"/>
      <c r="F6" s="7"/>
      <c r="G6" s="7"/>
      <c r="H6" s="7"/>
      <c r="I6" s="7"/>
    </row>
    <row r="7" spans="1:9" x14ac:dyDescent="0.2">
      <c r="A7" s="7"/>
      <c r="B7" s="7"/>
      <c r="C7" s="7"/>
      <c r="D7" s="7"/>
      <c r="E7" s="7"/>
      <c r="F7" s="7"/>
      <c r="G7" s="7"/>
      <c r="H7" s="7"/>
      <c r="I7" s="7"/>
    </row>
    <row r="8" spans="1:9" x14ac:dyDescent="0.2">
      <c r="A8" s="7"/>
      <c r="B8" s="7"/>
      <c r="C8" s="7"/>
      <c r="D8" s="7"/>
      <c r="E8" s="7"/>
      <c r="F8" s="7"/>
      <c r="G8" s="7"/>
      <c r="H8" s="7"/>
      <c r="I8" s="7"/>
    </row>
    <row r="9" spans="1:9" x14ac:dyDescent="0.2">
      <c r="A9" s="7"/>
      <c r="B9" s="7"/>
      <c r="C9" s="7"/>
      <c r="D9" s="7"/>
      <c r="E9" s="7"/>
      <c r="F9" s="7"/>
      <c r="G9" s="7"/>
      <c r="H9" s="7"/>
      <c r="I9" s="7"/>
    </row>
    <row r="10" spans="1:9" x14ac:dyDescent="0.2">
      <c r="A10" s="7"/>
      <c r="B10" s="7"/>
      <c r="C10" s="7"/>
      <c r="D10" s="7"/>
      <c r="E10" s="7"/>
      <c r="F10" s="7"/>
      <c r="G10" s="7"/>
      <c r="H10" s="7"/>
      <c r="I10" s="7"/>
    </row>
    <row r="11" spans="1:9" x14ac:dyDescent="0.2">
      <c r="A11" s="7"/>
      <c r="B11" s="7"/>
      <c r="C11" s="7"/>
      <c r="D11" s="7"/>
      <c r="E11" s="7"/>
      <c r="F11" s="7"/>
      <c r="G11" s="7"/>
      <c r="H11" s="7"/>
      <c r="I11" s="7"/>
    </row>
    <row r="12" spans="1:9" x14ac:dyDescent="0.2">
      <c r="A12" s="7"/>
      <c r="B12" s="7"/>
      <c r="C12" s="7"/>
      <c r="D12" s="7"/>
      <c r="E12" s="7"/>
      <c r="F12" s="7"/>
      <c r="G12" s="7"/>
      <c r="H12" s="7"/>
      <c r="I12" s="7"/>
    </row>
    <row r="13" spans="1:9" x14ac:dyDescent="0.2">
      <c r="A13" s="7"/>
      <c r="B13" s="7"/>
      <c r="C13" s="7"/>
      <c r="D13" s="7"/>
      <c r="E13" s="7"/>
      <c r="F13" s="7"/>
      <c r="G13" s="7"/>
      <c r="H13" s="7"/>
      <c r="I13" s="7"/>
    </row>
    <row r="14" spans="1:9" x14ac:dyDescent="0.2">
      <c r="A14" s="7"/>
      <c r="B14" s="7"/>
      <c r="C14" s="7"/>
      <c r="D14" s="7"/>
      <c r="E14" s="7"/>
      <c r="F14" s="7"/>
      <c r="G14" s="7"/>
      <c r="H14" s="7"/>
      <c r="I14" s="7"/>
    </row>
    <row r="15" spans="1:9" x14ac:dyDescent="0.2">
      <c r="A15" s="7"/>
      <c r="B15" s="7"/>
      <c r="C15" s="7"/>
      <c r="D15" s="7"/>
      <c r="E15" s="7"/>
      <c r="F15" s="7"/>
      <c r="G15" s="7"/>
      <c r="H15" s="7"/>
      <c r="I15" s="7"/>
    </row>
    <row r="16" spans="1:9" x14ac:dyDescent="0.2">
      <c r="A16" s="7"/>
      <c r="B16" s="7"/>
      <c r="C16" s="7"/>
      <c r="D16" s="7"/>
      <c r="E16" s="7"/>
      <c r="F16" s="7"/>
      <c r="G16" s="7"/>
      <c r="H16" s="7"/>
      <c r="I16" s="7"/>
    </row>
    <row r="17" spans="1:9" x14ac:dyDescent="0.2">
      <c r="A17" s="7"/>
      <c r="B17" s="7"/>
      <c r="C17" s="7"/>
      <c r="D17" s="7"/>
      <c r="E17" s="7"/>
      <c r="F17" s="7"/>
      <c r="G17" s="7"/>
      <c r="H17" s="7"/>
      <c r="I17" s="7"/>
    </row>
    <row r="18" spans="1:9" x14ac:dyDescent="0.2">
      <c r="A18" s="7"/>
      <c r="B18" s="7"/>
      <c r="C18" s="7"/>
      <c r="D18" s="7"/>
      <c r="E18" s="7"/>
      <c r="F18" s="7"/>
      <c r="G18" s="7"/>
      <c r="H18" s="7"/>
      <c r="I18" s="7"/>
    </row>
    <row r="19" spans="1:9" x14ac:dyDescent="0.2">
      <c r="A19" s="7"/>
      <c r="B19" s="7"/>
      <c r="C19" s="7"/>
      <c r="D19" s="7"/>
      <c r="E19" s="7"/>
      <c r="F19" s="7"/>
      <c r="G19" s="7"/>
      <c r="H19" s="7"/>
      <c r="I19" s="7"/>
    </row>
    <row r="20" spans="1:9" x14ac:dyDescent="0.2">
      <c r="A20" s="7"/>
      <c r="B20" s="7"/>
      <c r="C20" s="7"/>
      <c r="D20" s="7"/>
      <c r="E20" s="7"/>
      <c r="F20" s="7"/>
      <c r="G20" s="7"/>
      <c r="H20" s="7"/>
      <c r="I20" s="7"/>
    </row>
    <row r="21" spans="1:9" x14ac:dyDescent="0.2">
      <c r="A21" s="7"/>
      <c r="B21" s="7"/>
      <c r="C21" s="7"/>
      <c r="D21" s="7"/>
      <c r="E21" s="7"/>
      <c r="F21" s="7"/>
      <c r="G21" s="7"/>
      <c r="H21" s="7"/>
      <c r="I21" s="7"/>
    </row>
    <row r="22" spans="1:9" x14ac:dyDescent="0.2">
      <c r="A22" s="7"/>
      <c r="B22" s="7"/>
      <c r="C22" s="7"/>
      <c r="D22" s="4"/>
      <c r="E22" s="7"/>
      <c r="F22" s="7"/>
      <c r="G22" s="7"/>
      <c r="H22" s="7"/>
      <c r="I22" s="7"/>
    </row>
    <row r="23" spans="1:9" x14ac:dyDescent="0.2">
      <c r="A23" s="7"/>
      <c r="B23" s="7"/>
      <c r="C23" s="7"/>
      <c r="D23" s="7"/>
      <c r="E23" s="7"/>
      <c r="F23" s="7"/>
      <c r="G23" s="7"/>
      <c r="H23" s="7"/>
      <c r="I23" s="7"/>
    </row>
    <row r="24" spans="1:9" x14ac:dyDescent="0.2">
      <c r="A24" s="7"/>
      <c r="B24" s="7"/>
      <c r="C24" s="7"/>
      <c r="D24" s="7"/>
      <c r="E24" s="7"/>
      <c r="F24" s="7"/>
      <c r="G24" s="7"/>
      <c r="H24" s="7"/>
      <c r="I24" s="7"/>
    </row>
    <row r="25" spans="1:9" x14ac:dyDescent="0.2">
      <c r="A25" s="7"/>
      <c r="B25" s="7"/>
      <c r="C25" s="7"/>
      <c r="D25" s="7"/>
      <c r="E25" s="7"/>
      <c r="F25" s="7"/>
      <c r="G25" s="7"/>
      <c r="H25" s="7"/>
      <c r="I25" s="7"/>
    </row>
    <row r="26" spans="1:9" x14ac:dyDescent="0.2">
      <c r="A26" s="7"/>
      <c r="B26" s="7"/>
      <c r="C26" s="7"/>
      <c r="D26" s="7"/>
      <c r="E26" s="7"/>
      <c r="F26" s="7"/>
      <c r="G26" s="7"/>
      <c r="H26" s="7"/>
      <c r="I26" s="7"/>
    </row>
    <row r="27" spans="1:9" x14ac:dyDescent="0.2">
      <c r="A27" s="7"/>
      <c r="B27" s="7"/>
      <c r="C27" s="7"/>
      <c r="D27" s="7"/>
      <c r="E27" s="7"/>
      <c r="F27" s="7"/>
      <c r="G27" s="7"/>
      <c r="H27" s="7"/>
      <c r="I27" s="7"/>
    </row>
    <row r="28" spans="1:9" x14ac:dyDescent="0.2">
      <c r="A28" s="7"/>
      <c r="B28" s="7"/>
      <c r="C28" s="7"/>
      <c r="D28" s="7"/>
      <c r="E28" s="7"/>
      <c r="F28" s="7"/>
      <c r="G28" s="7"/>
      <c r="H28" s="7"/>
      <c r="I28" s="7"/>
    </row>
    <row r="29" spans="1:9" x14ac:dyDescent="0.2">
      <c r="A29" s="7"/>
      <c r="B29" s="7"/>
      <c r="C29" s="7"/>
      <c r="D29" s="7"/>
      <c r="E29" s="7"/>
      <c r="F29" s="7"/>
      <c r="G29" s="7"/>
      <c r="H29" s="7"/>
      <c r="I29" s="7"/>
    </row>
    <row r="30" spans="1:9" x14ac:dyDescent="0.2">
      <c r="A30" s="7"/>
      <c r="B30" s="7"/>
      <c r="C30" s="7"/>
      <c r="D30" s="7"/>
      <c r="E30" s="7"/>
      <c r="F30" s="7"/>
      <c r="G30" s="7"/>
      <c r="H30" s="7"/>
      <c r="I30" s="7"/>
    </row>
    <row r="31" spans="1:9" x14ac:dyDescent="0.2">
      <c r="A31" s="7"/>
      <c r="B31" s="7"/>
      <c r="C31" s="7"/>
      <c r="D31" s="7"/>
      <c r="E31" s="7"/>
      <c r="F31" s="7"/>
      <c r="G31" s="7"/>
      <c r="H31" s="7"/>
      <c r="I31" s="7"/>
    </row>
    <row r="32" spans="1:9" x14ac:dyDescent="0.2">
      <c r="A32" s="7"/>
      <c r="B32" s="7"/>
      <c r="C32" s="7"/>
      <c r="D32" s="7"/>
      <c r="E32" s="7"/>
      <c r="F32" s="7"/>
      <c r="G32" s="7"/>
      <c r="H32" s="7"/>
      <c r="I32" s="7"/>
    </row>
    <row r="33" spans="1:9" x14ac:dyDescent="0.2">
      <c r="A33" s="7"/>
      <c r="B33" s="7"/>
      <c r="C33" s="7"/>
      <c r="D33" s="7"/>
      <c r="E33" s="7"/>
      <c r="F33" s="7"/>
      <c r="G33" s="7"/>
      <c r="H33" s="7"/>
      <c r="I33" s="7"/>
    </row>
    <row r="34" spans="1:9" x14ac:dyDescent="0.2">
      <c r="A34" s="7"/>
      <c r="B34" s="7"/>
      <c r="C34" s="7"/>
      <c r="D34" s="7"/>
      <c r="E34" s="7"/>
      <c r="F34" s="7"/>
      <c r="G34" s="7"/>
      <c r="H34" s="7"/>
      <c r="I34" s="7"/>
    </row>
    <row r="35" spans="1:9" x14ac:dyDescent="0.2">
      <c r="A35" s="7"/>
      <c r="B35" s="7"/>
      <c r="C35" s="7"/>
      <c r="D35" s="7"/>
      <c r="E35" s="7"/>
      <c r="F35" s="7"/>
      <c r="G35" s="7"/>
      <c r="H35" s="7"/>
      <c r="I35" s="7"/>
    </row>
    <row r="36" spans="1:9" x14ac:dyDescent="0.2">
      <c r="A36" s="7"/>
      <c r="B36" s="7"/>
      <c r="C36" s="7"/>
      <c r="D36" s="7"/>
      <c r="E36" s="7"/>
      <c r="F36" s="7"/>
      <c r="G36" s="7"/>
      <c r="H36" s="7"/>
      <c r="I36" s="7"/>
    </row>
    <row r="37" spans="1:9" x14ac:dyDescent="0.2">
      <c r="A37" s="7"/>
      <c r="B37" s="7"/>
      <c r="C37" s="7"/>
      <c r="D37" s="7"/>
      <c r="E37" s="7"/>
      <c r="F37" s="7"/>
      <c r="G37" s="7"/>
      <c r="H37" s="7"/>
      <c r="I37" s="7"/>
    </row>
    <row r="38" spans="1:9" x14ac:dyDescent="0.2">
      <c r="A38" s="7"/>
      <c r="B38" s="7"/>
      <c r="C38" s="7"/>
      <c r="D38" s="7"/>
      <c r="E38" s="7"/>
      <c r="F38" s="7"/>
      <c r="G38" s="7"/>
      <c r="H38" s="7"/>
      <c r="I38" s="7"/>
    </row>
    <row r="39" spans="1:9" x14ac:dyDescent="0.2">
      <c r="A39" s="7"/>
      <c r="B39" s="7"/>
      <c r="C39" s="7"/>
      <c r="D39" s="7"/>
      <c r="E39" s="7"/>
      <c r="F39" s="7"/>
      <c r="G39" s="7"/>
      <c r="H39" s="7"/>
      <c r="I39" s="7"/>
    </row>
    <row r="40" spans="1:9" x14ac:dyDescent="0.2">
      <c r="A40" s="7"/>
      <c r="B40" s="7"/>
      <c r="C40" s="7"/>
      <c r="D40" s="7"/>
      <c r="E40" s="7"/>
      <c r="F40" s="7"/>
      <c r="G40" s="7"/>
      <c r="H40" s="7"/>
      <c r="I40" s="7"/>
    </row>
    <row r="41" spans="1:9" x14ac:dyDescent="0.2">
      <c r="A41" s="7"/>
      <c r="B41" s="7"/>
      <c r="C41" s="7"/>
      <c r="D41" s="7"/>
      <c r="E41" s="7"/>
      <c r="F41" s="7"/>
      <c r="G41" s="7"/>
      <c r="H41" s="7"/>
      <c r="I41" s="7"/>
    </row>
    <row r="42" spans="1:9" x14ac:dyDescent="0.2">
      <c r="A42" s="7"/>
      <c r="B42" s="7"/>
      <c r="C42" s="7"/>
      <c r="D42" s="7"/>
      <c r="E42" s="7"/>
      <c r="F42" s="7"/>
      <c r="G42" s="7"/>
      <c r="H42" s="7"/>
      <c r="I42" s="7"/>
    </row>
    <row r="43" spans="1:9" x14ac:dyDescent="0.2">
      <c r="A43" s="7"/>
      <c r="B43" s="7"/>
      <c r="C43" s="7"/>
      <c r="D43" s="7"/>
      <c r="E43" s="7"/>
      <c r="F43" s="7"/>
      <c r="G43" s="7"/>
      <c r="H43" s="7"/>
      <c r="I43" s="7"/>
    </row>
    <row r="44" spans="1:9" x14ac:dyDescent="0.2">
      <c r="A44" s="7"/>
      <c r="B44" s="7"/>
      <c r="C44" s="7"/>
      <c r="D44" s="7"/>
      <c r="E44" s="7"/>
      <c r="F44" s="7"/>
      <c r="G44" s="7"/>
      <c r="H44" s="7"/>
      <c r="I44" s="7"/>
    </row>
    <row r="45" spans="1:9" x14ac:dyDescent="0.2">
      <c r="A45" s="7"/>
      <c r="B45" s="7"/>
      <c r="C45" s="7"/>
      <c r="D45" s="7"/>
      <c r="E45" s="7"/>
      <c r="F45" s="7"/>
      <c r="G45" s="7"/>
      <c r="H45" s="7"/>
      <c r="I45" s="7"/>
    </row>
    <row r="46" spans="1:9" x14ac:dyDescent="0.2">
      <c r="A46" s="7"/>
      <c r="B46" s="7"/>
      <c r="C46" s="7"/>
      <c r="D46" s="7"/>
      <c r="E46" s="7"/>
      <c r="F46" s="7"/>
      <c r="G46" s="7"/>
      <c r="H46" s="7"/>
      <c r="I46" s="7"/>
    </row>
    <row r="47" spans="1:9" x14ac:dyDescent="0.2">
      <c r="A47" s="7"/>
      <c r="B47" s="7"/>
      <c r="C47" s="7"/>
      <c r="D47" s="7"/>
      <c r="E47" s="7"/>
      <c r="F47" s="7"/>
      <c r="G47" s="7"/>
      <c r="H47" s="7"/>
      <c r="I47" s="7"/>
    </row>
    <row r="48" spans="1:9" x14ac:dyDescent="0.2">
      <c r="A48" s="7"/>
      <c r="B48" s="7"/>
      <c r="C48" s="7"/>
      <c r="D48" s="7"/>
      <c r="E48" s="7"/>
      <c r="F48" s="7"/>
      <c r="G48" s="7"/>
      <c r="H48" s="7"/>
      <c r="I48" s="7"/>
    </row>
    <row r="49" spans="1:9" x14ac:dyDescent="0.2">
      <c r="A49" s="7"/>
      <c r="B49" s="7"/>
      <c r="C49" s="7"/>
      <c r="D49" s="7"/>
      <c r="E49" s="7"/>
      <c r="F49" s="7"/>
      <c r="G49" s="7"/>
      <c r="H49" s="7"/>
      <c r="I49" s="7"/>
    </row>
    <row r="50" spans="1:9" x14ac:dyDescent="0.2">
      <c r="A50" s="7"/>
      <c r="B50" s="7"/>
      <c r="C50" s="7"/>
      <c r="D50" s="7"/>
      <c r="E50" s="7"/>
      <c r="F50" s="7"/>
      <c r="G50" s="7"/>
      <c r="H50" s="7"/>
      <c r="I50" s="7"/>
    </row>
    <row r="51" spans="1:9" x14ac:dyDescent="0.2">
      <c r="A51" s="7"/>
      <c r="B51" s="7"/>
      <c r="C51" s="7"/>
      <c r="D51" s="7"/>
      <c r="E51" s="7"/>
      <c r="F51" s="7"/>
      <c r="G51" s="7"/>
      <c r="H51" s="7"/>
      <c r="I51" s="7"/>
    </row>
    <row r="52" spans="1:9" x14ac:dyDescent="0.2">
      <c r="A52" s="7"/>
      <c r="B52" s="7"/>
      <c r="C52" s="7"/>
      <c r="D52" s="7"/>
      <c r="E52" s="7"/>
      <c r="F52" s="7"/>
      <c r="G52" s="7"/>
      <c r="H52" s="7"/>
      <c r="I52" s="7"/>
    </row>
    <row r="53" spans="1:9" x14ac:dyDescent="0.2">
      <c r="A53" s="7"/>
      <c r="B53" s="7"/>
      <c r="C53" s="7"/>
      <c r="D53" s="7"/>
      <c r="E53" s="7"/>
      <c r="F53" s="7"/>
      <c r="G53" s="7"/>
      <c r="H53" s="7"/>
      <c r="I53" s="7"/>
    </row>
    <row r="54" spans="1:9" x14ac:dyDescent="0.2">
      <c r="A54" s="7"/>
      <c r="B54" s="7"/>
      <c r="C54" s="7"/>
      <c r="D54" s="7"/>
      <c r="E54" s="7"/>
      <c r="F54" s="7"/>
      <c r="G54" s="7"/>
      <c r="H54" s="7"/>
      <c r="I54" s="7"/>
    </row>
    <row r="55" spans="1:9" x14ac:dyDescent="0.2">
      <c r="A55" s="7"/>
      <c r="B55" s="7"/>
      <c r="C55" s="7"/>
      <c r="D55" s="7"/>
      <c r="E55" s="7"/>
      <c r="F55" s="7"/>
      <c r="G55" s="7"/>
      <c r="H55" s="7"/>
      <c r="I55" s="7"/>
    </row>
    <row r="56" spans="1:9" x14ac:dyDescent="0.2">
      <c r="A56" s="7"/>
      <c r="B56" s="7"/>
      <c r="C56" s="7"/>
      <c r="D56" s="7"/>
      <c r="E56" s="7"/>
      <c r="F56" s="7"/>
      <c r="G56" s="7"/>
      <c r="H56" s="7"/>
      <c r="I56" s="7"/>
    </row>
    <row r="57" spans="1:9" x14ac:dyDescent="0.2">
      <c r="A57" s="7"/>
      <c r="B57" s="7"/>
      <c r="C57" s="7"/>
      <c r="D57" s="7"/>
      <c r="E57" s="7"/>
      <c r="F57" s="7"/>
      <c r="G57" s="7"/>
      <c r="H57" s="7"/>
      <c r="I57" s="7"/>
    </row>
    <row r="58" spans="1:9" x14ac:dyDescent="0.2">
      <c r="A58" s="7"/>
      <c r="B58" s="7"/>
      <c r="C58" s="7"/>
      <c r="D58" s="7"/>
      <c r="E58" s="7"/>
      <c r="F58" s="7"/>
      <c r="G58" s="7"/>
      <c r="H58" s="7"/>
      <c r="I58" s="7"/>
    </row>
    <row r="59" spans="1:9" x14ac:dyDescent="0.2">
      <c r="A59" s="7"/>
      <c r="B59" s="7"/>
      <c r="C59" s="7"/>
      <c r="D59" s="7"/>
      <c r="E59" s="7"/>
      <c r="F59" s="7"/>
      <c r="G59" s="7"/>
      <c r="H59" s="7"/>
      <c r="I59" s="7"/>
    </row>
    <row r="60" spans="1:9" x14ac:dyDescent="0.2">
      <c r="A60" s="7"/>
      <c r="B60" s="7"/>
      <c r="C60" s="7"/>
      <c r="D60" s="7"/>
      <c r="E60" s="7"/>
      <c r="F60" s="7"/>
      <c r="G60" s="7"/>
      <c r="H60" s="7"/>
      <c r="I60" s="7"/>
    </row>
    <row r="61" spans="1:9" x14ac:dyDescent="0.2">
      <c r="A61" s="7"/>
      <c r="B61" s="7"/>
      <c r="C61" s="7"/>
      <c r="D61" s="7"/>
      <c r="E61" s="7"/>
      <c r="F61" s="7"/>
      <c r="G61" s="7"/>
      <c r="H61" s="7"/>
      <c r="I61" s="7"/>
    </row>
    <row r="62" spans="1:9" x14ac:dyDescent="0.2">
      <c r="A62" s="7"/>
      <c r="B62" s="7"/>
      <c r="C62" s="7"/>
      <c r="D62" s="7"/>
      <c r="E62" s="7"/>
      <c r="F62" s="7"/>
      <c r="G62" s="7"/>
      <c r="H62" s="7"/>
      <c r="I62" s="7"/>
    </row>
    <row r="63" spans="1:9" x14ac:dyDescent="0.2">
      <c r="A63" s="7"/>
      <c r="B63" s="7"/>
      <c r="C63" s="7"/>
      <c r="D63" s="7"/>
      <c r="E63" s="7"/>
      <c r="F63" s="7"/>
      <c r="G63" s="7"/>
      <c r="H63" s="7"/>
      <c r="I63" s="7"/>
    </row>
    <row r="64" spans="1:9" x14ac:dyDescent="0.2">
      <c r="A64" s="7"/>
      <c r="B64" s="7"/>
      <c r="C64" s="7"/>
      <c r="D64" s="7"/>
      <c r="E64" s="7"/>
      <c r="F64" s="7"/>
      <c r="G64" s="7"/>
      <c r="H64" s="7"/>
      <c r="I64" s="7"/>
    </row>
    <row r="65" spans="1:9" x14ac:dyDescent="0.2">
      <c r="A65" s="7"/>
      <c r="B65" s="7"/>
      <c r="C65" s="7"/>
      <c r="D65" s="7"/>
      <c r="E65" s="7"/>
      <c r="F65" s="7"/>
      <c r="G65" s="7"/>
      <c r="H65" s="7"/>
      <c r="I65" s="7"/>
    </row>
    <row r="66" spans="1:9" x14ac:dyDescent="0.2">
      <c r="A66" s="7"/>
      <c r="B66" s="7"/>
      <c r="C66" s="7"/>
      <c r="D66" s="7"/>
      <c r="E66" s="7"/>
      <c r="F66" s="7"/>
      <c r="G66" s="7"/>
      <c r="H66" s="7"/>
      <c r="I66" s="7"/>
    </row>
    <row r="67" spans="1:9" x14ac:dyDescent="0.2">
      <c r="A67" s="7"/>
      <c r="B67" s="7"/>
      <c r="C67" s="7"/>
      <c r="D67" s="7"/>
      <c r="E67" s="7"/>
      <c r="F67" s="7"/>
      <c r="G67" s="7"/>
      <c r="H67" s="7"/>
      <c r="I67" s="7"/>
    </row>
    <row r="68" spans="1:9" x14ac:dyDescent="0.2">
      <c r="A68" s="7"/>
      <c r="B68" s="7"/>
      <c r="C68" s="7"/>
      <c r="D68" s="7"/>
      <c r="E68" s="7"/>
      <c r="F68" s="7"/>
      <c r="G68" s="7"/>
      <c r="H68" s="7"/>
      <c r="I68" s="7"/>
    </row>
    <row r="69" spans="1:9" x14ac:dyDescent="0.2">
      <c r="A69" s="7"/>
      <c r="B69" s="7"/>
      <c r="C69" s="7"/>
      <c r="D69" s="7"/>
      <c r="E69" s="7"/>
      <c r="F69" s="7"/>
      <c r="G69" s="7"/>
      <c r="H69" s="7"/>
      <c r="I69" s="7"/>
    </row>
    <row r="70" spans="1:9" x14ac:dyDescent="0.2">
      <c r="A70" s="7"/>
      <c r="B70" s="7"/>
      <c r="C70" s="7"/>
      <c r="D70" s="7"/>
      <c r="E70" s="7"/>
      <c r="F70" s="7"/>
      <c r="G70" s="7"/>
      <c r="H70" s="7"/>
      <c r="I70" s="7"/>
    </row>
    <row r="71" spans="1:9" x14ac:dyDescent="0.2">
      <c r="A71" s="7"/>
      <c r="B71" s="7"/>
      <c r="C71" s="7"/>
      <c r="D71" s="7"/>
      <c r="E71" s="7"/>
      <c r="F71" s="7"/>
      <c r="G71" s="7"/>
      <c r="H71" s="7"/>
      <c r="I71" s="7"/>
    </row>
    <row r="72" spans="1:9" x14ac:dyDescent="0.2">
      <c r="A72" s="7"/>
      <c r="B72" s="7"/>
      <c r="C72" s="7"/>
      <c r="D72" s="7"/>
      <c r="E72" s="7"/>
      <c r="F72" s="7"/>
      <c r="G72" s="7"/>
      <c r="H72" s="7"/>
      <c r="I72" s="7"/>
    </row>
    <row r="73" spans="1:9" x14ac:dyDescent="0.2">
      <c r="A73" s="7"/>
      <c r="B73" s="7"/>
      <c r="C73" s="7"/>
      <c r="D73" s="7"/>
      <c r="E73" s="7"/>
      <c r="F73" s="7"/>
      <c r="G73" s="7"/>
      <c r="H73" s="7"/>
      <c r="I73" s="7"/>
    </row>
    <row r="74" spans="1:9" x14ac:dyDescent="0.2">
      <c r="A74" s="7"/>
      <c r="B74" s="7"/>
      <c r="C74" s="7"/>
      <c r="D74" s="7"/>
      <c r="E74" s="7"/>
      <c r="F74" s="7"/>
      <c r="G74" s="7"/>
      <c r="H74" s="7"/>
      <c r="I74" s="7"/>
    </row>
    <row r="75" spans="1:9" x14ac:dyDescent="0.2">
      <c r="A75" s="7"/>
      <c r="B75" s="7"/>
      <c r="C75" s="7"/>
      <c r="D75" s="7"/>
      <c r="E75" s="7"/>
      <c r="F75" s="7"/>
      <c r="G75" s="7"/>
      <c r="H75" s="7"/>
      <c r="I75" s="7"/>
    </row>
    <row r="76" spans="1:9" x14ac:dyDescent="0.2">
      <c r="A76" s="7"/>
      <c r="B76" s="7"/>
      <c r="C76" s="7"/>
      <c r="D76" s="7"/>
      <c r="E76" s="7"/>
      <c r="F76" s="7"/>
      <c r="G76" s="7"/>
      <c r="H76" s="7"/>
      <c r="I76" s="7"/>
    </row>
    <row r="77" spans="1:9" x14ac:dyDescent="0.2">
      <c r="A77" s="7"/>
      <c r="B77" s="7"/>
      <c r="C77" s="7"/>
      <c r="D77" s="7"/>
      <c r="E77" s="7"/>
      <c r="F77" s="7"/>
      <c r="G77" s="7"/>
      <c r="H77" s="7"/>
      <c r="I77" s="7"/>
    </row>
    <row r="78" spans="1:9" x14ac:dyDescent="0.2">
      <c r="A78" s="7"/>
      <c r="B78" s="7"/>
      <c r="C78" s="7"/>
      <c r="D78" s="7"/>
      <c r="E78" s="7"/>
      <c r="F78" s="7"/>
      <c r="G78" s="7"/>
      <c r="H78" s="7"/>
      <c r="I78" s="7"/>
    </row>
    <row r="79" spans="1:9" x14ac:dyDescent="0.2">
      <c r="A79" s="7"/>
      <c r="B79" s="7"/>
      <c r="C79" s="7"/>
      <c r="D79" s="7"/>
      <c r="E79" s="7"/>
      <c r="F79" s="7"/>
      <c r="G79" s="7"/>
      <c r="H79" s="7"/>
      <c r="I79" s="7"/>
    </row>
    <row r="80" spans="1:9" x14ac:dyDescent="0.2">
      <c r="A80" s="7"/>
      <c r="B80" s="7"/>
      <c r="C80" s="7"/>
      <c r="D80" s="7"/>
      <c r="E80" s="7"/>
      <c r="F80" s="7"/>
      <c r="G80" s="7"/>
      <c r="H80" s="7"/>
      <c r="I80" s="7"/>
    </row>
    <row r="81" spans="1:9" x14ac:dyDescent="0.2">
      <c r="A81" s="7"/>
      <c r="B81" s="7"/>
      <c r="C81" s="7"/>
      <c r="D81" s="7"/>
      <c r="E81" s="7"/>
      <c r="F81" s="7"/>
      <c r="G81" s="7"/>
      <c r="H81" s="7"/>
      <c r="I81" s="7"/>
    </row>
    <row r="82" spans="1:9" x14ac:dyDescent="0.2">
      <c r="A82" s="7"/>
      <c r="B82" s="7"/>
      <c r="C82" s="7"/>
      <c r="D82" s="7"/>
      <c r="E82" s="7"/>
      <c r="F82" s="7"/>
      <c r="G82" s="7"/>
      <c r="H82" s="7"/>
      <c r="I82" s="7"/>
    </row>
    <row r="83" spans="1:9" x14ac:dyDescent="0.2">
      <c r="A83" s="7"/>
      <c r="B83" s="7"/>
      <c r="C83" s="7"/>
      <c r="D83" s="7"/>
      <c r="E83" s="7"/>
      <c r="F83" s="7"/>
      <c r="G83" s="7"/>
      <c r="H83" s="7"/>
      <c r="I83" s="7"/>
    </row>
    <row r="84" spans="1:9" x14ac:dyDescent="0.2">
      <c r="A84" s="7"/>
      <c r="B84" s="7"/>
      <c r="C84" s="7"/>
      <c r="D84" s="7"/>
      <c r="E84" s="7"/>
      <c r="F84" s="7"/>
      <c r="G84" s="7"/>
      <c r="H84" s="7"/>
      <c r="I84" s="7"/>
    </row>
    <row r="85" spans="1:9" x14ac:dyDescent="0.2">
      <c r="A85" s="7"/>
      <c r="B85" s="7"/>
      <c r="C85" s="7"/>
      <c r="D85" s="7"/>
      <c r="E85" s="7"/>
      <c r="F85" s="7"/>
      <c r="G85" s="7"/>
      <c r="H85" s="7"/>
      <c r="I85" s="7"/>
    </row>
    <row r="86" spans="1:9" x14ac:dyDescent="0.2">
      <c r="A86" s="7"/>
      <c r="B86" s="7"/>
      <c r="C86" s="7"/>
      <c r="D86" s="7"/>
      <c r="E86" s="7"/>
      <c r="F86" s="7"/>
      <c r="G86" s="7"/>
      <c r="H86" s="7"/>
      <c r="I86" s="7"/>
    </row>
    <row r="87" spans="1:9" x14ac:dyDescent="0.2">
      <c r="A87" s="7"/>
      <c r="B87" s="7"/>
      <c r="C87" s="7"/>
      <c r="D87" s="7"/>
      <c r="E87" s="7"/>
      <c r="F87" s="7"/>
      <c r="G87" s="7"/>
      <c r="H87" s="7"/>
      <c r="I87" s="7"/>
    </row>
    <row r="88" spans="1:9" x14ac:dyDescent="0.2">
      <c r="A88" s="7"/>
      <c r="B88" s="7"/>
      <c r="C88" s="7"/>
      <c r="D88" s="7"/>
      <c r="E88" s="7"/>
      <c r="F88" s="7"/>
      <c r="G88" s="7"/>
      <c r="H88" s="7"/>
      <c r="I88" s="7"/>
    </row>
    <row r="89" spans="1:9" x14ac:dyDescent="0.2">
      <c r="A89" s="7"/>
      <c r="B89" s="7"/>
      <c r="C89" s="7"/>
      <c r="D89" s="7"/>
      <c r="E89" s="7"/>
      <c r="F89" s="7"/>
      <c r="G89" s="7"/>
      <c r="H89" s="7"/>
      <c r="I89" s="7"/>
    </row>
    <row r="90" spans="1:9" x14ac:dyDescent="0.2">
      <c r="A90" s="7"/>
      <c r="B90" s="7"/>
      <c r="C90" s="7"/>
      <c r="D90" s="7"/>
      <c r="E90" s="7"/>
      <c r="F90" s="7"/>
      <c r="G90" s="7"/>
      <c r="H90" s="7"/>
      <c r="I90" s="7"/>
    </row>
    <row r="91" spans="1:9" x14ac:dyDescent="0.2">
      <c r="A91" s="7"/>
      <c r="B91" s="7"/>
      <c r="C91" s="7"/>
      <c r="D91" s="7"/>
      <c r="E91" s="7"/>
      <c r="F91" s="7"/>
      <c r="G91" s="7"/>
      <c r="H91" s="7"/>
      <c r="I91" s="7"/>
    </row>
    <row r="92" spans="1:9" x14ac:dyDescent="0.2">
      <c r="A92" s="7"/>
      <c r="B92" s="7"/>
      <c r="C92" s="7"/>
      <c r="D92" s="7"/>
      <c r="E92" s="7"/>
      <c r="F92" s="7"/>
      <c r="G92" s="7"/>
      <c r="H92" s="7"/>
      <c r="I92" s="7"/>
    </row>
    <row r="93" spans="1:9" x14ac:dyDescent="0.2">
      <c r="A93" s="7"/>
      <c r="B93" s="7"/>
      <c r="C93" s="7"/>
      <c r="D93" s="7"/>
      <c r="E93" s="7"/>
      <c r="F93" s="7"/>
      <c r="G93" s="7"/>
      <c r="H93" s="7"/>
      <c r="I93" s="7"/>
    </row>
    <row r="94" spans="1:9" x14ac:dyDescent="0.2">
      <c r="A94" s="7"/>
      <c r="B94" s="7"/>
      <c r="C94" s="7"/>
      <c r="D94" s="7"/>
      <c r="E94" s="7"/>
      <c r="F94" s="7"/>
      <c r="G94" s="7"/>
      <c r="H94" s="7"/>
      <c r="I94" s="7"/>
    </row>
    <row r="95" spans="1:9" x14ac:dyDescent="0.2">
      <c r="A95" s="7"/>
      <c r="B95" s="7"/>
      <c r="C95" s="7"/>
      <c r="D95" s="7"/>
      <c r="E95" s="7"/>
      <c r="F95" s="7"/>
      <c r="G95" s="7"/>
      <c r="H95" s="7"/>
      <c r="I95" s="7"/>
    </row>
    <row r="96" spans="1:9" x14ac:dyDescent="0.2">
      <c r="A96" s="7"/>
      <c r="B96" s="7"/>
      <c r="C96" s="7"/>
      <c r="D96" s="7"/>
      <c r="E96" s="7"/>
      <c r="F96" s="7"/>
      <c r="G96" s="7"/>
      <c r="H96" s="7"/>
      <c r="I96" s="7"/>
    </row>
    <row r="97" spans="1:9" x14ac:dyDescent="0.2">
      <c r="A97" s="7"/>
      <c r="B97" s="7"/>
      <c r="C97" s="7"/>
      <c r="D97" s="7"/>
      <c r="E97" s="7"/>
      <c r="F97" s="7"/>
      <c r="G97" s="7"/>
      <c r="H97" s="7"/>
      <c r="I97" s="7"/>
    </row>
    <row r="98" spans="1:9" x14ac:dyDescent="0.2">
      <c r="A98" s="7"/>
      <c r="B98" s="7"/>
      <c r="C98" s="7"/>
      <c r="D98" s="7"/>
      <c r="E98" s="7"/>
      <c r="F98" s="7"/>
      <c r="G98" s="7"/>
      <c r="H98" s="7"/>
      <c r="I98" s="7"/>
    </row>
    <row r="99" spans="1:9" x14ac:dyDescent="0.2">
      <c r="A99" s="7"/>
      <c r="B99" s="7"/>
      <c r="C99" s="7"/>
      <c r="D99" s="7"/>
      <c r="E99" s="7"/>
      <c r="F99" s="7"/>
      <c r="G99" s="7"/>
      <c r="H99" s="7"/>
      <c r="I99" s="7"/>
    </row>
    <row r="100" spans="1:9" x14ac:dyDescent="0.2">
      <c r="A100" s="7"/>
      <c r="B100" s="7"/>
      <c r="C100" s="7"/>
      <c r="D100" s="7"/>
      <c r="E100" s="7"/>
      <c r="F100" s="7"/>
      <c r="G100" s="7"/>
      <c r="H100" s="7"/>
      <c r="I100" s="7"/>
    </row>
    <row r="101" spans="1:9" x14ac:dyDescent="0.2">
      <c r="A101" s="7"/>
      <c r="B101" s="7"/>
      <c r="C101" s="7"/>
      <c r="D101" s="7"/>
      <c r="E101" s="7"/>
      <c r="F101" s="7"/>
      <c r="G101" s="7"/>
      <c r="H101" s="7"/>
      <c r="I101" s="7"/>
    </row>
    <row r="102" spans="1:9" x14ac:dyDescent="0.2">
      <c r="A102" s="7"/>
      <c r="B102" s="7"/>
      <c r="C102" s="7"/>
      <c r="D102" s="7"/>
      <c r="E102" s="7"/>
      <c r="F102" s="7"/>
      <c r="G102" s="7"/>
      <c r="H102" s="7"/>
      <c r="I102" s="7"/>
    </row>
    <row r="103" spans="1:9" x14ac:dyDescent="0.2">
      <c r="A103" s="7"/>
      <c r="B103" s="7"/>
      <c r="C103" s="7"/>
      <c r="D103" s="7"/>
      <c r="E103" s="7"/>
      <c r="F103" s="7"/>
      <c r="G103" s="7"/>
      <c r="H103" s="7"/>
      <c r="I103" s="7"/>
    </row>
    <row r="104" spans="1:9" x14ac:dyDescent="0.2">
      <c r="A104" s="7"/>
      <c r="B104" s="7"/>
      <c r="C104" s="7"/>
      <c r="D104" s="7"/>
      <c r="E104" s="7"/>
      <c r="F104" s="7"/>
      <c r="G104" s="7"/>
      <c r="H104" s="7"/>
      <c r="I104" s="7"/>
    </row>
    <row r="105" spans="1:9" x14ac:dyDescent="0.2">
      <c r="A105" s="7"/>
      <c r="B105" s="7"/>
      <c r="C105" s="7"/>
      <c r="D105" s="7"/>
      <c r="E105" s="7"/>
      <c r="F105" s="7"/>
      <c r="G105" s="7"/>
      <c r="H105" s="7"/>
      <c r="I105" s="7"/>
    </row>
    <row r="106" spans="1:9" x14ac:dyDescent="0.2">
      <c r="A106" s="7"/>
      <c r="B106" s="7"/>
      <c r="C106" s="7"/>
      <c r="D106" s="7"/>
      <c r="E106" s="7"/>
      <c r="F106" s="7"/>
      <c r="G106" s="7"/>
      <c r="H106" s="7"/>
      <c r="I106" s="7"/>
    </row>
    <row r="107" spans="1:9" x14ac:dyDescent="0.2">
      <c r="A107" s="7"/>
      <c r="B107" s="7"/>
      <c r="C107" s="7"/>
      <c r="D107" s="7"/>
      <c r="E107" s="7"/>
      <c r="F107" s="7"/>
      <c r="G107" s="7"/>
      <c r="H107" s="7"/>
      <c r="I107" s="7"/>
    </row>
    <row r="108" spans="1:9" x14ac:dyDescent="0.2">
      <c r="A108" s="7"/>
      <c r="B108" s="7"/>
      <c r="C108" s="7"/>
      <c r="D108" s="7"/>
      <c r="E108" s="7"/>
      <c r="F108" s="7"/>
      <c r="G108" s="7"/>
      <c r="H108" s="7"/>
      <c r="I108" s="7"/>
    </row>
    <row r="109" spans="1:9" x14ac:dyDescent="0.2">
      <c r="A109" s="7"/>
      <c r="B109" s="7"/>
      <c r="C109" s="7"/>
      <c r="D109" s="7"/>
      <c r="E109" s="7"/>
      <c r="F109" s="7"/>
      <c r="G109" s="7"/>
      <c r="H109" s="7"/>
      <c r="I109" s="7"/>
    </row>
    <row r="110" spans="1:9" x14ac:dyDescent="0.2">
      <c r="A110" s="7"/>
      <c r="B110" s="7"/>
      <c r="C110" s="7"/>
      <c r="D110" s="7"/>
      <c r="E110" s="7"/>
      <c r="F110" s="7"/>
      <c r="G110" s="7"/>
      <c r="H110" s="7"/>
      <c r="I110" s="7"/>
    </row>
    <row r="111" spans="1:9" x14ac:dyDescent="0.2">
      <c r="A111" s="7"/>
      <c r="B111" s="7"/>
      <c r="C111" s="7"/>
      <c r="D111" s="7"/>
      <c r="E111" s="7"/>
      <c r="F111" s="7"/>
      <c r="G111" s="7"/>
      <c r="H111" s="7"/>
      <c r="I111" s="7"/>
    </row>
    <row r="112" spans="1:9" x14ac:dyDescent="0.2">
      <c r="A112" s="7"/>
      <c r="B112" s="7"/>
      <c r="C112" s="7"/>
      <c r="D112" s="7"/>
      <c r="E112" s="7"/>
      <c r="F112" s="7"/>
      <c r="G112" s="7"/>
      <c r="H112" s="7"/>
      <c r="I112" s="7"/>
    </row>
    <row r="113" spans="1:9" x14ac:dyDescent="0.2">
      <c r="A113" s="7"/>
      <c r="B113" s="7"/>
      <c r="C113" s="7"/>
      <c r="D113" s="7"/>
      <c r="E113" s="7"/>
      <c r="F113" s="7"/>
      <c r="G113" s="7"/>
      <c r="H113" s="7"/>
      <c r="I113" s="7"/>
    </row>
    <row r="114" spans="1:9" x14ac:dyDescent="0.2">
      <c r="A114" s="7"/>
      <c r="B114" s="7"/>
      <c r="C114" s="7"/>
      <c r="D114" s="7"/>
      <c r="E114" s="7"/>
      <c r="F114" s="7"/>
      <c r="G114" s="7"/>
      <c r="H114" s="7"/>
      <c r="I114" s="7"/>
    </row>
    <row r="115" spans="1:9" x14ac:dyDescent="0.2">
      <c r="A115" s="7"/>
      <c r="B115" s="7"/>
      <c r="C115" s="7"/>
      <c r="D115" s="7"/>
      <c r="E115" s="7"/>
      <c r="F115" s="7"/>
      <c r="G115" s="7"/>
      <c r="H115" s="7"/>
      <c r="I115" s="7"/>
    </row>
    <row r="116" spans="1:9" x14ac:dyDescent="0.2">
      <c r="A116" s="11" t="s">
        <v>1</v>
      </c>
      <c r="B116" s="12"/>
      <c r="C116" s="12"/>
      <c r="D116" s="13"/>
      <c r="E116" s="8"/>
      <c r="F116" s="8"/>
      <c r="G116" s="8"/>
      <c r="H116" s="8"/>
      <c r="I116" s="1"/>
    </row>
    <row r="117" spans="1:9" x14ac:dyDescent="0.2">
      <c r="A117" s="14" t="s">
        <v>15</v>
      </c>
      <c r="B117" s="15"/>
      <c r="C117" s="15"/>
      <c r="D117" s="16"/>
      <c r="E117" s="8"/>
      <c r="F117" s="8"/>
      <c r="G117" s="8"/>
      <c r="H117" s="8"/>
      <c r="I117" s="1"/>
    </row>
    <row r="118" spans="1:9" x14ac:dyDescent="0.2">
      <c r="A118" s="17" t="s">
        <v>62</v>
      </c>
      <c r="B118" s="18"/>
      <c r="C118" s="18"/>
      <c r="D118" s="19"/>
      <c r="E118" s="8"/>
      <c r="F118" s="8"/>
      <c r="G118" s="8"/>
      <c r="H118" s="8"/>
      <c r="I118" s="1"/>
    </row>
    <row r="119" spans="1:9" x14ac:dyDescent="0.2">
      <c r="A119" s="20"/>
      <c r="B119" s="21"/>
      <c r="C119" s="22"/>
      <c r="D119" s="23"/>
      <c r="E119" s="8"/>
      <c r="F119" s="8" t="s">
        <v>34</v>
      </c>
      <c r="G119" s="8"/>
      <c r="H119" s="8"/>
      <c r="I119" s="1"/>
    </row>
    <row r="120" spans="1:9" ht="15.75" x14ac:dyDescent="0.25">
      <c r="A120" s="24" t="s">
        <v>2</v>
      </c>
      <c r="B120" s="25" t="str">
        <f>[1]Charters!B125</f>
        <v>Athlos Academy</v>
      </c>
      <c r="C120" s="26"/>
      <c r="D120" s="27"/>
      <c r="E120" s="8"/>
      <c r="F120" s="8"/>
      <c r="G120" s="8"/>
      <c r="H120" s="8"/>
      <c r="I120" s="1"/>
    </row>
    <row r="121" spans="1:9" x14ac:dyDescent="0.2">
      <c r="A121" s="24"/>
      <c r="B121" s="28"/>
      <c r="C121" s="26"/>
      <c r="D121" s="27"/>
      <c r="E121" s="8"/>
      <c r="F121" s="8"/>
      <c r="G121" s="8"/>
      <c r="H121" s="8"/>
      <c r="I121" s="1"/>
    </row>
    <row r="122" spans="1:9" x14ac:dyDescent="0.2">
      <c r="A122" s="29" t="s">
        <v>0</v>
      </c>
      <c r="B122" s="30">
        <f>[1]Charters!$E$6</f>
        <v>3184</v>
      </c>
      <c r="C122" s="26"/>
      <c r="D122" s="31"/>
      <c r="E122" s="8"/>
      <c r="F122" s="8"/>
      <c r="G122" s="8"/>
      <c r="H122" s="8"/>
      <c r="I122" s="1"/>
    </row>
    <row r="123" spans="1:9" x14ac:dyDescent="0.2">
      <c r="A123" s="32"/>
      <c r="B123" s="6"/>
      <c r="C123" s="33"/>
      <c r="D123" s="34" t="s">
        <v>3</v>
      </c>
      <c r="E123" s="8"/>
      <c r="F123" s="8"/>
      <c r="G123" s="8"/>
      <c r="H123" s="8"/>
      <c r="I123" s="1"/>
    </row>
    <row r="124" spans="1:9" x14ac:dyDescent="0.2">
      <c r="A124" s="29" t="s">
        <v>19</v>
      </c>
      <c r="B124" s="35" t="str">
        <f>[1]Charters!A125</f>
        <v>1L</v>
      </c>
      <c r="C124" s="36" t="s">
        <v>4</v>
      </c>
      <c r="D124" s="37" t="s">
        <v>5</v>
      </c>
      <c r="E124" s="8"/>
      <c r="F124" s="8"/>
      <c r="G124" s="8"/>
      <c r="H124" s="8"/>
      <c r="I124" s="1"/>
    </row>
    <row r="125" spans="1:9" x14ac:dyDescent="0.2">
      <c r="A125" s="38" t="s">
        <v>6</v>
      </c>
      <c r="B125" s="39"/>
      <c r="C125" s="40"/>
      <c r="D125" s="41"/>
      <c r="E125" s="8"/>
      <c r="F125" s="8"/>
      <c r="G125" s="8"/>
      <c r="H125" s="8"/>
      <c r="I125" s="1"/>
    </row>
    <row r="126" spans="1:9" x14ac:dyDescent="0.2">
      <c r="A126" s="38" t="s">
        <v>7</v>
      </c>
      <c r="B126" s="39"/>
      <c r="C126" s="40"/>
      <c r="D126" s="41"/>
      <c r="E126" s="8"/>
      <c r="F126" s="42" t="s">
        <v>23</v>
      </c>
      <c r="G126" s="8"/>
      <c r="H126" s="42" t="s">
        <v>26</v>
      </c>
      <c r="I126" s="1"/>
    </row>
    <row r="127" spans="1:9" x14ac:dyDescent="0.2">
      <c r="A127" s="20" t="s">
        <v>8</v>
      </c>
      <c r="B127" s="43"/>
      <c r="C127" s="44">
        <f>[1]Charters!C585</f>
        <v>716.75</v>
      </c>
      <c r="D127" s="45">
        <f>[1]Charters!E585</f>
        <v>2282132</v>
      </c>
      <c r="E127" s="8"/>
      <c r="F127" s="42">
        <f>[1]Charters!E741</f>
        <v>2398552.6800000002</v>
      </c>
      <c r="G127" s="8"/>
      <c r="H127" s="42">
        <f>[2]Charters!E279</f>
        <v>2932102.31</v>
      </c>
      <c r="I127" s="1"/>
    </row>
    <row r="128" spans="1:9" x14ac:dyDescent="0.2">
      <c r="A128" s="20" t="s">
        <v>14</v>
      </c>
      <c r="B128" s="43"/>
      <c r="C128" s="44">
        <f>[1]Charters!F585</f>
        <v>36.564</v>
      </c>
      <c r="D128" s="45">
        <f>[1]Charters!H585</f>
        <v>116420.68</v>
      </c>
      <c r="E128" s="8"/>
      <c r="F128" s="42">
        <f>SUM(D127:D129)</f>
        <v>2398552.6800000002</v>
      </c>
      <c r="G128" s="8"/>
      <c r="H128" s="42">
        <f>D140</f>
        <v>2932102.31</v>
      </c>
      <c r="I128" s="1"/>
    </row>
    <row r="129" spans="1:9" x14ac:dyDescent="0.2">
      <c r="A129" s="20" t="s">
        <v>32</v>
      </c>
      <c r="B129" s="43"/>
      <c r="C129" s="44">
        <f>[1]Charters!C278</f>
        <v>0</v>
      </c>
      <c r="D129" s="45">
        <f>[1]Charters!E278</f>
        <v>0</v>
      </c>
      <c r="E129" s="8"/>
      <c r="F129" s="42">
        <f>+F127-F128</f>
        <v>0</v>
      </c>
      <c r="G129" s="8"/>
      <c r="H129" s="42">
        <f>+H127-H128</f>
        <v>0</v>
      </c>
      <c r="I129" s="1"/>
    </row>
    <row r="130" spans="1:9" x14ac:dyDescent="0.2">
      <c r="A130" s="38" t="s">
        <v>9</v>
      </c>
      <c r="B130" s="39"/>
      <c r="C130" s="46"/>
      <c r="D130" s="47"/>
      <c r="E130" s="8"/>
      <c r="F130" s="8"/>
      <c r="G130" s="8"/>
      <c r="H130" s="8"/>
      <c r="I130" s="1"/>
    </row>
    <row r="131" spans="1:9" x14ac:dyDescent="0.2">
      <c r="A131" s="20" t="s">
        <v>10</v>
      </c>
      <c r="B131" s="43"/>
      <c r="C131" s="40">
        <f>[3]Charters!C124</f>
        <v>83.2</v>
      </c>
      <c r="D131" s="41">
        <f>[3]Charters!E124</f>
        <v>264908.79999999999</v>
      </c>
      <c r="E131" s="8"/>
      <c r="F131" s="42" t="s">
        <v>24</v>
      </c>
      <c r="G131" s="8"/>
      <c r="H131" s="8"/>
      <c r="I131" s="1"/>
    </row>
    <row r="132" spans="1:9" x14ac:dyDescent="0.2">
      <c r="A132" s="48" t="s">
        <v>11</v>
      </c>
      <c r="B132" s="43"/>
      <c r="C132" s="40">
        <f>[3]Charters!F124</f>
        <v>7.218</v>
      </c>
      <c r="D132" s="49">
        <f>[3]Charters!H124</f>
        <v>22980.720000000001</v>
      </c>
      <c r="E132" s="8"/>
      <c r="F132" s="42">
        <f>[3]Charters!N437</f>
        <v>296388.78000000003</v>
      </c>
      <c r="G132" s="8"/>
      <c r="H132" s="8"/>
      <c r="I132" s="1"/>
    </row>
    <row r="133" spans="1:9" x14ac:dyDescent="0.2">
      <c r="A133" s="48" t="s">
        <v>12</v>
      </c>
      <c r="B133" s="43"/>
      <c r="C133" s="40">
        <f>[3]Charters!C279</f>
        <v>0</v>
      </c>
      <c r="D133" s="41">
        <f>[3]Charters!E279</f>
        <v>0</v>
      </c>
      <c r="E133" s="8"/>
      <c r="F133" s="42">
        <f>SUM(D131:D137)</f>
        <v>296388.78000000003</v>
      </c>
      <c r="G133" s="8"/>
      <c r="H133" s="8"/>
      <c r="I133" s="1"/>
    </row>
    <row r="134" spans="1:9" x14ac:dyDescent="0.2">
      <c r="A134" s="20" t="s">
        <v>13</v>
      </c>
      <c r="B134" s="43"/>
      <c r="C134" s="40">
        <f>[3]Charters!F279</f>
        <v>0.70899999999999996</v>
      </c>
      <c r="D134" s="41">
        <f>[3]Charters!H279</f>
        <v>2259</v>
      </c>
      <c r="E134" s="8"/>
      <c r="F134" s="42">
        <f>+F132-F133</f>
        <v>0</v>
      </c>
      <c r="G134" s="8"/>
      <c r="H134" s="8"/>
      <c r="I134" s="1"/>
    </row>
    <row r="135" spans="1:9" x14ac:dyDescent="0.2">
      <c r="A135" s="48" t="s">
        <v>54</v>
      </c>
      <c r="B135" s="43"/>
      <c r="C135" s="40">
        <f>[3]Charters!C437</f>
        <v>1.96</v>
      </c>
      <c r="D135" s="41">
        <f>[3]Charters!E437</f>
        <v>6240.26</v>
      </c>
      <c r="E135" s="8"/>
      <c r="F135" s="8"/>
      <c r="G135" s="8"/>
      <c r="H135" s="8"/>
      <c r="I135" s="1"/>
    </row>
    <row r="136" spans="1:9" x14ac:dyDescent="0.2">
      <c r="A136" s="48" t="s">
        <v>55</v>
      </c>
      <c r="B136" s="43"/>
      <c r="C136" s="40">
        <f>[3]Charters!F437</f>
        <v>0</v>
      </c>
      <c r="D136" s="41">
        <f>[3]Charters!H437</f>
        <v>0</v>
      </c>
      <c r="E136" s="8"/>
      <c r="F136" s="42" t="s">
        <v>25</v>
      </c>
      <c r="G136" s="8"/>
      <c r="H136" s="8"/>
      <c r="I136" s="1"/>
    </row>
    <row r="137" spans="1:9" x14ac:dyDescent="0.2">
      <c r="A137" s="48" t="s">
        <v>56</v>
      </c>
      <c r="B137" s="43"/>
      <c r="C137" s="40">
        <f>[3]Charters!I437</f>
        <v>0</v>
      </c>
      <c r="D137" s="41">
        <f>[3]Charters!K437</f>
        <v>0</v>
      </c>
      <c r="E137" s="8"/>
      <c r="F137" s="42">
        <f>[2]Charters!H125</f>
        <v>533549.63</v>
      </c>
      <c r="G137" s="8"/>
      <c r="H137" s="8"/>
      <c r="I137" s="1"/>
    </row>
    <row r="138" spans="1:9" x14ac:dyDescent="0.2">
      <c r="A138" s="20" t="s">
        <v>49</v>
      </c>
      <c r="B138" s="43"/>
      <c r="C138" s="40">
        <f>[3]Charters!C592</f>
        <v>0</v>
      </c>
      <c r="D138" s="41">
        <f>[3]Charters!E592</f>
        <v>0</v>
      </c>
      <c r="E138" s="8"/>
      <c r="F138" s="42">
        <f>SUM(D131:D139)</f>
        <v>533549.63</v>
      </c>
      <c r="G138" s="8"/>
      <c r="H138" s="8"/>
      <c r="I138" s="1"/>
    </row>
    <row r="139" spans="1:9" x14ac:dyDescent="0.2">
      <c r="A139" s="20" t="s">
        <v>50</v>
      </c>
      <c r="B139" s="43"/>
      <c r="C139" s="40">
        <f>[2]Charters!C125</f>
        <v>74.484999999999999</v>
      </c>
      <c r="D139" s="41">
        <f>[2]Charters!E125</f>
        <v>237160.85</v>
      </c>
      <c r="E139" s="8"/>
      <c r="F139" s="42">
        <f>+F137-F138</f>
        <v>0</v>
      </c>
      <c r="G139" s="8"/>
      <c r="H139" s="8"/>
      <c r="I139" s="1"/>
    </row>
    <row r="140" spans="1:9" x14ac:dyDescent="0.2">
      <c r="A140" s="50"/>
      <c r="B140" s="51" t="s">
        <v>16</v>
      </c>
      <c r="C140" s="52">
        <f>SUM(C127:C139)</f>
        <v>920.88599999999997</v>
      </c>
      <c r="D140" s="53">
        <f>SUM(D127:D139)</f>
        <v>2932102.31</v>
      </c>
      <c r="E140" s="8"/>
      <c r="F140" s="8"/>
      <c r="G140" s="8"/>
      <c r="H140" s="8"/>
      <c r="I140" s="1"/>
    </row>
    <row r="141" spans="1:9" x14ac:dyDescent="0.2">
      <c r="A141" s="54" t="s">
        <v>17</v>
      </c>
      <c r="B141" s="39"/>
      <c r="C141" s="55"/>
      <c r="D141" s="47"/>
      <c r="E141" s="8"/>
      <c r="F141" s="8"/>
      <c r="G141" s="8"/>
      <c r="H141" s="42" t="s">
        <v>29</v>
      </c>
      <c r="I141" s="1"/>
    </row>
    <row r="142" spans="1:9" x14ac:dyDescent="0.2">
      <c r="A142" s="20" t="s">
        <v>33</v>
      </c>
      <c r="B142" s="43"/>
      <c r="C142" s="56"/>
      <c r="D142" s="57">
        <f>[4]Charters!C126</f>
        <v>8498.6</v>
      </c>
      <c r="E142" s="8"/>
      <c r="F142" s="8"/>
      <c r="G142" s="8"/>
      <c r="H142" s="42">
        <f>[4]Charters!F1065</f>
        <v>5010240.55</v>
      </c>
      <c r="I142" s="1"/>
    </row>
    <row r="143" spans="1:9" x14ac:dyDescent="0.2">
      <c r="A143" s="58" t="s">
        <v>35</v>
      </c>
      <c r="B143" s="43"/>
      <c r="C143" s="56"/>
      <c r="D143" s="41">
        <f>+[4]Charters!F447</f>
        <v>3449.71</v>
      </c>
      <c r="E143" s="8"/>
      <c r="F143" s="8"/>
      <c r="G143" s="8"/>
      <c r="H143" s="42">
        <f>SUM(D140:D159)</f>
        <v>5010240.55</v>
      </c>
      <c r="I143" s="1"/>
    </row>
    <row r="144" spans="1:9" x14ac:dyDescent="0.2">
      <c r="A144" s="59" t="s">
        <v>36</v>
      </c>
      <c r="B144" s="43"/>
      <c r="C144" s="56"/>
      <c r="D144" s="41">
        <f>[4]Charters!E286</f>
        <v>10757</v>
      </c>
      <c r="E144" s="8"/>
      <c r="F144" s="8"/>
      <c r="G144" s="8"/>
      <c r="H144" s="42">
        <f>+H142-H143</f>
        <v>0</v>
      </c>
      <c r="I144" s="1"/>
    </row>
    <row r="145" spans="1:9" x14ac:dyDescent="0.2">
      <c r="A145" s="59" t="s">
        <v>52</v>
      </c>
      <c r="B145" s="43"/>
      <c r="C145" s="56"/>
      <c r="D145" s="41">
        <f>[4]Charters!G447</f>
        <v>0</v>
      </c>
      <c r="E145" s="8"/>
      <c r="F145" s="42" t="s">
        <v>27</v>
      </c>
      <c r="G145" s="8"/>
      <c r="H145" s="42"/>
      <c r="I145" s="1"/>
    </row>
    <row r="146" spans="1:9" x14ac:dyDescent="0.2">
      <c r="A146" s="20" t="s">
        <v>37</v>
      </c>
      <c r="B146" s="43"/>
      <c r="C146" s="56"/>
      <c r="D146" s="41">
        <f>[4]Charters!E603</f>
        <v>59483</v>
      </c>
      <c r="E146" s="8"/>
      <c r="F146" s="42">
        <f>[4]Charters!E286</f>
        <v>10757</v>
      </c>
      <c r="G146" s="8"/>
      <c r="H146" s="8"/>
      <c r="I146" s="1"/>
    </row>
    <row r="147" spans="1:9" x14ac:dyDescent="0.2">
      <c r="A147" s="20" t="s">
        <v>38</v>
      </c>
      <c r="B147" s="43"/>
      <c r="C147" s="56"/>
      <c r="D147" s="41">
        <f>[4]Charters!F603</f>
        <v>0</v>
      </c>
      <c r="E147" s="8"/>
      <c r="F147" s="42">
        <f>SUM(D144:D144)</f>
        <v>10757</v>
      </c>
      <c r="G147" s="8"/>
      <c r="H147" s="8"/>
      <c r="I147" s="1"/>
    </row>
    <row r="148" spans="1:9" x14ac:dyDescent="0.2">
      <c r="A148" s="59" t="s">
        <v>40</v>
      </c>
      <c r="B148" s="43"/>
      <c r="C148" s="56"/>
      <c r="D148" s="41">
        <f>[4]Charters!G603</f>
        <v>0</v>
      </c>
      <c r="E148" s="8"/>
      <c r="F148" s="42">
        <f>+F146-F147</f>
        <v>0</v>
      </c>
      <c r="G148" s="8"/>
      <c r="H148" s="8"/>
      <c r="I148" s="1"/>
    </row>
    <row r="149" spans="1:9" x14ac:dyDescent="0.2">
      <c r="A149" s="20" t="s">
        <v>41</v>
      </c>
      <c r="B149" s="43"/>
      <c r="C149" s="56"/>
      <c r="D149" s="41">
        <f>[4]Charters!C756</f>
        <v>1676838</v>
      </c>
      <c r="E149" s="8"/>
      <c r="F149" s="42" t="s">
        <v>28</v>
      </c>
      <c r="G149" s="8"/>
      <c r="H149" s="8"/>
      <c r="I149" s="1"/>
    </row>
    <row r="150" spans="1:9" x14ac:dyDescent="0.2">
      <c r="A150" s="20" t="s">
        <v>42</v>
      </c>
      <c r="B150" s="43"/>
      <c r="C150" s="56"/>
      <c r="D150" s="41">
        <f>[4]Charters!D756</f>
        <v>215603.84</v>
      </c>
      <c r="E150" s="8"/>
      <c r="F150" s="42">
        <f>[4]Charters!D603</f>
        <v>14206.71</v>
      </c>
      <c r="G150" s="8"/>
      <c r="H150" s="8"/>
      <c r="I150" s="1"/>
    </row>
    <row r="151" spans="1:9" x14ac:dyDescent="0.2">
      <c r="A151" s="20" t="s">
        <v>44</v>
      </c>
      <c r="B151" s="43"/>
      <c r="C151" s="56"/>
      <c r="D151" s="41">
        <f>[4]Charters!E756</f>
        <v>83800</v>
      </c>
      <c r="E151" s="8"/>
      <c r="F151" s="42">
        <f>SUM(D143:D145)</f>
        <v>14206.71</v>
      </c>
      <c r="G151" s="8"/>
      <c r="H151" s="8"/>
      <c r="I151" s="1"/>
    </row>
    <row r="152" spans="1:9" x14ac:dyDescent="0.2">
      <c r="A152" s="59" t="s">
        <v>43</v>
      </c>
      <c r="B152" s="43"/>
      <c r="C152" s="56"/>
      <c r="D152" s="41">
        <f>[4]Charters!F756</f>
        <v>18645.419999999998</v>
      </c>
      <c r="E152" s="8"/>
      <c r="F152" s="42">
        <f>+F150-F151</f>
        <v>0</v>
      </c>
      <c r="G152" s="8"/>
      <c r="H152" s="8"/>
      <c r="I152" s="1"/>
    </row>
    <row r="153" spans="1:9" x14ac:dyDescent="0.2">
      <c r="A153" s="59" t="s">
        <v>45</v>
      </c>
      <c r="B153" s="43"/>
      <c r="C153" s="56"/>
      <c r="D153" s="41">
        <f>[4]Charters!C603</f>
        <v>0</v>
      </c>
      <c r="E153" s="8"/>
      <c r="F153" s="8"/>
      <c r="G153" s="8"/>
      <c r="H153" s="8"/>
      <c r="I153" s="1"/>
    </row>
    <row r="154" spans="1:9" x14ac:dyDescent="0.2">
      <c r="A154" s="59" t="s">
        <v>46</v>
      </c>
      <c r="B154" s="43"/>
      <c r="C154" s="56"/>
      <c r="D154" s="41">
        <f>[4]Charters!C912</f>
        <v>0</v>
      </c>
      <c r="E154" s="42"/>
      <c r="F154" s="42"/>
      <c r="G154" s="42"/>
      <c r="H154" s="42" t="s">
        <v>31</v>
      </c>
      <c r="I154" s="82"/>
    </row>
    <row r="155" spans="1:9" x14ac:dyDescent="0.2">
      <c r="A155" s="59" t="s">
        <v>51</v>
      </c>
      <c r="B155" s="43"/>
      <c r="C155" s="56"/>
      <c r="D155" s="60">
        <f>[4]Charters!D912</f>
        <v>1062.67</v>
      </c>
      <c r="E155" s="42"/>
      <c r="F155" s="42"/>
      <c r="G155" s="42"/>
      <c r="H155" s="42">
        <f>[4]Charters!D1371</f>
        <v>5018204.7</v>
      </c>
      <c r="I155" s="82"/>
    </row>
    <row r="156" spans="1:9" x14ac:dyDescent="0.2">
      <c r="A156" s="20" t="s">
        <v>47</v>
      </c>
      <c r="B156" s="43"/>
      <c r="C156" s="56"/>
      <c r="D156" s="60">
        <f>[4]Charters!E912</f>
        <v>0</v>
      </c>
      <c r="E156" s="42"/>
      <c r="F156" s="42"/>
      <c r="G156" s="42"/>
      <c r="H156" s="42">
        <f>D165</f>
        <v>5018204.7</v>
      </c>
      <c r="I156" s="82"/>
    </row>
    <row r="157" spans="1:9" x14ac:dyDescent="0.2">
      <c r="A157" s="20" t="s">
        <v>57</v>
      </c>
      <c r="B157" s="43"/>
      <c r="C157" s="56"/>
      <c r="D157" s="60">
        <f>[4]Charters!C1065</f>
        <v>0</v>
      </c>
      <c r="E157" s="42"/>
      <c r="F157" s="42"/>
      <c r="G157" s="42"/>
      <c r="H157" s="42">
        <f>+H155-H156</f>
        <v>0</v>
      </c>
      <c r="I157" s="82"/>
    </row>
    <row r="158" spans="1:9" x14ac:dyDescent="0.2">
      <c r="A158" s="59" t="s">
        <v>53</v>
      </c>
      <c r="B158" s="43"/>
      <c r="C158" s="56"/>
      <c r="D158" s="60">
        <f>[4]Charters!D1065</f>
        <v>0</v>
      </c>
      <c r="E158" s="42"/>
      <c r="F158" s="42" t="s">
        <v>30</v>
      </c>
      <c r="G158" s="42"/>
      <c r="H158" s="42"/>
      <c r="I158" s="82"/>
    </row>
    <row r="159" spans="1:9" x14ac:dyDescent="0.2">
      <c r="A159" s="59" t="s">
        <v>59</v>
      </c>
      <c r="B159" s="43"/>
      <c r="C159" s="56"/>
      <c r="D159" s="60">
        <f>[4]Charters!E1065</f>
        <v>0</v>
      </c>
      <c r="E159" s="42"/>
      <c r="F159" s="42"/>
      <c r="G159" s="42"/>
      <c r="H159" s="42"/>
      <c r="I159" s="82"/>
    </row>
    <row r="160" spans="1:9" x14ac:dyDescent="0.2">
      <c r="A160" s="38" t="s">
        <v>18</v>
      </c>
      <c r="B160" s="61"/>
      <c r="C160" s="62"/>
      <c r="D160" s="87"/>
      <c r="E160" s="42"/>
      <c r="F160" s="42">
        <f>[4]Charters!C1371</f>
        <v>7964.15</v>
      </c>
      <c r="G160" s="42"/>
      <c r="H160" s="42"/>
      <c r="I160" s="82"/>
    </row>
    <row r="161" spans="1:9" x14ac:dyDescent="0.2">
      <c r="A161" s="59" t="s">
        <v>39</v>
      </c>
      <c r="B161" s="43"/>
      <c r="C161" s="56"/>
      <c r="D161" s="41">
        <f>[4]Charters!C1218</f>
        <v>7964.15</v>
      </c>
      <c r="E161" s="42"/>
      <c r="F161" s="42">
        <f>SUM(D161:D164)</f>
        <v>7964.15</v>
      </c>
      <c r="G161" s="42"/>
      <c r="H161" s="42"/>
      <c r="I161" s="82"/>
    </row>
    <row r="162" spans="1:9" x14ac:dyDescent="0.2">
      <c r="A162" s="59" t="s">
        <v>48</v>
      </c>
      <c r="B162" s="43"/>
      <c r="C162" s="56"/>
      <c r="D162" s="41">
        <f>[4]Charters!D1218</f>
        <v>0</v>
      </c>
      <c r="E162" s="42"/>
      <c r="F162" s="42">
        <f>+F160-F161</f>
        <v>0</v>
      </c>
      <c r="G162" s="42"/>
      <c r="H162" s="42"/>
      <c r="I162" s="82"/>
    </row>
    <row r="163" spans="1:9" x14ac:dyDescent="0.2">
      <c r="A163" s="59" t="s">
        <v>60</v>
      </c>
      <c r="B163" s="43"/>
      <c r="C163" s="56"/>
      <c r="D163" s="41">
        <f>[4]Charters!E1218</f>
        <v>0</v>
      </c>
      <c r="E163" s="42"/>
      <c r="F163" s="42"/>
      <c r="G163" s="42"/>
      <c r="H163" s="42"/>
      <c r="I163" s="82"/>
    </row>
    <row r="164" spans="1:9" x14ac:dyDescent="0.2">
      <c r="A164" s="59" t="s">
        <v>61</v>
      </c>
      <c r="B164" s="43"/>
      <c r="C164" s="56"/>
      <c r="D164" s="41">
        <f>[4]Charters!F1218</f>
        <v>0</v>
      </c>
      <c r="E164" s="42"/>
      <c r="F164" s="42"/>
      <c r="G164" s="42"/>
      <c r="H164" s="42"/>
      <c r="I164" s="82"/>
    </row>
    <row r="165" spans="1:9" ht="13.5" thickBot="1" x14ac:dyDescent="0.25">
      <c r="A165" s="64"/>
      <c r="B165" s="65"/>
      <c r="C165" s="66"/>
      <c r="D165" s="67">
        <f>SUM(D140:D164)</f>
        <v>5018204.7</v>
      </c>
      <c r="E165" s="42"/>
      <c r="F165" s="42"/>
      <c r="G165" s="42"/>
      <c r="H165" s="42"/>
      <c r="I165" s="82"/>
    </row>
    <row r="166" spans="1:9" ht="13.5" thickTop="1" x14ac:dyDescent="0.2">
      <c r="A166" s="68"/>
      <c r="B166" s="43"/>
      <c r="C166" s="56"/>
      <c r="D166" s="86"/>
      <c r="E166" s="42"/>
      <c r="F166" s="42"/>
      <c r="G166" s="42"/>
      <c r="H166" s="42"/>
      <c r="I166" s="82"/>
    </row>
    <row r="167" spans="1:9" x14ac:dyDescent="0.2">
      <c r="A167" s="38" t="s">
        <v>20</v>
      </c>
      <c r="B167" s="39"/>
      <c r="C167" s="70"/>
      <c r="D167" s="71" t="s">
        <v>21</v>
      </c>
      <c r="E167" s="42"/>
      <c r="F167" s="42"/>
      <c r="G167" s="42"/>
      <c r="H167" s="42"/>
      <c r="I167" s="82"/>
    </row>
    <row r="168" spans="1:9" x14ac:dyDescent="0.2">
      <c r="A168" s="72" t="s">
        <v>22</v>
      </c>
      <c r="B168" s="73"/>
      <c r="C168" s="74"/>
      <c r="D168" s="41">
        <f>[5]Charters!C124</f>
        <v>1878</v>
      </c>
      <c r="E168" s="42"/>
      <c r="F168" s="42"/>
      <c r="G168" s="42"/>
      <c r="H168" s="42"/>
      <c r="I168" s="82"/>
    </row>
    <row r="169" spans="1:9" x14ac:dyDescent="0.2">
      <c r="A169" s="75"/>
      <c r="B169" s="61"/>
      <c r="C169" s="76"/>
      <c r="D169" s="77">
        <f>SUM(D168:D168)</f>
        <v>1878</v>
      </c>
      <c r="E169" s="42"/>
      <c r="F169" s="42"/>
      <c r="G169" s="42"/>
      <c r="H169" s="42"/>
      <c r="I169" s="82"/>
    </row>
    <row r="170" spans="1:9" x14ac:dyDescent="0.2">
      <c r="A170" s="78" t="s">
        <v>58</v>
      </c>
      <c r="B170" s="79"/>
      <c r="C170" s="80"/>
      <c r="D170" s="77">
        <f>D169+D165</f>
        <v>5020082.7</v>
      </c>
      <c r="E170" s="42"/>
      <c r="F170" s="42"/>
      <c r="G170" s="42"/>
      <c r="H170" s="42"/>
      <c r="I170" s="82"/>
    </row>
    <row r="171" spans="1:9" x14ac:dyDescent="0.2">
      <c r="A171" s="84"/>
      <c r="B171" s="84"/>
      <c r="C171" s="85"/>
      <c r="D171" s="81"/>
      <c r="E171" s="42"/>
      <c r="F171" s="42"/>
      <c r="G171" s="42"/>
      <c r="H171" s="42"/>
      <c r="I171" s="82"/>
    </row>
    <row r="172" spans="1:9" x14ac:dyDescent="0.2">
      <c r="A172" s="84"/>
      <c r="B172" s="84"/>
      <c r="C172" s="85"/>
      <c r="D172" s="81">
        <f>[5]Charters!E280</f>
        <v>5020082.7</v>
      </c>
      <c r="E172" s="42"/>
      <c r="F172" s="42"/>
      <c r="G172" s="42"/>
      <c r="H172" s="42"/>
      <c r="I172" s="82"/>
    </row>
    <row r="173" spans="1:9" x14ac:dyDescent="0.2">
      <c r="A173" s="84"/>
      <c r="B173" s="84"/>
      <c r="C173" s="85"/>
      <c r="D173" s="81">
        <f>D170</f>
        <v>5020082.7</v>
      </c>
      <c r="E173" s="42"/>
      <c r="F173" s="42"/>
      <c r="G173" s="42"/>
      <c r="H173" s="42"/>
      <c r="I173" s="82"/>
    </row>
    <row r="174" spans="1:9" x14ac:dyDescent="0.2">
      <c r="A174" s="82"/>
      <c r="B174" s="82"/>
      <c r="C174" s="83"/>
      <c r="D174" s="42">
        <f>D172-D173</f>
        <v>0</v>
      </c>
      <c r="E174" s="42"/>
      <c r="F174" s="42"/>
      <c r="G174" s="42"/>
      <c r="H174" s="42"/>
      <c r="I174" s="82"/>
    </row>
  </sheetData>
  <mergeCells count="4">
    <mergeCell ref="A116:D116"/>
    <mergeCell ref="A117:D117"/>
    <mergeCell ref="A118:D118"/>
    <mergeCell ref="A170:C170"/>
  </mergeCells>
  <pageMargins left="0.7" right="0.7" top="0.75" bottom="0.75" header="0.3" footer="0.3"/>
  <picture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108</vt:i4>
      </vt:variant>
      <vt:variant>
        <vt:lpstr>Named Ranges</vt:lpstr>
      </vt:variant>
      <vt:variant>
        <vt:i4>103</vt:i4>
      </vt:variant>
    </vt:vector>
  </HeadingPairs>
  <TitlesOfParts>
    <vt:vector size="211" baseType="lpstr">
      <vt:lpstr>OPA</vt:lpstr>
      <vt:lpstr>APA</vt:lpstr>
      <vt:lpstr>Walden</vt:lpstr>
      <vt:lpstr>Freedom</vt:lpstr>
      <vt:lpstr>AMES</vt:lpstr>
      <vt:lpstr>Pinnacle</vt:lpstr>
      <vt:lpstr>City Aca</vt:lpstr>
      <vt:lpstr>Soldier</vt:lpstr>
      <vt:lpstr>Tuacahn</vt:lpstr>
      <vt:lpstr>Uintah</vt:lpstr>
      <vt:lpstr>Hancock</vt:lpstr>
      <vt:lpstr>Edison</vt:lpstr>
      <vt:lpstr>Timp</vt:lpstr>
      <vt:lpstr>SLArts</vt:lpstr>
      <vt:lpstr>FastForward</vt:lpstr>
      <vt:lpstr>NUAMES</vt:lpstr>
      <vt:lpstr>Ranches</vt:lpstr>
      <vt:lpstr>DaVinci</vt:lpstr>
      <vt:lpstr>Summit</vt:lpstr>
      <vt:lpstr>Itineris</vt:lpstr>
      <vt:lpstr>NDavisPrep</vt:lpstr>
      <vt:lpstr>Moab</vt:lpstr>
      <vt:lpstr>East Hollywood</vt:lpstr>
      <vt:lpstr>Success Iron</vt:lpstr>
      <vt:lpstr>UCAS</vt:lpstr>
      <vt:lpstr>Lincoln</vt:lpstr>
      <vt:lpstr>Beehive</vt:lpstr>
      <vt:lpstr>Wasatch Peak</vt:lpstr>
      <vt:lpstr>North Star</vt:lpstr>
      <vt:lpstr>Reagan</vt:lpstr>
      <vt:lpstr>Amer Leadership</vt:lpstr>
      <vt:lpstr>Navigator Point</vt:lpstr>
      <vt:lpstr>Odyssey</vt:lpstr>
      <vt:lpstr>Intech</vt:lpstr>
      <vt:lpstr>Entheos</vt:lpstr>
      <vt:lpstr>Lakeview</vt:lpstr>
      <vt:lpstr>Legacy</vt:lpstr>
      <vt:lpstr>Monticello</vt:lpstr>
      <vt:lpstr>Mountainville</vt:lpstr>
      <vt:lpstr>Paradigm</vt:lpstr>
      <vt:lpstr>Rennaissance</vt:lpstr>
      <vt:lpstr>Channing</vt:lpstr>
      <vt:lpstr>Spectrum</vt:lpstr>
      <vt:lpstr>Syracuse</vt:lpstr>
      <vt:lpstr>Wash</vt:lpstr>
      <vt:lpstr>Noah Webster</vt:lpstr>
      <vt:lpstr>Salt Lake SPA</vt:lpstr>
      <vt:lpstr>Open Classroom</vt:lpstr>
      <vt:lpstr>Canyon Rim</vt:lpstr>
      <vt:lpstr>Guadalupe</vt:lpstr>
      <vt:lpstr>Maeser</vt:lpstr>
      <vt:lpstr>C.S. Lews</vt:lpstr>
      <vt:lpstr>Dual Imm</vt:lpstr>
      <vt:lpstr>Edith Bowen</vt:lpstr>
      <vt:lpstr>Gateway Prep</vt:lpstr>
      <vt:lpstr>Merit</vt:lpstr>
      <vt:lpstr>Providence</vt:lpstr>
      <vt:lpstr>Quest</vt:lpstr>
      <vt:lpstr>Rockwell</vt:lpstr>
      <vt:lpstr>Venture</vt:lpstr>
      <vt:lpstr>Ctr Science</vt:lpstr>
      <vt:lpstr>Ut Virtual Acdy</vt:lpstr>
      <vt:lpstr>The Early Light</vt:lpstr>
      <vt:lpstr>Excelsior Academy</vt:lpstr>
      <vt:lpstr>Hawthorn Academy</vt:lpstr>
      <vt:lpstr>Mountain Heights</vt:lpstr>
      <vt:lpstr>Jefferson</vt:lpstr>
      <vt:lpstr>Vista at Entrada</vt:lpstr>
      <vt:lpstr>Bear River</vt:lpstr>
      <vt:lpstr>Montessori</vt:lpstr>
      <vt:lpstr>Canyon Grove</vt:lpstr>
      <vt:lpstr>Weilenmann</vt:lpstr>
      <vt:lpstr>Summit Academy</vt:lpstr>
      <vt:lpstr>Good Foundations</vt:lpstr>
      <vt:lpstr>Utah Connections</vt:lpstr>
      <vt:lpstr>Endeavor</vt:lpstr>
      <vt:lpstr>Aristotle</vt:lpstr>
      <vt:lpstr>High Mark</vt:lpstr>
      <vt:lpstr>Promontory</vt:lpstr>
      <vt:lpstr>Pacific Heritage</vt:lpstr>
      <vt:lpstr>Valley Arts</vt:lpstr>
      <vt:lpstr>Pioneer</vt:lpstr>
      <vt:lpstr>Utah Intern'l</vt:lpstr>
      <vt:lpstr>Esperanza</vt:lpstr>
      <vt:lpstr>Leadership Learning</vt:lpstr>
      <vt:lpstr>Mana</vt:lpstr>
      <vt:lpstr>Voyage</vt:lpstr>
      <vt:lpstr>WSU</vt:lpstr>
      <vt:lpstr>Winter Sports</vt:lpstr>
      <vt:lpstr>Utah Career Path HS</vt:lpstr>
      <vt:lpstr>AmerIntnl</vt:lpstr>
      <vt:lpstr>Ascent</vt:lpstr>
      <vt:lpstr>Dixie</vt:lpstr>
      <vt:lpstr>Kairos</vt:lpstr>
      <vt:lpstr>MtnWest</vt:lpstr>
      <vt:lpstr>Scholar</vt:lpstr>
      <vt:lpstr>Greenwood</vt:lpstr>
      <vt:lpstr>Terra</vt:lpstr>
      <vt:lpstr>Lumen</vt:lpstr>
      <vt:lpstr>Vanguard</vt:lpstr>
      <vt:lpstr>Utah Military</vt:lpstr>
      <vt:lpstr>Roots</vt:lpstr>
      <vt:lpstr>Anthenian</vt:lpstr>
      <vt:lpstr>WasatchWaldorf</vt:lpstr>
      <vt:lpstr>Franklin Disscovery</vt:lpstr>
      <vt:lpstr>Wallace Stegner</vt:lpstr>
      <vt:lpstr>AmerAcadInnovation</vt:lpstr>
      <vt:lpstr>Athlos Academy</vt:lpstr>
      <vt:lpstr>'Amer Leadership'!Print_Area</vt:lpstr>
      <vt:lpstr>AmerIntnl!Print_Area</vt:lpstr>
      <vt:lpstr>AMES!Print_Area</vt:lpstr>
      <vt:lpstr>Anthenian!Print_Area</vt:lpstr>
      <vt:lpstr>APA!Print_Area</vt:lpstr>
      <vt:lpstr>Aristotle!Print_Area</vt:lpstr>
      <vt:lpstr>Ascent!Print_Area</vt:lpstr>
      <vt:lpstr>'Bear River'!Print_Area</vt:lpstr>
      <vt:lpstr>Beehive!Print_Area</vt:lpstr>
      <vt:lpstr>'C.S. Lews'!Print_Area</vt:lpstr>
      <vt:lpstr>'Canyon Grove'!Print_Area</vt:lpstr>
      <vt:lpstr>'Canyon Rim'!Print_Area</vt:lpstr>
      <vt:lpstr>Channing!Print_Area</vt:lpstr>
      <vt:lpstr>'City Aca'!Print_Area</vt:lpstr>
      <vt:lpstr>'Ctr Science'!Print_Area</vt:lpstr>
      <vt:lpstr>DaVinci!Print_Area</vt:lpstr>
      <vt:lpstr>Dixie!Print_Area</vt:lpstr>
      <vt:lpstr>'Dual Imm'!Print_Area</vt:lpstr>
      <vt:lpstr>'East Hollywood'!Print_Area</vt:lpstr>
      <vt:lpstr>Edison!Print_Area</vt:lpstr>
      <vt:lpstr>'Edith Bowen'!Print_Area</vt:lpstr>
      <vt:lpstr>Endeavor!Print_Area</vt:lpstr>
      <vt:lpstr>Entheos!Print_Area</vt:lpstr>
      <vt:lpstr>Esperanza!Print_Area</vt:lpstr>
      <vt:lpstr>'Excelsior Academy'!Print_Area</vt:lpstr>
      <vt:lpstr>FastForward!Print_Area</vt:lpstr>
      <vt:lpstr>Freedom!Print_Area</vt:lpstr>
      <vt:lpstr>'Gateway Prep'!Print_Area</vt:lpstr>
      <vt:lpstr>'Good Foundations'!Print_Area</vt:lpstr>
      <vt:lpstr>Greenwood!Print_Area</vt:lpstr>
      <vt:lpstr>Guadalupe!Print_Area</vt:lpstr>
      <vt:lpstr>Hancock!Print_Area</vt:lpstr>
      <vt:lpstr>'Hawthorn Academy'!Print_Area</vt:lpstr>
      <vt:lpstr>'High Mark'!Print_Area</vt:lpstr>
      <vt:lpstr>Intech!Print_Area</vt:lpstr>
      <vt:lpstr>Itineris!Print_Area</vt:lpstr>
      <vt:lpstr>Jefferson!Print_Area</vt:lpstr>
      <vt:lpstr>Kairos!Print_Area</vt:lpstr>
      <vt:lpstr>Lakeview!Print_Area</vt:lpstr>
      <vt:lpstr>'Leadership Learning'!Print_Area</vt:lpstr>
      <vt:lpstr>Legacy!Print_Area</vt:lpstr>
      <vt:lpstr>Lincoln!Print_Area</vt:lpstr>
      <vt:lpstr>Lumen!Print_Area</vt:lpstr>
      <vt:lpstr>Maeser!Print_Area</vt:lpstr>
      <vt:lpstr>Mana!Print_Area</vt:lpstr>
      <vt:lpstr>Merit!Print_Area</vt:lpstr>
      <vt:lpstr>Moab!Print_Area</vt:lpstr>
      <vt:lpstr>Montessori!Print_Area</vt:lpstr>
      <vt:lpstr>Monticello!Print_Area</vt:lpstr>
      <vt:lpstr>'Mountain Heights'!Print_Area</vt:lpstr>
      <vt:lpstr>Mountainville!Print_Area</vt:lpstr>
      <vt:lpstr>MtnWest!Print_Area</vt:lpstr>
      <vt:lpstr>'Navigator Point'!Print_Area</vt:lpstr>
      <vt:lpstr>NDavisPrep!Print_Area</vt:lpstr>
      <vt:lpstr>'Noah Webster'!Print_Area</vt:lpstr>
      <vt:lpstr>'North Star'!Print_Area</vt:lpstr>
      <vt:lpstr>NUAMES!Print_Area</vt:lpstr>
      <vt:lpstr>Odyssey!Print_Area</vt:lpstr>
      <vt:lpstr>OPA!Print_Area</vt:lpstr>
      <vt:lpstr>'Open Classroom'!Print_Area</vt:lpstr>
      <vt:lpstr>'Pacific Heritage'!Print_Area</vt:lpstr>
      <vt:lpstr>Paradigm!Print_Area</vt:lpstr>
      <vt:lpstr>Pinnacle!Print_Area</vt:lpstr>
      <vt:lpstr>Pioneer!Print_Area</vt:lpstr>
      <vt:lpstr>Promontory!Print_Area</vt:lpstr>
      <vt:lpstr>Providence!Print_Area</vt:lpstr>
      <vt:lpstr>Quest!Print_Area</vt:lpstr>
      <vt:lpstr>Ranches!Print_Area</vt:lpstr>
      <vt:lpstr>Reagan!Print_Area</vt:lpstr>
      <vt:lpstr>Rennaissance!Print_Area</vt:lpstr>
      <vt:lpstr>Rockwell!Print_Area</vt:lpstr>
      <vt:lpstr>Roots!Print_Area</vt:lpstr>
      <vt:lpstr>'Salt Lake SPA'!Print_Area</vt:lpstr>
      <vt:lpstr>Scholar!Print_Area</vt:lpstr>
      <vt:lpstr>SLArts!Print_Area</vt:lpstr>
      <vt:lpstr>Soldier!Print_Area</vt:lpstr>
      <vt:lpstr>Spectrum!Print_Area</vt:lpstr>
      <vt:lpstr>'Success Iron'!Print_Area</vt:lpstr>
      <vt:lpstr>Summit!Print_Area</vt:lpstr>
      <vt:lpstr>'Summit Academy'!Print_Area</vt:lpstr>
      <vt:lpstr>Syracuse!Print_Area</vt:lpstr>
      <vt:lpstr>Terra!Print_Area</vt:lpstr>
      <vt:lpstr>'The Early Light'!Print_Area</vt:lpstr>
      <vt:lpstr>Timp!Print_Area</vt:lpstr>
      <vt:lpstr>Tuacahn!Print_Area</vt:lpstr>
      <vt:lpstr>UCAS!Print_Area</vt:lpstr>
      <vt:lpstr>Uintah!Print_Area</vt:lpstr>
      <vt:lpstr>'Ut Virtual Acdy'!Print_Area</vt:lpstr>
      <vt:lpstr>'Utah Career Path HS'!Print_Area</vt:lpstr>
      <vt:lpstr>'Utah Connections'!Print_Area</vt:lpstr>
      <vt:lpstr>'Utah Intern''l'!Print_Area</vt:lpstr>
      <vt:lpstr>'Utah Military'!Print_Area</vt:lpstr>
      <vt:lpstr>'Valley Arts'!Print_Area</vt:lpstr>
      <vt:lpstr>Vanguard!Print_Area</vt:lpstr>
      <vt:lpstr>Venture!Print_Area</vt:lpstr>
      <vt:lpstr>'Vista at Entrada'!Print_Area</vt:lpstr>
      <vt:lpstr>Voyage!Print_Area</vt:lpstr>
      <vt:lpstr>Walden!Print_Area</vt:lpstr>
      <vt:lpstr>'Wasatch Peak'!Print_Area</vt:lpstr>
      <vt:lpstr>Wash!Print_Area</vt:lpstr>
      <vt:lpstr>Weilenmann!Print_Area</vt:lpstr>
      <vt:lpstr>'Winter Sports'!Print_Area</vt:lpstr>
      <vt:lpstr>WSU!Print_Area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USOE Staff</dc:creator>
  <cp:lastModifiedBy>Grayson</cp:lastModifiedBy>
  <cp:lastPrinted>2015-04-09T19:39:45Z</cp:lastPrinted>
  <dcterms:created xsi:type="dcterms:W3CDTF">1999-03-12T20:37:06Z</dcterms:created>
  <dcterms:modified xsi:type="dcterms:W3CDTF">2021-12-09T05:12:51Z</dcterms:modified>
</cp:coreProperties>
</file>