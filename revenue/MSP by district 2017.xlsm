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rayson\Documents\CLP\royce\"/>
    </mc:Choice>
  </mc:AlternateContent>
  <xr:revisionPtr revIDLastSave="0" documentId="8_{C6BF0E33-F009-4993-8C67-D02CD918ECEA}" xr6:coauthVersionLast="47" xr6:coauthVersionMax="47" xr10:uidLastSave="{00000000-0000-0000-0000-000000000000}"/>
  <bookViews>
    <workbookView xWindow="-120" yWindow="-120" windowWidth="29040" windowHeight="15840" tabRatio="688" firstSheet="30" activeTab="38" xr2:uid="{00000000-000D-0000-FFFF-FFFF00000000}"/>
  </bookViews>
  <sheets>
    <sheet name="Alpine" sheetId="1" r:id="rId1"/>
    <sheet name="Beaver" sheetId="2" r:id="rId2"/>
    <sheet name="Box Elder" sheetId="3" r:id="rId3"/>
    <sheet name="Cache" sheetId="6" r:id="rId4"/>
    <sheet name="Carbon" sheetId="7" r:id="rId5"/>
    <sheet name="Daggett" sheetId="11" r:id="rId6"/>
    <sheet name="Davis" sheetId="26" r:id="rId7"/>
    <sheet name="Duchesne" sheetId="23" r:id="rId8"/>
    <sheet name="Emery" sheetId="25" r:id="rId9"/>
    <sheet name="Garfield" sheetId="18" r:id="rId10"/>
    <sheet name="Grand" sheetId="24" r:id="rId11"/>
    <sheet name="Granite" sheetId="22" r:id="rId12"/>
    <sheet name="Iron" sheetId="19" r:id="rId13"/>
    <sheet name="Jordan" sheetId="21" r:id="rId14"/>
    <sheet name="Juab" sheetId="42" r:id="rId15"/>
    <sheet name="Kane" sheetId="13" r:id="rId16"/>
    <sheet name="Millard" sheetId="17" r:id="rId17"/>
    <sheet name="Morgan" sheetId="16" r:id="rId18"/>
    <sheet name="Nebo" sheetId="15" r:id="rId19"/>
    <sheet name="No Sanpete" sheetId="14" r:id="rId20"/>
    <sheet name="No Summit" sheetId="10" r:id="rId21"/>
    <sheet name="Park City" sheetId="12" r:id="rId22"/>
    <sheet name="Piute" sheetId="9" r:id="rId23"/>
    <sheet name="Rich" sheetId="8" r:id="rId24"/>
    <sheet name="San Juan" sheetId="5" r:id="rId25"/>
    <sheet name="Sevier" sheetId="27" r:id="rId26"/>
    <sheet name="So Sanpet" sheetId="28" r:id="rId27"/>
    <sheet name="So Summit" sheetId="38" r:id="rId28"/>
    <sheet name="Tintic" sheetId="37" r:id="rId29"/>
    <sheet name="Tooele" sheetId="36" r:id="rId30"/>
    <sheet name="Uintah" sheetId="35" r:id="rId31"/>
    <sheet name="Wasatch" sheetId="34" r:id="rId32"/>
    <sheet name="Washington" sheetId="33" r:id="rId33"/>
    <sheet name="Wayne" sheetId="32" r:id="rId34"/>
    <sheet name="Weber" sheetId="31" r:id="rId35"/>
    <sheet name="Salt Lake " sheetId="30" r:id="rId36"/>
    <sheet name="Ogden" sheetId="29" r:id="rId37"/>
    <sheet name="Provo" sheetId="41" r:id="rId38"/>
    <sheet name="Logan" sheetId="39" r:id="rId39"/>
    <sheet name="Murray" sheetId="4" r:id="rId40"/>
    <sheet name="Canyons" sheetId="46" r:id="rId41"/>
  </sheets>
  <externalReferences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</externalReferences>
  <definedNames>
    <definedName name="_xlnm.Print_Area" localSheetId="0">Alpine!$A$1:$J$79</definedName>
    <definedName name="_xlnm.Print_Area" localSheetId="1">Beaver!$A$2:$F$64</definedName>
    <definedName name="_xlnm.Print_Area" localSheetId="2">'Box Elder'!$A$3:$F$65</definedName>
    <definedName name="_xlnm.Print_Area" localSheetId="3">Cache!$A$4:$F$66</definedName>
    <definedName name="_xlnm.Print_Area" localSheetId="40">Canyons!$A$41:$F$103</definedName>
    <definedName name="_xlnm.Print_Area" localSheetId="4">Carbon!$A$5:$F$67</definedName>
    <definedName name="_xlnm.Print_Area" localSheetId="5">Daggett!$A$6:$F$68</definedName>
    <definedName name="_xlnm.Print_Area" localSheetId="6">Davis!$A$7:$F$69</definedName>
    <definedName name="_xlnm.Print_Area" localSheetId="7">Duchesne!$A$8:$F$70</definedName>
    <definedName name="_xlnm.Print_Area" localSheetId="8">Emery!$A$9:$F$71</definedName>
    <definedName name="_xlnm.Print_Area" localSheetId="9">Garfield!$A$10:$F$72</definedName>
    <definedName name="_xlnm.Print_Area" localSheetId="10">Grand!$A$11:$F$73</definedName>
    <definedName name="_xlnm.Print_Area" localSheetId="11">Granite!$A$12:$F$74</definedName>
    <definedName name="_xlnm.Print_Area" localSheetId="12">Iron!$A$13:$F$75</definedName>
    <definedName name="_xlnm.Print_Area" localSheetId="13">Jordan!$A$14:$F$76</definedName>
    <definedName name="_xlnm.Print_Area" localSheetId="14">Juab!$A$15:$F$77</definedName>
    <definedName name="_xlnm.Print_Area" localSheetId="15">Kane!$A$16:$F$78</definedName>
    <definedName name="_xlnm.Print_Area" localSheetId="38">Logan!$A$39:$F$101</definedName>
    <definedName name="_xlnm.Print_Area" localSheetId="16">Millard!$A$17:$F$79</definedName>
    <definedName name="_xlnm.Print_Area" localSheetId="17">Morgan!$A$18:$F$80</definedName>
    <definedName name="_xlnm.Print_Area" localSheetId="39">Murray!$A$40:$F$102</definedName>
    <definedName name="_xlnm.Print_Area" localSheetId="18">Nebo!$A$19:$F$81</definedName>
    <definedName name="_xlnm.Print_Area" localSheetId="19">'No Sanpete'!$A$20:$F$82</definedName>
    <definedName name="_xlnm.Print_Area" localSheetId="20">'No Summit'!$A$21:$F$83</definedName>
    <definedName name="_xlnm.Print_Area" localSheetId="36">Ogden!$A$37:$F$99</definedName>
    <definedName name="_xlnm.Print_Area" localSheetId="21">'Park City'!$A$22:$F$87</definedName>
    <definedName name="_xlnm.Print_Area" localSheetId="22">Piute!$A$23:$F$85</definedName>
    <definedName name="_xlnm.Print_Area" localSheetId="37">Provo!$A$38:$F$100</definedName>
    <definedName name="_xlnm.Print_Area" localSheetId="23">Rich!$A$24:$F$86</definedName>
    <definedName name="_xlnm.Print_Area" localSheetId="35">'Salt Lake '!$A$36:$F$98</definedName>
    <definedName name="_xlnm.Print_Area" localSheetId="24">'San Juan'!$A$25:$F$87</definedName>
    <definedName name="_xlnm.Print_Area" localSheetId="25">Sevier!$A$26:$F$88</definedName>
    <definedName name="_xlnm.Print_Area" localSheetId="26">'So Sanpet'!$A$27:$F$89</definedName>
    <definedName name="_xlnm.Print_Area" localSheetId="27">'So Summit'!$A$28:$F$90</definedName>
    <definedName name="_xlnm.Print_Area" localSheetId="28">Tintic!$A$29:$F$91</definedName>
    <definedName name="_xlnm.Print_Area" localSheetId="29">Tooele!$A$30:$F$92</definedName>
    <definedName name="_xlnm.Print_Area" localSheetId="30">Uintah!$A$31:$F$93</definedName>
    <definedName name="_xlnm.Print_Area" localSheetId="31">Wasatch!$A$32:$F$94</definedName>
    <definedName name="_xlnm.Print_Area" localSheetId="32">Washington!$A$33:$F$95</definedName>
    <definedName name="_xlnm.Print_Area" localSheetId="33">Wayne!$A$34:$F$96</definedName>
    <definedName name="_xlnm.Print_Area" localSheetId="34">Weber!$A$35:$F$97</definedName>
    <definedName name="solver_opt" localSheetId="0" hidden="1">Alpine!#REF!</definedName>
  </definedNames>
  <calcPr calcId="191029" fullPrecision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9" i="12" l="1"/>
  <c r="J41" i="22" l="1"/>
  <c r="D43" i="1"/>
  <c r="B47" i="46"/>
  <c r="B46" i="4"/>
  <c r="B45" i="39"/>
  <c r="B44" i="41"/>
  <c r="B43" i="29"/>
  <c r="B42" i="30"/>
  <c r="B41" i="31"/>
  <c r="B40" i="32"/>
  <c r="B39" i="33"/>
  <c r="B38" i="34"/>
  <c r="B37" i="35"/>
  <c r="B36" i="36"/>
  <c r="B35" i="37"/>
  <c r="B34" i="38"/>
  <c r="B33" i="28"/>
  <c r="B32" i="27"/>
  <c r="B31" i="5"/>
  <c r="B30" i="8"/>
  <c r="B29" i="9"/>
  <c r="B28" i="12"/>
  <c r="B27" i="10"/>
  <c r="B26" i="14"/>
  <c r="B25" i="15"/>
  <c r="B24" i="16"/>
  <c r="B23" i="17"/>
  <c r="B22" i="13"/>
  <c r="B21" i="42"/>
  <c r="B20" i="21"/>
  <c r="B19" i="19"/>
  <c r="B18" i="22"/>
  <c r="B17" i="24"/>
  <c r="B16" i="18"/>
  <c r="B15" i="25"/>
  <c r="B14" i="23"/>
  <c r="B13" i="26"/>
  <c r="B12" i="11"/>
  <c r="B11" i="7"/>
  <c r="B10" i="6"/>
  <c r="B9" i="3"/>
  <c r="B8" i="2"/>
  <c r="H46" i="1"/>
  <c r="B7" i="1"/>
  <c r="B50" i="46" l="1"/>
  <c r="B49" i="4"/>
  <c r="B48" i="39"/>
  <c r="B47" i="41"/>
  <c r="B46" i="29"/>
  <c r="B45" i="30"/>
  <c r="B44" i="31"/>
  <c r="B43" i="32"/>
  <c r="B42" i="33"/>
  <c r="B41" i="34"/>
  <c r="B40" i="35"/>
  <c r="B39" i="36"/>
  <c r="B38" i="37"/>
  <c r="B37" i="38"/>
  <c r="B36" i="28"/>
  <c r="B35" i="27"/>
  <c r="B34" i="5"/>
  <c r="B33" i="8"/>
  <c r="B32" i="9"/>
  <c r="B31" i="12"/>
  <c r="B30" i="10"/>
  <c r="B29" i="14"/>
  <c r="B28" i="15"/>
  <c r="B27" i="16"/>
  <c r="B26" i="17"/>
  <c r="B25" i="13"/>
  <c r="B24" i="42"/>
  <c r="B23" i="21"/>
  <c r="B22" i="19"/>
  <c r="B21" i="22"/>
  <c r="B20" i="24"/>
  <c r="B19" i="18"/>
  <c r="B18" i="25"/>
  <c r="B17" i="23"/>
  <c r="B16" i="26"/>
  <c r="B15" i="11"/>
  <c r="B14" i="7"/>
  <c r="B13" i="6"/>
  <c r="B12" i="3"/>
  <c r="B11" i="2"/>
  <c r="B10" i="1"/>
  <c r="J105" i="46"/>
  <c r="H105" i="46"/>
  <c r="E100" i="46"/>
  <c r="D100" i="46"/>
  <c r="E99" i="46"/>
  <c r="D99" i="46"/>
  <c r="D97" i="46"/>
  <c r="D96" i="46"/>
  <c r="D95" i="46"/>
  <c r="H94" i="46"/>
  <c r="D94" i="46"/>
  <c r="D92" i="46"/>
  <c r="D91" i="46"/>
  <c r="D90" i="46"/>
  <c r="D89" i="46"/>
  <c r="D88" i="46"/>
  <c r="D87" i="46"/>
  <c r="D86" i="46"/>
  <c r="D85" i="46"/>
  <c r="D84" i="46"/>
  <c r="D82" i="46"/>
  <c r="D81" i="46"/>
  <c r="D80" i="46"/>
  <c r="D79" i="46"/>
  <c r="D78" i="46"/>
  <c r="D77" i="46"/>
  <c r="D76" i="46"/>
  <c r="D75" i="46"/>
  <c r="D73" i="46"/>
  <c r="D72" i="46"/>
  <c r="D71" i="46"/>
  <c r="B43" i="46"/>
  <c r="B42" i="46"/>
  <c r="J104" i="4"/>
  <c r="H104" i="4"/>
  <c r="E99" i="4"/>
  <c r="D99" i="4"/>
  <c r="E98" i="4"/>
  <c r="D98" i="4"/>
  <c r="D96" i="4"/>
  <c r="D95" i="4"/>
  <c r="D94" i="4"/>
  <c r="H93" i="4"/>
  <c r="D93" i="4"/>
  <c r="D91" i="4"/>
  <c r="D90" i="4"/>
  <c r="D89" i="4"/>
  <c r="D88" i="4"/>
  <c r="D87" i="4"/>
  <c r="D86" i="4"/>
  <c r="D85" i="4"/>
  <c r="D84" i="4"/>
  <c r="D83" i="4"/>
  <c r="D81" i="4"/>
  <c r="D80" i="4"/>
  <c r="D79" i="4"/>
  <c r="D78" i="4"/>
  <c r="D77" i="4"/>
  <c r="D76" i="4"/>
  <c r="D75" i="4"/>
  <c r="D74" i="4"/>
  <c r="D72" i="4"/>
  <c r="D71" i="4"/>
  <c r="D70" i="4"/>
  <c r="B42" i="4"/>
  <c r="B41" i="4"/>
  <c r="J103" i="39"/>
  <c r="H103" i="39"/>
  <c r="E98" i="39"/>
  <c r="D98" i="39"/>
  <c r="E97" i="39"/>
  <c r="D97" i="39"/>
  <c r="D95" i="39"/>
  <c r="D94" i="39"/>
  <c r="D93" i="39"/>
  <c r="H92" i="39"/>
  <c r="D92" i="39"/>
  <c r="D90" i="39"/>
  <c r="D89" i="39"/>
  <c r="D88" i="39"/>
  <c r="D87" i="39"/>
  <c r="D86" i="39"/>
  <c r="D85" i="39"/>
  <c r="D84" i="39"/>
  <c r="D83" i="39"/>
  <c r="D82" i="39"/>
  <c r="D80" i="39"/>
  <c r="D79" i="39"/>
  <c r="D78" i="39"/>
  <c r="D77" i="39"/>
  <c r="D76" i="39"/>
  <c r="D75" i="39"/>
  <c r="D74" i="39"/>
  <c r="D73" i="39"/>
  <c r="D71" i="39"/>
  <c r="D70" i="39"/>
  <c r="D69" i="39"/>
  <c r="B41" i="39"/>
  <c r="B40" i="39"/>
  <c r="J102" i="41"/>
  <c r="H102" i="41"/>
  <c r="E97" i="41"/>
  <c r="D97" i="41"/>
  <c r="E96" i="41"/>
  <c r="D96" i="41"/>
  <c r="D94" i="41"/>
  <c r="D93" i="41"/>
  <c r="D92" i="41"/>
  <c r="H91" i="41"/>
  <c r="D91" i="41"/>
  <c r="D89" i="41"/>
  <c r="D88" i="41"/>
  <c r="D87" i="41"/>
  <c r="D86" i="41"/>
  <c r="D85" i="41"/>
  <c r="D84" i="41"/>
  <c r="D83" i="41"/>
  <c r="D82" i="41"/>
  <c r="D81" i="41"/>
  <c r="D79" i="41"/>
  <c r="D78" i="41"/>
  <c r="D77" i="41"/>
  <c r="D76" i="41"/>
  <c r="D75" i="41"/>
  <c r="D74" i="41"/>
  <c r="D73" i="41"/>
  <c r="D72" i="41"/>
  <c r="D70" i="41"/>
  <c r="D69" i="41"/>
  <c r="D68" i="41"/>
  <c r="B40" i="41"/>
  <c r="B39" i="41"/>
  <c r="J101" i="29"/>
  <c r="H101" i="29"/>
  <c r="E96" i="29"/>
  <c r="D96" i="29"/>
  <c r="E95" i="29"/>
  <c r="D95" i="29"/>
  <c r="D93" i="29"/>
  <c r="D92" i="29"/>
  <c r="D91" i="29"/>
  <c r="H90" i="29"/>
  <c r="D90" i="29"/>
  <c r="D88" i="29"/>
  <c r="D87" i="29"/>
  <c r="D86" i="29"/>
  <c r="D85" i="29"/>
  <c r="D84" i="29"/>
  <c r="D83" i="29"/>
  <c r="D82" i="29"/>
  <c r="D81" i="29"/>
  <c r="D80" i="29"/>
  <c r="D78" i="29"/>
  <c r="D77" i="29"/>
  <c r="D76" i="29"/>
  <c r="D75" i="29"/>
  <c r="D74" i="29"/>
  <c r="D73" i="29"/>
  <c r="D72" i="29"/>
  <c r="D71" i="29"/>
  <c r="D69" i="29"/>
  <c r="D68" i="29"/>
  <c r="D67" i="29"/>
  <c r="B39" i="29"/>
  <c r="B38" i="29"/>
  <c r="J100" i="30"/>
  <c r="H100" i="30"/>
  <c r="E95" i="30"/>
  <c r="D95" i="30"/>
  <c r="E94" i="30"/>
  <c r="D94" i="30"/>
  <c r="D92" i="30"/>
  <c r="D91" i="30"/>
  <c r="D90" i="30"/>
  <c r="H89" i="30"/>
  <c r="D89" i="30"/>
  <c r="D87" i="30"/>
  <c r="D86" i="30"/>
  <c r="D85" i="30"/>
  <c r="D84" i="30"/>
  <c r="D83" i="30"/>
  <c r="D82" i="30"/>
  <c r="D81" i="30"/>
  <c r="D80" i="30"/>
  <c r="D79" i="30"/>
  <c r="D77" i="30"/>
  <c r="D76" i="30"/>
  <c r="D75" i="30"/>
  <c r="D74" i="30"/>
  <c r="D73" i="30"/>
  <c r="D72" i="30"/>
  <c r="D71" i="30"/>
  <c r="D70" i="30"/>
  <c r="D68" i="30"/>
  <c r="D67" i="30"/>
  <c r="D66" i="30"/>
  <c r="B38" i="30"/>
  <c r="B37" i="30"/>
  <c r="J99" i="31"/>
  <c r="H99" i="31"/>
  <c r="E94" i="31"/>
  <c r="D94" i="31"/>
  <c r="E93" i="31"/>
  <c r="D93" i="31"/>
  <c r="D91" i="31"/>
  <c r="D90" i="31"/>
  <c r="D89" i="31"/>
  <c r="H88" i="31"/>
  <c r="D88" i="31"/>
  <c r="D86" i="31"/>
  <c r="D85" i="31"/>
  <c r="D84" i="31"/>
  <c r="D83" i="31"/>
  <c r="D82" i="31"/>
  <c r="D81" i="31"/>
  <c r="D80" i="31"/>
  <c r="D79" i="31"/>
  <c r="D78" i="31"/>
  <c r="D76" i="31"/>
  <c r="D75" i="31"/>
  <c r="D74" i="31"/>
  <c r="D73" i="31"/>
  <c r="D72" i="31"/>
  <c r="D71" i="31"/>
  <c r="D70" i="31"/>
  <c r="D69" i="31"/>
  <c r="D67" i="31"/>
  <c r="D66" i="31"/>
  <c r="D65" i="31"/>
  <c r="B37" i="31"/>
  <c r="B36" i="31"/>
  <c r="J98" i="32"/>
  <c r="H98" i="32"/>
  <c r="E93" i="32"/>
  <c r="D93" i="32"/>
  <c r="E92" i="32"/>
  <c r="D92" i="32"/>
  <c r="D90" i="32"/>
  <c r="D89" i="32"/>
  <c r="D88" i="32"/>
  <c r="H87" i="32"/>
  <c r="D87" i="32"/>
  <c r="D85" i="32"/>
  <c r="D84" i="32"/>
  <c r="D83" i="32"/>
  <c r="D82" i="32"/>
  <c r="D81" i="32"/>
  <c r="D80" i="32"/>
  <c r="D79" i="32"/>
  <c r="D78" i="32"/>
  <c r="D77" i="32"/>
  <c r="D75" i="32"/>
  <c r="D74" i="32"/>
  <c r="D73" i="32"/>
  <c r="D72" i="32"/>
  <c r="D71" i="32"/>
  <c r="D70" i="32"/>
  <c r="D69" i="32"/>
  <c r="D68" i="32"/>
  <c r="D66" i="32"/>
  <c r="D65" i="32"/>
  <c r="D64" i="32"/>
  <c r="B36" i="32"/>
  <c r="B35" i="32"/>
  <c r="J97" i="33"/>
  <c r="H97" i="33"/>
  <c r="E92" i="33"/>
  <c r="D92" i="33"/>
  <c r="E91" i="33"/>
  <c r="D91" i="33"/>
  <c r="D89" i="33"/>
  <c r="D88" i="33"/>
  <c r="D87" i="33"/>
  <c r="H86" i="33"/>
  <c r="D86" i="33"/>
  <c r="D84" i="33"/>
  <c r="D83" i="33"/>
  <c r="D82" i="33"/>
  <c r="D81" i="33"/>
  <c r="D80" i="33"/>
  <c r="D79" i="33"/>
  <c r="D78" i="33"/>
  <c r="D77" i="33"/>
  <c r="D76" i="33"/>
  <c r="D74" i="33"/>
  <c r="D73" i="33"/>
  <c r="D72" i="33"/>
  <c r="D71" i="33"/>
  <c r="D70" i="33"/>
  <c r="D69" i="33"/>
  <c r="D68" i="33"/>
  <c r="D67" i="33"/>
  <c r="D65" i="33"/>
  <c r="D64" i="33"/>
  <c r="D63" i="33"/>
  <c r="B35" i="33"/>
  <c r="B34" i="33"/>
  <c r="J96" i="34"/>
  <c r="H96" i="34"/>
  <c r="E91" i="34"/>
  <c r="D91" i="34"/>
  <c r="E90" i="34"/>
  <c r="D90" i="34"/>
  <c r="D88" i="34"/>
  <c r="D87" i="34"/>
  <c r="D86" i="34"/>
  <c r="H85" i="34"/>
  <c r="D85" i="34"/>
  <c r="D83" i="34"/>
  <c r="D82" i="34"/>
  <c r="D81" i="34"/>
  <c r="D80" i="34"/>
  <c r="D79" i="34"/>
  <c r="D78" i="34"/>
  <c r="D77" i="34"/>
  <c r="D76" i="34"/>
  <c r="D75" i="34"/>
  <c r="D73" i="34"/>
  <c r="D72" i="34"/>
  <c r="D71" i="34"/>
  <c r="D70" i="34"/>
  <c r="D69" i="34"/>
  <c r="D68" i="34"/>
  <c r="D67" i="34"/>
  <c r="D66" i="34"/>
  <c r="D64" i="34"/>
  <c r="D63" i="34"/>
  <c r="D62" i="34"/>
  <c r="B34" i="34"/>
  <c r="B33" i="34"/>
  <c r="J95" i="35"/>
  <c r="H95" i="35"/>
  <c r="E90" i="35"/>
  <c r="D90" i="35"/>
  <c r="E89" i="35"/>
  <c r="D89" i="35"/>
  <c r="D87" i="35"/>
  <c r="D86" i="35"/>
  <c r="D85" i="35"/>
  <c r="H84" i="35"/>
  <c r="D84" i="35"/>
  <c r="D82" i="35"/>
  <c r="D81" i="35"/>
  <c r="D80" i="35"/>
  <c r="D79" i="35"/>
  <c r="D78" i="35"/>
  <c r="D77" i="35"/>
  <c r="D76" i="35"/>
  <c r="D75" i="35"/>
  <c r="D74" i="35"/>
  <c r="D72" i="35"/>
  <c r="D71" i="35"/>
  <c r="D70" i="35"/>
  <c r="D69" i="35"/>
  <c r="D68" i="35"/>
  <c r="D67" i="35"/>
  <c r="D66" i="35"/>
  <c r="D65" i="35"/>
  <c r="D63" i="35"/>
  <c r="D62" i="35"/>
  <c r="D61" i="35"/>
  <c r="B33" i="35"/>
  <c r="B32" i="35"/>
  <c r="J94" i="36"/>
  <c r="H94" i="36"/>
  <c r="E89" i="36"/>
  <c r="D89" i="36"/>
  <c r="E88" i="36"/>
  <c r="D88" i="36"/>
  <c r="D86" i="36"/>
  <c r="D85" i="36"/>
  <c r="D84" i="36"/>
  <c r="H83" i="36"/>
  <c r="D83" i="36"/>
  <c r="D81" i="36"/>
  <c r="D80" i="36"/>
  <c r="D79" i="36"/>
  <c r="D78" i="36"/>
  <c r="D77" i="36"/>
  <c r="D76" i="36"/>
  <c r="D75" i="36"/>
  <c r="D74" i="36"/>
  <c r="D73" i="36"/>
  <c r="D71" i="36"/>
  <c r="D70" i="36"/>
  <c r="D69" i="36"/>
  <c r="D68" i="36"/>
  <c r="D67" i="36"/>
  <c r="D66" i="36"/>
  <c r="D65" i="36"/>
  <c r="D64" i="36"/>
  <c r="D62" i="36"/>
  <c r="D61" i="36"/>
  <c r="D60" i="36"/>
  <c r="B32" i="36"/>
  <c r="B31" i="36"/>
  <c r="J93" i="37"/>
  <c r="H93" i="37"/>
  <c r="E88" i="37"/>
  <c r="D88" i="37"/>
  <c r="E87" i="37"/>
  <c r="D87" i="37"/>
  <c r="D85" i="37"/>
  <c r="D84" i="37"/>
  <c r="D83" i="37"/>
  <c r="H82" i="37"/>
  <c r="D82" i="37"/>
  <c r="D80" i="37"/>
  <c r="D79" i="37"/>
  <c r="D78" i="37"/>
  <c r="D77" i="37"/>
  <c r="D76" i="37"/>
  <c r="D75" i="37"/>
  <c r="D74" i="37"/>
  <c r="D73" i="37"/>
  <c r="D72" i="37"/>
  <c r="D70" i="37"/>
  <c r="D69" i="37"/>
  <c r="D68" i="37"/>
  <c r="D67" i="37"/>
  <c r="D66" i="37"/>
  <c r="D65" i="37"/>
  <c r="D64" i="37"/>
  <c r="D63" i="37"/>
  <c r="D61" i="37"/>
  <c r="D60" i="37"/>
  <c r="D59" i="37"/>
  <c r="B31" i="37"/>
  <c r="B30" i="37"/>
  <c r="J92" i="38"/>
  <c r="H92" i="38"/>
  <c r="E87" i="38"/>
  <c r="D87" i="38"/>
  <c r="E86" i="38"/>
  <c r="D86" i="38"/>
  <c r="D84" i="38"/>
  <c r="D83" i="38"/>
  <c r="D82" i="38"/>
  <c r="H81" i="38"/>
  <c r="D81" i="38"/>
  <c r="D79" i="38"/>
  <c r="D78" i="38"/>
  <c r="D77" i="38"/>
  <c r="D76" i="38"/>
  <c r="D75" i="38"/>
  <c r="D74" i="38"/>
  <c r="D73" i="38"/>
  <c r="D72" i="38"/>
  <c r="D71" i="38"/>
  <c r="D69" i="38"/>
  <c r="D68" i="38"/>
  <c r="D67" i="38"/>
  <c r="D66" i="38"/>
  <c r="D65" i="38"/>
  <c r="D64" i="38"/>
  <c r="D63" i="38"/>
  <c r="D62" i="38"/>
  <c r="D60" i="38"/>
  <c r="D59" i="38"/>
  <c r="D58" i="38"/>
  <c r="B30" i="38"/>
  <c r="B29" i="38"/>
  <c r="J91" i="28"/>
  <c r="H91" i="28"/>
  <c r="E86" i="28"/>
  <c r="D86" i="28"/>
  <c r="E85" i="28"/>
  <c r="D85" i="28"/>
  <c r="D83" i="28"/>
  <c r="D82" i="28"/>
  <c r="D81" i="28"/>
  <c r="H80" i="28"/>
  <c r="D80" i="28"/>
  <c r="D78" i="28"/>
  <c r="D77" i="28"/>
  <c r="D76" i="28"/>
  <c r="D75" i="28"/>
  <c r="D74" i="28"/>
  <c r="D73" i="28"/>
  <c r="D72" i="28"/>
  <c r="D71" i="28"/>
  <c r="D70" i="28"/>
  <c r="D68" i="28"/>
  <c r="D67" i="28"/>
  <c r="D66" i="28"/>
  <c r="D65" i="28"/>
  <c r="D64" i="28"/>
  <c r="D63" i="28"/>
  <c r="D62" i="28"/>
  <c r="D61" i="28"/>
  <c r="D59" i="28"/>
  <c r="D58" i="28"/>
  <c r="D57" i="28"/>
  <c r="B29" i="28"/>
  <c r="B28" i="28"/>
  <c r="J90" i="27"/>
  <c r="H90" i="27"/>
  <c r="E85" i="27"/>
  <c r="D85" i="27"/>
  <c r="E84" i="27"/>
  <c r="D84" i="27"/>
  <c r="D82" i="27"/>
  <c r="D81" i="27"/>
  <c r="D80" i="27"/>
  <c r="H79" i="27"/>
  <c r="D79" i="27"/>
  <c r="D77" i="27"/>
  <c r="D76" i="27"/>
  <c r="D75" i="27"/>
  <c r="D74" i="27"/>
  <c r="D73" i="27"/>
  <c r="D72" i="27"/>
  <c r="D71" i="27"/>
  <c r="D70" i="27"/>
  <c r="D69" i="27"/>
  <c r="D67" i="27"/>
  <c r="D66" i="27"/>
  <c r="D65" i="27"/>
  <c r="D64" i="27"/>
  <c r="D63" i="27"/>
  <c r="D62" i="27"/>
  <c r="D61" i="27"/>
  <c r="D60" i="27"/>
  <c r="D58" i="27"/>
  <c r="D57" i="27"/>
  <c r="D56" i="27"/>
  <c r="B28" i="27"/>
  <c r="B27" i="27"/>
  <c r="J89" i="5"/>
  <c r="H89" i="5"/>
  <c r="E84" i="5"/>
  <c r="D84" i="5"/>
  <c r="E83" i="5"/>
  <c r="D83" i="5"/>
  <c r="D81" i="5"/>
  <c r="D80" i="5"/>
  <c r="D79" i="5"/>
  <c r="H78" i="5"/>
  <c r="D78" i="5"/>
  <c r="D76" i="5"/>
  <c r="D75" i="5"/>
  <c r="D74" i="5"/>
  <c r="D73" i="5"/>
  <c r="D72" i="5"/>
  <c r="D71" i="5"/>
  <c r="D70" i="5"/>
  <c r="D69" i="5"/>
  <c r="D68" i="5"/>
  <c r="D66" i="5"/>
  <c r="D65" i="5"/>
  <c r="D64" i="5"/>
  <c r="D63" i="5"/>
  <c r="D62" i="5"/>
  <c r="D61" i="5"/>
  <c r="D60" i="5"/>
  <c r="D59" i="5"/>
  <c r="D57" i="5"/>
  <c r="D56" i="5"/>
  <c r="D55" i="5"/>
  <c r="B27" i="5"/>
  <c r="B26" i="5"/>
  <c r="J88" i="8"/>
  <c r="H88" i="8"/>
  <c r="E83" i="8"/>
  <c r="D83" i="8"/>
  <c r="E82" i="8"/>
  <c r="D82" i="8"/>
  <c r="D80" i="8"/>
  <c r="D79" i="8"/>
  <c r="D78" i="8"/>
  <c r="H77" i="8"/>
  <c r="D77" i="8"/>
  <c r="D75" i="8"/>
  <c r="D74" i="8"/>
  <c r="D73" i="8"/>
  <c r="D72" i="8"/>
  <c r="D71" i="8"/>
  <c r="D70" i="8"/>
  <c r="D69" i="8"/>
  <c r="D68" i="8"/>
  <c r="D67" i="8"/>
  <c r="D65" i="8"/>
  <c r="D64" i="8"/>
  <c r="D63" i="8"/>
  <c r="D62" i="8"/>
  <c r="D61" i="8"/>
  <c r="D60" i="8"/>
  <c r="D59" i="8"/>
  <c r="D58" i="8"/>
  <c r="D56" i="8"/>
  <c r="D55" i="8"/>
  <c r="D54" i="8"/>
  <c r="B26" i="8"/>
  <c r="B25" i="8"/>
  <c r="J87" i="9"/>
  <c r="H87" i="9"/>
  <c r="E82" i="9"/>
  <c r="D82" i="9"/>
  <c r="E81" i="9"/>
  <c r="D81" i="9"/>
  <c r="D79" i="9"/>
  <c r="D78" i="9"/>
  <c r="D77" i="9"/>
  <c r="H76" i="9"/>
  <c r="D76" i="9"/>
  <c r="D74" i="9"/>
  <c r="D73" i="9"/>
  <c r="D72" i="9"/>
  <c r="D71" i="9"/>
  <c r="D70" i="9"/>
  <c r="D69" i="9"/>
  <c r="D68" i="9"/>
  <c r="D67" i="9"/>
  <c r="D66" i="9"/>
  <c r="D64" i="9"/>
  <c r="D63" i="9"/>
  <c r="D62" i="9"/>
  <c r="D61" i="9"/>
  <c r="D60" i="9"/>
  <c r="D59" i="9"/>
  <c r="D58" i="9"/>
  <c r="D57" i="9"/>
  <c r="D55" i="9"/>
  <c r="D54" i="9"/>
  <c r="D53" i="9"/>
  <c r="B25" i="9"/>
  <c r="B24" i="9"/>
  <c r="J87" i="12"/>
  <c r="H87" i="12"/>
  <c r="E82" i="12"/>
  <c r="D82" i="12"/>
  <c r="E81" i="12"/>
  <c r="D81" i="12"/>
  <c r="D79" i="12"/>
  <c r="D78" i="12"/>
  <c r="D77" i="12"/>
  <c r="H76" i="12"/>
  <c r="D76" i="12"/>
  <c r="D74" i="12"/>
  <c r="D73" i="12"/>
  <c r="D72" i="12"/>
  <c r="D71" i="12"/>
  <c r="D70" i="12"/>
  <c r="D69" i="12"/>
  <c r="D68" i="12"/>
  <c r="D67" i="12"/>
  <c r="D66" i="12"/>
  <c r="D64" i="12"/>
  <c r="D63" i="12"/>
  <c r="D62" i="12"/>
  <c r="D61" i="12"/>
  <c r="D60" i="12"/>
  <c r="D59" i="12"/>
  <c r="D58" i="12"/>
  <c r="D57" i="12"/>
  <c r="D55" i="12"/>
  <c r="D54" i="12"/>
  <c r="D53" i="12"/>
  <c r="B24" i="12"/>
  <c r="B23" i="12"/>
  <c r="J85" i="10"/>
  <c r="H85" i="10"/>
  <c r="E80" i="10"/>
  <c r="D80" i="10"/>
  <c r="E79" i="10"/>
  <c r="D79" i="10"/>
  <c r="D77" i="10"/>
  <c r="D76" i="10"/>
  <c r="D75" i="10"/>
  <c r="H74" i="10"/>
  <c r="D74" i="10"/>
  <c r="D72" i="10"/>
  <c r="D71" i="10"/>
  <c r="D70" i="10"/>
  <c r="D69" i="10"/>
  <c r="D68" i="10"/>
  <c r="D67" i="10"/>
  <c r="D66" i="10"/>
  <c r="D65" i="10"/>
  <c r="D64" i="10"/>
  <c r="D62" i="10"/>
  <c r="D61" i="10"/>
  <c r="D60" i="10"/>
  <c r="D59" i="10"/>
  <c r="D58" i="10"/>
  <c r="D57" i="10"/>
  <c r="D56" i="10"/>
  <c r="D55" i="10"/>
  <c r="D53" i="10"/>
  <c r="D52" i="10"/>
  <c r="D51" i="10"/>
  <c r="B23" i="10"/>
  <c r="B22" i="10"/>
  <c r="J84" i="14"/>
  <c r="H84" i="14"/>
  <c r="E79" i="14"/>
  <c r="D79" i="14"/>
  <c r="E78" i="14"/>
  <c r="D78" i="14"/>
  <c r="D76" i="14"/>
  <c r="D75" i="14"/>
  <c r="D74" i="14"/>
  <c r="H73" i="14"/>
  <c r="D73" i="14"/>
  <c r="D71" i="14"/>
  <c r="D70" i="14"/>
  <c r="D69" i="14"/>
  <c r="D68" i="14"/>
  <c r="D67" i="14"/>
  <c r="D66" i="14"/>
  <c r="D65" i="14"/>
  <c r="D64" i="14"/>
  <c r="D63" i="14"/>
  <c r="D61" i="14"/>
  <c r="D60" i="14"/>
  <c r="D59" i="14"/>
  <c r="D58" i="14"/>
  <c r="D57" i="14"/>
  <c r="D56" i="14"/>
  <c r="D55" i="14"/>
  <c r="D54" i="14"/>
  <c r="D52" i="14"/>
  <c r="D51" i="14"/>
  <c r="D50" i="14"/>
  <c r="B22" i="14"/>
  <c r="B21" i="14"/>
  <c r="J83" i="15"/>
  <c r="H83" i="15"/>
  <c r="E78" i="15"/>
  <c r="D78" i="15"/>
  <c r="E77" i="15"/>
  <c r="D77" i="15"/>
  <c r="D75" i="15"/>
  <c r="D74" i="15"/>
  <c r="D73" i="15"/>
  <c r="H72" i="15"/>
  <c r="D72" i="15"/>
  <c r="D70" i="15"/>
  <c r="D69" i="15"/>
  <c r="D68" i="15"/>
  <c r="D67" i="15"/>
  <c r="D66" i="15"/>
  <c r="D65" i="15"/>
  <c r="D64" i="15"/>
  <c r="D63" i="15"/>
  <c r="D62" i="15"/>
  <c r="D60" i="15"/>
  <c r="D59" i="15"/>
  <c r="D58" i="15"/>
  <c r="D57" i="15"/>
  <c r="D56" i="15"/>
  <c r="D55" i="15"/>
  <c r="D54" i="15"/>
  <c r="D53" i="15"/>
  <c r="D51" i="15"/>
  <c r="D50" i="15"/>
  <c r="D49" i="15"/>
  <c r="B21" i="15"/>
  <c r="B20" i="15"/>
  <c r="J82" i="16"/>
  <c r="H82" i="16"/>
  <c r="E77" i="16"/>
  <c r="D77" i="16"/>
  <c r="E76" i="16"/>
  <c r="D76" i="16"/>
  <c r="D74" i="16"/>
  <c r="D73" i="16"/>
  <c r="D72" i="16"/>
  <c r="H71" i="16"/>
  <c r="D71" i="16"/>
  <c r="D69" i="16"/>
  <c r="D68" i="16"/>
  <c r="D67" i="16"/>
  <c r="D66" i="16"/>
  <c r="D65" i="16"/>
  <c r="D64" i="16"/>
  <c r="D63" i="16"/>
  <c r="D62" i="16"/>
  <c r="D61" i="16"/>
  <c r="D59" i="16"/>
  <c r="D58" i="16"/>
  <c r="D57" i="16"/>
  <c r="D56" i="16"/>
  <c r="D55" i="16"/>
  <c r="D54" i="16"/>
  <c r="D53" i="16"/>
  <c r="D52" i="16"/>
  <c r="D50" i="16"/>
  <c r="D49" i="16"/>
  <c r="D48" i="16"/>
  <c r="B20" i="16"/>
  <c r="B19" i="16"/>
  <c r="J81" i="17"/>
  <c r="H81" i="17"/>
  <c r="E76" i="17"/>
  <c r="D76" i="17"/>
  <c r="E75" i="17"/>
  <c r="D75" i="17"/>
  <c r="D73" i="17"/>
  <c r="D72" i="17"/>
  <c r="D71" i="17"/>
  <c r="H70" i="17"/>
  <c r="D70" i="17"/>
  <c r="D68" i="17"/>
  <c r="D67" i="17"/>
  <c r="D66" i="17"/>
  <c r="D65" i="17"/>
  <c r="D64" i="17"/>
  <c r="D63" i="17"/>
  <c r="D62" i="17"/>
  <c r="D61" i="17"/>
  <c r="D60" i="17"/>
  <c r="D58" i="17"/>
  <c r="D57" i="17"/>
  <c r="D56" i="17"/>
  <c r="D55" i="17"/>
  <c r="D54" i="17"/>
  <c r="D53" i="17"/>
  <c r="D52" i="17"/>
  <c r="D51" i="17"/>
  <c r="D49" i="17"/>
  <c r="D48" i="17"/>
  <c r="D47" i="17"/>
  <c r="B19" i="17"/>
  <c r="B18" i="17"/>
  <c r="J80" i="13"/>
  <c r="H80" i="13"/>
  <c r="E75" i="13"/>
  <c r="D75" i="13"/>
  <c r="E74" i="13"/>
  <c r="D74" i="13"/>
  <c r="D72" i="13"/>
  <c r="D71" i="13"/>
  <c r="D70" i="13"/>
  <c r="H69" i="13"/>
  <c r="D69" i="13"/>
  <c r="D67" i="13"/>
  <c r="D66" i="13"/>
  <c r="D65" i="13"/>
  <c r="D64" i="13"/>
  <c r="D63" i="13"/>
  <c r="D62" i="13"/>
  <c r="D61" i="13"/>
  <c r="D60" i="13"/>
  <c r="D59" i="13"/>
  <c r="D57" i="13"/>
  <c r="D56" i="13"/>
  <c r="D55" i="13"/>
  <c r="D54" i="13"/>
  <c r="D53" i="13"/>
  <c r="D52" i="13"/>
  <c r="D51" i="13"/>
  <c r="D50" i="13"/>
  <c r="D48" i="13"/>
  <c r="D47" i="13"/>
  <c r="D46" i="13"/>
  <c r="B18" i="13"/>
  <c r="B17" i="13"/>
  <c r="J79" i="42"/>
  <c r="H79" i="42"/>
  <c r="E74" i="42"/>
  <c r="D74" i="42"/>
  <c r="E73" i="42"/>
  <c r="D73" i="42"/>
  <c r="D71" i="42"/>
  <c r="D70" i="42"/>
  <c r="D69" i="42"/>
  <c r="H68" i="42"/>
  <c r="D68" i="42"/>
  <c r="D66" i="42"/>
  <c r="D65" i="42"/>
  <c r="D64" i="42"/>
  <c r="D63" i="42"/>
  <c r="D62" i="42"/>
  <c r="D61" i="42"/>
  <c r="D60" i="42"/>
  <c r="D59" i="42"/>
  <c r="D58" i="42"/>
  <c r="D56" i="42"/>
  <c r="D55" i="42"/>
  <c r="D54" i="42"/>
  <c r="D53" i="42"/>
  <c r="D52" i="42"/>
  <c r="D51" i="42"/>
  <c r="D50" i="42"/>
  <c r="D49" i="42"/>
  <c r="D47" i="42"/>
  <c r="D46" i="42"/>
  <c r="D45" i="42"/>
  <c r="B17" i="42"/>
  <c r="B16" i="42"/>
  <c r="J78" i="21"/>
  <c r="H78" i="21"/>
  <c r="E73" i="21"/>
  <c r="D73" i="21"/>
  <c r="E72" i="21"/>
  <c r="D72" i="21"/>
  <c r="D70" i="21"/>
  <c r="D69" i="21"/>
  <c r="D68" i="21"/>
  <c r="H67" i="21"/>
  <c r="D67" i="21"/>
  <c r="D65" i="21"/>
  <c r="D64" i="21"/>
  <c r="D63" i="21"/>
  <c r="D62" i="21"/>
  <c r="D61" i="21"/>
  <c r="D60" i="21"/>
  <c r="D59" i="21"/>
  <c r="D58" i="21"/>
  <c r="D57" i="21"/>
  <c r="D55" i="21"/>
  <c r="D54" i="21"/>
  <c r="D53" i="21"/>
  <c r="D52" i="21"/>
  <c r="D51" i="21"/>
  <c r="D50" i="21"/>
  <c r="D49" i="21"/>
  <c r="D48" i="21"/>
  <c r="D46" i="21"/>
  <c r="D45" i="21"/>
  <c r="D44" i="21"/>
  <c r="B16" i="21"/>
  <c r="B15" i="21"/>
  <c r="J77" i="19"/>
  <c r="H77" i="19"/>
  <c r="E72" i="19"/>
  <c r="D72" i="19"/>
  <c r="E71" i="19"/>
  <c r="D71" i="19"/>
  <c r="D69" i="19"/>
  <c r="D68" i="19"/>
  <c r="D67" i="19"/>
  <c r="H66" i="19"/>
  <c r="D66" i="19"/>
  <c r="D64" i="19"/>
  <c r="D63" i="19"/>
  <c r="D62" i="19"/>
  <c r="D61" i="19"/>
  <c r="D60" i="19"/>
  <c r="D59" i="19"/>
  <c r="D58" i="19"/>
  <c r="D57" i="19"/>
  <c r="D56" i="19"/>
  <c r="D54" i="19"/>
  <c r="D53" i="19"/>
  <c r="D52" i="19"/>
  <c r="D51" i="19"/>
  <c r="D50" i="19"/>
  <c r="D49" i="19"/>
  <c r="D48" i="19"/>
  <c r="D47" i="19"/>
  <c r="D45" i="19"/>
  <c r="D44" i="19"/>
  <c r="D43" i="19"/>
  <c r="B15" i="19"/>
  <c r="B14" i="19"/>
  <c r="J76" i="22"/>
  <c r="H76" i="22"/>
  <c r="E71" i="22"/>
  <c r="D71" i="22"/>
  <c r="E70" i="22"/>
  <c r="D70" i="22"/>
  <c r="D68" i="22"/>
  <c r="D67" i="22"/>
  <c r="D66" i="22"/>
  <c r="H65" i="22"/>
  <c r="D65" i="22"/>
  <c r="D63" i="22"/>
  <c r="D62" i="22"/>
  <c r="D61" i="22"/>
  <c r="D60" i="22"/>
  <c r="D59" i="22"/>
  <c r="D58" i="22"/>
  <c r="D57" i="22"/>
  <c r="D56" i="22"/>
  <c r="D55" i="22"/>
  <c r="D53" i="22"/>
  <c r="D52" i="22"/>
  <c r="D51" i="22"/>
  <c r="D50" i="22"/>
  <c r="D49" i="22"/>
  <c r="D48" i="22"/>
  <c r="D47" i="22"/>
  <c r="D46" i="22"/>
  <c r="D44" i="22"/>
  <c r="D43" i="22"/>
  <c r="D42" i="22"/>
  <c r="B14" i="22"/>
  <c r="B13" i="22"/>
  <c r="J75" i="24"/>
  <c r="H75" i="24"/>
  <c r="E70" i="24"/>
  <c r="D70" i="24"/>
  <c r="E69" i="24"/>
  <c r="D69" i="24"/>
  <c r="D67" i="24"/>
  <c r="D66" i="24"/>
  <c r="D65" i="24"/>
  <c r="H64" i="24"/>
  <c r="D64" i="24"/>
  <c r="D62" i="24"/>
  <c r="D61" i="24"/>
  <c r="D60" i="24"/>
  <c r="D59" i="24"/>
  <c r="D58" i="24"/>
  <c r="D57" i="24"/>
  <c r="D56" i="24"/>
  <c r="D55" i="24"/>
  <c r="D54" i="24"/>
  <c r="D52" i="24"/>
  <c r="D51" i="24"/>
  <c r="D50" i="24"/>
  <c r="D49" i="24"/>
  <c r="D48" i="24"/>
  <c r="D47" i="24"/>
  <c r="D46" i="24"/>
  <c r="D45" i="24"/>
  <c r="D43" i="24"/>
  <c r="D42" i="24"/>
  <c r="D41" i="24"/>
  <c r="B13" i="24"/>
  <c r="B12" i="24"/>
  <c r="J74" i="18"/>
  <c r="H74" i="18"/>
  <c r="E69" i="18"/>
  <c r="D69" i="18"/>
  <c r="E68" i="18"/>
  <c r="D68" i="18"/>
  <c r="D66" i="18"/>
  <c r="D65" i="18"/>
  <c r="D64" i="18"/>
  <c r="H63" i="18"/>
  <c r="D63" i="18"/>
  <c r="D61" i="18"/>
  <c r="D60" i="18"/>
  <c r="D59" i="18"/>
  <c r="D58" i="18"/>
  <c r="D57" i="18"/>
  <c r="D56" i="18"/>
  <c r="D55" i="18"/>
  <c r="D54" i="18"/>
  <c r="D53" i="18"/>
  <c r="D51" i="18"/>
  <c r="D50" i="18"/>
  <c r="D49" i="18"/>
  <c r="D48" i="18"/>
  <c r="D47" i="18"/>
  <c r="D46" i="18"/>
  <c r="D45" i="18"/>
  <c r="D44" i="18"/>
  <c r="D42" i="18"/>
  <c r="D41" i="18"/>
  <c r="D40" i="18"/>
  <c r="B12" i="18"/>
  <c r="B11" i="18"/>
  <c r="J73" i="25"/>
  <c r="H73" i="25"/>
  <c r="E68" i="25"/>
  <c r="D68" i="25"/>
  <c r="E67" i="25"/>
  <c r="D67" i="25"/>
  <c r="D65" i="25"/>
  <c r="D64" i="25"/>
  <c r="D63" i="25"/>
  <c r="H62" i="25"/>
  <c r="D62" i="25"/>
  <c r="D60" i="25"/>
  <c r="D59" i="25"/>
  <c r="D58" i="25"/>
  <c r="D57" i="25"/>
  <c r="D56" i="25"/>
  <c r="D55" i="25"/>
  <c r="D54" i="25"/>
  <c r="D53" i="25"/>
  <c r="D52" i="25"/>
  <c r="D50" i="25"/>
  <c r="D49" i="25"/>
  <c r="D48" i="25"/>
  <c r="D47" i="25"/>
  <c r="D46" i="25"/>
  <c r="D45" i="25"/>
  <c r="D44" i="25"/>
  <c r="D43" i="25"/>
  <c r="D41" i="25"/>
  <c r="D40" i="25"/>
  <c r="D39" i="25"/>
  <c r="B11" i="25"/>
  <c r="B10" i="25"/>
  <c r="J72" i="23"/>
  <c r="H72" i="23"/>
  <c r="E67" i="23"/>
  <c r="D67" i="23"/>
  <c r="E66" i="23"/>
  <c r="D66" i="23"/>
  <c r="D64" i="23"/>
  <c r="D63" i="23"/>
  <c r="D62" i="23"/>
  <c r="H61" i="23"/>
  <c r="D61" i="23"/>
  <c r="D59" i="23"/>
  <c r="D58" i="23"/>
  <c r="D57" i="23"/>
  <c r="D56" i="23"/>
  <c r="D55" i="23"/>
  <c r="D54" i="23"/>
  <c r="D53" i="23"/>
  <c r="D52" i="23"/>
  <c r="D51" i="23"/>
  <c r="D49" i="23"/>
  <c r="D48" i="23"/>
  <c r="D47" i="23"/>
  <c r="D46" i="23"/>
  <c r="D45" i="23"/>
  <c r="D44" i="23"/>
  <c r="D43" i="23"/>
  <c r="D42" i="23"/>
  <c r="D40" i="23"/>
  <c r="D39" i="23"/>
  <c r="D38" i="23"/>
  <c r="B10" i="23"/>
  <c r="B9" i="23"/>
  <c r="J71" i="26"/>
  <c r="H71" i="26"/>
  <c r="E66" i="26"/>
  <c r="D66" i="26"/>
  <c r="E65" i="26"/>
  <c r="D65" i="26"/>
  <c r="D63" i="26"/>
  <c r="D62" i="26"/>
  <c r="D61" i="26"/>
  <c r="H60" i="26"/>
  <c r="D60" i="26"/>
  <c r="D58" i="26"/>
  <c r="D57" i="26"/>
  <c r="D56" i="26"/>
  <c r="D55" i="26"/>
  <c r="D54" i="26"/>
  <c r="D53" i="26"/>
  <c r="D52" i="26"/>
  <c r="D51" i="26"/>
  <c r="D50" i="26"/>
  <c r="D48" i="26"/>
  <c r="D47" i="26"/>
  <c r="D46" i="26"/>
  <c r="D45" i="26"/>
  <c r="D44" i="26"/>
  <c r="D43" i="26"/>
  <c r="D42" i="26"/>
  <c r="D41" i="26"/>
  <c r="D39" i="26"/>
  <c r="D38" i="26"/>
  <c r="D37" i="26"/>
  <c r="B9" i="26"/>
  <c r="B8" i="26"/>
  <c r="J70" i="11"/>
  <c r="H70" i="11"/>
  <c r="E65" i="11"/>
  <c r="D65" i="11"/>
  <c r="E64" i="11"/>
  <c r="D64" i="11"/>
  <c r="D62" i="11"/>
  <c r="D61" i="11"/>
  <c r="D60" i="11"/>
  <c r="H59" i="11"/>
  <c r="D59" i="11"/>
  <c r="D57" i="11"/>
  <c r="D56" i="11"/>
  <c r="D55" i="11"/>
  <c r="D54" i="11"/>
  <c r="D53" i="11"/>
  <c r="D52" i="11"/>
  <c r="D51" i="11"/>
  <c r="D50" i="11"/>
  <c r="D49" i="11"/>
  <c r="D47" i="11"/>
  <c r="D46" i="11"/>
  <c r="D45" i="11"/>
  <c r="D44" i="11"/>
  <c r="D43" i="11"/>
  <c r="D42" i="11"/>
  <c r="D41" i="11"/>
  <c r="D40" i="11"/>
  <c r="D38" i="11"/>
  <c r="D37" i="11"/>
  <c r="D36" i="11"/>
  <c r="B8" i="11"/>
  <c r="B7" i="11"/>
  <c r="J69" i="7"/>
  <c r="H69" i="7"/>
  <c r="E64" i="7"/>
  <c r="D64" i="7"/>
  <c r="E63" i="7"/>
  <c r="D63" i="7"/>
  <c r="D61" i="7"/>
  <c r="D60" i="7"/>
  <c r="D59" i="7"/>
  <c r="H58" i="7"/>
  <c r="D58" i="7"/>
  <c r="D56" i="7"/>
  <c r="D55" i="7"/>
  <c r="D54" i="7"/>
  <c r="D53" i="7"/>
  <c r="D52" i="7"/>
  <c r="D51" i="7"/>
  <c r="D50" i="7"/>
  <c r="D49" i="7"/>
  <c r="D48" i="7"/>
  <c r="D46" i="7"/>
  <c r="D45" i="7"/>
  <c r="D44" i="7"/>
  <c r="D43" i="7"/>
  <c r="D42" i="7"/>
  <c r="D41" i="7"/>
  <c r="D40" i="7"/>
  <c r="D39" i="7"/>
  <c r="D37" i="7"/>
  <c r="D36" i="7"/>
  <c r="D35" i="7"/>
  <c r="B7" i="7"/>
  <c r="B6" i="7"/>
  <c r="J68" i="6"/>
  <c r="H68" i="6"/>
  <c r="E63" i="6"/>
  <c r="D63" i="6"/>
  <c r="E62" i="6"/>
  <c r="D62" i="6"/>
  <c r="D60" i="6"/>
  <c r="D59" i="6"/>
  <c r="D58" i="6"/>
  <c r="H57" i="6"/>
  <c r="D57" i="6"/>
  <c r="D55" i="6"/>
  <c r="D54" i="6"/>
  <c r="D53" i="6"/>
  <c r="D52" i="6"/>
  <c r="D51" i="6"/>
  <c r="D50" i="6"/>
  <c r="D49" i="6"/>
  <c r="D48" i="6"/>
  <c r="D47" i="6"/>
  <c r="D45" i="6"/>
  <c r="D44" i="6"/>
  <c r="D43" i="6"/>
  <c r="D42" i="6"/>
  <c r="D41" i="6"/>
  <c r="D40" i="6"/>
  <c r="D39" i="6"/>
  <c r="D38" i="6"/>
  <c r="D36" i="6"/>
  <c r="D35" i="6"/>
  <c r="D34" i="6"/>
  <c r="B6" i="6"/>
  <c r="B5" i="6"/>
  <c r="J67" i="3"/>
  <c r="H67" i="3"/>
  <c r="E62" i="3"/>
  <c r="D62" i="3"/>
  <c r="E61" i="3"/>
  <c r="D61" i="3"/>
  <c r="D59" i="3"/>
  <c r="D58" i="3"/>
  <c r="D57" i="3"/>
  <c r="H56" i="3"/>
  <c r="D56" i="3"/>
  <c r="D54" i="3"/>
  <c r="D53" i="3"/>
  <c r="D52" i="3"/>
  <c r="D51" i="3"/>
  <c r="D50" i="3"/>
  <c r="D49" i="3"/>
  <c r="D48" i="3"/>
  <c r="D47" i="3"/>
  <c r="D46" i="3"/>
  <c r="D44" i="3"/>
  <c r="D43" i="3"/>
  <c r="D42" i="3"/>
  <c r="D41" i="3"/>
  <c r="D40" i="3"/>
  <c r="D39" i="3"/>
  <c r="D38" i="3"/>
  <c r="D37" i="3"/>
  <c r="D35" i="3"/>
  <c r="D34" i="3"/>
  <c r="D33" i="3"/>
  <c r="B5" i="3"/>
  <c r="B4" i="3"/>
  <c r="J66" i="2"/>
  <c r="H66" i="2"/>
  <c r="E61" i="2"/>
  <c r="D61" i="2"/>
  <c r="E60" i="2"/>
  <c r="D60" i="2"/>
  <c r="D58" i="2"/>
  <c r="D57" i="2"/>
  <c r="D56" i="2"/>
  <c r="H55" i="2"/>
  <c r="D55" i="2"/>
  <c r="D53" i="2"/>
  <c r="D52" i="2"/>
  <c r="D51" i="2"/>
  <c r="D50" i="2"/>
  <c r="D49" i="2"/>
  <c r="D48" i="2"/>
  <c r="D47" i="2"/>
  <c r="D46" i="2"/>
  <c r="D45" i="2"/>
  <c r="D43" i="2"/>
  <c r="D42" i="2"/>
  <c r="D41" i="2"/>
  <c r="D40" i="2"/>
  <c r="D39" i="2"/>
  <c r="D38" i="2"/>
  <c r="D37" i="2"/>
  <c r="D36" i="2"/>
  <c r="D34" i="2"/>
  <c r="D33" i="2"/>
  <c r="D32" i="2"/>
  <c r="B4" i="2"/>
  <c r="B3" i="2"/>
  <c r="J65" i="1"/>
  <c r="H65" i="1"/>
  <c r="E60" i="1"/>
  <c r="D60" i="1"/>
  <c r="E59" i="1"/>
  <c r="D59" i="1"/>
  <c r="D57" i="1"/>
  <c r="D56" i="1"/>
  <c r="D55" i="1"/>
  <c r="H54" i="1"/>
  <c r="D54" i="1"/>
  <c r="D52" i="1"/>
  <c r="D51" i="1"/>
  <c r="D50" i="1"/>
  <c r="D49" i="1"/>
  <c r="D48" i="1"/>
  <c r="D47" i="1"/>
  <c r="D46" i="1"/>
  <c r="D45" i="1"/>
  <c r="D44" i="1"/>
  <c r="D42" i="1"/>
  <c r="D41" i="1"/>
  <c r="D40" i="1"/>
  <c r="D39" i="1"/>
  <c r="D38" i="1"/>
  <c r="D37" i="1"/>
  <c r="D36" i="1"/>
  <c r="D35" i="1"/>
  <c r="D33" i="1"/>
  <c r="D32" i="1"/>
  <c r="D31" i="1"/>
  <c r="B3" i="1"/>
  <c r="B2" i="1"/>
  <c r="B46" i="46"/>
  <c r="B45" i="46"/>
  <c r="B44" i="46"/>
  <c r="B45" i="4"/>
  <c r="B44" i="4"/>
  <c r="B43" i="4"/>
  <c r="B44" i="39"/>
  <c r="B43" i="39"/>
  <c r="B42" i="39"/>
  <c r="B43" i="41"/>
  <c r="B42" i="41"/>
  <c r="B41" i="41"/>
  <c r="B42" i="29"/>
  <c r="B41" i="29"/>
  <c r="B40" i="29"/>
  <c r="B41" i="30"/>
  <c r="B40" i="30"/>
  <c r="B39" i="30"/>
  <c r="B40" i="31"/>
  <c r="B39" i="31"/>
  <c r="B38" i="31"/>
  <c r="B39" i="32"/>
  <c r="B38" i="32"/>
  <c r="B37" i="32"/>
  <c r="B38" i="33"/>
  <c r="B37" i="33"/>
  <c r="B36" i="33"/>
  <c r="B37" i="34"/>
  <c r="B36" i="34"/>
  <c r="B35" i="34"/>
  <c r="B36" i="35"/>
  <c r="B35" i="35"/>
  <c r="B34" i="35"/>
  <c r="B35" i="36"/>
  <c r="B34" i="36"/>
  <c r="B33" i="36"/>
  <c r="B34" i="37"/>
  <c r="B33" i="37"/>
  <c r="B32" i="37"/>
  <c r="B33" i="38"/>
  <c r="B32" i="38"/>
  <c r="B31" i="38"/>
  <c r="B32" i="28"/>
  <c r="B31" i="28"/>
  <c r="B30" i="28"/>
  <c r="B31" i="27"/>
  <c r="B30" i="27"/>
  <c r="B29" i="27"/>
  <c r="B30" i="5"/>
  <c r="B29" i="5"/>
  <c r="B28" i="5"/>
  <c r="B29" i="8"/>
  <c r="B28" i="8"/>
  <c r="B27" i="8"/>
  <c r="B28" i="9"/>
  <c r="B27" i="9"/>
  <c r="B26" i="9"/>
  <c r="B27" i="12"/>
  <c r="B26" i="12"/>
  <c r="B25" i="12"/>
  <c r="B26" i="10"/>
  <c r="B25" i="10"/>
  <c r="B24" i="10"/>
  <c r="B25" i="14"/>
  <c r="B24" i="14"/>
  <c r="B23" i="14"/>
  <c r="B24" i="15"/>
  <c r="B23" i="15"/>
  <c r="B22" i="15"/>
  <c r="B23" i="16"/>
  <c r="B22" i="16"/>
  <c r="B21" i="16"/>
  <c r="B22" i="17"/>
  <c r="B21" i="17"/>
  <c r="B20" i="17"/>
  <c r="B21" i="13"/>
  <c r="B20" i="13"/>
  <c r="B19" i="13"/>
  <c r="B20" i="42"/>
  <c r="B19" i="42"/>
  <c r="B18" i="42"/>
  <c r="B19" i="21"/>
  <c r="B18" i="21"/>
  <c r="B17" i="21"/>
  <c r="B18" i="19"/>
  <c r="B17" i="19"/>
  <c r="B16" i="19"/>
  <c r="B17" i="22"/>
  <c r="B16" i="22"/>
  <c r="B15" i="22"/>
  <c r="B16" i="24"/>
  <c r="B15" i="24"/>
  <c r="B14" i="24"/>
  <c r="B15" i="18"/>
  <c r="B14" i="18"/>
  <c r="B13" i="18"/>
  <c r="B14" i="25"/>
  <c r="B13" i="25"/>
  <c r="B12" i="25"/>
  <c r="B13" i="23"/>
  <c r="B12" i="23"/>
  <c r="B11" i="23"/>
  <c r="B12" i="26"/>
  <c r="B11" i="26"/>
  <c r="B10" i="26"/>
  <c r="B11" i="11"/>
  <c r="B10" i="11"/>
  <c r="B9" i="11"/>
  <c r="B10" i="7"/>
  <c r="B9" i="7"/>
  <c r="B8" i="7"/>
  <c r="B9" i="6"/>
  <c r="B8" i="6"/>
  <c r="B7" i="6"/>
  <c r="B8" i="3"/>
  <c r="B7" i="3"/>
  <c r="B6" i="3"/>
  <c r="B7" i="2"/>
  <c r="B6" i="2"/>
  <c r="B5" i="2"/>
  <c r="B6" i="1"/>
  <c r="B5" i="1"/>
  <c r="B4" i="1"/>
  <c r="H112" i="46"/>
  <c r="F109" i="46"/>
  <c r="F108" i="46"/>
  <c r="F107" i="46"/>
  <c r="F106" i="46"/>
  <c r="F105" i="46"/>
  <c r="H111" i="4"/>
  <c r="F108" i="4"/>
  <c r="F107" i="4"/>
  <c r="F106" i="4"/>
  <c r="F105" i="4"/>
  <c r="F104" i="4"/>
  <c r="H110" i="39"/>
  <c r="F107" i="39"/>
  <c r="F106" i="39"/>
  <c r="F105" i="39"/>
  <c r="F104" i="39"/>
  <c r="F103" i="39"/>
  <c r="H109" i="41"/>
  <c r="F106" i="41"/>
  <c r="F105" i="41"/>
  <c r="F104" i="41"/>
  <c r="F103" i="41"/>
  <c r="F102" i="41"/>
  <c r="H108" i="29"/>
  <c r="F105" i="29"/>
  <c r="F104" i="29"/>
  <c r="F103" i="29"/>
  <c r="F102" i="29"/>
  <c r="F101" i="29"/>
  <c r="H107" i="30"/>
  <c r="F104" i="30"/>
  <c r="F103" i="30"/>
  <c r="F102" i="30"/>
  <c r="F101" i="30"/>
  <c r="F100" i="30"/>
  <c r="H106" i="31"/>
  <c r="F103" i="31"/>
  <c r="F102" i="31"/>
  <c r="F101" i="31"/>
  <c r="F100" i="31"/>
  <c r="F99" i="31"/>
  <c r="H105" i="32"/>
  <c r="F102" i="32"/>
  <c r="F101" i="32"/>
  <c r="F100" i="32"/>
  <c r="F99" i="32"/>
  <c r="F98" i="32"/>
  <c r="H104" i="33"/>
  <c r="F101" i="33"/>
  <c r="F100" i="33"/>
  <c r="F99" i="33"/>
  <c r="F98" i="33"/>
  <c r="F97" i="33"/>
  <c r="H103" i="34"/>
  <c r="F100" i="34"/>
  <c r="F99" i="34"/>
  <c r="F98" i="34"/>
  <c r="F97" i="34"/>
  <c r="F96" i="34"/>
  <c r="H102" i="35"/>
  <c r="F99" i="35"/>
  <c r="F98" i="35"/>
  <c r="F97" i="35"/>
  <c r="F96" i="35"/>
  <c r="F95" i="35"/>
  <c r="H101" i="36"/>
  <c r="F98" i="36"/>
  <c r="F97" i="36"/>
  <c r="F96" i="36"/>
  <c r="F95" i="36"/>
  <c r="F94" i="36"/>
  <c r="H100" i="37"/>
  <c r="F97" i="37"/>
  <c r="F96" i="37"/>
  <c r="F95" i="37"/>
  <c r="F94" i="37"/>
  <c r="F93" i="37"/>
  <c r="H99" i="38"/>
  <c r="F96" i="38"/>
  <c r="F95" i="38"/>
  <c r="F94" i="38"/>
  <c r="F93" i="38"/>
  <c r="F92" i="38"/>
  <c r="H98" i="28"/>
  <c r="F95" i="28"/>
  <c r="F94" i="28"/>
  <c r="F93" i="28"/>
  <c r="F92" i="28"/>
  <c r="F91" i="28"/>
  <c r="H97" i="27"/>
  <c r="F94" i="27"/>
  <c r="F93" i="27"/>
  <c r="F92" i="27"/>
  <c r="F91" i="27"/>
  <c r="F90" i="27"/>
  <c r="H96" i="5"/>
  <c r="F93" i="5"/>
  <c r="F92" i="5"/>
  <c r="F91" i="5"/>
  <c r="F90" i="5"/>
  <c r="F89" i="5"/>
  <c r="H95" i="8"/>
  <c r="F92" i="8"/>
  <c r="F91" i="8"/>
  <c r="F90" i="8"/>
  <c r="F89" i="8"/>
  <c r="F88" i="8"/>
  <c r="H94" i="9"/>
  <c r="F91" i="9"/>
  <c r="F90" i="9"/>
  <c r="F89" i="9"/>
  <c r="F88" i="9"/>
  <c r="F87" i="9"/>
  <c r="H94" i="12"/>
  <c r="F91" i="12"/>
  <c r="F90" i="12"/>
  <c r="F89" i="12"/>
  <c r="F88" i="12"/>
  <c r="F87" i="12"/>
  <c r="H92" i="10"/>
  <c r="F89" i="10"/>
  <c r="F88" i="10"/>
  <c r="F87" i="10"/>
  <c r="F86" i="10"/>
  <c r="F85" i="10"/>
  <c r="H91" i="14"/>
  <c r="F88" i="14"/>
  <c r="F87" i="14"/>
  <c r="F86" i="14"/>
  <c r="F85" i="14"/>
  <c r="F84" i="14"/>
  <c r="H90" i="15"/>
  <c r="F87" i="15"/>
  <c r="F86" i="15"/>
  <c r="F85" i="15"/>
  <c r="F84" i="15"/>
  <c r="F83" i="15"/>
  <c r="H89" i="16"/>
  <c r="F86" i="16"/>
  <c r="F85" i="16"/>
  <c r="F84" i="16"/>
  <c r="F83" i="16"/>
  <c r="F82" i="16"/>
  <c r="H88" i="17"/>
  <c r="F85" i="17"/>
  <c r="F84" i="17"/>
  <c r="F83" i="17"/>
  <c r="F82" i="17"/>
  <c r="F81" i="17"/>
  <c r="H87" i="13"/>
  <c r="F84" i="13"/>
  <c r="F83" i="13"/>
  <c r="F82" i="13"/>
  <c r="F81" i="13"/>
  <c r="F80" i="13"/>
  <c r="H86" i="42"/>
  <c r="F83" i="42"/>
  <c r="F82" i="42"/>
  <c r="F81" i="42"/>
  <c r="F80" i="42"/>
  <c r="F79" i="42"/>
  <c r="H85" i="21"/>
  <c r="F82" i="21"/>
  <c r="F81" i="21"/>
  <c r="F80" i="21"/>
  <c r="F79" i="21"/>
  <c r="F78" i="21"/>
  <c r="H84" i="19"/>
  <c r="F81" i="19"/>
  <c r="F80" i="19"/>
  <c r="F79" i="19"/>
  <c r="F78" i="19"/>
  <c r="F77" i="19"/>
  <c r="H83" i="22"/>
  <c r="F80" i="22"/>
  <c r="F79" i="22"/>
  <c r="F78" i="22"/>
  <c r="F77" i="22"/>
  <c r="F76" i="22"/>
  <c r="H82" i="24"/>
  <c r="F79" i="24"/>
  <c r="F78" i="24"/>
  <c r="F77" i="24"/>
  <c r="F76" i="24"/>
  <c r="F75" i="24"/>
  <c r="H81" i="18"/>
  <c r="F78" i="18"/>
  <c r="F77" i="18"/>
  <c r="F76" i="18"/>
  <c r="F75" i="18"/>
  <c r="F74" i="18"/>
  <c r="H80" i="25"/>
  <c r="F77" i="25"/>
  <c r="F76" i="25"/>
  <c r="F75" i="25"/>
  <c r="F74" i="25"/>
  <c r="F73" i="25"/>
  <c r="H79" i="23"/>
  <c r="F76" i="23"/>
  <c r="F75" i="23"/>
  <c r="F74" i="23"/>
  <c r="F73" i="23"/>
  <c r="F72" i="23"/>
  <c r="H78" i="26"/>
  <c r="F75" i="26"/>
  <c r="F74" i="26"/>
  <c r="F73" i="26"/>
  <c r="F72" i="26"/>
  <c r="F71" i="26"/>
  <c r="H77" i="11"/>
  <c r="F74" i="11"/>
  <c r="F73" i="11"/>
  <c r="F72" i="11"/>
  <c r="F71" i="11"/>
  <c r="F70" i="11"/>
  <c r="H76" i="7"/>
  <c r="F73" i="7"/>
  <c r="F72" i="7"/>
  <c r="F71" i="7"/>
  <c r="F70" i="7"/>
  <c r="F69" i="7"/>
  <c r="H75" i="6"/>
  <c r="F72" i="6"/>
  <c r="F71" i="6"/>
  <c r="F70" i="6"/>
  <c r="F69" i="6"/>
  <c r="F68" i="6"/>
  <c r="H74" i="3"/>
  <c r="F71" i="3"/>
  <c r="F70" i="3"/>
  <c r="F69" i="3"/>
  <c r="F68" i="3"/>
  <c r="F67" i="3"/>
  <c r="H73" i="2"/>
  <c r="F70" i="2"/>
  <c r="F69" i="2"/>
  <c r="F68" i="2"/>
  <c r="F67" i="2"/>
  <c r="F66" i="2"/>
  <c r="H72" i="1"/>
  <c r="F69" i="1"/>
  <c r="F68" i="1"/>
  <c r="F67" i="1"/>
  <c r="F66" i="1"/>
  <c r="F65" i="1"/>
  <c r="E83" i="46"/>
  <c r="D83" i="46"/>
  <c r="E82" i="4"/>
  <c r="D82" i="4"/>
  <c r="E81" i="39"/>
  <c r="D81" i="39"/>
  <c r="E80" i="41"/>
  <c r="D80" i="41"/>
  <c r="E79" i="29"/>
  <c r="D79" i="29"/>
  <c r="E78" i="30"/>
  <c r="D78" i="30"/>
  <c r="E77" i="31"/>
  <c r="D77" i="31"/>
  <c r="E76" i="32"/>
  <c r="D76" i="32"/>
  <c r="E75" i="33"/>
  <c r="D75" i="33"/>
  <c r="E74" i="34"/>
  <c r="D74" i="34"/>
  <c r="E73" i="35"/>
  <c r="D73" i="35"/>
  <c r="E72" i="36"/>
  <c r="D72" i="36"/>
  <c r="E71" i="37"/>
  <c r="D71" i="37"/>
  <c r="E70" i="38"/>
  <c r="D70" i="38"/>
  <c r="E69" i="28"/>
  <c r="D69" i="28"/>
  <c r="E68" i="27"/>
  <c r="D68" i="27"/>
  <c r="E67" i="5"/>
  <c r="D67" i="5"/>
  <c r="E66" i="8"/>
  <c r="D66" i="8"/>
  <c r="E65" i="9"/>
  <c r="D65" i="9"/>
  <c r="E65" i="12"/>
  <c r="D65" i="12"/>
  <c r="E63" i="10"/>
  <c r="D63" i="10"/>
  <c r="E62" i="14"/>
  <c r="D62" i="14"/>
  <c r="E61" i="15"/>
  <c r="D61" i="15"/>
  <c r="E60" i="16"/>
  <c r="D60" i="16"/>
  <c r="E59" i="17"/>
  <c r="D59" i="17"/>
  <c r="E58" i="13"/>
  <c r="D58" i="13"/>
  <c r="E57" i="42"/>
  <c r="D57" i="42"/>
  <c r="E56" i="21"/>
  <c r="D56" i="21"/>
  <c r="E55" i="19"/>
  <c r="D55" i="19"/>
  <c r="E54" i="22"/>
  <c r="D54" i="22"/>
  <c r="E53" i="24"/>
  <c r="D53" i="24"/>
  <c r="E52" i="18"/>
  <c r="D52" i="18"/>
  <c r="E51" i="25"/>
  <c r="D51" i="25"/>
  <c r="E50" i="23"/>
  <c r="D50" i="23"/>
  <c r="E49" i="26"/>
  <c r="D49" i="26"/>
  <c r="E48" i="11"/>
  <c r="D48" i="11"/>
  <c r="E47" i="7"/>
  <c r="D47" i="7"/>
  <c r="E46" i="6"/>
  <c r="D46" i="6"/>
  <c r="E45" i="3"/>
  <c r="D45" i="3"/>
  <c r="E44" i="2"/>
  <c r="D44" i="2"/>
  <c r="E43" i="1"/>
  <c r="H66" i="46"/>
  <c r="H59" i="46"/>
  <c r="D66" i="46"/>
  <c r="C66" i="46"/>
  <c r="D65" i="46"/>
  <c r="C65" i="46"/>
  <c r="D64" i="46"/>
  <c r="C64" i="46"/>
  <c r="D63" i="46"/>
  <c r="C63" i="46"/>
  <c r="D62" i="46"/>
  <c r="C62" i="46"/>
  <c r="D61" i="46"/>
  <c r="C61" i="46"/>
  <c r="D60" i="46"/>
  <c r="C60" i="46"/>
  <c r="D59" i="46"/>
  <c r="C59" i="46"/>
  <c r="H65" i="4"/>
  <c r="H58" i="4"/>
  <c r="D65" i="4"/>
  <c r="C65" i="4"/>
  <c r="D64" i="4"/>
  <c r="C64" i="4"/>
  <c r="D63" i="4"/>
  <c r="C63" i="4"/>
  <c r="D62" i="4"/>
  <c r="C62" i="4"/>
  <c r="D61" i="4"/>
  <c r="C61" i="4"/>
  <c r="D60" i="4"/>
  <c r="C60" i="4"/>
  <c r="D59" i="4"/>
  <c r="C59" i="4"/>
  <c r="D58" i="4"/>
  <c r="C58" i="4"/>
  <c r="H64" i="39"/>
  <c r="H57" i="39"/>
  <c r="D64" i="39"/>
  <c r="C64" i="39"/>
  <c r="D63" i="39"/>
  <c r="C63" i="39"/>
  <c r="D62" i="39"/>
  <c r="C62" i="39"/>
  <c r="D61" i="39"/>
  <c r="C61" i="39"/>
  <c r="D60" i="39"/>
  <c r="C60" i="39"/>
  <c r="D59" i="39"/>
  <c r="C59" i="39"/>
  <c r="D58" i="39"/>
  <c r="C58" i="39"/>
  <c r="D57" i="39"/>
  <c r="C57" i="39"/>
  <c r="H63" i="41"/>
  <c r="H56" i="41"/>
  <c r="D63" i="41"/>
  <c r="C63" i="41"/>
  <c r="D62" i="41"/>
  <c r="C62" i="41"/>
  <c r="D61" i="41"/>
  <c r="C61" i="41"/>
  <c r="D60" i="41"/>
  <c r="C60" i="41"/>
  <c r="D59" i="41"/>
  <c r="C59" i="41"/>
  <c r="D58" i="41"/>
  <c r="C58" i="41"/>
  <c r="D57" i="41"/>
  <c r="C57" i="41"/>
  <c r="D56" i="41"/>
  <c r="C56" i="41"/>
  <c r="H62" i="29"/>
  <c r="H55" i="29"/>
  <c r="D62" i="29"/>
  <c r="C62" i="29"/>
  <c r="D61" i="29"/>
  <c r="C61" i="29"/>
  <c r="D60" i="29"/>
  <c r="C60" i="29"/>
  <c r="D59" i="29"/>
  <c r="C59" i="29"/>
  <c r="D58" i="29"/>
  <c r="C58" i="29"/>
  <c r="D57" i="29"/>
  <c r="C57" i="29"/>
  <c r="D56" i="29"/>
  <c r="C56" i="29"/>
  <c r="D55" i="29"/>
  <c r="C55" i="29"/>
  <c r="H61" i="30"/>
  <c r="H54" i="30"/>
  <c r="D61" i="30"/>
  <c r="C61" i="30"/>
  <c r="D60" i="30"/>
  <c r="C60" i="30"/>
  <c r="D59" i="30"/>
  <c r="C59" i="30"/>
  <c r="D58" i="30"/>
  <c r="C58" i="30"/>
  <c r="D57" i="30"/>
  <c r="C57" i="30"/>
  <c r="D56" i="30"/>
  <c r="C56" i="30"/>
  <c r="D55" i="30"/>
  <c r="C55" i="30"/>
  <c r="D54" i="30"/>
  <c r="C54" i="30"/>
  <c r="H60" i="31"/>
  <c r="H53" i="31"/>
  <c r="D60" i="31"/>
  <c r="C60" i="31"/>
  <c r="D59" i="31"/>
  <c r="C59" i="31"/>
  <c r="D58" i="31"/>
  <c r="C58" i="31"/>
  <c r="D57" i="31"/>
  <c r="C57" i="31"/>
  <c r="D56" i="31"/>
  <c r="C56" i="31"/>
  <c r="D55" i="31"/>
  <c r="C55" i="31"/>
  <c r="D54" i="31"/>
  <c r="C54" i="31"/>
  <c r="D53" i="31"/>
  <c r="C53" i="31"/>
  <c r="H59" i="32"/>
  <c r="H52" i="32"/>
  <c r="D59" i="32"/>
  <c r="C59" i="32"/>
  <c r="D58" i="32"/>
  <c r="C58" i="32"/>
  <c r="D57" i="32"/>
  <c r="C57" i="32"/>
  <c r="D56" i="32"/>
  <c r="C56" i="32"/>
  <c r="D55" i="32"/>
  <c r="C55" i="32"/>
  <c r="D54" i="32"/>
  <c r="C54" i="32"/>
  <c r="D53" i="32"/>
  <c r="C53" i="32"/>
  <c r="D52" i="32"/>
  <c r="C52" i="32"/>
  <c r="H58" i="33"/>
  <c r="H51" i="33"/>
  <c r="D58" i="33"/>
  <c r="C58" i="33"/>
  <c r="D57" i="33"/>
  <c r="C57" i="33"/>
  <c r="D56" i="33"/>
  <c r="C56" i="33"/>
  <c r="D55" i="33"/>
  <c r="C55" i="33"/>
  <c r="D54" i="33"/>
  <c r="C54" i="33"/>
  <c r="D53" i="33"/>
  <c r="C53" i="33"/>
  <c r="D52" i="33"/>
  <c r="C52" i="33"/>
  <c r="D51" i="33"/>
  <c r="C51" i="33"/>
  <c r="H57" i="34"/>
  <c r="H50" i="34"/>
  <c r="D57" i="34"/>
  <c r="C57" i="34"/>
  <c r="D56" i="34"/>
  <c r="C56" i="34"/>
  <c r="D55" i="34"/>
  <c r="C55" i="34"/>
  <c r="D54" i="34"/>
  <c r="C54" i="34"/>
  <c r="D53" i="34"/>
  <c r="C53" i="34"/>
  <c r="D52" i="34"/>
  <c r="C52" i="34"/>
  <c r="D51" i="34"/>
  <c r="C51" i="34"/>
  <c r="D50" i="34"/>
  <c r="C50" i="34"/>
  <c r="H56" i="35"/>
  <c r="H49" i="35"/>
  <c r="D56" i="35"/>
  <c r="C56" i="35"/>
  <c r="D55" i="35"/>
  <c r="C55" i="35"/>
  <c r="D54" i="35"/>
  <c r="C54" i="35"/>
  <c r="D53" i="35"/>
  <c r="C53" i="35"/>
  <c r="D52" i="35"/>
  <c r="C52" i="35"/>
  <c r="D51" i="35"/>
  <c r="C51" i="35"/>
  <c r="D50" i="35"/>
  <c r="C50" i="35"/>
  <c r="D49" i="35"/>
  <c r="C49" i="35"/>
  <c r="H55" i="36"/>
  <c r="H48" i="36"/>
  <c r="D55" i="36"/>
  <c r="C55" i="36"/>
  <c r="D54" i="36"/>
  <c r="C54" i="36"/>
  <c r="D53" i="36"/>
  <c r="C53" i="36"/>
  <c r="D52" i="36"/>
  <c r="C52" i="36"/>
  <c r="D51" i="36"/>
  <c r="C51" i="36"/>
  <c r="D50" i="36"/>
  <c r="C50" i="36"/>
  <c r="D49" i="36"/>
  <c r="C49" i="36"/>
  <c r="D48" i="36"/>
  <c r="C48" i="36"/>
  <c r="H54" i="37"/>
  <c r="H47" i="37"/>
  <c r="D54" i="37"/>
  <c r="C54" i="37"/>
  <c r="D53" i="37"/>
  <c r="C53" i="37"/>
  <c r="D52" i="37"/>
  <c r="C52" i="37"/>
  <c r="D51" i="37"/>
  <c r="C51" i="37"/>
  <c r="D50" i="37"/>
  <c r="C50" i="37"/>
  <c r="D49" i="37"/>
  <c r="C49" i="37"/>
  <c r="D48" i="37"/>
  <c r="C48" i="37"/>
  <c r="D47" i="37"/>
  <c r="C47" i="37"/>
  <c r="H53" i="38"/>
  <c r="H46" i="38"/>
  <c r="D53" i="38"/>
  <c r="C53" i="38"/>
  <c r="D52" i="38"/>
  <c r="C52" i="38"/>
  <c r="D51" i="38"/>
  <c r="C51" i="38"/>
  <c r="D50" i="38"/>
  <c r="C50" i="38"/>
  <c r="D49" i="38"/>
  <c r="C49" i="38"/>
  <c r="D48" i="38"/>
  <c r="C48" i="38"/>
  <c r="D47" i="38"/>
  <c r="C47" i="38"/>
  <c r="D46" i="38"/>
  <c r="C46" i="38"/>
  <c r="H52" i="28"/>
  <c r="H45" i="28"/>
  <c r="D52" i="28"/>
  <c r="C52" i="28"/>
  <c r="D51" i="28"/>
  <c r="C51" i="28"/>
  <c r="D50" i="28"/>
  <c r="C50" i="28"/>
  <c r="D49" i="28"/>
  <c r="C49" i="28"/>
  <c r="D48" i="28"/>
  <c r="C48" i="28"/>
  <c r="D47" i="28"/>
  <c r="C47" i="28"/>
  <c r="D46" i="28"/>
  <c r="C46" i="28"/>
  <c r="D45" i="28"/>
  <c r="C45" i="28"/>
  <c r="H51" i="27"/>
  <c r="H44" i="27"/>
  <c r="D51" i="27"/>
  <c r="C51" i="27"/>
  <c r="D50" i="27"/>
  <c r="C50" i="27"/>
  <c r="D49" i="27"/>
  <c r="C49" i="27"/>
  <c r="D48" i="27"/>
  <c r="C48" i="27"/>
  <c r="D47" i="27"/>
  <c r="C47" i="27"/>
  <c r="D46" i="27"/>
  <c r="C46" i="27"/>
  <c r="D45" i="27"/>
  <c r="C45" i="27"/>
  <c r="D44" i="27"/>
  <c r="C44" i="27"/>
  <c r="H50" i="5"/>
  <c r="H43" i="5"/>
  <c r="D50" i="5"/>
  <c r="C50" i="5"/>
  <c r="D49" i="5"/>
  <c r="C49" i="5"/>
  <c r="D48" i="5"/>
  <c r="C48" i="5"/>
  <c r="D47" i="5"/>
  <c r="C47" i="5"/>
  <c r="D46" i="5"/>
  <c r="C46" i="5"/>
  <c r="D45" i="5"/>
  <c r="C45" i="5"/>
  <c r="D44" i="5"/>
  <c r="C44" i="5"/>
  <c r="D43" i="5"/>
  <c r="C43" i="5"/>
  <c r="H49" i="8"/>
  <c r="H42" i="8"/>
  <c r="D49" i="8"/>
  <c r="C49" i="8"/>
  <c r="D48" i="8"/>
  <c r="C48" i="8"/>
  <c r="D47" i="8"/>
  <c r="C47" i="8"/>
  <c r="D46" i="8"/>
  <c r="C46" i="8"/>
  <c r="D45" i="8"/>
  <c r="C45" i="8"/>
  <c r="D44" i="8"/>
  <c r="C44" i="8"/>
  <c r="D43" i="8"/>
  <c r="C43" i="8"/>
  <c r="D42" i="8"/>
  <c r="C42" i="8"/>
  <c r="H48" i="9"/>
  <c r="H41" i="9"/>
  <c r="D48" i="9"/>
  <c r="C48" i="9"/>
  <c r="D47" i="9"/>
  <c r="C47" i="9"/>
  <c r="D46" i="9"/>
  <c r="C46" i="9"/>
  <c r="D45" i="9"/>
  <c r="C45" i="9"/>
  <c r="D44" i="9"/>
  <c r="C44" i="9"/>
  <c r="D43" i="9"/>
  <c r="C43" i="9"/>
  <c r="D42" i="9"/>
  <c r="C42" i="9"/>
  <c r="D41" i="9"/>
  <c r="C41" i="9"/>
  <c r="H47" i="12"/>
  <c r="H40" i="12"/>
  <c r="D47" i="12"/>
  <c r="C47" i="12"/>
  <c r="D46" i="12"/>
  <c r="C46" i="12"/>
  <c r="D45" i="12"/>
  <c r="C45" i="12"/>
  <c r="D44" i="12"/>
  <c r="C44" i="12"/>
  <c r="D43" i="12"/>
  <c r="C43" i="12"/>
  <c r="D42" i="12"/>
  <c r="C42" i="12"/>
  <c r="D41" i="12"/>
  <c r="C41" i="12"/>
  <c r="D40" i="12"/>
  <c r="C40" i="12"/>
  <c r="H46" i="10"/>
  <c r="H39" i="10"/>
  <c r="D46" i="10"/>
  <c r="C46" i="10"/>
  <c r="D45" i="10"/>
  <c r="C45" i="10"/>
  <c r="D44" i="10"/>
  <c r="C44" i="10"/>
  <c r="D43" i="10"/>
  <c r="C43" i="10"/>
  <c r="D42" i="10"/>
  <c r="C42" i="10"/>
  <c r="D41" i="10"/>
  <c r="C41" i="10"/>
  <c r="D40" i="10"/>
  <c r="C40" i="10"/>
  <c r="D39" i="10"/>
  <c r="C39" i="10"/>
  <c r="H45" i="14"/>
  <c r="H38" i="14"/>
  <c r="D45" i="14"/>
  <c r="C45" i="14"/>
  <c r="D44" i="14"/>
  <c r="C44" i="14"/>
  <c r="D43" i="14"/>
  <c r="C43" i="14"/>
  <c r="D42" i="14"/>
  <c r="C42" i="14"/>
  <c r="D41" i="14"/>
  <c r="C41" i="14"/>
  <c r="D40" i="14"/>
  <c r="C40" i="14"/>
  <c r="D39" i="14"/>
  <c r="C39" i="14"/>
  <c r="D38" i="14"/>
  <c r="C38" i="14"/>
  <c r="H44" i="15"/>
  <c r="H37" i="15"/>
  <c r="D44" i="15"/>
  <c r="C44" i="15"/>
  <c r="D43" i="15"/>
  <c r="C43" i="15"/>
  <c r="D42" i="15"/>
  <c r="C42" i="15"/>
  <c r="D41" i="15"/>
  <c r="C41" i="15"/>
  <c r="D40" i="15"/>
  <c r="C40" i="15"/>
  <c r="D39" i="15"/>
  <c r="C39" i="15"/>
  <c r="D38" i="15"/>
  <c r="C38" i="15"/>
  <c r="D37" i="15"/>
  <c r="C37" i="15"/>
  <c r="H43" i="16"/>
  <c r="H36" i="16"/>
  <c r="D43" i="16"/>
  <c r="C43" i="16"/>
  <c r="D42" i="16"/>
  <c r="C42" i="16"/>
  <c r="D41" i="16"/>
  <c r="C41" i="16"/>
  <c r="D40" i="16"/>
  <c r="C40" i="16"/>
  <c r="D39" i="16"/>
  <c r="C39" i="16"/>
  <c r="D38" i="16"/>
  <c r="C38" i="16"/>
  <c r="D37" i="16"/>
  <c r="C37" i="16"/>
  <c r="D36" i="16"/>
  <c r="C36" i="16"/>
  <c r="H42" i="17"/>
  <c r="H35" i="17"/>
  <c r="D42" i="17"/>
  <c r="C42" i="17"/>
  <c r="D41" i="17"/>
  <c r="C41" i="17"/>
  <c r="D40" i="17"/>
  <c r="C40" i="17"/>
  <c r="D39" i="17"/>
  <c r="C39" i="17"/>
  <c r="D38" i="17"/>
  <c r="C38" i="17"/>
  <c r="D37" i="17"/>
  <c r="C37" i="17"/>
  <c r="D36" i="17"/>
  <c r="C36" i="17"/>
  <c r="D35" i="17"/>
  <c r="C35" i="17"/>
  <c r="H41" i="13"/>
  <c r="H34" i="13"/>
  <c r="D41" i="13"/>
  <c r="C41" i="13"/>
  <c r="D40" i="13"/>
  <c r="C40" i="13"/>
  <c r="D39" i="13"/>
  <c r="C39" i="13"/>
  <c r="D38" i="13"/>
  <c r="C38" i="13"/>
  <c r="D37" i="13"/>
  <c r="C37" i="13"/>
  <c r="D36" i="13"/>
  <c r="C36" i="13"/>
  <c r="D35" i="13"/>
  <c r="C35" i="13"/>
  <c r="D34" i="13"/>
  <c r="C34" i="13"/>
  <c r="H40" i="42"/>
  <c r="H33" i="42"/>
  <c r="D40" i="42"/>
  <c r="C40" i="42"/>
  <c r="D39" i="42"/>
  <c r="C39" i="42"/>
  <c r="D38" i="42"/>
  <c r="C38" i="42"/>
  <c r="D37" i="42"/>
  <c r="C37" i="42"/>
  <c r="D36" i="42"/>
  <c r="C36" i="42"/>
  <c r="D35" i="42"/>
  <c r="C35" i="42"/>
  <c r="D34" i="42"/>
  <c r="C34" i="42"/>
  <c r="D33" i="42"/>
  <c r="C33" i="42"/>
  <c r="H39" i="21"/>
  <c r="H32" i="21"/>
  <c r="D39" i="21"/>
  <c r="C39" i="21"/>
  <c r="D38" i="21"/>
  <c r="C38" i="21"/>
  <c r="D37" i="21"/>
  <c r="C37" i="21"/>
  <c r="D36" i="21"/>
  <c r="C36" i="21"/>
  <c r="D35" i="21"/>
  <c r="C35" i="21"/>
  <c r="D34" i="21"/>
  <c r="C34" i="21"/>
  <c r="D33" i="21"/>
  <c r="C33" i="21"/>
  <c r="D32" i="21"/>
  <c r="C32" i="21"/>
  <c r="H38" i="19"/>
  <c r="H31" i="19"/>
  <c r="D38" i="19"/>
  <c r="C38" i="19"/>
  <c r="D37" i="19"/>
  <c r="C37" i="19"/>
  <c r="D36" i="19"/>
  <c r="C36" i="19"/>
  <c r="D35" i="19"/>
  <c r="C35" i="19"/>
  <c r="D34" i="19"/>
  <c r="C34" i="19"/>
  <c r="D33" i="19"/>
  <c r="C33" i="19"/>
  <c r="D32" i="19"/>
  <c r="C32" i="19"/>
  <c r="D31" i="19"/>
  <c r="C31" i="19"/>
  <c r="H37" i="22"/>
  <c r="H30" i="22"/>
  <c r="D37" i="22"/>
  <c r="C37" i="22"/>
  <c r="D36" i="22"/>
  <c r="C36" i="22"/>
  <c r="D35" i="22"/>
  <c r="C35" i="22"/>
  <c r="D34" i="22"/>
  <c r="C34" i="22"/>
  <c r="D33" i="22"/>
  <c r="C33" i="22"/>
  <c r="D32" i="22"/>
  <c r="C32" i="22"/>
  <c r="D31" i="22"/>
  <c r="C31" i="22"/>
  <c r="D30" i="22"/>
  <c r="C30" i="22"/>
  <c r="H36" i="24"/>
  <c r="H29" i="24"/>
  <c r="D36" i="24"/>
  <c r="C36" i="24"/>
  <c r="D35" i="24"/>
  <c r="C35" i="24"/>
  <c r="D34" i="24"/>
  <c r="C34" i="24"/>
  <c r="D33" i="24"/>
  <c r="C33" i="24"/>
  <c r="D32" i="24"/>
  <c r="C32" i="24"/>
  <c r="D31" i="24"/>
  <c r="C31" i="24"/>
  <c r="D30" i="24"/>
  <c r="C30" i="24"/>
  <c r="D29" i="24"/>
  <c r="C29" i="24"/>
  <c r="H35" i="18"/>
  <c r="H28" i="18"/>
  <c r="D35" i="18"/>
  <c r="C35" i="18"/>
  <c r="D34" i="18"/>
  <c r="C34" i="18"/>
  <c r="D33" i="18"/>
  <c r="C33" i="18"/>
  <c r="D32" i="18"/>
  <c r="C32" i="18"/>
  <c r="D31" i="18"/>
  <c r="C31" i="18"/>
  <c r="D30" i="18"/>
  <c r="C30" i="18"/>
  <c r="D29" i="18"/>
  <c r="C29" i="18"/>
  <c r="D28" i="18"/>
  <c r="C28" i="18"/>
  <c r="H34" i="25"/>
  <c r="H27" i="25"/>
  <c r="D34" i="25"/>
  <c r="C34" i="25"/>
  <c r="D33" i="25"/>
  <c r="C33" i="25"/>
  <c r="D32" i="25"/>
  <c r="C32" i="25"/>
  <c r="D31" i="25"/>
  <c r="C31" i="25"/>
  <c r="D30" i="25"/>
  <c r="C30" i="25"/>
  <c r="D29" i="25"/>
  <c r="C29" i="25"/>
  <c r="D28" i="25"/>
  <c r="C28" i="25"/>
  <c r="D27" i="25"/>
  <c r="C27" i="25"/>
  <c r="H33" i="23"/>
  <c r="H26" i="23"/>
  <c r="D33" i="23"/>
  <c r="C33" i="23"/>
  <c r="D32" i="23"/>
  <c r="C32" i="23"/>
  <c r="D31" i="23"/>
  <c r="C31" i="23"/>
  <c r="D30" i="23"/>
  <c r="C30" i="23"/>
  <c r="D29" i="23"/>
  <c r="C29" i="23"/>
  <c r="D28" i="23"/>
  <c r="C28" i="23"/>
  <c r="D27" i="23"/>
  <c r="C27" i="23"/>
  <c r="D26" i="23"/>
  <c r="C26" i="23"/>
  <c r="H32" i="26"/>
  <c r="H25" i="26"/>
  <c r="D32" i="26"/>
  <c r="C32" i="26"/>
  <c r="D31" i="26"/>
  <c r="C31" i="26"/>
  <c r="D30" i="26"/>
  <c r="C30" i="26"/>
  <c r="D29" i="26"/>
  <c r="C29" i="26"/>
  <c r="D28" i="26"/>
  <c r="C28" i="26"/>
  <c r="D27" i="26"/>
  <c r="C27" i="26"/>
  <c r="D26" i="26"/>
  <c r="C26" i="26"/>
  <c r="D25" i="26"/>
  <c r="C25" i="26"/>
  <c r="H31" i="11"/>
  <c r="H24" i="11"/>
  <c r="D31" i="11"/>
  <c r="C31" i="11"/>
  <c r="D30" i="11"/>
  <c r="C30" i="11"/>
  <c r="D29" i="11"/>
  <c r="C29" i="11"/>
  <c r="D28" i="11"/>
  <c r="C28" i="11"/>
  <c r="D27" i="11"/>
  <c r="C27" i="11"/>
  <c r="D26" i="11"/>
  <c r="C26" i="11"/>
  <c r="D25" i="11"/>
  <c r="C25" i="11"/>
  <c r="D24" i="11"/>
  <c r="C24" i="11"/>
  <c r="H30" i="7"/>
  <c r="H23" i="7"/>
  <c r="D30" i="7"/>
  <c r="C30" i="7"/>
  <c r="D29" i="7"/>
  <c r="C29" i="7"/>
  <c r="D28" i="7"/>
  <c r="C28" i="7"/>
  <c r="D27" i="7"/>
  <c r="C27" i="7"/>
  <c r="D26" i="7"/>
  <c r="C26" i="7"/>
  <c r="D25" i="7"/>
  <c r="C25" i="7"/>
  <c r="D24" i="7"/>
  <c r="C24" i="7"/>
  <c r="D23" i="7"/>
  <c r="C23" i="7"/>
  <c r="H29" i="6"/>
  <c r="H22" i="6"/>
  <c r="D29" i="6"/>
  <c r="C29" i="6"/>
  <c r="D28" i="6"/>
  <c r="C28" i="6"/>
  <c r="D27" i="6"/>
  <c r="C27" i="6"/>
  <c r="D26" i="6"/>
  <c r="C26" i="6"/>
  <c r="D25" i="6"/>
  <c r="C25" i="6"/>
  <c r="D24" i="6"/>
  <c r="C24" i="6"/>
  <c r="D23" i="6"/>
  <c r="C23" i="6"/>
  <c r="D22" i="6"/>
  <c r="C22" i="6"/>
  <c r="H28" i="3"/>
  <c r="H21" i="3"/>
  <c r="D28" i="3"/>
  <c r="C28" i="3"/>
  <c r="D27" i="3"/>
  <c r="C27" i="3"/>
  <c r="D26" i="3"/>
  <c r="C26" i="3"/>
  <c r="D25" i="3"/>
  <c r="C25" i="3"/>
  <c r="D24" i="3"/>
  <c r="C24" i="3"/>
  <c r="D23" i="3"/>
  <c r="C23" i="3"/>
  <c r="D22" i="3"/>
  <c r="C22" i="3"/>
  <c r="D21" i="3"/>
  <c r="C21" i="3"/>
  <c r="H27" i="2"/>
  <c r="H20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H26" i="1"/>
  <c r="H19" i="1"/>
  <c r="D26" i="1"/>
  <c r="C26" i="1"/>
  <c r="D25" i="1"/>
  <c r="C25" i="1"/>
  <c r="D24" i="1"/>
  <c r="C24" i="1"/>
  <c r="D23" i="1"/>
  <c r="C23" i="1"/>
  <c r="D22" i="1"/>
  <c r="C22" i="1"/>
  <c r="D21" i="1"/>
  <c r="C21" i="1"/>
  <c r="D20" i="1"/>
  <c r="C20" i="1"/>
  <c r="D19" i="1"/>
  <c r="C19" i="1"/>
  <c r="D67" i="46"/>
  <c r="C67" i="46"/>
  <c r="J53" i="46"/>
  <c r="D66" i="4"/>
  <c r="C66" i="4"/>
  <c r="J52" i="4"/>
  <c r="D65" i="39"/>
  <c r="C65" i="39"/>
  <c r="J51" i="39"/>
  <c r="D64" i="41"/>
  <c r="C64" i="41"/>
  <c r="J50" i="41"/>
  <c r="D63" i="29"/>
  <c r="C63" i="29"/>
  <c r="J49" i="29"/>
  <c r="D62" i="30"/>
  <c r="C62" i="30"/>
  <c r="J48" i="30"/>
  <c r="D61" i="31"/>
  <c r="C61" i="31"/>
  <c r="J47" i="31"/>
  <c r="D60" i="32"/>
  <c r="C60" i="32"/>
  <c r="J46" i="32"/>
  <c r="D59" i="33"/>
  <c r="C59" i="33"/>
  <c r="J45" i="33"/>
  <c r="D58" i="34"/>
  <c r="C58" i="34"/>
  <c r="J44" i="34"/>
  <c r="D57" i="35"/>
  <c r="C57" i="35"/>
  <c r="J43" i="35"/>
  <c r="D56" i="36"/>
  <c r="C56" i="36"/>
  <c r="J42" i="36"/>
  <c r="D55" i="37"/>
  <c r="C55" i="37"/>
  <c r="J41" i="37"/>
  <c r="D54" i="38"/>
  <c r="C54" i="38"/>
  <c r="J40" i="38"/>
  <c r="D53" i="28"/>
  <c r="C53" i="28"/>
  <c r="J39" i="28"/>
  <c r="D52" i="27"/>
  <c r="C52" i="27"/>
  <c r="J38" i="27"/>
  <c r="D51" i="5"/>
  <c r="C51" i="5"/>
  <c r="J37" i="5"/>
  <c r="D50" i="8"/>
  <c r="C50" i="8"/>
  <c r="J36" i="8"/>
  <c r="D49" i="9"/>
  <c r="C49" i="9"/>
  <c r="J35" i="9"/>
  <c r="D48" i="12"/>
  <c r="C48" i="12"/>
  <c r="J34" i="12"/>
  <c r="D47" i="10"/>
  <c r="C47" i="10"/>
  <c r="J33" i="10"/>
  <c r="D46" i="14"/>
  <c r="C46" i="14"/>
  <c r="J32" i="14"/>
  <c r="D45" i="15"/>
  <c r="C45" i="15"/>
  <c r="J31" i="15"/>
  <c r="D44" i="16"/>
  <c r="C44" i="16"/>
  <c r="J30" i="16"/>
  <c r="D43" i="17"/>
  <c r="C43" i="17"/>
  <c r="J29" i="17"/>
  <c r="D42" i="13"/>
  <c r="C42" i="13"/>
  <c r="J28" i="13"/>
  <c r="D41" i="42"/>
  <c r="C41" i="42"/>
  <c r="J27" i="42"/>
  <c r="D40" i="21"/>
  <c r="C40" i="21"/>
  <c r="J26" i="21"/>
  <c r="D39" i="19"/>
  <c r="C39" i="19"/>
  <c r="J25" i="19"/>
  <c r="D38" i="22"/>
  <c r="C38" i="22"/>
  <c r="J24" i="22"/>
  <c r="D37" i="24"/>
  <c r="C37" i="24"/>
  <c r="J23" i="24"/>
  <c r="D36" i="18"/>
  <c r="C36" i="18"/>
  <c r="J22" i="18"/>
  <c r="D35" i="25"/>
  <c r="C35" i="25"/>
  <c r="J21" i="25"/>
  <c r="D34" i="23"/>
  <c r="C34" i="23"/>
  <c r="J20" i="23"/>
  <c r="D33" i="26"/>
  <c r="C33" i="26"/>
  <c r="J19" i="26"/>
  <c r="D32" i="11"/>
  <c r="C32" i="11"/>
  <c r="J18" i="11"/>
  <c r="D31" i="7"/>
  <c r="C31" i="7"/>
  <c r="J17" i="7"/>
  <c r="D30" i="6"/>
  <c r="C30" i="6"/>
  <c r="J16" i="6"/>
  <c r="D29" i="3"/>
  <c r="C29" i="3"/>
  <c r="J15" i="3"/>
  <c r="D28" i="2"/>
  <c r="C28" i="2"/>
  <c r="J14" i="2"/>
  <c r="D27" i="1"/>
  <c r="C27" i="1"/>
  <c r="J13" i="1"/>
  <c r="H53" i="46"/>
  <c r="D57" i="46"/>
  <c r="C57" i="46"/>
  <c r="D56" i="46"/>
  <c r="C56" i="46"/>
  <c r="D55" i="46"/>
  <c r="C55" i="46"/>
  <c r="D54" i="46"/>
  <c r="C54" i="46"/>
  <c r="D53" i="46"/>
  <c r="C53" i="46"/>
  <c r="F45" i="46"/>
  <c r="E45" i="46"/>
  <c r="H52" i="4"/>
  <c r="D56" i="4"/>
  <c r="C56" i="4"/>
  <c r="D55" i="4"/>
  <c r="C55" i="4"/>
  <c r="D54" i="4"/>
  <c r="C54" i="4"/>
  <c r="D53" i="4"/>
  <c r="C53" i="4"/>
  <c r="D52" i="4"/>
  <c r="C52" i="4"/>
  <c r="F44" i="4"/>
  <c r="E44" i="4"/>
  <c r="H51" i="39"/>
  <c r="D55" i="39"/>
  <c r="C55" i="39"/>
  <c r="D54" i="39"/>
  <c r="C54" i="39"/>
  <c r="D53" i="39"/>
  <c r="C53" i="39"/>
  <c r="D52" i="39"/>
  <c r="C52" i="39"/>
  <c r="D51" i="39"/>
  <c r="C51" i="39"/>
  <c r="F43" i="39"/>
  <c r="E43" i="39"/>
  <c r="H50" i="41"/>
  <c r="D54" i="41"/>
  <c r="C54" i="41"/>
  <c r="D53" i="41"/>
  <c r="C53" i="41"/>
  <c r="D52" i="41"/>
  <c r="C52" i="41"/>
  <c r="D51" i="41"/>
  <c r="C51" i="41"/>
  <c r="D50" i="41"/>
  <c r="C50" i="41"/>
  <c r="F42" i="41"/>
  <c r="E42" i="41"/>
  <c r="H49" i="29"/>
  <c r="D53" i="29"/>
  <c r="C53" i="29"/>
  <c r="D52" i="29"/>
  <c r="C52" i="29"/>
  <c r="D51" i="29"/>
  <c r="C51" i="29"/>
  <c r="D50" i="29"/>
  <c r="C50" i="29"/>
  <c r="D49" i="29"/>
  <c r="C49" i="29"/>
  <c r="F41" i="29"/>
  <c r="E41" i="29"/>
  <c r="H48" i="30"/>
  <c r="D52" i="30"/>
  <c r="C52" i="30"/>
  <c r="D51" i="30"/>
  <c r="C51" i="30"/>
  <c r="D50" i="30"/>
  <c r="C50" i="30"/>
  <c r="D49" i="30"/>
  <c r="C49" i="30"/>
  <c r="D48" i="30"/>
  <c r="C48" i="30"/>
  <c r="F40" i="30"/>
  <c r="E40" i="30"/>
  <c r="H47" i="31"/>
  <c r="D51" i="31"/>
  <c r="C51" i="31"/>
  <c r="D50" i="31"/>
  <c r="C50" i="31"/>
  <c r="D49" i="31"/>
  <c r="C49" i="31"/>
  <c r="D48" i="31"/>
  <c r="C48" i="31"/>
  <c r="D47" i="31"/>
  <c r="C47" i="31"/>
  <c r="F39" i="31"/>
  <c r="E39" i="31"/>
  <c r="H46" i="32"/>
  <c r="D50" i="32"/>
  <c r="C50" i="32"/>
  <c r="D49" i="32"/>
  <c r="C49" i="32"/>
  <c r="D48" i="32"/>
  <c r="C48" i="32"/>
  <c r="D47" i="32"/>
  <c r="C47" i="32"/>
  <c r="D46" i="32"/>
  <c r="C46" i="32"/>
  <c r="F38" i="32"/>
  <c r="E38" i="32"/>
  <c r="H45" i="33"/>
  <c r="D49" i="33"/>
  <c r="C49" i="33"/>
  <c r="D48" i="33"/>
  <c r="C48" i="33"/>
  <c r="D47" i="33"/>
  <c r="C47" i="33"/>
  <c r="D46" i="33"/>
  <c r="C46" i="33"/>
  <c r="D45" i="33"/>
  <c r="C45" i="33"/>
  <c r="F37" i="33"/>
  <c r="E37" i="33"/>
  <c r="H44" i="34"/>
  <c r="D48" i="34"/>
  <c r="C48" i="34"/>
  <c r="D47" i="34"/>
  <c r="C47" i="34"/>
  <c r="D46" i="34"/>
  <c r="C46" i="34"/>
  <c r="D45" i="34"/>
  <c r="C45" i="34"/>
  <c r="D44" i="34"/>
  <c r="C44" i="34"/>
  <c r="F36" i="34"/>
  <c r="E36" i="34"/>
  <c r="H43" i="35"/>
  <c r="D47" i="35"/>
  <c r="C47" i="35"/>
  <c r="D46" i="35"/>
  <c r="C46" i="35"/>
  <c r="D45" i="35"/>
  <c r="C45" i="35"/>
  <c r="D44" i="35"/>
  <c r="C44" i="35"/>
  <c r="D43" i="35"/>
  <c r="C43" i="35"/>
  <c r="F35" i="35"/>
  <c r="E35" i="35"/>
  <c r="H42" i="36"/>
  <c r="D46" i="36"/>
  <c r="C46" i="36"/>
  <c r="D45" i="36"/>
  <c r="C45" i="36"/>
  <c r="D44" i="36"/>
  <c r="C44" i="36"/>
  <c r="D43" i="36"/>
  <c r="C43" i="36"/>
  <c r="D42" i="36"/>
  <c r="C42" i="36"/>
  <c r="F34" i="36"/>
  <c r="E34" i="36"/>
  <c r="H41" i="37"/>
  <c r="D45" i="37"/>
  <c r="C45" i="37"/>
  <c r="D44" i="37"/>
  <c r="C44" i="37"/>
  <c r="D43" i="37"/>
  <c r="C43" i="37"/>
  <c r="D42" i="37"/>
  <c r="C42" i="37"/>
  <c r="D41" i="37"/>
  <c r="C41" i="37"/>
  <c r="F33" i="37"/>
  <c r="E33" i="37"/>
  <c r="H40" i="38"/>
  <c r="D44" i="38"/>
  <c r="C44" i="38"/>
  <c r="D43" i="38"/>
  <c r="C43" i="38"/>
  <c r="D42" i="38"/>
  <c r="C42" i="38"/>
  <c r="D41" i="38"/>
  <c r="C41" i="38"/>
  <c r="D40" i="38"/>
  <c r="C40" i="38"/>
  <c r="F32" i="38"/>
  <c r="E32" i="38"/>
  <c r="H39" i="28"/>
  <c r="D43" i="28"/>
  <c r="C43" i="28"/>
  <c r="D42" i="28"/>
  <c r="C42" i="28"/>
  <c r="D41" i="28"/>
  <c r="C41" i="28"/>
  <c r="D40" i="28"/>
  <c r="C40" i="28"/>
  <c r="D39" i="28"/>
  <c r="C39" i="28"/>
  <c r="F31" i="28"/>
  <c r="E31" i="28"/>
  <c r="H38" i="27"/>
  <c r="D42" i="27"/>
  <c r="C42" i="27"/>
  <c r="D41" i="27"/>
  <c r="C41" i="27"/>
  <c r="D40" i="27"/>
  <c r="C40" i="27"/>
  <c r="D39" i="27"/>
  <c r="C39" i="27"/>
  <c r="D38" i="27"/>
  <c r="C38" i="27"/>
  <c r="F30" i="27"/>
  <c r="E30" i="27"/>
  <c r="H37" i="5"/>
  <c r="D41" i="5"/>
  <c r="C41" i="5"/>
  <c r="D40" i="5"/>
  <c r="C40" i="5"/>
  <c r="D39" i="5"/>
  <c r="C39" i="5"/>
  <c r="D38" i="5"/>
  <c r="C38" i="5"/>
  <c r="D37" i="5"/>
  <c r="C37" i="5"/>
  <c r="F29" i="5"/>
  <c r="E29" i="5"/>
  <c r="H36" i="8"/>
  <c r="D40" i="8"/>
  <c r="C40" i="8"/>
  <c r="D39" i="8"/>
  <c r="C39" i="8"/>
  <c r="D38" i="8"/>
  <c r="C38" i="8"/>
  <c r="D37" i="8"/>
  <c r="C37" i="8"/>
  <c r="D36" i="8"/>
  <c r="C36" i="8"/>
  <c r="F28" i="8"/>
  <c r="E28" i="8"/>
  <c r="H35" i="9"/>
  <c r="D39" i="9"/>
  <c r="C39" i="9"/>
  <c r="D38" i="9"/>
  <c r="C38" i="9"/>
  <c r="D37" i="9"/>
  <c r="C37" i="9"/>
  <c r="D36" i="9"/>
  <c r="C36" i="9"/>
  <c r="D35" i="9"/>
  <c r="C35" i="9"/>
  <c r="F27" i="9"/>
  <c r="E27" i="9"/>
  <c r="H34" i="12"/>
  <c r="D38" i="12"/>
  <c r="C38" i="12"/>
  <c r="D37" i="12"/>
  <c r="C37" i="12"/>
  <c r="D36" i="12"/>
  <c r="C36" i="12"/>
  <c r="D35" i="12"/>
  <c r="C35" i="12"/>
  <c r="D34" i="12"/>
  <c r="C34" i="12"/>
  <c r="F26" i="12"/>
  <c r="E26" i="12"/>
  <c r="H33" i="10"/>
  <c r="D37" i="10"/>
  <c r="C37" i="10"/>
  <c r="D36" i="10"/>
  <c r="C36" i="10"/>
  <c r="D35" i="10"/>
  <c r="C35" i="10"/>
  <c r="D34" i="10"/>
  <c r="C34" i="10"/>
  <c r="D33" i="10"/>
  <c r="C33" i="10"/>
  <c r="F25" i="10"/>
  <c r="E25" i="10"/>
  <c r="H32" i="14"/>
  <c r="D36" i="14"/>
  <c r="C36" i="14"/>
  <c r="D35" i="14"/>
  <c r="C35" i="14"/>
  <c r="D34" i="14"/>
  <c r="C34" i="14"/>
  <c r="D33" i="14"/>
  <c r="C33" i="14"/>
  <c r="D32" i="14"/>
  <c r="C32" i="14"/>
  <c r="F24" i="14"/>
  <c r="E24" i="14"/>
  <c r="H31" i="15"/>
  <c r="D35" i="15"/>
  <c r="C35" i="15"/>
  <c r="D34" i="15"/>
  <c r="C34" i="15"/>
  <c r="D33" i="15"/>
  <c r="C33" i="15"/>
  <c r="D32" i="15"/>
  <c r="C32" i="15"/>
  <c r="D31" i="15"/>
  <c r="C31" i="15"/>
  <c r="F23" i="15"/>
  <c r="E23" i="15"/>
  <c r="H30" i="16"/>
  <c r="D34" i="16"/>
  <c r="C34" i="16"/>
  <c r="D33" i="16"/>
  <c r="C33" i="16"/>
  <c r="D32" i="16"/>
  <c r="C32" i="16"/>
  <c r="D31" i="16"/>
  <c r="C31" i="16"/>
  <c r="D30" i="16"/>
  <c r="C30" i="16"/>
  <c r="F22" i="16"/>
  <c r="E22" i="16"/>
  <c r="H29" i="17"/>
  <c r="D33" i="17"/>
  <c r="C33" i="17"/>
  <c r="D32" i="17"/>
  <c r="C32" i="17"/>
  <c r="D31" i="17"/>
  <c r="C31" i="17"/>
  <c r="D30" i="17"/>
  <c r="C30" i="17"/>
  <c r="D29" i="17"/>
  <c r="C29" i="17"/>
  <c r="F21" i="17"/>
  <c r="E21" i="17"/>
  <c r="H28" i="13"/>
  <c r="D32" i="13"/>
  <c r="C32" i="13"/>
  <c r="D31" i="13"/>
  <c r="C31" i="13"/>
  <c r="D30" i="13"/>
  <c r="C30" i="13"/>
  <c r="D29" i="13"/>
  <c r="C29" i="13"/>
  <c r="D28" i="13"/>
  <c r="C28" i="13"/>
  <c r="F20" i="13"/>
  <c r="E20" i="13"/>
  <c r="H27" i="42"/>
  <c r="D31" i="42"/>
  <c r="C31" i="42"/>
  <c r="D30" i="42"/>
  <c r="C30" i="42"/>
  <c r="D29" i="42"/>
  <c r="C29" i="42"/>
  <c r="D28" i="42"/>
  <c r="C28" i="42"/>
  <c r="D27" i="42"/>
  <c r="C27" i="42"/>
  <c r="F19" i="42"/>
  <c r="E19" i="42"/>
  <c r="H26" i="21"/>
  <c r="D30" i="21"/>
  <c r="C30" i="21"/>
  <c r="D29" i="21"/>
  <c r="C29" i="21"/>
  <c r="D28" i="21"/>
  <c r="C28" i="21"/>
  <c r="D27" i="21"/>
  <c r="C27" i="21"/>
  <c r="D26" i="21"/>
  <c r="C26" i="21"/>
  <c r="F18" i="21"/>
  <c r="E18" i="21"/>
  <c r="H25" i="19"/>
  <c r="D29" i="19"/>
  <c r="C29" i="19"/>
  <c r="D28" i="19"/>
  <c r="C28" i="19"/>
  <c r="D27" i="19"/>
  <c r="C27" i="19"/>
  <c r="D26" i="19"/>
  <c r="C26" i="19"/>
  <c r="D25" i="19"/>
  <c r="C25" i="19"/>
  <c r="F17" i="19"/>
  <c r="E17" i="19"/>
  <c r="H24" i="22"/>
  <c r="D28" i="22"/>
  <c r="C28" i="22"/>
  <c r="D27" i="22"/>
  <c r="C27" i="22"/>
  <c r="D26" i="22"/>
  <c r="C26" i="22"/>
  <c r="D25" i="22"/>
  <c r="C25" i="22"/>
  <c r="D24" i="22"/>
  <c r="C24" i="22"/>
  <c r="F16" i="22"/>
  <c r="E16" i="22"/>
  <c r="H23" i="24"/>
  <c r="D27" i="24"/>
  <c r="C27" i="24"/>
  <c r="D26" i="24"/>
  <c r="C26" i="24"/>
  <c r="D25" i="24"/>
  <c r="C25" i="24"/>
  <c r="D24" i="24"/>
  <c r="C24" i="24"/>
  <c r="D23" i="24"/>
  <c r="C23" i="24"/>
  <c r="F15" i="24"/>
  <c r="E15" i="24"/>
  <c r="H22" i="18"/>
  <c r="D26" i="18"/>
  <c r="C26" i="18"/>
  <c r="D25" i="18"/>
  <c r="C25" i="18"/>
  <c r="D24" i="18"/>
  <c r="C24" i="18"/>
  <c r="D23" i="18"/>
  <c r="C23" i="18"/>
  <c r="D22" i="18"/>
  <c r="C22" i="18"/>
  <c r="F14" i="18"/>
  <c r="E14" i="18"/>
  <c r="H21" i="25"/>
  <c r="D25" i="25"/>
  <c r="C25" i="25"/>
  <c r="D24" i="25"/>
  <c r="C24" i="25"/>
  <c r="D23" i="25"/>
  <c r="C23" i="25"/>
  <c r="D22" i="25"/>
  <c r="C22" i="25"/>
  <c r="D21" i="25"/>
  <c r="C21" i="25"/>
  <c r="F13" i="25"/>
  <c r="E13" i="25"/>
  <c r="H20" i="23"/>
  <c r="D24" i="23"/>
  <c r="C24" i="23"/>
  <c r="D23" i="23"/>
  <c r="C23" i="23"/>
  <c r="D22" i="23"/>
  <c r="C22" i="23"/>
  <c r="D21" i="23"/>
  <c r="C21" i="23"/>
  <c r="D20" i="23"/>
  <c r="C20" i="23"/>
  <c r="F12" i="23"/>
  <c r="E12" i="23"/>
  <c r="H19" i="26"/>
  <c r="D23" i="26"/>
  <c r="C23" i="26"/>
  <c r="D22" i="26"/>
  <c r="C22" i="26"/>
  <c r="D21" i="26"/>
  <c r="C21" i="26"/>
  <c r="D20" i="26"/>
  <c r="C20" i="26"/>
  <c r="D19" i="26"/>
  <c r="C19" i="26"/>
  <c r="F11" i="26"/>
  <c r="E11" i="26"/>
  <c r="H18" i="11"/>
  <c r="D22" i="11"/>
  <c r="C22" i="11"/>
  <c r="D21" i="11"/>
  <c r="C21" i="11"/>
  <c r="D20" i="11"/>
  <c r="C20" i="11"/>
  <c r="D19" i="11"/>
  <c r="C19" i="11"/>
  <c r="D18" i="11"/>
  <c r="C18" i="11"/>
  <c r="F10" i="11"/>
  <c r="E10" i="11"/>
  <c r="H17" i="7"/>
  <c r="D21" i="7"/>
  <c r="C21" i="7"/>
  <c r="D20" i="7"/>
  <c r="C20" i="7"/>
  <c r="D19" i="7"/>
  <c r="C19" i="7"/>
  <c r="D18" i="7"/>
  <c r="C18" i="7"/>
  <c r="D17" i="7"/>
  <c r="C17" i="7"/>
  <c r="F9" i="7"/>
  <c r="E9" i="7"/>
  <c r="H16" i="6"/>
  <c r="D20" i="6"/>
  <c r="C20" i="6"/>
  <c r="D19" i="6"/>
  <c r="C19" i="6"/>
  <c r="D18" i="6"/>
  <c r="C18" i="6"/>
  <c r="D17" i="6"/>
  <c r="C17" i="6"/>
  <c r="D16" i="6"/>
  <c r="C16" i="6"/>
  <c r="F8" i="6"/>
  <c r="E8" i="6"/>
  <c r="H15" i="3"/>
  <c r="D19" i="3"/>
  <c r="C19" i="3"/>
  <c r="D18" i="3"/>
  <c r="C18" i="3"/>
  <c r="D17" i="3"/>
  <c r="C17" i="3"/>
  <c r="D16" i="3"/>
  <c r="C16" i="3"/>
  <c r="D15" i="3"/>
  <c r="C15" i="3"/>
  <c r="F7" i="3"/>
  <c r="E7" i="3"/>
  <c r="H14" i="2"/>
  <c r="D18" i="2"/>
  <c r="C18" i="2"/>
  <c r="D17" i="2"/>
  <c r="C17" i="2"/>
  <c r="D16" i="2"/>
  <c r="C16" i="2"/>
  <c r="D15" i="2"/>
  <c r="C15" i="2"/>
  <c r="D14" i="2"/>
  <c r="C14" i="2"/>
  <c r="F6" i="2"/>
  <c r="E6" i="2"/>
  <c r="H13" i="1"/>
  <c r="D17" i="1"/>
  <c r="C17" i="1"/>
  <c r="D16" i="1"/>
  <c r="C16" i="1"/>
  <c r="D15" i="1"/>
  <c r="C15" i="1"/>
  <c r="D14" i="1"/>
  <c r="C14" i="1"/>
  <c r="D13" i="1"/>
  <c r="C13" i="1"/>
  <c r="F5" i="1"/>
  <c r="E5" i="1"/>
  <c r="H79" i="5" l="1"/>
  <c r="H61" i="26"/>
  <c r="H106" i="46"/>
  <c r="F97" i="46"/>
  <c r="F96" i="46"/>
  <c r="F95" i="46"/>
  <c r="F92" i="46"/>
  <c r="F91" i="46"/>
  <c r="F90" i="46"/>
  <c r="F89" i="46"/>
  <c r="F88" i="46"/>
  <c r="F87" i="46"/>
  <c r="F86" i="46"/>
  <c r="F85" i="46"/>
  <c r="F84" i="46"/>
  <c r="F82" i="46"/>
  <c r="F81" i="46"/>
  <c r="H67" i="46"/>
  <c r="B48" i="46"/>
  <c r="H105" i="4"/>
  <c r="F96" i="4"/>
  <c r="F95" i="4"/>
  <c r="F94" i="4"/>
  <c r="F91" i="4"/>
  <c r="F90" i="4"/>
  <c r="F89" i="4"/>
  <c r="F88" i="4"/>
  <c r="F87" i="4"/>
  <c r="F86" i="4"/>
  <c r="F85" i="4"/>
  <c r="F84" i="4"/>
  <c r="F83" i="4"/>
  <c r="F81" i="4"/>
  <c r="F80" i="4"/>
  <c r="H66" i="4"/>
  <c r="B47" i="4"/>
  <c r="F98" i="39"/>
  <c r="H104" i="39"/>
  <c r="F95" i="39"/>
  <c r="F94" i="39"/>
  <c r="F93" i="39"/>
  <c r="F90" i="39"/>
  <c r="F89" i="39"/>
  <c r="F88" i="39"/>
  <c r="F87" i="39"/>
  <c r="F86" i="39"/>
  <c r="F85" i="39"/>
  <c r="F84" i="39"/>
  <c r="F83" i="39"/>
  <c r="F82" i="39"/>
  <c r="F80" i="39"/>
  <c r="F79" i="39"/>
  <c r="H65" i="39"/>
  <c r="B46" i="39"/>
  <c r="F94" i="41"/>
  <c r="F93" i="41"/>
  <c r="F92" i="41"/>
  <c r="F89" i="41"/>
  <c r="F88" i="41"/>
  <c r="F87" i="41"/>
  <c r="F86" i="41"/>
  <c r="F85" i="41"/>
  <c r="F84" i="41"/>
  <c r="F83" i="41"/>
  <c r="F82" i="41"/>
  <c r="F81" i="41"/>
  <c r="F80" i="41"/>
  <c r="F79" i="41"/>
  <c r="F78" i="41"/>
  <c r="H64" i="41"/>
  <c r="B45" i="41"/>
  <c r="F93" i="29"/>
  <c r="F92" i="29"/>
  <c r="F91" i="29"/>
  <c r="F88" i="29"/>
  <c r="F87" i="29"/>
  <c r="F86" i="29"/>
  <c r="F85" i="29"/>
  <c r="F84" i="29"/>
  <c r="F83" i="29"/>
  <c r="F82" i="29"/>
  <c r="F81" i="29"/>
  <c r="F80" i="29"/>
  <c r="F79" i="29"/>
  <c r="F78" i="29"/>
  <c r="F77" i="29"/>
  <c r="H63" i="29"/>
  <c r="B44" i="29"/>
  <c r="F92" i="30"/>
  <c r="F91" i="30"/>
  <c r="F90" i="30"/>
  <c r="F87" i="30"/>
  <c r="F86" i="30"/>
  <c r="F85" i="30"/>
  <c r="F84" i="30"/>
  <c r="F83" i="30"/>
  <c r="F82" i="30"/>
  <c r="F81" i="30"/>
  <c r="F80" i="30"/>
  <c r="F79" i="30"/>
  <c r="F77" i="30"/>
  <c r="F76" i="30"/>
  <c r="H62" i="30"/>
  <c r="B43" i="30"/>
  <c r="F94" i="31"/>
  <c r="F91" i="31"/>
  <c r="F90" i="31"/>
  <c r="F89" i="31"/>
  <c r="F86" i="31"/>
  <c r="F85" i="31"/>
  <c r="F84" i="31"/>
  <c r="F83" i="31"/>
  <c r="F82" i="31"/>
  <c r="F81" i="31"/>
  <c r="F80" i="31"/>
  <c r="F79" i="31"/>
  <c r="F78" i="31"/>
  <c r="F76" i="31"/>
  <c r="F75" i="31"/>
  <c r="H61" i="31"/>
  <c r="B42" i="31"/>
  <c r="F93" i="32"/>
  <c r="F90" i="32"/>
  <c r="F89" i="32"/>
  <c r="F88" i="32"/>
  <c r="F85" i="32"/>
  <c r="F84" i="32"/>
  <c r="F83" i="32"/>
  <c r="F82" i="32"/>
  <c r="F81" i="32"/>
  <c r="F80" i="32"/>
  <c r="F79" i="32"/>
  <c r="F78" i="32"/>
  <c r="F77" i="32"/>
  <c r="F75" i="32"/>
  <c r="F74" i="32"/>
  <c r="H60" i="32"/>
  <c r="H61" i="32" s="1"/>
  <c r="B41" i="32"/>
  <c r="F89" i="33"/>
  <c r="F88" i="33"/>
  <c r="F87" i="33"/>
  <c r="F84" i="33"/>
  <c r="F83" i="33"/>
  <c r="F82" i="33"/>
  <c r="F81" i="33"/>
  <c r="F80" i="33"/>
  <c r="F79" i="33"/>
  <c r="F78" i="33"/>
  <c r="F77" i="33"/>
  <c r="F76" i="33"/>
  <c r="F74" i="33"/>
  <c r="F73" i="33"/>
  <c r="H59" i="33"/>
  <c r="B40" i="33"/>
  <c r="F91" i="34"/>
  <c r="F88" i="34"/>
  <c r="F87" i="34"/>
  <c r="F86" i="34"/>
  <c r="F83" i="34"/>
  <c r="F82" i="34"/>
  <c r="F81" i="34"/>
  <c r="F80" i="34"/>
  <c r="F79" i="34"/>
  <c r="F78" i="34"/>
  <c r="F77" i="34"/>
  <c r="F76" i="34"/>
  <c r="F75" i="34"/>
  <c r="F73" i="34"/>
  <c r="F72" i="34"/>
  <c r="H58" i="34"/>
  <c r="H59" i="34" s="1"/>
  <c r="B39" i="34"/>
  <c r="F87" i="35"/>
  <c r="F86" i="35"/>
  <c r="F85" i="35"/>
  <c r="F82" i="35"/>
  <c r="F81" i="35"/>
  <c r="F80" i="35"/>
  <c r="F79" i="35"/>
  <c r="F78" i="35"/>
  <c r="F77" i="35"/>
  <c r="F76" i="35"/>
  <c r="F75" i="35"/>
  <c r="F74" i="35"/>
  <c r="F72" i="35"/>
  <c r="F71" i="35"/>
  <c r="H57" i="35"/>
  <c r="B38" i="35"/>
  <c r="F86" i="36"/>
  <c r="F85" i="36"/>
  <c r="F84" i="36"/>
  <c r="F81" i="36"/>
  <c r="F80" i="36"/>
  <c r="F79" i="36"/>
  <c r="F78" i="36"/>
  <c r="F77" i="36"/>
  <c r="F76" i="36"/>
  <c r="F75" i="36"/>
  <c r="F74" i="36"/>
  <c r="F73" i="36"/>
  <c r="F71" i="36"/>
  <c r="F70" i="36"/>
  <c r="H56" i="36"/>
  <c r="B37" i="36"/>
  <c r="F85" i="37"/>
  <c r="F84" i="37"/>
  <c r="F83" i="37"/>
  <c r="F80" i="37"/>
  <c r="F79" i="37"/>
  <c r="F78" i="37"/>
  <c r="F77" i="37"/>
  <c r="F76" i="37"/>
  <c r="F75" i="37"/>
  <c r="F74" i="37"/>
  <c r="F73" i="37"/>
  <c r="F72" i="37"/>
  <c r="F70" i="37"/>
  <c r="F69" i="37"/>
  <c r="H55" i="37"/>
  <c r="H56" i="37" s="1"/>
  <c r="B36" i="37"/>
  <c r="F84" i="38"/>
  <c r="F83" i="38"/>
  <c r="F82" i="38"/>
  <c r="F79" i="38"/>
  <c r="F78" i="38"/>
  <c r="F77" i="38"/>
  <c r="F76" i="38"/>
  <c r="F75" i="38"/>
  <c r="F74" i="38"/>
  <c r="F73" i="38"/>
  <c r="F72" i="38"/>
  <c r="F71" i="38"/>
  <c r="F69" i="38"/>
  <c r="F68" i="38"/>
  <c r="H54" i="38"/>
  <c r="H55" i="38" s="1"/>
  <c r="B35" i="38"/>
  <c r="F83" i="28"/>
  <c r="F82" i="28"/>
  <c r="F81" i="28"/>
  <c r="F78" i="28"/>
  <c r="F77" i="28"/>
  <c r="F76" i="28"/>
  <c r="F75" i="28"/>
  <c r="F74" i="28"/>
  <c r="F73" i="28"/>
  <c r="F72" i="28"/>
  <c r="F71" i="28"/>
  <c r="F70" i="28"/>
  <c r="F68" i="28"/>
  <c r="F67" i="28"/>
  <c r="H53" i="28"/>
  <c r="B34" i="28"/>
  <c r="F82" i="27"/>
  <c r="F81" i="27"/>
  <c r="F80" i="27"/>
  <c r="F77" i="27"/>
  <c r="F76" i="27"/>
  <c r="F75" i="27"/>
  <c r="F74" i="27"/>
  <c r="F73" i="27"/>
  <c r="F72" i="27"/>
  <c r="F71" i="27"/>
  <c r="F70" i="27"/>
  <c r="F69" i="27"/>
  <c r="F67" i="27"/>
  <c r="F66" i="27"/>
  <c r="H52" i="27"/>
  <c r="B33" i="27"/>
  <c r="F81" i="5"/>
  <c r="F80" i="5"/>
  <c r="F79" i="5"/>
  <c r="F76" i="5"/>
  <c r="F75" i="5"/>
  <c r="F74" i="5"/>
  <c r="F73" i="5"/>
  <c r="F72" i="5"/>
  <c r="F71" i="5"/>
  <c r="F70" i="5"/>
  <c r="F69" i="5"/>
  <c r="F68" i="5"/>
  <c r="F66" i="5"/>
  <c r="F65" i="5"/>
  <c r="H51" i="5"/>
  <c r="B32" i="5"/>
  <c r="F80" i="8"/>
  <c r="F79" i="8"/>
  <c r="F78" i="8"/>
  <c r="F75" i="8"/>
  <c r="F74" i="8"/>
  <c r="F73" i="8"/>
  <c r="F72" i="8"/>
  <c r="F71" i="8"/>
  <c r="F70" i="8"/>
  <c r="F69" i="8"/>
  <c r="F68" i="8"/>
  <c r="F67" i="8"/>
  <c r="F65" i="8"/>
  <c r="F64" i="8"/>
  <c r="H50" i="8"/>
  <c r="B31" i="8"/>
  <c r="F79" i="9"/>
  <c r="F78" i="9"/>
  <c r="F77" i="9"/>
  <c r="F74" i="9"/>
  <c r="F73" i="9"/>
  <c r="F72" i="9"/>
  <c r="F71" i="9"/>
  <c r="F70" i="9"/>
  <c r="F69" i="9"/>
  <c r="F68" i="9"/>
  <c r="F67" i="9"/>
  <c r="F66" i="9"/>
  <c r="F65" i="9"/>
  <c r="F64" i="9"/>
  <c r="F63" i="9"/>
  <c r="H49" i="9"/>
  <c r="B30" i="9"/>
  <c r="F79" i="12"/>
  <c r="F78" i="12"/>
  <c r="F77" i="12"/>
  <c r="F74" i="12"/>
  <c r="F73" i="12"/>
  <c r="F72" i="12"/>
  <c r="F71" i="12"/>
  <c r="F70" i="12"/>
  <c r="F69" i="12"/>
  <c r="F68" i="12"/>
  <c r="F67" i="12"/>
  <c r="F66" i="12"/>
  <c r="F64" i="12"/>
  <c r="F63" i="12"/>
  <c r="H48" i="12"/>
  <c r="F77" i="10"/>
  <c r="F76" i="10"/>
  <c r="F75" i="10"/>
  <c r="F72" i="10"/>
  <c r="F71" i="10"/>
  <c r="F70" i="10"/>
  <c r="F69" i="10"/>
  <c r="F68" i="10"/>
  <c r="F67" i="10"/>
  <c r="F66" i="10"/>
  <c r="F65" i="10"/>
  <c r="F64" i="10"/>
  <c r="F62" i="10"/>
  <c r="F61" i="10"/>
  <c r="H47" i="10"/>
  <c r="B28" i="10"/>
  <c r="F76" i="14"/>
  <c r="F75" i="14"/>
  <c r="F74" i="14"/>
  <c r="F71" i="14"/>
  <c r="F70" i="14"/>
  <c r="F69" i="14"/>
  <c r="F68" i="14"/>
  <c r="F67" i="14"/>
  <c r="F66" i="14"/>
  <c r="F65" i="14"/>
  <c r="F64" i="14"/>
  <c r="F63" i="14"/>
  <c r="F61" i="14"/>
  <c r="F60" i="14"/>
  <c r="H46" i="14"/>
  <c r="B27" i="14"/>
  <c r="F75" i="15"/>
  <c r="F74" i="15"/>
  <c r="F73" i="15"/>
  <c r="F70" i="15"/>
  <c r="F69" i="15"/>
  <c r="F68" i="15"/>
  <c r="F67" i="15"/>
  <c r="F66" i="15"/>
  <c r="F65" i="15"/>
  <c r="F64" i="15"/>
  <c r="F63" i="15"/>
  <c r="F62" i="15"/>
  <c r="F60" i="15"/>
  <c r="F59" i="15"/>
  <c r="H45" i="15"/>
  <c r="B26" i="15"/>
  <c r="F74" i="16"/>
  <c r="F73" i="16"/>
  <c r="F72" i="16"/>
  <c r="F69" i="16"/>
  <c r="F68" i="16"/>
  <c r="F67" i="16"/>
  <c r="F66" i="16"/>
  <c r="F65" i="16"/>
  <c r="F64" i="16"/>
  <c r="F63" i="16"/>
  <c r="F62" i="16"/>
  <c r="F61" i="16"/>
  <c r="F59" i="16"/>
  <c r="F58" i="16"/>
  <c r="H44" i="16"/>
  <c r="B25" i="16"/>
  <c r="F73" i="17"/>
  <c r="F72" i="17"/>
  <c r="F71" i="17"/>
  <c r="F68" i="17"/>
  <c r="F67" i="17"/>
  <c r="F66" i="17"/>
  <c r="F65" i="17"/>
  <c r="F64" i="17"/>
  <c r="F63" i="17"/>
  <c r="F62" i="17"/>
  <c r="F61" i="17"/>
  <c r="F60" i="17"/>
  <c r="F58" i="17"/>
  <c r="F57" i="17"/>
  <c r="H43" i="17"/>
  <c r="B24" i="17"/>
  <c r="F74" i="13"/>
  <c r="F72" i="13"/>
  <c r="F71" i="13"/>
  <c r="F70" i="13"/>
  <c r="F67" i="13"/>
  <c r="F66" i="13"/>
  <c r="F65" i="13"/>
  <c r="F64" i="13"/>
  <c r="F63" i="13"/>
  <c r="F62" i="13"/>
  <c r="F61" i="13"/>
  <c r="F60" i="13"/>
  <c r="F59" i="13"/>
  <c r="F57" i="13"/>
  <c r="F56" i="13"/>
  <c r="H42" i="13"/>
  <c r="B23" i="13"/>
  <c r="H80" i="42"/>
  <c r="F71" i="42"/>
  <c r="F70" i="42"/>
  <c r="F69" i="42"/>
  <c r="F66" i="42"/>
  <c r="F65" i="42"/>
  <c r="F64" i="42"/>
  <c r="F63" i="42"/>
  <c r="F62" i="42"/>
  <c r="F61" i="42"/>
  <c r="F60" i="42"/>
  <c r="F59" i="42"/>
  <c r="F58" i="42"/>
  <c r="F56" i="42"/>
  <c r="F55" i="42"/>
  <c r="H41" i="42"/>
  <c r="B22" i="42"/>
  <c r="F70" i="21"/>
  <c r="F69" i="21"/>
  <c r="F68" i="21"/>
  <c r="F65" i="21"/>
  <c r="F64" i="21"/>
  <c r="F63" i="21"/>
  <c r="F62" i="21"/>
  <c r="F61" i="21"/>
  <c r="F60" i="21"/>
  <c r="F59" i="21"/>
  <c r="F58" i="21"/>
  <c r="F57" i="21"/>
  <c r="F55" i="21"/>
  <c r="F54" i="21"/>
  <c r="H40" i="21"/>
  <c r="B21" i="21"/>
  <c r="F69" i="19"/>
  <c r="F68" i="19"/>
  <c r="F67" i="19"/>
  <c r="F64" i="19"/>
  <c r="F63" i="19"/>
  <c r="F62" i="19"/>
  <c r="F61" i="19"/>
  <c r="F60" i="19"/>
  <c r="F59" i="19"/>
  <c r="F58" i="19"/>
  <c r="F57" i="19"/>
  <c r="F56" i="19"/>
  <c r="F54" i="19"/>
  <c r="F53" i="19"/>
  <c r="H39" i="19"/>
  <c r="B20" i="19"/>
  <c r="F68" i="22"/>
  <c r="F67" i="22"/>
  <c r="F66" i="22"/>
  <c r="F63" i="22"/>
  <c r="F62" i="22"/>
  <c r="F61" i="22"/>
  <c r="F60" i="22"/>
  <c r="F59" i="22"/>
  <c r="F58" i="22"/>
  <c r="F57" i="22"/>
  <c r="F56" i="22"/>
  <c r="F55" i="22"/>
  <c r="F54" i="22"/>
  <c r="F53" i="22"/>
  <c r="F52" i="22"/>
  <c r="H38" i="22"/>
  <c r="B19" i="22"/>
  <c r="F67" i="24"/>
  <c r="F66" i="24"/>
  <c r="F65" i="24"/>
  <c r="F62" i="24"/>
  <c r="F61" i="24"/>
  <c r="F60" i="24"/>
  <c r="F59" i="24"/>
  <c r="F58" i="24"/>
  <c r="F57" i="24"/>
  <c r="F56" i="24"/>
  <c r="F55" i="24"/>
  <c r="F54" i="24"/>
  <c r="F52" i="24"/>
  <c r="F51" i="24"/>
  <c r="H37" i="24"/>
  <c r="B18" i="24"/>
  <c r="F66" i="18"/>
  <c r="F65" i="18"/>
  <c r="F64" i="18"/>
  <c r="F61" i="18"/>
  <c r="F60" i="18"/>
  <c r="F59" i="18"/>
  <c r="F58" i="18"/>
  <c r="F57" i="18"/>
  <c r="F56" i="18"/>
  <c r="F55" i="18"/>
  <c r="F54" i="18"/>
  <c r="F53" i="18"/>
  <c r="F51" i="18"/>
  <c r="F50" i="18"/>
  <c r="H36" i="18"/>
  <c r="B17" i="18"/>
  <c r="F65" i="25"/>
  <c r="F64" i="25"/>
  <c r="F63" i="25"/>
  <c r="F60" i="25"/>
  <c r="F59" i="25"/>
  <c r="F58" i="25"/>
  <c r="F57" i="25"/>
  <c r="F56" i="25"/>
  <c r="F55" i="25"/>
  <c r="F54" i="25"/>
  <c r="F53" i="25"/>
  <c r="F52" i="25"/>
  <c r="F50" i="25"/>
  <c r="F49" i="25"/>
  <c r="H35" i="25"/>
  <c r="B16" i="25"/>
  <c r="F64" i="23"/>
  <c r="F63" i="23"/>
  <c r="F62" i="23"/>
  <c r="F59" i="23"/>
  <c r="F58" i="23"/>
  <c r="F57" i="23"/>
  <c r="F56" i="23"/>
  <c r="F55" i="23"/>
  <c r="F54" i="23"/>
  <c r="F53" i="23"/>
  <c r="F52" i="23"/>
  <c r="F51" i="23"/>
  <c r="F49" i="23"/>
  <c r="F48" i="23"/>
  <c r="H34" i="23"/>
  <c r="B15" i="23"/>
  <c r="F63" i="26"/>
  <c r="F62" i="26"/>
  <c r="F61" i="26"/>
  <c r="F58" i="26"/>
  <c r="F57" i="26"/>
  <c r="F56" i="26"/>
  <c r="F55" i="26"/>
  <c r="F54" i="26"/>
  <c r="F53" i="26"/>
  <c r="F52" i="26"/>
  <c r="F51" i="26"/>
  <c r="F50" i="26"/>
  <c r="F48" i="26"/>
  <c r="F47" i="26"/>
  <c r="H33" i="26"/>
  <c r="B14" i="26"/>
  <c r="F62" i="11"/>
  <c r="F61" i="11"/>
  <c r="F60" i="11"/>
  <c r="F57" i="11"/>
  <c r="F56" i="11"/>
  <c r="F55" i="11"/>
  <c r="F54" i="11"/>
  <c r="F53" i="11"/>
  <c r="F52" i="11"/>
  <c r="F51" i="11"/>
  <c r="F50" i="11"/>
  <c r="F49" i="11"/>
  <c r="F47" i="11"/>
  <c r="F46" i="11"/>
  <c r="H32" i="11"/>
  <c r="B13" i="11"/>
  <c r="F61" i="7"/>
  <c r="F60" i="7"/>
  <c r="F59" i="7"/>
  <c r="F56" i="7"/>
  <c r="F55" i="7"/>
  <c r="F54" i="7"/>
  <c r="F53" i="7"/>
  <c r="F52" i="7"/>
  <c r="F51" i="7"/>
  <c r="F50" i="7"/>
  <c r="F49" i="7"/>
  <c r="F48" i="7"/>
  <c r="F47" i="7"/>
  <c r="F46" i="7"/>
  <c r="F45" i="7"/>
  <c r="H31" i="7"/>
  <c r="B12" i="7"/>
  <c r="F63" i="6"/>
  <c r="F60" i="6"/>
  <c r="F59" i="6"/>
  <c r="F58" i="6"/>
  <c r="F55" i="6"/>
  <c r="F54" i="6"/>
  <c r="F53" i="6"/>
  <c r="F52" i="6"/>
  <c r="F51" i="6"/>
  <c r="F50" i="6"/>
  <c r="F49" i="6"/>
  <c r="F48" i="6"/>
  <c r="F47" i="6"/>
  <c r="F46" i="6"/>
  <c r="F45" i="6"/>
  <c r="F44" i="6"/>
  <c r="H30" i="6"/>
  <c r="B11" i="6"/>
  <c r="F59" i="3"/>
  <c r="F58" i="3"/>
  <c r="F57" i="3"/>
  <c r="F54" i="3"/>
  <c r="F53" i="3"/>
  <c r="F52" i="3"/>
  <c r="F51" i="3"/>
  <c r="F50" i="3"/>
  <c r="F49" i="3"/>
  <c r="F48" i="3"/>
  <c r="F47" i="3"/>
  <c r="F46" i="3"/>
  <c r="F45" i="3"/>
  <c r="F44" i="3"/>
  <c r="F43" i="3"/>
  <c r="H29" i="3"/>
  <c r="B10" i="3"/>
  <c r="F58" i="2"/>
  <c r="F57" i="2"/>
  <c r="F56" i="2"/>
  <c r="F53" i="2"/>
  <c r="F52" i="2"/>
  <c r="F51" i="2"/>
  <c r="F50" i="2"/>
  <c r="F49" i="2"/>
  <c r="F48" i="2"/>
  <c r="F47" i="2"/>
  <c r="F46" i="2"/>
  <c r="F45" i="2"/>
  <c r="F43" i="2"/>
  <c r="F42" i="2"/>
  <c r="H28" i="2"/>
  <c r="H15" i="2"/>
  <c r="B9" i="2"/>
  <c r="H40" i="19" l="1"/>
  <c r="H43" i="13"/>
  <c r="F68" i="25"/>
  <c r="H37" i="18"/>
  <c r="F72" i="19"/>
  <c r="H42" i="42"/>
  <c r="F76" i="16"/>
  <c r="H46" i="15"/>
  <c r="H53" i="27"/>
  <c r="H54" i="28"/>
  <c r="H100" i="31"/>
  <c r="H101" i="31" s="1"/>
  <c r="F95" i="29"/>
  <c r="F98" i="4"/>
  <c r="H32" i="7"/>
  <c r="H44" i="17"/>
  <c r="H47" i="14"/>
  <c r="F79" i="14"/>
  <c r="F90" i="35"/>
  <c r="H62" i="31"/>
  <c r="H63" i="30"/>
  <c r="F95" i="30"/>
  <c r="H30" i="3"/>
  <c r="H35" i="23"/>
  <c r="H36" i="25"/>
  <c r="H45" i="16"/>
  <c r="H48" i="10"/>
  <c r="H50" i="12"/>
  <c r="H58" i="35"/>
  <c r="H60" i="33"/>
  <c r="H65" i="41"/>
  <c r="H68" i="46"/>
  <c r="H33" i="11"/>
  <c r="H41" i="21"/>
  <c r="H50" i="9"/>
  <c r="H51" i="8"/>
  <c r="H52" i="5"/>
  <c r="B29" i="12"/>
  <c r="E34" i="12" s="1"/>
  <c r="H78" i="19"/>
  <c r="H98" i="33"/>
  <c r="H99" i="33" s="1"/>
  <c r="H80" i="32"/>
  <c r="F97" i="41"/>
  <c r="H77" i="22"/>
  <c r="F75" i="13"/>
  <c r="J81" i="13" s="1"/>
  <c r="H86" i="10"/>
  <c r="H87" i="10" s="1"/>
  <c r="F82" i="9"/>
  <c r="F88" i="37"/>
  <c r="F89" i="35"/>
  <c r="J96" i="35" s="1"/>
  <c r="J97" i="35" s="1"/>
  <c r="C65" i="41"/>
  <c r="H53" i="4"/>
  <c r="H54" i="4" s="1"/>
  <c r="F77" i="16"/>
  <c r="F85" i="27"/>
  <c r="F86" i="28"/>
  <c r="F99" i="4"/>
  <c r="J105" i="4" s="1"/>
  <c r="J106" i="4" s="1"/>
  <c r="F73" i="21"/>
  <c r="C64" i="29"/>
  <c r="H91" i="29"/>
  <c r="H92" i="29" s="1"/>
  <c r="H38" i="15"/>
  <c r="H39" i="15" s="1"/>
  <c r="F78" i="15"/>
  <c r="C47" i="14"/>
  <c r="H19" i="11"/>
  <c r="H20" i="11" s="1"/>
  <c r="H25" i="11"/>
  <c r="H26" i="11" s="1"/>
  <c r="H30" i="24"/>
  <c r="H31" i="24" s="1"/>
  <c r="F76" i="17"/>
  <c r="H84" i="15"/>
  <c r="H40" i="10"/>
  <c r="H41" i="10" s="1"/>
  <c r="H50" i="35"/>
  <c r="H47" i="32"/>
  <c r="H48" i="32" s="1"/>
  <c r="H53" i="32"/>
  <c r="H54" i="32" s="1"/>
  <c r="H48" i="31"/>
  <c r="H49" i="31" s="1"/>
  <c r="H54" i="31"/>
  <c r="H55" i="31" s="1"/>
  <c r="H50" i="29"/>
  <c r="H51" i="29" s="1"/>
  <c r="H56" i="29"/>
  <c r="H57" i="29" s="1"/>
  <c r="H64" i="29"/>
  <c r="F90" i="29"/>
  <c r="H103" i="41"/>
  <c r="H104" i="41" s="1"/>
  <c r="F99" i="46"/>
  <c r="H24" i="7"/>
  <c r="H25" i="7" s="1"/>
  <c r="H53" i="26"/>
  <c r="F68" i="18"/>
  <c r="H29" i="2"/>
  <c r="H67" i="2"/>
  <c r="H22" i="3"/>
  <c r="H31" i="6"/>
  <c r="H34" i="26"/>
  <c r="F66" i="26"/>
  <c r="H73" i="23"/>
  <c r="F77" i="23"/>
  <c r="H74" i="25"/>
  <c r="H75" i="25" s="1"/>
  <c r="H39" i="22"/>
  <c r="H33" i="21"/>
  <c r="H34" i="21" s="1"/>
  <c r="H82" i="17"/>
  <c r="H83" i="17" s="1"/>
  <c r="H83" i="16"/>
  <c r="H84" i="16" s="1"/>
  <c r="C46" i="15"/>
  <c r="H89" i="8"/>
  <c r="H92" i="28"/>
  <c r="H93" i="28" s="1"/>
  <c r="H93" i="38"/>
  <c r="H94" i="38" s="1"/>
  <c r="H57" i="36"/>
  <c r="H51" i="35"/>
  <c r="H99" i="32"/>
  <c r="H100" i="32" s="1"/>
  <c r="H89" i="31"/>
  <c r="H90" i="31" s="1"/>
  <c r="H101" i="30"/>
  <c r="H102" i="30" s="1"/>
  <c r="H102" i="29"/>
  <c r="H66" i="39"/>
  <c r="F109" i="4"/>
  <c r="F100" i="46"/>
  <c r="H57" i="3"/>
  <c r="H87" i="46"/>
  <c r="H69" i="42"/>
  <c r="H70" i="42" s="1"/>
  <c r="H94" i="4"/>
  <c r="H95" i="4" s="1"/>
  <c r="H59" i="7"/>
  <c r="H60" i="7" s="1"/>
  <c r="H92" i="41"/>
  <c r="H93" i="41" s="1"/>
  <c r="H58" i="3"/>
  <c r="H70" i="8"/>
  <c r="H74" i="38"/>
  <c r="H85" i="39"/>
  <c r="H67" i="10"/>
  <c r="H20" i="26"/>
  <c r="H21" i="26" s="1"/>
  <c r="H34" i="10"/>
  <c r="H37" i="8"/>
  <c r="H38" i="8" s="1"/>
  <c r="H40" i="28"/>
  <c r="H41" i="28" s="1"/>
  <c r="H41" i="38"/>
  <c r="H42" i="38" s="1"/>
  <c r="H49" i="30"/>
  <c r="H50" i="30" s="1"/>
  <c r="H52" i="39"/>
  <c r="H53" i="39" s="1"/>
  <c r="H54" i="46"/>
  <c r="H55" i="46" s="1"/>
  <c r="H46" i="33"/>
  <c r="H47" i="33" s="1"/>
  <c r="H74" i="14"/>
  <c r="H75" i="14" s="1"/>
  <c r="F69" i="18"/>
  <c r="H75" i="18"/>
  <c r="H85" i="14"/>
  <c r="H86" i="14" s="1"/>
  <c r="H71" i="5"/>
  <c r="C30" i="3"/>
  <c r="F62" i="3"/>
  <c r="C41" i="21"/>
  <c r="C43" i="13"/>
  <c r="H65" i="15"/>
  <c r="F82" i="12"/>
  <c r="H68" i="3"/>
  <c r="H69" i="3" s="1"/>
  <c r="F67" i="23"/>
  <c r="H55" i="25"/>
  <c r="H23" i="18"/>
  <c r="H24" i="18" s="1"/>
  <c r="C38" i="24"/>
  <c r="F71" i="22"/>
  <c r="H62" i="13"/>
  <c r="C45" i="16"/>
  <c r="H32" i="15"/>
  <c r="H33" i="15" s="1"/>
  <c r="F77" i="15"/>
  <c r="J84" i="15" s="1"/>
  <c r="J85" i="15" s="1"/>
  <c r="F89" i="14"/>
  <c r="F79" i="10"/>
  <c r="F92" i="12"/>
  <c r="H77" i="9"/>
  <c r="H78" i="9" s="1"/>
  <c r="F82" i="8"/>
  <c r="F94" i="5"/>
  <c r="H91" i="27"/>
  <c r="H92" i="27" s="1"/>
  <c r="F96" i="28"/>
  <c r="F86" i="38"/>
  <c r="C56" i="37"/>
  <c r="H83" i="37"/>
  <c r="H84" i="37" s="1"/>
  <c r="C58" i="35"/>
  <c r="F91" i="33"/>
  <c r="C61" i="32"/>
  <c r="H88" i="32"/>
  <c r="H89" i="32" s="1"/>
  <c r="F92" i="32"/>
  <c r="F103" i="32"/>
  <c r="H81" i="31"/>
  <c r="C63" i="30"/>
  <c r="F94" i="30"/>
  <c r="F105" i="30"/>
  <c r="H83" i="29"/>
  <c r="F96" i="29"/>
  <c r="C66" i="39"/>
  <c r="H93" i="39"/>
  <c r="H94" i="39" s="1"/>
  <c r="F97" i="39"/>
  <c r="F108" i="39"/>
  <c r="F75" i="11"/>
  <c r="F66" i="23"/>
  <c r="C36" i="25"/>
  <c r="H56" i="18"/>
  <c r="C50" i="12"/>
  <c r="H80" i="27"/>
  <c r="H81" i="27" s="1"/>
  <c r="D68" i="46"/>
  <c r="J54" i="46" s="1"/>
  <c r="J55" i="46" s="1"/>
  <c r="F61" i="2"/>
  <c r="F62" i="6"/>
  <c r="J69" i="6" s="1"/>
  <c r="J70" i="6" s="1"/>
  <c r="H52" i="11"/>
  <c r="F65" i="11"/>
  <c r="C34" i="26"/>
  <c r="D36" i="25"/>
  <c r="J22" i="25" s="1"/>
  <c r="J23" i="25" s="1"/>
  <c r="F53" i="24"/>
  <c r="C39" i="22"/>
  <c r="H66" i="22"/>
  <c r="H67" i="22" s="1"/>
  <c r="H68" i="21"/>
  <c r="H69" i="21" s="1"/>
  <c r="F74" i="42"/>
  <c r="F87" i="16"/>
  <c r="F78" i="14"/>
  <c r="F80" i="10"/>
  <c r="F81" i="9"/>
  <c r="F83" i="8"/>
  <c r="H73" i="28"/>
  <c r="F85" i="28"/>
  <c r="C55" i="38"/>
  <c r="F87" i="38"/>
  <c r="F71" i="37"/>
  <c r="H94" i="37"/>
  <c r="H95" i="37" s="1"/>
  <c r="F73" i="35"/>
  <c r="H85" i="35"/>
  <c r="H86" i="35" s="1"/>
  <c r="F92" i="33"/>
  <c r="H90" i="30"/>
  <c r="H91" i="30" s="1"/>
  <c r="H51" i="41"/>
  <c r="H52" i="41" s="1"/>
  <c r="H86" i="4"/>
  <c r="C68" i="46"/>
  <c r="F110" i="46"/>
  <c r="F76" i="32"/>
  <c r="C62" i="31"/>
  <c r="F93" i="31"/>
  <c r="J100" i="31" s="1"/>
  <c r="J101" i="31" s="1"/>
  <c r="F104" i="31"/>
  <c r="H82" i="30"/>
  <c r="F106" i="29"/>
  <c r="H84" i="41"/>
  <c r="F96" i="41"/>
  <c r="F107" i="41"/>
  <c r="C67" i="4"/>
  <c r="H95" i="46"/>
  <c r="H96" i="46" s="1"/>
  <c r="H107" i="46"/>
  <c r="J99" i="32"/>
  <c r="J100" i="32" s="1"/>
  <c r="J104" i="39"/>
  <c r="J105" i="39" s="1"/>
  <c r="H106" i="4"/>
  <c r="H23" i="3"/>
  <c r="H105" i="39"/>
  <c r="E53" i="46"/>
  <c r="E54" i="46" s="1"/>
  <c r="H60" i="46"/>
  <c r="H61" i="46" s="1"/>
  <c r="H113" i="46"/>
  <c r="H114" i="46" s="1"/>
  <c r="F83" i="46"/>
  <c r="F94" i="46"/>
  <c r="E52" i="4"/>
  <c r="E53" i="4" s="1"/>
  <c r="H67" i="4"/>
  <c r="H59" i="4"/>
  <c r="H60" i="4" s="1"/>
  <c r="D67" i="4"/>
  <c r="F82" i="4"/>
  <c r="F93" i="4"/>
  <c r="H112" i="4"/>
  <c r="H113" i="4" s="1"/>
  <c r="E51" i="39"/>
  <c r="H58" i="39"/>
  <c r="H59" i="39" s="1"/>
  <c r="D66" i="39"/>
  <c r="F81" i="39"/>
  <c r="F92" i="39"/>
  <c r="H111" i="39"/>
  <c r="H112" i="39" s="1"/>
  <c r="E50" i="41"/>
  <c r="E51" i="41" s="1"/>
  <c r="E52" i="41" s="1"/>
  <c r="H57" i="41"/>
  <c r="H58" i="41" s="1"/>
  <c r="D65" i="41"/>
  <c r="F91" i="41"/>
  <c r="H110" i="41"/>
  <c r="H111" i="41" s="1"/>
  <c r="H103" i="29"/>
  <c r="E49" i="29"/>
  <c r="E50" i="29" s="1"/>
  <c r="F50" i="29" s="1"/>
  <c r="D64" i="29"/>
  <c r="H109" i="29"/>
  <c r="H110" i="29" s="1"/>
  <c r="E48" i="30"/>
  <c r="H55" i="30"/>
  <c r="H56" i="30" s="1"/>
  <c r="D63" i="30"/>
  <c r="F78" i="30"/>
  <c r="F89" i="30"/>
  <c r="H108" i="30"/>
  <c r="H109" i="30" s="1"/>
  <c r="E47" i="31"/>
  <c r="D62" i="31"/>
  <c r="F77" i="31"/>
  <c r="F88" i="31"/>
  <c r="H107" i="31"/>
  <c r="H108" i="31" s="1"/>
  <c r="E46" i="32"/>
  <c r="E47" i="32" s="1"/>
  <c r="D61" i="32"/>
  <c r="F87" i="32"/>
  <c r="H106" i="32"/>
  <c r="H107" i="32" s="1"/>
  <c r="D34" i="26"/>
  <c r="J20" i="26" s="1"/>
  <c r="J21" i="26" s="1"/>
  <c r="H22" i="25"/>
  <c r="H23" i="25" s="1"/>
  <c r="H81" i="42"/>
  <c r="F44" i="2"/>
  <c r="F60" i="2"/>
  <c r="C31" i="6"/>
  <c r="F73" i="6"/>
  <c r="H69" i="6"/>
  <c r="H70" i="6" s="1"/>
  <c r="H18" i="7"/>
  <c r="H19" i="7" s="1"/>
  <c r="H51" i="7"/>
  <c r="C33" i="11"/>
  <c r="H60" i="11"/>
  <c r="H61" i="11" s="1"/>
  <c r="H62" i="23"/>
  <c r="H63" i="23" s="1"/>
  <c r="H74" i="23"/>
  <c r="F67" i="25"/>
  <c r="J74" i="25" s="1"/>
  <c r="J75" i="25" s="1"/>
  <c r="F69" i="24"/>
  <c r="C40" i="19"/>
  <c r="F71" i="19"/>
  <c r="J78" i="19" s="1"/>
  <c r="J79" i="19" s="1"/>
  <c r="F82" i="19"/>
  <c r="F83" i="21"/>
  <c r="H28" i="42"/>
  <c r="H29" i="42" s="1"/>
  <c r="H61" i="42"/>
  <c r="C44" i="17"/>
  <c r="F75" i="17"/>
  <c r="F86" i="17"/>
  <c r="H72" i="16"/>
  <c r="F65" i="12"/>
  <c r="H77" i="12"/>
  <c r="H78" i="12" s="1"/>
  <c r="D50" i="9"/>
  <c r="J36" i="9" s="1"/>
  <c r="J37" i="9" s="1"/>
  <c r="H36" i="9"/>
  <c r="H37" i="9" s="1"/>
  <c r="H69" i="9"/>
  <c r="C51" i="8"/>
  <c r="C52" i="5"/>
  <c r="H80" i="5"/>
  <c r="H39" i="27"/>
  <c r="H40" i="27" s="1"/>
  <c r="H72" i="27"/>
  <c r="C54" i="28"/>
  <c r="H81" i="28"/>
  <c r="H82" i="28" s="1"/>
  <c r="C57" i="36"/>
  <c r="F88" i="36"/>
  <c r="F99" i="36"/>
  <c r="C59" i="34"/>
  <c r="F101" i="34"/>
  <c r="F75" i="33"/>
  <c r="H78" i="22"/>
  <c r="H29" i="13"/>
  <c r="H30" i="13" s="1"/>
  <c r="H48" i="2"/>
  <c r="F71" i="2"/>
  <c r="H16" i="3"/>
  <c r="H17" i="3" s="1"/>
  <c r="H58" i="6"/>
  <c r="H59" i="6" s="1"/>
  <c r="F76" i="26"/>
  <c r="H21" i="23"/>
  <c r="H22" i="23" s="1"/>
  <c r="H54" i="23"/>
  <c r="F78" i="25"/>
  <c r="C37" i="18"/>
  <c r="F79" i="18"/>
  <c r="H24" i="24"/>
  <c r="H25" i="24" s="1"/>
  <c r="H65" i="24"/>
  <c r="H66" i="24" s="1"/>
  <c r="F80" i="24"/>
  <c r="H25" i="22"/>
  <c r="H26" i="22" s="1"/>
  <c r="H67" i="19"/>
  <c r="H68" i="19" s="1"/>
  <c r="H79" i="19"/>
  <c r="H27" i="21"/>
  <c r="H28" i="21" s="1"/>
  <c r="H60" i="21"/>
  <c r="H71" i="17"/>
  <c r="H72" i="17" s="1"/>
  <c r="D45" i="16"/>
  <c r="J31" i="16" s="1"/>
  <c r="J32" i="16" s="1"/>
  <c r="H31" i="16"/>
  <c r="H32" i="16" s="1"/>
  <c r="H64" i="16"/>
  <c r="F88" i="15"/>
  <c r="H33" i="14"/>
  <c r="H34" i="14" s="1"/>
  <c r="H66" i="14"/>
  <c r="C48" i="10"/>
  <c r="F90" i="10"/>
  <c r="H35" i="12"/>
  <c r="H36" i="12" s="1"/>
  <c r="H69" i="12"/>
  <c r="F93" i="8"/>
  <c r="F97" i="38"/>
  <c r="H42" i="37"/>
  <c r="H84" i="36"/>
  <c r="H85" i="36" s="1"/>
  <c r="D58" i="35"/>
  <c r="J44" i="35" s="1"/>
  <c r="J45" i="35" s="1"/>
  <c r="H44" i="35"/>
  <c r="H45" i="35" s="1"/>
  <c r="H86" i="34"/>
  <c r="H87" i="34" s="1"/>
  <c r="H79" i="33"/>
  <c r="F102" i="33"/>
  <c r="C29" i="2"/>
  <c r="H56" i="2"/>
  <c r="H57" i="2" s="1"/>
  <c r="H49" i="3"/>
  <c r="F61" i="3"/>
  <c r="F72" i="3"/>
  <c r="H17" i="6"/>
  <c r="H18" i="6" s="1"/>
  <c r="H50" i="6"/>
  <c r="C32" i="7"/>
  <c r="F63" i="7"/>
  <c r="F74" i="7"/>
  <c r="F48" i="11"/>
  <c r="H62" i="26"/>
  <c r="C35" i="23"/>
  <c r="F51" i="25"/>
  <c r="H63" i="25"/>
  <c r="H64" i="25" s="1"/>
  <c r="D37" i="18"/>
  <c r="J23" i="18" s="1"/>
  <c r="J24" i="18" s="1"/>
  <c r="F52" i="18"/>
  <c r="H64" i="18"/>
  <c r="H65" i="18" s="1"/>
  <c r="H57" i="24"/>
  <c r="H58" i="22"/>
  <c r="F70" i="22"/>
  <c r="F81" i="22"/>
  <c r="D40" i="19"/>
  <c r="J26" i="19" s="1"/>
  <c r="J27" i="19" s="1"/>
  <c r="H26" i="19"/>
  <c r="H27" i="19" s="1"/>
  <c r="H59" i="19"/>
  <c r="C42" i="42"/>
  <c r="F73" i="42"/>
  <c r="F84" i="42"/>
  <c r="F58" i="13"/>
  <c r="H70" i="13"/>
  <c r="H71" i="13" s="1"/>
  <c r="F85" i="13"/>
  <c r="H81" i="13"/>
  <c r="H30" i="17"/>
  <c r="H31" i="17" s="1"/>
  <c r="D44" i="17"/>
  <c r="J30" i="17" s="1"/>
  <c r="J31" i="17" s="1"/>
  <c r="H63" i="17"/>
  <c r="H73" i="15"/>
  <c r="H75" i="10"/>
  <c r="H76" i="10" s="1"/>
  <c r="C50" i="9"/>
  <c r="F92" i="9"/>
  <c r="H88" i="9"/>
  <c r="H89" i="9" s="1"/>
  <c r="F66" i="8"/>
  <c r="H78" i="8"/>
  <c r="H79" i="8" s="1"/>
  <c r="H90" i="8"/>
  <c r="D52" i="5"/>
  <c r="J38" i="5" s="1"/>
  <c r="J39" i="5" s="1"/>
  <c r="H38" i="5"/>
  <c r="H39" i="5" s="1"/>
  <c r="F67" i="5"/>
  <c r="F83" i="5"/>
  <c r="C53" i="27"/>
  <c r="F84" i="27"/>
  <c r="F95" i="27"/>
  <c r="F69" i="28"/>
  <c r="F70" i="38"/>
  <c r="H82" i="38"/>
  <c r="H83" i="38" s="1"/>
  <c r="H43" i="37"/>
  <c r="H75" i="37"/>
  <c r="F87" i="37"/>
  <c r="J94" i="37" s="1"/>
  <c r="J95" i="37" s="1"/>
  <c r="F98" i="37"/>
  <c r="H76" i="36"/>
  <c r="H77" i="35"/>
  <c r="F100" i="35"/>
  <c r="H96" i="35"/>
  <c r="H45" i="34"/>
  <c r="H46" i="34" s="1"/>
  <c r="H78" i="34"/>
  <c r="C60" i="33"/>
  <c r="H87" i="33"/>
  <c r="H88" i="33" s="1"/>
  <c r="H88" i="12"/>
  <c r="H79" i="21"/>
  <c r="H97" i="34"/>
  <c r="H72" i="26"/>
  <c r="F89" i="36"/>
  <c r="E45" i="33"/>
  <c r="E46" i="33" s="1"/>
  <c r="E47" i="33" s="1"/>
  <c r="H52" i="33"/>
  <c r="H53" i="33" s="1"/>
  <c r="D60" i="33"/>
  <c r="F86" i="33"/>
  <c r="H105" i="33"/>
  <c r="H106" i="33" s="1"/>
  <c r="E44" i="34"/>
  <c r="E45" i="34" s="1"/>
  <c r="H51" i="34"/>
  <c r="H52" i="34" s="1"/>
  <c r="D59" i="34"/>
  <c r="F74" i="34"/>
  <c r="F85" i="34"/>
  <c r="H104" i="34"/>
  <c r="H105" i="34" s="1"/>
  <c r="F84" i="35"/>
  <c r="H103" i="35"/>
  <c r="H104" i="35" s="1"/>
  <c r="E43" i="35"/>
  <c r="H43" i="36"/>
  <c r="H44" i="36" s="1"/>
  <c r="E42" i="36"/>
  <c r="D57" i="36"/>
  <c r="H102" i="36"/>
  <c r="H103" i="36" s="1"/>
  <c r="H49" i="36"/>
  <c r="H50" i="36" s="1"/>
  <c r="F72" i="36"/>
  <c r="F83" i="36"/>
  <c r="E41" i="37"/>
  <c r="E42" i="37" s="1"/>
  <c r="H48" i="37"/>
  <c r="H49" i="37" s="1"/>
  <c r="D56" i="37"/>
  <c r="F82" i="37"/>
  <c r="H101" i="37"/>
  <c r="H102" i="37" s="1"/>
  <c r="E40" i="38"/>
  <c r="E41" i="38" s="1"/>
  <c r="H47" i="38"/>
  <c r="H48" i="38" s="1"/>
  <c r="D55" i="38"/>
  <c r="F81" i="38"/>
  <c r="H100" i="38"/>
  <c r="H101" i="38" s="1"/>
  <c r="E39" i="28"/>
  <c r="E40" i="28" s="1"/>
  <c r="H46" i="28"/>
  <c r="H47" i="28" s="1"/>
  <c r="D54" i="28"/>
  <c r="F80" i="28"/>
  <c r="H99" i="28"/>
  <c r="H100" i="28" s="1"/>
  <c r="H45" i="27"/>
  <c r="H46" i="27" s="1"/>
  <c r="D53" i="27"/>
  <c r="F79" i="27"/>
  <c r="H98" i="27"/>
  <c r="H99" i="27" s="1"/>
  <c r="F68" i="27"/>
  <c r="E38" i="27"/>
  <c r="E39" i="27" s="1"/>
  <c r="H44" i="5"/>
  <c r="H45" i="5" s="1"/>
  <c r="F78" i="5"/>
  <c r="H97" i="5"/>
  <c r="H98" i="5" s="1"/>
  <c r="E37" i="5"/>
  <c r="E36" i="8"/>
  <c r="E37" i="8" s="1"/>
  <c r="D51" i="8"/>
  <c r="F77" i="8"/>
  <c r="H43" i="8"/>
  <c r="H44" i="8" s="1"/>
  <c r="H96" i="8"/>
  <c r="H97" i="8" s="1"/>
  <c r="F76" i="9"/>
  <c r="H42" i="9"/>
  <c r="H43" i="9" s="1"/>
  <c r="H95" i="9"/>
  <c r="H96" i="9" s="1"/>
  <c r="E35" i="9"/>
  <c r="E36" i="9" s="1"/>
  <c r="H41" i="12"/>
  <c r="H42" i="12" s="1"/>
  <c r="D50" i="12"/>
  <c r="F76" i="12"/>
  <c r="H95" i="12"/>
  <c r="H96" i="12" s="1"/>
  <c r="H35" i="10"/>
  <c r="E33" i="10"/>
  <c r="E34" i="10" s="1"/>
  <c r="D48" i="10"/>
  <c r="F63" i="10"/>
  <c r="F74" i="10"/>
  <c r="H93" i="10"/>
  <c r="H94" i="10" s="1"/>
  <c r="E32" i="14"/>
  <c r="E33" i="14" s="1"/>
  <c r="F33" i="14" s="1"/>
  <c r="D47" i="14"/>
  <c r="F62" i="14"/>
  <c r="H92" i="14"/>
  <c r="H93" i="14" s="1"/>
  <c r="H39" i="14"/>
  <c r="H40" i="14" s="1"/>
  <c r="F73" i="14"/>
  <c r="E31" i="15"/>
  <c r="E32" i="15" s="1"/>
  <c r="D46" i="15"/>
  <c r="H91" i="15"/>
  <c r="H92" i="15" s="1"/>
  <c r="F61" i="15"/>
  <c r="F72" i="15"/>
  <c r="H37" i="16"/>
  <c r="H38" i="16" s="1"/>
  <c r="F60" i="16"/>
  <c r="F71" i="16"/>
  <c r="H90" i="16"/>
  <c r="H91" i="16" s="1"/>
  <c r="E30" i="16"/>
  <c r="E31" i="16" s="1"/>
  <c r="E29" i="17"/>
  <c r="H36" i="17"/>
  <c r="H37" i="17" s="1"/>
  <c r="F59" i="17"/>
  <c r="F70" i="17"/>
  <c r="H89" i="17"/>
  <c r="H90" i="17" s="1"/>
  <c r="H35" i="13"/>
  <c r="H36" i="13" s="1"/>
  <c r="D43" i="13"/>
  <c r="F69" i="13"/>
  <c r="H88" i="13"/>
  <c r="H89" i="13" s="1"/>
  <c r="E28" i="13"/>
  <c r="E29" i="13" s="1"/>
  <c r="E27" i="42"/>
  <c r="E28" i="42" s="1"/>
  <c r="H34" i="42"/>
  <c r="H35" i="42" s="1"/>
  <c r="D42" i="42"/>
  <c r="F57" i="42"/>
  <c r="F68" i="42"/>
  <c r="H87" i="42"/>
  <c r="H88" i="42" s="1"/>
  <c r="D41" i="21"/>
  <c r="F56" i="21"/>
  <c r="F67" i="21"/>
  <c r="H86" i="21"/>
  <c r="H87" i="21" s="1"/>
  <c r="E26" i="21"/>
  <c r="E25" i="19"/>
  <c r="E26" i="19" s="1"/>
  <c r="F55" i="19"/>
  <c r="F66" i="19"/>
  <c r="H32" i="19"/>
  <c r="H33" i="19" s="1"/>
  <c r="H85" i="19"/>
  <c r="H86" i="19" s="1"/>
  <c r="E24" i="22"/>
  <c r="E25" i="22" s="1"/>
  <c r="F25" i="22" s="1"/>
  <c r="H31" i="22"/>
  <c r="H32" i="22" s="1"/>
  <c r="D39" i="22"/>
  <c r="F65" i="22"/>
  <c r="H84" i="22"/>
  <c r="H85" i="22" s="1"/>
  <c r="H38" i="24"/>
  <c r="E23" i="24"/>
  <c r="E24" i="24" s="1"/>
  <c r="D38" i="24"/>
  <c r="F64" i="24"/>
  <c r="H83" i="24"/>
  <c r="H84" i="24" s="1"/>
  <c r="E22" i="18"/>
  <c r="H29" i="18"/>
  <c r="H30" i="18" s="1"/>
  <c r="F63" i="18"/>
  <c r="H82" i="18"/>
  <c r="H83" i="18" s="1"/>
  <c r="E21" i="25"/>
  <c r="E22" i="25" s="1"/>
  <c r="H28" i="25"/>
  <c r="H29" i="25" s="1"/>
  <c r="F62" i="25"/>
  <c r="H81" i="25"/>
  <c r="H82" i="25" s="1"/>
  <c r="E20" i="23"/>
  <c r="E21" i="23" s="1"/>
  <c r="D35" i="23"/>
  <c r="F50" i="23"/>
  <c r="F61" i="23"/>
  <c r="H27" i="23"/>
  <c r="H28" i="23" s="1"/>
  <c r="H80" i="23"/>
  <c r="H81" i="23" s="1"/>
  <c r="E19" i="26"/>
  <c r="E20" i="26" s="1"/>
  <c r="H26" i="26"/>
  <c r="H27" i="26" s="1"/>
  <c r="H79" i="26"/>
  <c r="H80" i="26" s="1"/>
  <c r="F49" i="26"/>
  <c r="F60" i="26"/>
  <c r="E18" i="11"/>
  <c r="D33" i="11"/>
  <c r="F59" i="11"/>
  <c r="H78" i="11"/>
  <c r="H79" i="11" s="1"/>
  <c r="E17" i="7"/>
  <c r="E18" i="7" s="1"/>
  <c r="D32" i="7"/>
  <c r="F58" i="7"/>
  <c r="H77" i="7"/>
  <c r="H78" i="7" s="1"/>
  <c r="E16" i="6"/>
  <c r="E17" i="6" s="1"/>
  <c r="H23" i="6"/>
  <c r="H24" i="6" s="1"/>
  <c r="D31" i="6"/>
  <c r="F57" i="6"/>
  <c r="H76" i="6"/>
  <c r="H77" i="6" s="1"/>
  <c r="E15" i="3"/>
  <c r="D30" i="3"/>
  <c r="F56" i="3"/>
  <c r="H75" i="3"/>
  <c r="H76" i="3" s="1"/>
  <c r="E14" i="2"/>
  <c r="H16" i="2"/>
  <c r="H21" i="2"/>
  <c r="H22" i="2" s="1"/>
  <c r="D29" i="2"/>
  <c r="F55" i="2"/>
  <c r="H74" i="2"/>
  <c r="H75" i="2" s="1"/>
  <c r="J101" i="30" l="1"/>
  <c r="J102" i="30" s="1"/>
  <c r="J103" i="41"/>
  <c r="J104" i="41" s="1"/>
  <c r="J85" i="14"/>
  <c r="J86" i="14" s="1"/>
  <c r="J68" i="3"/>
  <c r="J69" i="3" s="1"/>
  <c r="J86" i="10"/>
  <c r="J87" i="10" s="1"/>
  <c r="J102" i="29"/>
  <c r="J103" i="29" s="1"/>
  <c r="J83" i="16"/>
  <c r="J84" i="16" s="1"/>
  <c r="J93" i="38"/>
  <c r="J94" i="38" s="1"/>
  <c r="J92" i="28"/>
  <c r="J93" i="28" s="1"/>
  <c r="J106" i="46"/>
  <c r="J107" i="46" s="1"/>
  <c r="J91" i="27"/>
  <c r="J92" i="27" s="1"/>
  <c r="J82" i="17"/>
  <c r="J83" i="17" s="1"/>
  <c r="J75" i="18"/>
  <c r="J76" i="18" s="1"/>
  <c r="F34" i="12"/>
  <c r="J89" i="8"/>
  <c r="J90" i="8" s="1"/>
  <c r="J88" i="9"/>
  <c r="J89" i="9" s="1"/>
  <c r="J73" i="23"/>
  <c r="J74" i="23" s="1"/>
  <c r="J77" i="22"/>
  <c r="J78" i="22" s="1"/>
  <c r="J80" i="42"/>
  <c r="J81" i="42" s="1"/>
  <c r="J98" i="33"/>
  <c r="J99" i="33" s="1"/>
  <c r="J67" i="2"/>
  <c r="F23" i="24"/>
  <c r="E27" i="21"/>
  <c r="E28" i="21" s="1"/>
  <c r="H98" i="34"/>
  <c r="E51" i="29"/>
  <c r="F51" i="29" s="1"/>
  <c r="F51" i="41"/>
  <c r="F52" i="4"/>
  <c r="F54" i="46"/>
  <c r="E55" i="46"/>
  <c r="F53" i="46"/>
  <c r="E54" i="4"/>
  <c r="E55" i="4" s="1"/>
  <c r="F55" i="4" s="1"/>
  <c r="J53" i="4"/>
  <c r="J54" i="4" s="1"/>
  <c r="F53" i="4"/>
  <c r="E52" i="39"/>
  <c r="F51" i="39"/>
  <c r="J52" i="39"/>
  <c r="J53" i="39" s="1"/>
  <c r="F52" i="41"/>
  <c r="E53" i="41"/>
  <c r="F53" i="41" s="1"/>
  <c r="J51" i="41"/>
  <c r="J52" i="41" s="1"/>
  <c r="F50" i="41"/>
  <c r="J50" i="29"/>
  <c r="J51" i="29" s="1"/>
  <c r="F49" i="29"/>
  <c r="F48" i="30"/>
  <c r="J49" i="30"/>
  <c r="J50" i="30" s="1"/>
  <c r="E49" i="30"/>
  <c r="E50" i="30" s="1"/>
  <c r="F47" i="31"/>
  <c r="E48" i="31"/>
  <c r="J48" i="31"/>
  <c r="J49" i="31" s="1"/>
  <c r="J47" i="32"/>
  <c r="J48" i="32" s="1"/>
  <c r="F46" i="32"/>
  <c r="E48" i="32"/>
  <c r="E49" i="32" s="1"/>
  <c r="F49" i="32" s="1"/>
  <c r="F47" i="32"/>
  <c r="E40" i="27"/>
  <c r="F40" i="27" s="1"/>
  <c r="E48" i="33"/>
  <c r="F48" i="33" s="1"/>
  <c r="H76" i="18"/>
  <c r="F65" i="26"/>
  <c r="J72" i="26" s="1"/>
  <c r="J73" i="26" s="1"/>
  <c r="H85" i="15"/>
  <c r="H76" i="24"/>
  <c r="F70" i="24"/>
  <c r="J76" i="24" s="1"/>
  <c r="J77" i="24" s="1"/>
  <c r="F84" i="5"/>
  <c r="J90" i="5" s="1"/>
  <c r="H90" i="5"/>
  <c r="H74" i="15"/>
  <c r="J95" i="36"/>
  <c r="J96" i="36" s="1"/>
  <c r="F81" i="12"/>
  <c r="J88" i="12" s="1"/>
  <c r="J89" i="12" s="1"/>
  <c r="J82" i="13"/>
  <c r="F90" i="34"/>
  <c r="J97" i="34" s="1"/>
  <c r="J98" i="34" s="1"/>
  <c r="F72" i="21"/>
  <c r="J79" i="21" s="1"/>
  <c r="J80" i="21" s="1"/>
  <c r="H97" i="35"/>
  <c r="H73" i="16"/>
  <c r="H95" i="36"/>
  <c r="J46" i="33"/>
  <c r="J47" i="33" s="1"/>
  <c r="F47" i="33"/>
  <c r="F45" i="33"/>
  <c r="F46" i="33"/>
  <c r="F44" i="34"/>
  <c r="J45" i="34"/>
  <c r="J46" i="34" s="1"/>
  <c r="E46" i="34"/>
  <c r="F45" i="34"/>
  <c r="F43" i="35"/>
  <c r="E44" i="35"/>
  <c r="J43" i="36"/>
  <c r="J44" i="36" s="1"/>
  <c r="F42" i="36"/>
  <c r="E43" i="36"/>
  <c r="F41" i="37"/>
  <c r="F42" i="37"/>
  <c r="J42" i="37"/>
  <c r="J43" i="37" s="1"/>
  <c r="E43" i="37"/>
  <c r="J41" i="38"/>
  <c r="J42" i="38" s="1"/>
  <c r="F40" i="38"/>
  <c r="F41" i="38"/>
  <c r="E42" i="38"/>
  <c r="F40" i="28"/>
  <c r="J40" i="28"/>
  <c r="J41" i="28" s="1"/>
  <c r="F39" i="28"/>
  <c r="E41" i="28"/>
  <c r="F38" i="27"/>
  <c r="F39" i="27"/>
  <c r="J39" i="27"/>
  <c r="J40" i="27" s="1"/>
  <c r="F37" i="5"/>
  <c r="E38" i="5"/>
  <c r="F36" i="8"/>
  <c r="F37" i="8"/>
  <c r="J37" i="8"/>
  <c r="J38" i="8" s="1"/>
  <c r="E38" i="8"/>
  <c r="F36" i="9"/>
  <c r="E37" i="9"/>
  <c r="E38" i="9" s="1"/>
  <c r="F38" i="9" s="1"/>
  <c r="F35" i="9"/>
  <c r="J35" i="12"/>
  <c r="J36" i="12" s="1"/>
  <c r="F33" i="10"/>
  <c r="E35" i="10"/>
  <c r="J34" i="10"/>
  <c r="J35" i="10" s="1"/>
  <c r="F34" i="10"/>
  <c r="F32" i="14"/>
  <c r="E34" i="14"/>
  <c r="J33" i="14"/>
  <c r="J34" i="14" s="1"/>
  <c r="F31" i="15"/>
  <c r="E33" i="15"/>
  <c r="J32" i="15"/>
  <c r="J33" i="15" s="1"/>
  <c r="F32" i="15"/>
  <c r="E32" i="16"/>
  <c r="F31" i="16"/>
  <c r="F30" i="16"/>
  <c r="E30" i="17"/>
  <c r="F29" i="17"/>
  <c r="F29" i="13"/>
  <c r="J29" i="13"/>
  <c r="J30" i="13" s="1"/>
  <c r="F28" i="13"/>
  <c r="E30" i="13"/>
  <c r="E31" i="13" s="1"/>
  <c r="F31" i="13" s="1"/>
  <c r="J28" i="42"/>
  <c r="J29" i="42" s="1"/>
  <c r="F27" i="42"/>
  <c r="F28" i="42"/>
  <c r="E29" i="42"/>
  <c r="J27" i="21"/>
  <c r="J28" i="21" s="1"/>
  <c r="F26" i="21"/>
  <c r="F25" i="19"/>
  <c r="F26" i="19"/>
  <c r="E27" i="19"/>
  <c r="F24" i="22"/>
  <c r="J25" i="22"/>
  <c r="J26" i="22" s="1"/>
  <c r="E26" i="22"/>
  <c r="J24" i="24"/>
  <c r="J25" i="24" s="1"/>
  <c r="F24" i="24"/>
  <c r="E25" i="24"/>
  <c r="F22" i="18"/>
  <c r="E23" i="18"/>
  <c r="E24" i="18" s="1"/>
  <c r="F21" i="25"/>
  <c r="F22" i="25"/>
  <c r="E23" i="25"/>
  <c r="E24" i="25" s="1"/>
  <c r="F24" i="25" s="1"/>
  <c r="E22" i="23"/>
  <c r="J21" i="23"/>
  <c r="J22" i="23" s="1"/>
  <c r="F20" i="23"/>
  <c r="F21" i="23"/>
  <c r="F19" i="26"/>
  <c r="F20" i="26"/>
  <c r="E21" i="26"/>
  <c r="F18" i="11"/>
  <c r="E19" i="11"/>
  <c r="J19" i="11"/>
  <c r="J20" i="11" s="1"/>
  <c r="F17" i="7"/>
  <c r="J18" i="7"/>
  <c r="J19" i="7" s="1"/>
  <c r="E19" i="7"/>
  <c r="F18" i="7"/>
  <c r="E18" i="6"/>
  <c r="F17" i="6"/>
  <c r="J17" i="6"/>
  <c r="J18" i="6" s="1"/>
  <c r="F16" i="6"/>
  <c r="F15" i="3"/>
  <c r="E16" i="3"/>
  <c r="E17" i="3" s="1"/>
  <c r="J16" i="3"/>
  <c r="J17" i="3" s="1"/>
  <c r="F14" i="2"/>
  <c r="E15" i="2"/>
  <c r="J15" i="2"/>
  <c r="J16" i="2" s="1"/>
  <c r="F52" i="1"/>
  <c r="F56" i="1"/>
  <c r="F57" i="1"/>
  <c r="E35" i="12" l="1"/>
  <c r="F27" i="21"/>
  <c r="J68" i="2"/>
  <c r="E41" i="27"/>
  <c r="F41" i="27" s="1"/>
  <c r="E49" i="33"/>
  <c r="F49" i="33" s="1"/>
  <c r="E52" i="29"/>
  <c r="F52" i="29" s="1"/>
  <c r="F28" i="21"/>
  <c r="E29" i="21"/>
  <c r="F29" i="21" s="1"/>
  <c r="J91" i="5"/>
  <c r="E51" i="30"/>
  <c r="F51" i="30" s="1"/>
  <c r="E54" i="41"/>
  <c r="F54" i="41" s="1"/>
  <c r="E56" i="4"/>
  <c r="F56" i="4" s="1"/>
  <c r="E56" i="46"/>
  <c r="E57" i="46" s="1"/>
  <c r="F57" i="46" s="1"/>
  <c r="F55" i="46"/>
  <c r="F54" i="4"/>
  <c r="F52" i="39"/>
  <c r="E53" i="39"/>
  <c r="F50" i="30"/>
  <c r="F49" i="30"/>
  <c r="F48" i="31"/>
  <c r="E49" i="31"/>
  <c r="F48" i="32"/>
  <c r="E50" i="32"/>
  <c r="F50" i="32" s="1"/>
  <c r="H73" i="26"/>
  <c r="H82" i="13"/>
  <c r="H68" i="2"/>
  <c r="H80" i="21"/>
  <c r="H91" i="5"/>
  <c r="F64" i="7"/>
  <c r="J70" i="7" s="1"/>
  <c r="J71" i="7" s="1"/>
  <c r="H70" i="7"/>
  <c r="H96" i="36"/>
  <c r="H77" i="24"/>
  <c r="H89" i="12"/>
  <c r="H71" i="11"/>
  <c r="F64" i="11"/>
  <c r="J71" i="11" s="1"/>
  <c r="J72" i="11" s="1"/>
  <c r="E47" i="34"/>
  <c r="F46" i="34"/>
  <c r="F44" i="35"/>
  <c r="E45" i="35"/>
  <c r="F43" i="36"/>
  <c r="E44" i="36"/>
  <c r="E45" i="36" s="1"/>
  <c r="F45" i="36" s="1"/>
  <c r="E44" i="37"/>
  <c r="F44" i="37" s="1"/>
  <c r="F43" i="37"/>
  <c r="E43" i="38"/>
  <c r="F43" i="38" s="1"/>
  <c r="F42" i="38"/>
  <c r="F41" i="28"/>
  <c r="E42" i="28"/>
  <c r="F42" i="28" s="1"/>
  <c r="F38" i="5"/>
  <c r="E39" i="5"/>
  <c r="F38" i="8"/>
  <c r="E39" i="8"/>
  <c r="F39" i="8" s="1"/>
  <c r="F37" i="9"/>
  <c r="E39" i="9"/>
  <c r="F39" i="9" s="1"/>
  <c r="F35" i="10"/>
  <c r="E36" i="10"/>
  <c r="E37" i="10" s="1"/>
  <c r="F37" i="10" s="1"/>
  <c r="F34" i="14"/>
  <c r="E35" i="14"/>
  <c r="E36" i="14" s="1"/>
  <c r="F36" i="14" s="1"/>
  <c r="E34" i="15"/>
  <c r="F34" i="15" s="1"/>
  <c r="F33" i="15"/>
  <c r="F32" i="16"/>
  <c r="E33" i="16"/>
  <c r="F30" i="17"/>
  <c r="E31" i="17"/>
  <c r="F30" i="13"/>
  <c r="E32" i="13"/>
  <c r="F29" i="42"/>
  <c r="E30" i="42"/>
  <c r="F30" i="42" s="1"/>
  <c r="F27" i="19"/>
  <c r="E28" i="19"/>
  <c r="E29" i="19" s="1"/>
  <c r="F29" i="19" s="1"/>
  <c r="F26" i="22"/>
  <c r="E27" i="22"/>
  <c r="E28" i="22" s="1"/>
  <c r="F25" i="24"/>
  <c r="E26" i="24"/>
  <c r="F24" i="18"/>
  <c r="E25" i="18"/>
  <c r="F23" i="18"/>
  <c r="F23" i="25"/>
  <c r="E25" i="25"/>
  <c r="E23" i="23"/>
  <c r="F22" i="23"/>
  <c r="F21" i="26"/>
  <c r="E22" i="26"/>
  <c r="E20" i="11"/>
  <c r="F19" i="11"/>
  <c r="F19" i="7"/>
  <c r="E20" i="7"/>
  <c r="F20" i="7" s="1"/>
  <c r="F18" i="6"/>
  <c r="E19" i="6"/>
  <c r="F19" i="6" s="1"/>
  <c r="F17" i="3"/>
  <c r="F16" i="3"/>
  <c r="E18" i="3"/>
  <c r="F15" i="2"/>
  <c r="E16" i="2"/>
  <c r="F35" i="12" l="1"/>
  <c r="E36" i="12"/>
  <c r="F36" i="12" s="1"/>
  <c r="H71" i="7"/>
  <c r="E51" i="33"/>
  <c r="F51" i="33" s="1"/>
  <c r="E58" i="4"/>
  <c r="F58" i="4" s="1"/>
  <c r="E42" i="27"/>
  <c r="E44" i="27" s="1"/>
  <c r="E52" i="30"/>
  <c r="F52" i="30" s="1"/>
  <c r="E53" i="29"/>
  <c r="F53" i="29" s="1"/>
  <c r="H47" i="1"/>
  <c r="H48" i="1" s="1"/>
  <c r="E46" i="36"/>
  <c r="E48" i="36" s="1"/>
  <c r="E31" i="42"/>
  <c r="F31" i="42" s="1"/>
  <c r="E56" i="41"/>
  <c r="E30" i="21"/>
  <c r="E38" i="14"/>
  <c r="F38" i="14" s="1"/>
  <c r="E20" i="6"/>
  <c r="F20" i="6" s="1"/>
  <c r="E35" i="15"/>
  <c r="F35" i="15" s="1"/>
  <c r="H72" i="11"/>
  <c r="F56" i="46"/>
  <c r="E59" i="46"/>
  <c r="F59" i="46" s="1"/>
  <c r="E54" i="39"/>
  <c r="F53" i="39"/>
  <c r="F49" i="31"/>
  <c r="E50" i="31"/>
  <c r="E52" i="32"/>
  <c r="E41" i="9"/>
  <c r="F41" i="9" s="1"/>
  <c r="E40" i="8"/>
  <c r="F40" i="8" s="1"/>
  <c r="E21" i="7"/>
  <c r="F21" i="7" s="1"/>
  <c r="E43" i="28"/>
  <c r="F43" i="28" s="1"/>
  <c r="F47" i="34"/>
  <c r="E48" i="34"/>
  <c r="F45" i="35"/>
  <c r="E46" i="35"/>
  <c r="F44" i="36"/>
  <c r="E45" i="37"/>
  <c r="E44" i="38"/>
  <c r="E40" i="5"/>
  <c r="F39" i="5"/>
  <c r="F36" i="10"/>
  <c r="E39" i="10"/>
  <c r="F35" i="14"/>
  <c r="F33" i="16"/>
  <c r="E34" i="16"/>
  <c r="F31" i="17"/>
  <c r="E32" i="17"/>
  <c r="F32" i="17" s="1"/>
  <c r="E34" i="13"/>
  <c r="F34" i="13" s="1"/>
  <c r="F32" i="13"/>
  <c r="F28" i="19"/>
  <c r="E31" i="19"/>
  <c r="F31" i="19" s="1"/>
  <c r="F28" i="22"/>
  <c r="F27" i="22"/>
  <c r="E30" i="22"/>
  <c r="F30" i="22" s="1"/>
  <c r="F26" i="24"/>
  <c r="E27" i="24"/>
  <c r="E29" i="24" s="1"/>
  <c r="F29" i="24" s="1"/>
  <c r="F25" i="18"/>
  <c r="E26" i="18"/>
  <c r="F25" i="25"/>
  <c r="E27" i="25"/>
  <c r="E24" i="23"/>
  <c r="F23" i="23"/>
  <c r="F22" i="26"/>
  <c r="E23" i="26"/>
  <c r="E21" i="11"/>
  <c r="F20" i="11"/>
  <c r="F18" i="3"/>
  <c r="E19" i="3"/>
  <c r="F19" i="3" s="1"/>
  <c r="F16" i="2"/>
  <c r="E17" i="2"/>
  <c r="E18" i="2" s="1"/>
  <c r="F18" i="2" s="1"/>
  <c r="H55" i="1"/>
  <c r="E52" i="33" l="1"/>
  <c r="F52" i="33" s="1"/>
  <c r="E37" i="12"/>
  <c r="F42" i="27"/>
  <c r="E23" i="7"/>
  <c r="E24" i="7" s="1"/>
  <c r="E25" i="7" s="1"/>
  <c r="F25" i="7" s="1"/>
  <c r="E54" i="30"/>
  <c r="E33" i="17"/>
  <c r="F33" i="17" s="1"/>
  <c r="E59" i="4"/>
  <c r="F59" i="4" s="1"/>
  <c r="E37" i="15"/>
  <c r="E38" i="15" s="1"/>
  <c r="F38" i="15" s="1"/>
  <c r="E39" i="14"/>
  <c r="F39" i="14" s="1"/>
  <c r="F46" i="36"/>
  <c r="E33" i="42"/>
  <c r="F33" i="42" s="1"/>
  <c r="E55" i="29"/>
  <c r="F55" i="29" s="1"/>
  <c r="F48" i="36"/>
  <c r="E49" i="36"/>
  <c r="F49" i="36" s="1"/>
  <c r="E42" i="8"/>
  <c r="F42" i="8" s="1"/>
  <c r="E31" i="22"/>
  <c r="F31" i="22" s="1"/>
  <c r="F30" i="21"/>
  <c r="E32" i="21"/>
  <c r="E22" i="6"/>
  <c r="F22" i="6" s="1"/>
  <c r="E45" i="28"/>
  <c r="F45" i="28" s="1"/>
  <c r="F56" i="41"/>
  <c r="E57" i="41"/>
  <c r="E60" i="46"/>
  <c r="E55" i="39"/>
  <c r="F55" i="39" s="1"/>
  <c r="F54" i="39"/>
  <c r="E51" i="31"/>
  <c r="F50" i="31"/>
  <c r="F52" i="32"/>
  <c r="E53" i="32"/>
  <c r="F53" i="32" s="1"/>
  <c r="E42" i="9"/>
  <c r="E43" i="9" s="1"/>
  <c r="E53" i="33"/>
  <c r="F53" i="33" s="1"/>
  <c r="F48" i="34"/>
  <c r="E50" i="34"/>
  <c r="F46" i="35"/>
  <c r="E47" i="35"/>
  <c r="E47" i="37"/>
  <c r="F45" i="37"/>
  <c r="F44" i="38"/>
  <c r="E46" i="38"/>
  <c r="F44" i="27"/>
  <c r="E45" i="27"/>
  <c r="F40" i="5"/>
  <c r="E41" i="5"/>
  <c r="F39" i="10"/>
  <c r="E40" i="10"/>
  <c r="F34" i="16"/>
  <c r="E36" i="16"/>
  <c r="E35" i="13"/>
  <c r="E36" i="13" s="1"/>
  <c r="E32" i="19"/>
  <c r="F27" i="24"/>
  <c r="E30" i="24"/>
  <c r="F30" i="24" s="1"/>
  <c r="F26" i="18"/>
  <c r="E28" i="18"/>
  <c r="F28" i="18" s="1"/>
  <c r="F27" i="25"/>
  <c r="E28" i="25"/>
  <c r="F24" i="23"/>
  <c r="E26" i="23"/>
  <c r="F26" i="23" s="1"/>
  <c r="F23" i="26"/>
  <c r="E25" i="26"/>
  <c r="E26" i="26" s="1"/>
  <c r="F26" i="26" s="1"/>
  <c r="F21" i="11"/>
  <c r="E22" i="11"/>
  <c r="F24" i="7"/>
  <c r="F23" i="7"/>
  <c r="E21" i="3"/>
  <c r="F21" i="3" s="1"/>
  <c r="F17" i="2"/>
  <c r="E20" i="2"/>
  <c r="F20" i="2" s="1"/>
  <c r="F37" i="12" l="1"/>
  <c r="E38" i="12"/>
  <c r="E40" i="12" s="1"/>
  <c r="E41" i="12" s="1"/>
  <c r="F41" i="12" s="1"/>
  <c r="E46" i="28"/>
  <c r="F46" i="28" s="1"/>
  <c r="E32" i="22"/>
  <c r="E34" i="42"/>
  <c r="E35" i="42" s="1"/>
  <c r="E39" i="15"/>
  <c r="F39" i="15" s="1"/>
  <c r="F37" i="15"/>
  <c r="E35" i="17"/>
  <c r="F35" i="17" s="1"/>
  <c r="E43" i="8"/>
  <c r="F43" i="8" s="1"/>
  <c r="F54" i="30"/>
  <c r="E55" i="30"/>
  <c r="E60" i="4"/>
  <c r="F60" i="4" s="1"/>
  <c r="E50" i="36"/>
  <c r="F50" i="36" s="1"/>
  <c r="E40" i="14"/>
  <c r="F40" i="14" s="1"/>
  <c r="E56" i="29"/>
  <c r="F56" i="29" s="1"/>
  <c r="E58" i="41"/>
  <c r="E59" i="41" s="1"/>
  <c r="F59" i="41" s="1"/>
  <c r="F57" i="41"/>
  <c r="E23" i="6"/>
  <c r="E29" i="18"/>
  <c r="F29" i="18" s="1"/>
  <c r="F42" i="9"/>
  <c r="F32" i="21"/>
  <c r="E33" i="21"/>
  <c r="F60" i="46"/>
  <c r="E61" i="46"/>
  <c r="E57" i="39"/>
  <c r="F51" i="31"/>
  <c r="E53" i="31"/>
  <c r="E54" i="32"/>
  <c r="E54" i="33"/>
  <c r="F54" i="33" s="1"/>
  <c r="F50" i="34"/>
  <c r="E51" i="34"/>
  <c r="F51" i="34" s="1"/>
  <c r="F47" i="35"/>
  <c r="E49" i="35"/>
  <c r="F47" i="37"/>
  <c r="E48" i="37"/>
  <c r="F48" i="37" s="1"/>
  <c r="F46" i="38"/>
  <c r="E47" i="38"/>
  <c r="F45" i="27"/>
  <c r="E46" i="27"/>
  <c r="F46" i="27" s="1"/>
  <c r="F41" i="5"/>
  <c r="E43" i="5"/>
  <c r="E44" i="8"/>
  <c r="F43" i="9"/>
  <c r="E44" i="9"/>
  <c r="F44" i="9" s="1"/>
  <c r="F40" i="10"/>
  <c r="E41" i="10"/>
  <c r="F36" i="16"/>
  <c r="E37" i="16"/>
  <c r="F36" i="13"/>
  <c r="E37" i="13"/>
  <c r="F35" i="13"/>
  <c r="F34" i="42"/>
  <c r="F32" i="19"/>
  <c r="E33" i="19"/>
  <c r="F32" i="22"/>
  <c r="E33" i="22"/>
  <c r="E31" i="24"/>
  <c r="F31" i="24" s="1"/>
  <c r="E29" i="25"/>
  <c r="F28" i="25"/>
  <c r="E27" i="23"/>
  <c r="F25" i="26"/>
  <c r="E27" i="26"/>
  <c r="F27" i="26" s="1"/>
  <c r="F22" i="11"/>
  <c r="E24" i="11"/>
  <c r="E26" i="7"/>
  <c r="F26" i="7" s="1"/>
  <c r="E22" i="3"/>
  <c r="E21" i="2"/>
  <c r="E47" i="28" l="1"/>
  <c r="F47" i="28" s="1"/>
  <c r="F38" i="12"/>
  <c r="E42" i="12"/>
  <c r="E43" i="12" s="1"/>
  <c r="E44" i="12" s="1"/>
  <c r="E45" i="12" s="1"/>
  <c r="E46" i="12" s="1"/>
  <c r="E47" i="12" s="1"/>
  <c r="E48" i="12" s="1"/>
  <c r="E50" i="12" s="1"/>
  <c r="E83" i="12" s="1"/>
  <c r="E98" i="12" s="1"/>
  <c r="F40" i="12"/>
  <c r="E40" i="15"/>
  <c r="F40" i="15" s="1"/>
  <c r="E36" i="17"/>
  <c r="F36" i="17" s="1"/>
  <c r="E51" i="36"/>
  <c r="E52" i="36" s="1"/>
  <c r="F52" i="36" s="1"/>
  <c r="E57" i="29"/>
  <c r="E58" i="29" s="1"/>
  <c r="F58" i="29" s="1"/>
  <c r="E61" i="4"/>
  <c r="E48" i="28"/>
  <c r="E49" i="28" s="1"/>
  <c r="F55" i="30"/>
  <c r="E56" i="30"/>
  <c r="E37" i="17"/>
  <c r="F37" i="17" s="1"/>
  <c r="E49" i="37"/>
  <c r="F49" i="37" s="1"/>
  <c r="E41" i="14"/>
  <c r="F41" i="14" s="1"/>
  <c r="F23" i="6"/>
  <c r="E24" i="6"/>
  <c r="E25" i="6" s="1"/>
  <c r="E30" i="18"/>
  <c r="F33" i="21"/>
  <c r="E34" i="21"/>
  <c r="F34" i="21" s="1"/>
  <c r="E60" i="41"/>
  <c r="F60" i="41" s="1"/>
  <c r="F58" i="41"/>
  <c r="F61" i="46"/>
  <c r="E62" i="46"/>
  <c r="F62" i="46" s="1"/>
  <c r="F57" i="39"/>
  <c r="E58" i="39"/>
  <c r="F53" i="31"/>
  <c r="E54" i="31"/>
  <c r="F54" i="32"/>
  <c r="E55" i="32"/>
  <c r="E55" i="33"/>
  <c r="E32" i="24"/>
  <c r="F32" i="24" s="1"/>
  <c r="E52" i="34"/>
  <c r="F49" i="35"/>
  <c r="E50" i="35"/>
  <c r="F50" i="35" s="1"/>
  <c r="F47" i="38"/>
  <c r="E48" i="38"/>
  <c r="E47" i="27"/>
  <c r="F43" i="5"/>
  <c r="E44" i="5"/>
  <c r="F44" i="8"/>
  <c r="E45" i="8"/>
  <c r="E46" i="8" s="1"/>
  <c r="E45" i="9"/>
  <c r="F41" i="10"/>
  <c r="E42" i="10"/>
  <c r="F37" i="16"/>
  <c r="E38" i="16"/>
  <c r="F38" i="16" s="1"/>
  <c r="F37" i="13"/>
  <c r="E38" i="13"/>
  <c r="F35" i="42"/>
  <c r="E36" i="42"/>
  <c r="F33" i="19"/>
  <c r="E34" i="19"/>
  <c r="F34" i="19" s="1"/>
  <c r="E34" i="22"/>
  <c r="F33" i="22"/>
  <c r="F29" i="25"/>
  <c r="E30" i="25"/>
  <c r="F27" i="23"/>
  <c r="E28" i="23"/>
  <c r="E28" i="26"/>
  <c r="F24" i="11"/>
  <c r="E25" i="11"/>
  <c r="E27" i="7"/>
  <c r="F22" i="3"/>
  <c r="E23" i="3"/>
  <c r="F21" i="2"/>
  <c r="E22" i="2"/>
  <c r="E41" i="15" l="1"/>
  <c r="E44" i="15" s="1"/>
  <c r="F44" i="15" s="1"/>
  <c r="F42" i="12"/>
  <c r="F57" i="29"/>
  <c r="E59" i="29"/>
  <c r="E62" i="29" s="1"/>
  <c r="F62" i="29" s="1"/>
  <c r="F51" i="36"/>
  <c r="E53" i="36"/>
  <c r="F53" i="36" s="1"/>
  <c r="E55" i="36"/>
  <c r="F55" i="36" s="1"/>
  <c r="F48" i="28"/>
  <c r="E42" i="15"/>
  <c r="F42" i="15" s="1"/>
  <c r="E38" i="17"/>
  <c r="F38" i="17" s="1"/>
  <c r="E33" i="24"/>
  <c r="E34" i="24" s="1"/>
  <c r="F34" i="24" s="1"/>
  <c r="F61" i="4"/>
  <c r="E62" i="4"/>
  <c r="E63" i="4" s="1"/>
  <c r="F63" i="4" s="1"/>
  <c r="E54" i="36"/>
  <c r="F54" i="36" s="1"/>
  <c r="F56" i="30"/>
  <c r="E57" i="30"/>
  <c r="E50" i="37"/>
  <c r="F50" i="37" s="1"/>
  <c r="E42" i="14"/>
  <c r="F25" i="6"/>
  <c r="E26" i="6"/>
  <c r="F26" i="6" s="1"/>
  <c r="E61" i="41"/>
  <c r="F61" i="41" s="1"/>
  <c r="F30" i="18"/>
  <c r="E31" i="18"/>
  <c r="F24" i="6"/>
  <c r="E63" i="41"/>
  <c r="F63" i="41" s="1"/>
  <c r="E35" i="21"/>
  <c r="E63" i="46"/>
  <c r="F58" i="39"/>
  <c r="E59" i="39"/>
  <c r="F54" i="31"/>
  <c r="E55" i="31"/>
  <c r="F55" i="32"/>
  <c r="E56" i="32"/>
  <c r="F55" i="33"/>
  <c r="E56" i="33"/>
  <c r="E58" i="33"/>
  <c r="F58" i="33" s="1"/>
  <c r="F52" i="34"/>
  <c r="E53" i="34"/>
  <c r="E51" i="35"/>
  <c r="F48" i="38"/>
  <c r="E49" i="38"/>
  <c r="F49" i="28"/>
  <c r="E52" i="28"/>
  <c r="E50" i="28"/>
  <c r="F47" i="27"/>
  <c r="E48" i="27"/>
  <c r="F44" i="5"/>
  <c r="E45" i="5"/>
  <c r="F46" i="8"/>
  <c r="E47" i="8"/>
  <c r="F47" i="8" s="1"/>
  <c r="E49" i="8"/>
  <c r="F45" i="8"/>
  <c r="F45" i="9"/>
  <c r="E46" i="9"/>
  <c r="F46" i="9" s="1"/>
  <c r="E48" i="9"/>
  <c r="F43" i="12"/>
  <c r="F42" i="10"/>
  <c r="E43" i="10"/>
  <c r="E39" i="16"/>
  <c r="F38" i="13"/>
  <c r="E39" i="13"/>
  <c r="E41" i="13"/>
  <c r="F36" i="42"/>
  <c r="E37" i="42"/>
  <c r="E35" i="19"/>
  <c r="F34" i="22"/>
  <c r="E37" i="22"/>
  <c r="E35" i="22"/>
  <c r="F30" i="25"/>
  <c r="E31" i="25"/>
  <c r="F28" i="23"/>
  <c r="E29" i="23"/>
  <c r="F28" i="26"/>
  <c r="E29" i="26"/>
  <c r="F25" i="11"/>
  <c r="E26" i="11"/>
  <c r="F27" i="7"/>
  <c r="E28" i="7"/>
  <c r="E30" i="7"/>
  <c r="F23" i="3"/>
  <c r="E24" i="3"/>
  <c r="F22" i="2"/>
  <c r="E23" i="2"/>
  <c r="E43" i="15" l="1"/>
  <c r="F43" i="15" s="1"/>
  <c r="F59" i="29"/>
  <c r="F41" i="15"/>
  <c r="E60" i="29"/>
  <c r="E61" i="29" s="1"/>
  <c r="F61" i="29" s="1"/>
  <c r="E36" i="24"/>
  <c r="F36" i="24" s="1"/>
  <c r="F33" i="24"/>
  <c r="E35" i="24"/>
  <c r="F35" i="24" s="1"/>
  <c r="E39" i="17"/>
  <c r="F39" i="17" s="1"/>
  <c r="E64" i="4"/>
  <c r="F64" i="4" s="1"/>
  <c r="F62" i="4"/>
  <c r="E65" i="4"/>
  <c r="F65" i="4" s="1"/>
  <c r="E56" i="36"/>
  <c r="F56" i="36" s="1"/>
  <c r="F57" i="36" s="1"/>
  <c r="F57" i="30"/>
  <c r="E58" i="30"/>
  <c r="E51" i="37"/>
  <c r="E54" i="37" s="1"/>
  <c r="E29" i="6"/>
  <c r="F29" i="6" s="1"/>
  <c r="E45" i="14"/>
  <c r="F45" i="14" s="1"/>
  <c r="F42" i="14"/>
  <c r="E45" i="15"/>
  <c r="E46" i="15" s="1"/>
  <c r="E43" i="14"/>
  <c r="F43" i="14" s="1"/>
  <c r="E27" i="6"/>
  <c r="F27" i="6" s="1"/>
  <c r="E32" i="18"/>
  <c r="E35" i="18" s="1"/>
  <c r="F35" i="18" s="1"/>
  <c r="F31" i="18"/>
  <c r="E62" i="41"/>
  <c r="F62" i="41" s="1"/>
  <c r="E36" i="21"/>
  <c r="F35" i="21"/>
  <c r="F63" i="46"/>
  <c r="E66" i="46"/>
  <c r="E64" i="46"/>
  <c r="F64" i="46" s="1"/>
  <c r="F59" i="39"/>
  <c r="E60" i="39"/>
  <c r="F55" i="31"/>
  <c r="E56" i="31"/>
  <c r="F56" i="32"/>
  <c r="E57" i="32"/>
  <c r="F57" i="32" s="1"/>
  <c r="E59" i="32"/>
  <c r="F56" i="33"/>
  <c r="E57" i="33"/>
  <c r="F57" i="33" s="1"/>
  <c r="F53" i="34"/>
  <c r="E54" i="34"/>
  <c r="F51" i="35"/>
  <c r="E52" i="35"/>
  <c r="F49" i="38"/>
  <c r="E50" i="38"/>
  <c r="F50" i="28"/>
  <c r="E51" i="28"/>
  <c r="F51" i="28" s="1"/>
  <c r="F52" i="28"/>
  <c r="F48" i="27"/>
  <c r="E49" i="27"/>
  <c r="E51" i="27"/>
  <c r="F45" i="5"/>
  <c r="E46" i="5"/>
  <c r="F49" i="8"/>
  <c r="E48" i="8"/>
  <c r="F48" i="8" s="1"/>
  <c r="F48" i="9"/>
  <c r="E47" i="9"/>
  <c r="F47" i="9" s="1"/>
  <c r="F44" i="12"/>
  <c r="F43" i="10"/>
  <c r="E46" i="10"/>
  <c r="E44" i="10"/>
  <c r="F44" i="10" s="1"/>
  <c r="F39" i="16"/>
  <c r="E40" i="16"/>
  <c r="F41" i="13"/>
  <c r="F39" i="13"/>
  <c r="E40" i="13"/>
  <c r="F40" i="13" s="1"/>
  <c r="F37" i="42"/>
  <c r="E40" i="42"/>
  <c r="E38" i="42"/>
  <c r="F38" i="42" s="1"/>
  <c r="F35" i="19"/>
  <c r="E38" i="19"/>
  <c r="E36" i="19"/>
  <c r="F36" i="19" s="1"/>
  <c r="F35" i="22"/>
  <c r="E36" i="22"/>
  <c r="F36" i="22" s="1"/>
  <c r="F37" i="22"/>
  <c r="F31" i="25"/>
  <c r="E34" i="25"/>
  <c r="E32" i="25"/>
  <c r="F29" i="23"/>
  <c r="E30" i="23"/>
  <c r="F29" i="26"/>
  <c r="E30" i="26"/>
  <c r="E32" i="26"/>
  <c r="F26" i="11"/>
  <c r="E27" i="11"/>
  <c r="F30" i="7"/>
  <c r="F28" i="7"/>
  <c r="E29" i="7"/>
  <c r="F29" i="7" s="1"/>
  <c r="F24" i="3"/>
  <c r="E25" i="3"/>
  <c r="F23" i="2"/>
  <c r="E24" i="2"/>
  <c r="E37" i="24" l="1"/>
  <c r="E38" i="24" s="1"/>
  <c r="E63" i="29"/>
  <c r="F63" i="29" s="1"/>
  <c r="F60" i="29"/>
  <c r="E40" i="17"/>
  <c r="F40" i="17" s="1"/>
  <c r="E42" i="17"/>
  <c r="F42" i="17" s="1"/>
  <c r="E52" i="37"/>
  <c r="F45" i="15"/>
  <c r="F46" i="15" s="1"/>
  <c r="F51" i="37"/>
  <c r="E66" i="4"/>
  <c r="F66" i="4" s="1"/>
  <c r="F67" i="4" s="1"/>
  <c r="E57" i="36"/>
  <c r="E28" i="6"/>
  <c r="E30" i="6" s="1"/>
  <c r="F30" i="6" s="1"/>
  <c r="E59" i="30"/>
  <c r="E60" i="30" s="1"/>
  <c r="F60" i="30" s="1"/>
  <c r="F58" i="30"/>
  <c r="E61" i="30"/>
  <c r="F61" i="30" s="1"/>
  <c r="E44" i="14"/>
  <c r="F44" i="14" s="1"/>
  <c r="E65" i="46"/>
  <c r="F65" i="46" s="1"/>
  <c r="E59" i="33"/>
  <c r="F59" i="33" s="1"/>
  <c r="F60" i="33" s="1"/>
  <c r="F32" i="18"/>
  <c r="E39" i="21"/>
  <c r="F39" i="21" s="1"/>
  <c r="E37" i="21"/>
  <c r="F36" i="21"/>
  <c r="E33" i="18"/>
  <c r="E64" i="41"/>
  <c r="F66" i="46"/>
  <c r="F60" i="39"/>
  <c r="E61" i="39"/>
  <c r="F56" i="31"/>
  <c r="E57" i="31"/>
  <c r="F59" i="32"/>
  <c r="E58" i="32"/>
  <c r="F58" i="32" s="1"/>
  <c r="E53" i="28"/>
  <c r="E54" i="28" s="1"/>
  <c r="F54" i="34"/>
  <c r="E57" i="34"/>
  <c r="E55" i="34"/>
  <c r="F55" i="34" s="1"/>
  <c r="F52" i="35"/>
  <c r="E53" i="35"/>
  <c r="F54" i="37"/>
  <c r="F52" i="37"/>
  <c r="E53" i="37"/>
  <c r="F53" i="37" s="1"/>
  <c r="F50" i="38"/>
  <c r="E53" i="38"/>
  <c r="E51" i="38"/>
  <c r="F51" i="27"/>
  <c r="F49" i="27"/>
  <c r="E50" i="27"/>
  <c r="F50" i="27" s="1"/>
  <c r="F46" i="5"/>
  <c r="E47" i="5"/>
  <c r="E50" i="8"/>
  <c r="E49" i="9"/>
  <c r="F45" i="12"/>
  <c r="F46" i="12"/>
  <c r="F47" i="12"/>
  <c r="E45" i="10"/>
  <c r="F45" i="10" s="1"/>
  <c r="F46" i="10"/>
  <c r="F40" i="16"/>
  <c r="E41" i="16"/>
  <c r="E43" i="16"/>
  <c r="E42" i="13"/>
  <c r="E39" i="42"/>
  <c r="F39" i="42" s="1"/>
  <c r="F40" i="42"/>
  <c r="E37" i="19"/>
  <c r="F37" i="19" s="1"/>
  <c r="F38" i="19"/>
  <c r="E38" i="22"/>
  <c r="F37" i="24"/>
  <c r="F38" i="24" s="1"/>
  <c r="F32" i="25"/>
  <c r="E33" i="25"/>
  <c r="F33" i="25" s="1"/>
  <c r="F34" i="25"/>
  <c r="F30" i="23"/>
  <c r="E31" i="23"/>
  <c r="E33" i="23"/>
  <c r="F32" i="26"/>
  <c r="F30" i="26"/>
  <c r="E31" i="26"/>
  <c r="F31" i="26" s="1"/>
  <c r="F27" i="11"/>
  <c r="E28" i="11"/>
  <c r="E31" i="7"/>
  <c r="F25" i="3"/>
  <c r="E28" i="3"/>
  <c r="E26" i="3"/>
  <c r="F24" i="2"/>
  <c r="E27" i="2"/>
  <c r="E25" i="2"/>
  <c r="E64" i="29" l="1"/>
  <c r="F64" i="29"/>
  <c r="E41" i="17"/>
  <c r="F41" i="17" s="1"/>
  <c r="E67" i="4"/>
  <c r="F28" i="6"/>
  <c r="F31" i="6" s="1"/>
  <c r="E62" i="30"/>
  <c r="F62" i="30" s="1"/>
  <c r="F59" i="30"/>
  <c r="E46" i="14"/>
  <c r="F46" i="14" s="1"/>
  <c r="F47" i="14" s="1"/>
  <c r="F53" i="28"/>
  <c r="F54" i="28" s="1"/>
  <c r="E47" i="10"/>
  <c r="E48" i="10" s="1"/>
  <c r="E67" i="46"/>
  <c r="F67" i="46" s="1"/>
  <c r="F68" i="46" s="1"/>
  <c r="F64" i="41"/>
  <c r="F65" i="41" s="1"/>
  <c r="E65" i="41"/>
  <c r="E60" i="32"/>
  <c r="F60" i="32" s="1"/>
  <c r="F61" i="32" s="1"/>
  <c r="F33" i="18"/>
  <c r="E34" i="18"/>
  <c r="E38" i="21"/>
  <c r="F37" i="21"/>
  <c r="E31" i="6"/>
  <c r="E60" i="33"/>
  <c r="F61" i="39"/>
  <c r="E64" i="39"/>
  <c r="E62" i="39"/>
  <c r="F57" i="31"/>
  <c r="E60" i="31"/>
  <c r="E58" i="31"/>
  <c r="E41" i="42"/>
  <c r="F41" i="42" s="1"/>
  <c r="F42" i="42" s="1"/>
  <c r="E43" i="17"/>
  <c r="F43" i="17" s="1"/>
  <c r="F44" i="17" s="1"/>
  <c r="F48" i="12"/>
  <c r="F50" i="12" s="1"/>
  <c r="E56" i="34"/>
  <c r="F56" i="34" s="1"/>
  <c r="F57" i="34"/>
  <c r="F53" i="35"/>
  <c r="E56" i="35"/>
  <c r="E54" i="35"/>
  <c r="E55" i="37"/>
  <c r="F51" i="38"/>
  <c r="E52" i="38"/>
  <c r="F52" i="38" s="1"/>
  <c r="F53" i="38"/>
  <c r="E52" i="27"/>
  <c r="F47" i="5"/>
  <c r="E50" i="5"/>
  <c r="E48" i="5"/>
  <c r="F50" i="8"/>
  <c r="F51" i="8" s="1"/>
  <c r="E51" i="8"/>
  <c r="F49" i="9"/>
  <c r="F50" i="9" s="1"/>
  <c r="E50" i="9"/>
  <c r="F43" i="16"/>
  <c r="F41" i="16"/>
  <c r="E42" i="16"/>
  <c r="F42" i="16" s="1"/>
  <c r="F42" i="13"/>
  <c r="F43" i="13" s="1"/>
  <c r="E43" i="13"/>
  <c r="E39" i="19"/>
  <c r="F38" i="22"/>
  <c r="F39" i="22" s="1"/>
  <c r="E39" i="22"/>
  <c r="E35" i="25"/>
  <c r="F33" i="23"/>
  <c r="F31" i="23"/>
  <c r="E32" i="23"/>
  <c r="F32" i="23" s="1"/>
  <c r="E33" i="26"/>
  <c r="F28" i="11"/>
  <c r="E31" i="11"/>
  <c r="E29" i="11"/>
  <c r="F31" i="7"/>
  <c r="F32" i="7" s="1"/>
  <c r="E32" i="7"/>
  <c r="F26" i="3"/>
  <c r="E27" i="3"/>
  <c r="F27" i="3" s="1"/>
  <c r="F28" i="3"/>
  <c r="F25" i="2"/>
  <c r="E26" i="2"/>
  <c r="F26" i="2" s="1"/>
  <c r="F27" i="2"/>
  <c r="F47" i="10" l="1"/>
  <c r="F48" i="10" s="1"/>
  <c r="E61" i="32"/>
  <c r="F63" i="30"/>
  <c r="E68" i="46"/>
  <c r="E63" i="30"/>
  <c r="E47" i="14"/>
  <c r="E42" i="42"/>
  <c r="E44" i="17"/>
  <c r="F38" i="21"/>
  <c r="E40" i="21"/>
  <c r="F34" i="18"/>
  <c r="E36" i="18"/>
  <c r="F36" i="18" s="1"/>
  <c r="F62" i="39"/>
  <c r="E63" i="39"/>
  <c r="F63" i="39" s="1"/>
  <c r="F64" i="39"/>
  <c r="F58" i="31"/>
  <c r="E59" i="31"/>
  <c r="F59" i="31" s="1"/>
  <c r="F60" i="31"/>
  <c r="E58" i="34"/>
  <c r="E59" i="34" s="1"/>
  <c r="E54" i="38"/>
  <c r="F54" i="38" s="1"/>
  <c r="F55" i="38" s="1"/>
  <c r="F54" i="35"/>
  <c r="E55" i="35"/>
  <c r="F55" i="35" s="1"/>
  <c r="F56" i="35"/>
  <c r="F55" i="37"/>
  <c r="F56" i="37" s="1"/>
  <c r="E56" i="37"/>
  <c r="F52" i="27"/>
  <c r="F53" i="27" s="1"/>
  <c r="E53" i="27"/>
  <c r="F48" i="5"/>
  <c r="E49" i="5"/>
  <c r="F49" i="5" s="1"/>
  <c r="F50" i="5"/>
  <c r="E44" i="16"/>
  <c r="F39" i="19"/>
  <c r="F40" i="19" s="1"/>
  <c r="E40" i="19"/>
  <c r="F35" i="25"/>
  <c r="F36" i="25" s="1"/>
  <c r="E36" i="25"/>
  <c r="E34" i="23"/>
  <c r="F33" i="26"/>
  <c r="F34" i="26" s="1"/>
  <c r="E34" i="26"/>
  <c r="F29" i="11"/>
  <c r="E30" i="11"/>
  <c r="F30" i="11" s="1"/>
  <c r="F31" i="11"/>
  <c r="E29" i="3"/>
  <c r="E28" i="2"/>
  <c r="F37" i="18" l="1"/>
  <c r="E57" i="35"/>
  <c r="E58" i="35" s="1"/>
  <c r="F58" i="34"/>
  <c r="F59" i="34" s="1"/>
  <c r="E37" i="18"/>
  <c r="E51" i="5"/>
  <c r="F51" i="5" s="1"/>
  <c r="F52" i="5" s="1"/>
  <c r="E55" i="38"/>
  <c r="E41" i="21"/>
  <c r="F40" i="21"/>
  <c r="F41" i="21" s="1"/>
  <c r="E65" i="39"/>
  <c r="E61" i="31"/>
  <c r="E32" i="11"/>
  <c r="F32" i="11" s="1"/>
  <c r="F33" i="11" s="1"/>
  <c r="F44" i="16"/>
  <c r="F45" i="16" s="1"/>
  <c r="E45" i="16"/>
  <c r="F34" i="23"/>
  <c r="F35" i="23" s="1"/>
  <c r="E35" i="23"/>
  <c r="F29" i="3"/>
  <c r="F30" i="3" s="1"/>
  <c r="E30" i="3"/>
  <c r="F28" i="2"/>
  <c r="F29" i="2" s="1"/>
  <c r="E29" i="2"/>
  <c r="F55" i="1"/>
  <c r="F50" i="1"/>
  <c r="F49" i="1"/>
  <c r="F48" i="1"/>
  <c r="F47" i="1"/>
  <c r="F46" i="1"/>
  <c r="F45" i="1"/>
  <c r="F44" i="1"/>
  <c r="F42" i="1"/>
  <c r="F41" i="1"/>
  <c r="H27" i="1"/>
  <c r="H28" i="1" s="1"/>
  <c r="F54" i="1"/>
  <c r="F51" i="1"/>
  <c r="F57" i="35" l="1"/>
  <c r="F58" i="35" s="1"/>
  <c r="F53" i="12"/>
  <c r="E52" i="5"/>
  <c r="F65" i="39"/>
  <c r="F66" i="39" s="1"/>
  <c r="E66" i="39"/>
  <c r="F61" i="31"/>
  <c r="F62" i="31" s="1"/>
  <c r="E62" i="31"/>
  <c r="E33" i="11"/>
  <c r="F43" i="1"/>
  <c r="F70" i="1"/>
  <c r="H73" i="1"/>
  <c r="H74" i="1" s="1"/>
  <c r="F60" i="1"/>
  <c r="H66" i="1"/>
  <c r="H67" i="1" s="1"/>
  <c r="H56" i="1"/>
  <c r="F59" i="1"/>
  <c r="H14" i="1"/>
  <c r="H15" i="1" s="1"/>
  <c r="C28" i="1"/>
  <c r="D28" i="1"/>
  <c r="J14" i="1" s="1"/>
  <c r="J15" i="1" s="1"/>
  <c r="B8" i="1"/>
  <c r="H20" i="1"/>
  <c r="H21" i="1" s="1"/>
  <c r="J66" i="1" l="1"/>
  <c r="J67" i="1" s="1"/>
  <c r="E13" i="1"/>
  <c r="F55" i="12" l="1"/>
  <c r="F54" i="12"/>
  <c r="F57" i="12"/>
  <c r="F13" i="1"/>
  <c r="E14" i="1"/>
  <c r="E15" i="1" s="1"/>
  <c r="F15" i="1" s="1"/>
  <c r="F59" i="12" l="1"/>
  <c r="F14" i="1"/>
  <c r="E16" i="1"/>
  <c r="E17" i="1" s="1"/>
  <c r="F17" i="1" s="1"/>
  <c r="F58" i="12" l="1"/>
  <c r="F60" i="12"/>
  <c r="F16" i="1"/>
  <c r="E19" i="1"/>
  <c r="E20" i="1" s="1"/>
  <c r="F61" i="12" l="1"/>
  <c r="F20" i="1"/>
  <c r="E21" i="1"/>
  <c r="F21" i="1" s="1"/>
  <c r="F19" i="1"/>
  <c r="E22" i="1" l="1"/>
  <c r="F62" i="12" l="1"/>
  <c r="F22" i="1"/>
  <c r="E23" i="1"/>
  <c r="F23" i="1" s="1"/>
  <c r="E26" i="1" l="1"/>
  <c r="F26" i="1" s="1"/>
  <c r="E24" i="1"/>
  <c r="F24" i="1" s="1"/>
  <c r="E25" i="1" l="1"/>
  <c r="E27" i="1" s="1"/>
  <c r="F27" i="1" s="1"/>
  <c r="F25" i="1" l="1"/>
  <c r="F28" i="1" s="1"/>
  <c r="E28" i="1"/>
  <c r="H62" i="17" l="1"/>
  <c r="H64" i="15"/>
  <c r="H80" i="31"/>
  <c r="H85" i="4"/>
  <c r="H74" i="37"/>
  <c r="H59" i="21"/>
  <c r="H82" i="29"/>
  <c r="H60" i="42"/>
  <c r="H83" i="41"/>
  <c r="H68" i="9"/>
  <c r="H58" i="19"/>
  <c r="H50" i="7"/>
  <c r="H48" i="3"/>
  <c r="H56" i="24"/>
  <c r="H65" i="14"/>
  <c r="H84" i="39"/>
  <c r="H54" i="25"/>
  <c r="H86" i="46"/>
  <c r="H63" i="16"/>
  <c r="H79" i="32"/>
  <c r="H75" i="36"/>
  <c r="H70" i="5"/>
  <c r="H73" i="38"/>
  <c r="H69" i="8"/>
  <c r="H66" i="10"/>
  <c r="H72" i="28"/>
  <c r="H52" i="26"/>
  <c r="H76" i="35"/>
  <c r="H78" i="33"/>
  <c r="H55" i="18"/>
  <c r="H71" i="27"/>
  <c r="H51" i="11"/>
  <c r="H61" i="13"/>
  <c r="H57" i="22"/>
  <c r="H49" i="6"/>
  <c r="H81" i="30"/>
  <c r="H68" i="12"/>
  <c r="H53" i="23"/>
  <c r="H77" i="34"/>
  <c r="H76" i="37" l="1"/>
  <c r="J75" i="37"/>
  <c r="J67" i="10"/>
  <c r="H68" i="10"/>
  <c r="H77" i="36"/>
  <c r="J76" i="36"/>
  <c r="J86" i="4"/>
  <c r="H87" i="4"/>
  <c r="J79" i="33"/>
  <c r="H80" i="33"/>
  <c r="J70" i="8"/>
  <c r="H71" i="8"/>
  <c r="J64" i="16"/>
  <c r="H65" i="16"/>
  <c r="H82" i="31"/>
  <c r="J81" i="31"/>
  <c r="H72" i="5"/>
  <c r="J71" i="5"/>
  <c r="H85" i="41"/>
  <c r="J84" i="41"/>
  <c r="H54" i="26"/>
  <c r="J53" i="26"/>
  <c r="J80" i="32"/>
  <c r="H81" i="32"/>
  <c r="H74" i="28"/>
  <c r="J73" i="28"/>
  <c r="H75" i="38"/>
  <c r="J74" i="38"/>
  <c r="J87" i="46"/>
  <c r="H88" i="46"/>
  <c r="J61" i="42"/>
  <c r="H62" i="42"/>
  <c r="H61" i="21"/>
  <c r="J60" i="21"/>
  <c r="H66" i="15"/>
  <c r="J65" i="15"/>
  <c r="J66" i="14"/>
  <c r="H67" i="14"/>
  <c r="J69" i="9"/>
  <c r="H70" i="9"/>
  <c r="H55" i="23"/>
  <c r="J54" i="23"/>
  <c r="H59" i="22"/>
  <c r="J58" i="22"/>
  <c r="J47" i="1"/>
  <c r="H47" i="2"/>
  <c r="J77" i="35"/>
  <c r="H78" i="35"/>
  <c r="J49" i="3"/>
  <c r="H50" i="3"/>
  <c r="J62" i="13"/>
  <c r="H63" i="13"/>
  <c r="J72" i="27"/>
  <c r="H73" i="27"/>
  <c r="H86" i="39"/>
  <c r="J85" i="39"/>
  <c r="H58" i="24"/>
  <c r="J57" i="24"/>
  <c r="H60" i="19"/>
  <c r="J59" i="19"/>
  <c r="J83" i="29"/>
  <c r="H84" i="29"/>
  <c r="H51" i="6"/>
  <c r="J50" i="6"/>
  <c r="H57" i="18"/>
  <c r="J56" i="18"/>
  <c r="H56" i="25"/>
  <c r="J55" i="25"/>
  <c r="H52" i="7"/>
  <c r="J51" i="7"/>
  <c r="H64" i="17"/>
  <c r="J63" i="17"/>
  <c r="J69" i="12"/>
  <c r="H70" i="12"/>
  <c r="H83" i="30"/>
  <c r="J82" i="30"/>
  <c r="J52" i="11"/>
  <c r="H53" i="11"/>
  <c r="J78" i="34"/>
  <c r="H79" i="34"/>
  <c r="J48" i="2" l="1"/>
  <c r="H49" i="2"/>
  <c r="D62" i="33"/>
  <c r="D40" i="24"/>
  <c r="D37" i="23"/>
  <c r="D66" i="29"/>
  <c r="D54" i="5"/>
  <c r="D60" i="35"/>
  <c r="D50" i="10"/>
  <c r="D33" i="6"/>
  <c r="D61" i="34"/>
  <c r="D52" i="9"/>
  <c r="D30" i="1"/>
  <c r="D65" i="30"/>
  <c r="D49" i="14"/>
  <c r="D52" i="12"/>
  <c r="D42" i="19"/>
  <c r="D32" i="3"/>
  <c r="D31" i="2"/>
  <c r="D35" i="11"/>
  <c r="D67" i="41"/>
  <c r="D47" i="16"/>
  <c r="D58" i="37"/>
  <c r="D53" i="8"/>
  <c r="D39" i="18"/>
  <c r="D48" i="15"/>
  <c r="D43" i="21"/>
  <c r="D55" i="27"/>
  <c r="D57" i="38"/>
  <c r="D46" i="17"/>
  <c r="D41" i="22"/>
  <c r="D34" i="7"/>
  <c r="D59" i="36"/>
  <c r="D69" i="4"/>
  <c r="D36" i="26"/>
  <c r="D38" i="25"/>
  <c r="D68" i="39"/>
  <c r="D63" i="32"/>
  <c r="D70" i="46"/>
  <c r="D64" i="31"/>
  <c r="D44" i="42"/>
  <c r="D56" i="28"/>
  <c r="D45" i="13"/>
  <c r="H39" i="25" l="1"/>
  <c r="E38" i="25"/>
  <c r="H42" i="22"/>
  <c r="E41" i="22"/>
  <c r="F41" i="22" s="1"/>
  <c r="H36" i="11"/>
  <c r="E35" i="11"/>
  <c r="F35" i="11" s="1"/>
  <c r="H53" i="12"/>
  <c r="F52" i="12"/>
  <c r="H61" i="35"/>
  <c r="E60" i="35"/>
  <c r="F60" i="35" s="1"/>
  <c r="H64" i="32"/>
  <c r="E63" i="32"/>
  <c r="H70" i="4"/>
  <c r="E69" i="4"/>
  <c r="F69" i="4" s="1"/>
  <c r="H35" i="7"/>
  <c r="E34" i="7"/>
  <c r="F34" i="7" s="1"/>
  <c r="H47" i="17"/>
  <c r="E46" i="17"/>
  <c r="F46" i="17" s="1"/>
  <c r="H56" i="27"/>
  <c r="E55" i="27"/>
  <c r="H44" i="21"/>
  <c r="E43" i="21"/>
  <c r="F43" i="21" s="1"/>
  <c r="H40" i="18"/>
  <c r="E39" i="18"/>
  <c r="H48" i="16"/>
  <c r="E47" i="16"/>
  <c r="F47" i="16" s="1"/>
  <c r="H43" i="19"/>
  <c r="E42" i="19"/>
  <c r="F42" i="19" s="1"/>
  <c r="H50" i="14"/>
  <c r="E49" i="14"/>
  <c r="E30" i="1"/>
  <c r="H31" i="1"/>
  <c r="H34" i="6"/>
  <c r="E33" i="6"/>
  <c r="F33" i="6" s="1"/>
  <c r="H55" i="5"/>
  <c r="E54" i="5"/>
  <c r="F54" i="5" s="1"/>
  <c r="H45" i="42"/>
  <c r="E44" i="42"/>
  <c r="F44" i="42" s="1"/>
  <c r="H49" i="15"/>
  <c r="E48" i="15"/>
  <c r="H50" i="24"/>
  <c r="D44" i="24"/>
  <c r="H65" i="31"/>
  <c r="E64" i="31"/>
  <c r="F64" i="31" s="1"/>
  <c r="H71" i="46"/>
  <c r="E70" i="46"/>
  <c r="H37" i="26"/>
  <c r="E36" i="26"/>
  <c r="F36" i="26" s="1"/>
  <c r="H54" i="8"/>
  <c r="E53" i="8"/>
  <c r="F53" i="8" s="1"/>
  <c r="H68" i="41"/>
  <c r="E67" i="41"/>
  <c r="F67" i="41" s="1"/>
  <c r="H66" i="30"/>
  <c r="E65" i="30"/>
  <c r="H53" i="9"/>
  <c r="E52" i="9"/>
  <c r="F52" i="9" s="1"/>
  <c r="H67" i="29"/>
  <c r="E66" i="29"/>
  <c r="F66" i="29" s="1"/>
  <c r="H57" i="28"/>
  <c r="E56" i="28"/>
  <c r="F56" i="28" s="1"/>
  <c r="H33" i="3"/>
  <c r="E32" i="3"/>
  <c r="H51" i="10"/>
  <c r="E50" i="10"/>
  <c r="F50" i="10" s="1"/>
  <c r="H38" i="23"/>
  <c r="E37" i="23"/>
  <c r="F37" i="23" s="1"/>
  <c r="H46" i="13"/>
  <c r="E45" i="13"/>
  <c r="F45" i="13" s="1"/>
  <c r="H69" i="39"/>
  <c r="E68" i="39"/>
  <c r="H60" i="36"/>
  <c r="E59" i="36"/>
  <c r="H58" i="38"/>
  <c r="E57" i="38"/>
  <c r="H59" i="37"/>
  <c r="E58" i="37"/>
  <c r="F58" i="37" s="1"/>
  <c r="H32" i="2"/>
  <c r="E31" i="2"/>
  <c r="F31" i="2" s="1"/>
  <c r="H62" i="34"/>
  <c r="E61" i="34"/>
  <c r="H41" i="24"/>
  <c r="J41" i="24"/>
  <c r="D71" i="24"/>
  <c r="E40" i="24"/>
  <c r="F40" i="24" s="1"/>
  <c r="H63" i="33"/>
  <c r="E62" i="33"/>
  <c r="H64" i="31"/>
  <c r="H70" i="46"/>
  <c r="H36" i="26"/>
  <c r="H53" i="8"/>
  <c r="H67" i="41"/>
  <c r="H52" i="9"/>
  <c r="H66" i="29"/>
  <c r="H68" i="29" s="1"/>
  <c r="H69" i="4"/>
  <c r="H71" i="4" s="1"/>
  <c r="H34" i="7"/>
  <c r="H55" i="27"/>
  <c r="H47" i="16"/>
  <c r="H49" i="16" s="1"/>
  <c r="H42" i="19"/>
  <c r="H49" i="14"/>
  <c r="H30" i="1"/>
  <c r="H32" i="1" s="1"/>
  <c r="H33" i="6"/>
  <c r="H54" i="5"/>
  <c r="H45" i="13"/>
  <c r="H68" i="39"/>
  <c r="H59" i="36"/>
  <c r="H57" i="38"/>
  <c r="H58" i="37"/>
  <c r="H61" i="34"/>
  <c r="H62" i="33"/>
  <c r="H64" i="33" s="1"/>
  <c r="H46" i="17"/>
  <c r="H43" i="21"/>
  <c r="H45" i="21" s="1"/>
  <c r="H39" i="18"/>
  <c r="H56" i="28"/>
  <c r="H44" i="42"/>
  <c r="H38" i="25"/>
  <c r="H40" i="25" s="1"/>
  <c r="H41" i="22"/>
  <c r="H35" i="11"/>
  <c r="H32" i="3"/>
  <c r="H34" i="3" s="1"/>
  <c r="H50" i="10"/>
  <c r="H37" i="23"/>
  <c r="H37" i="11" l="1"/>
  <c r="H51" i="14"/>
  <c r="H55" i="8"/>
  <c r="H52" i="10"/>
  <c r="H60" i="37"/>
  <c r="H36" i="7"/>
  <c r="H39" i="23"/>
  <c r="H72" i="46"/>
  <c r="H56" i="5"/>
  <c r="H61" i="36"/>
  <c r="H63" i="34"/>
  <c r="H54" i="9"/>
  <c r="H59" i="38"/>
  <c r="H38" i="26"/>
  <c r="H41" i="18"/>
  <c r="H70" i="39"/>
  <c r="H69" i="41"/>
  <c r="H64" i="5"/>
  <c r="D58" i="5"/>
  <c r="H40" i="24"/>
  <c r="H42" i="24" s="1"/>
  <c r="H74" i="31"/>
  <c r="D68" i="31"/>
  <c r="H56" i="17"/>
  <c r="D50" i="17"/>
  <c r="H51" i="22"/>
  <c r="D45" i="22"/>
  <c r="J42" i="22" s="1"/>
  <c r="H65" i="30"/>
  <c r="H67" i="30" s="1"/>
  <c r="H48" i="25"/>
  <c r="D42" i="25"/>
  <c r="E69" i="39"/>
  <c r="E49" i="15"/>
  <c r="E56" i="27"/>
  <c r="E64" i="32"/>
  <c r="F64" i="32" s="1"/>
  <c r="E39" i="25"/>
  <c r="F39" i="25" s="1"/>
  <c r="H52" i="12"/>
  <c r="H54" i="12" s="1"/>
  <c r="H45" i="11"/>
  <c r="D39" i="11"/>
  <c r="H54" i="42"/>
  <c r="D48" i="42"/>
  <c r="H58" i="15"/>
  <c r="D52" i="15"/>
  <c r="H55" i="13"/>
  <c r="D49" i="13"/>
  <c r="H76" i="29"/>
  <c r="D70" i="29"/>
  <c r="H68" i="37"/>
  <c r="D62" i="37"/>
  <c r="H47" i="23"/>
  <c r="D41" i="23"/>
  <c r="H62" i="12"/>
  <c r="D56" i="12"/>
  <c r="H62" i="9"/>
  <c r="D56" i="9"/>
  <c r="H79" i="4"/>
  <c r="D73" i="4"/>
  <c r="H73" i="32"/>
  <c r="D67" i="32"/>
  <c r="E32" i="2"/>
  <c r="E46" i="13"/>
  <c r="F46" i="13" s="1"/>
  <c r="E57" i="28"/>
  <c r="F57" i="28" s="1"/>
  <c r="E68" i="41"/>
  <c r="E65" i="31"/>
  <c r="H51" i="24"/>
  <c r="E45" i="42"/>
  <c r="E43" i="19"/>
  <c r="E47" i="17"/>
  <c r="F47" i="17" s="1"/>
  <c r="E61" i="35"/>
  <c r="F61" i="35" s="1"/>
  <c r="H44" i="7"/>
  <c r="D38" i="7"/>
  <c r="H63" i="32"/>
  <c r="H65" i="32" s="1"/>
  <c r="H77" i="41"/>
  <c r="D71" i="41"/>
  <c r="H41" i="2"/>
  <c r="D35" i="2"/>
  <c r="E33" i="3"/>
  <c r="E66" i="30"/>
  <c r="F66" i="30" s="1"/>
  <c r="E71" i="46"/>
  <c r="F71" i="46" s="1"/>
  <c r="H58" i="28"/>
  <c r="H48" i="17"/>
  <c r="H65" i="27"/>
  <c r="D59" i="27"/>
  <c r="H47" i="13"/>
  <c r="H49" i="18"/>
  <c r="D43" i="18"/>
  <c r="H71" i="34"/>
  <c r="D65" i="34"/>
  <c r="H60" i="10"/>
  <c r="D54" i="10"/>
  <c r="H66" i="31"/>
  <c r="H43" i="6"/>
  <c r="D37" i="6"/>
  <c r="H67" i="38"/>
  <c r="D61" i="38"/>
  <c r="F62" i="33"/>
  <c r="E63" i="33"/>
  <c r="E59" i="37"/>
  <c r="F59" i="37" s="1"/>
  <c r="E58" i="38"/>
  <c r="F58" i="38" s="1"/>
  <c r="E38" i="23"/>
  <c r="F38" i="23" s="1"/>
  <c r="E67" i="29"/>
  <c r="F67" i="29" s="1"/>
  <c r="E54" i="8"/>
  <c r="F54" i="8" s="1"/>
  <c r="H52" i="24"/>
  <c r="E55" i="5"/>
  <c r="F55" i="5" s="1"/>
  <c r="H35" i="6"/>
  <c r="F30" i="1"/>
  <c r="E31" i="1"/>
  <c r="E48" i="16"/>
  <c r="F48" i="16" s="1"/>
  <c r="F39" i="18"/>
  <c r="E40" i="18"/>
  <c r="E35" i="7"/>
  <c r="E36" i="11"/>
  <c r="F36" i="11" s="1"/>
  <c r="H43" i="22"/>
  <c r="H80" i="46"/>
  <c r="D74" i="46"/>
  <c r="H78" i="39"/>
  <c r="D72" i="39"/>
  <c r="H42" i="3"/>
  <c r="D36" i="3"/>
  <c r="E62" i="34"/>
  <c r="F62" i="34" s="1"/>
  <c r="E50" i="14"/>
  <c r="H46" i="42"/>
  <c r="H57" i="16"/>
  <c r="D51" i="16"/>
  <c r="H69" i="36"/>
  <c r="D63" i="36"/>
  <c r="H60" i="35"/>
  <c r="H62" i="35" s="1"/>
  <c r="H48" i="15"/>
  <c r="H50" i="15" s="1"/>
  <c r="H46" i="26"/>
  <c r="D40" i="26"/>
  <c r="H52" i="19"/>
  <c r="D46" i="19"/>
  <c r="H70" i="35"/>
  <c r="D64" i="35"/>
  <c r="H31" i="2"/>
  <c r="H33" i="2" s="1"/>
  <c r="H72" i="33"/>
  <c r="D66" i="33"/>
  <c r="H66" i="28"/>
  <c r="D60" i="28"/>
  <c r="H44" i="19"/>
  <c r="H63" i="8"/>
  <c r="D57" i="8"/>
  <c r="H75" i="30"/>
  <c r="D69" i="30"/>
  <c r="H59" i="14"/>
  <c r="D53" i="14"/>
  <c r="H53" i="21"/>
  <c r="D47" i="21"/>
  <c r="E41" i="24"/>
  <c r="E42" i="24" s="1"/>
  <c r="F42" i="24" s="1"/>
  <c r="F61" i="34"/>
  <c r="F57" i="38"/>
  <c r="F59" i="36"/>
  <c r="E60" i="36"/>
  <c r="F68" i="39"/>
  <c r="E51" i="10"/>
  <c r="F51" i="10" s="1"/>
  <c r="F32" i="3"/>
  <c r="E53" i="9"/>
  <c r="F53" i="9" s="1"/>
  <c r="F65" i="30"/>
  <c r="E37" i="26"/>
  <c r="F37" i="26" s="1"/>
  <c r="F70" i="46"/>
  <c r="F48" i="15"/>
  <c r="E34" i="6"/>
  <c r="F49" i="14"/>
  <c r="E44" i="21"/>
  <c r="F44" i="21" s="1"/>
  <c r="F55" i="27"/>
  <c r="H57" i="27"/>
  <c r="E70" i="4"/>
  <c r="F70" i="4" s="1"/>
  <c r="F63" i="32"/>
  <c r="E42" i="22"/>
  <c r="F42" i="22" s="1"/>
  <c r="F38" i="25"/>
  <c r="D34" i="1"/>
  <c r="E38" i="26" l="1"/>
  <c r="F38" i="26" s="1"/>
  <c r="E72" i="46"/>
  <c r="F72" i="46" s="1"/>
  <c r="E55" i="8"/>
  <c r="E57" i="8" s="1"/>
  <c r="F57" i="8" s="1"/>
  <c r="E54" i="9"/>
  <c r="F54" i="9" s="1"/>
  <c r="E39" i="23"/>
  <c r="E40" i="23" s="1"/>
  <c r="F40" i="23" s="1"/>
  <c r="E49" i="16"/>
  <c r="E50" i="16" s="1"/>
  <c r="F50" i="16" s="1"/>
  <c r="E62" i="35"/>
  <c r="F62" i="35" s="1"/>
  <c r="E40" i="25"/>
  <c r="E41" i="25" s="1"/>
  <c r="E58" i="28"/>
  <c r="F58" i="28" s="1"/>
  <c r="E52" i="10"/>
  <c r="F52" i="10" s="1"/>
  <c r="E63" i="34"/>
  <c r="F63" i="34" s="1"/>
  <c r="E60" i="37"/>
  <c r="F60" i="37" s="1"/>
  <c r="E67" i="30"/>
  <c r="F67" i="30" s="1"/>
  <c r="E48" i="17"/>
  <c r="F48" i="17" s="1"/>
  <c r="E43" i="22"/>
  <c r="F43" i="22" s="1"/>
  <c r="E71" i="4"/>
  <c r="F71" i="4" s="1"/>
  <c r="E37" i="11"/>
  <c r="F37" i="11" s="1"/>
  <c r="E59" i="38"/>
  <c r="F59" i="38" s="1"/>
  <c r="E47" i="13"/>
  <c r="F47" i="13" s="1"/>
  <c r="F89" i="42"/>
  <c r="J44" i="42"/>
  <c r="F79" i="7"/>
  <c r="J34" i="7"/>
  <c r="F84" i="18"/>
  <c r="J39" i="18"/>
  <c r="F31" i="1"/>
  <c r="E32" i="1"/>
  <c r="F32" i="1" s="1"/>
  <c r="F49" i="15"/>
  <c r="E50" i="15"/>
  <c r="E52" i="15" s="1"/>
  <c r="F52" i="15" s="1"/>
  <c r="H41" i="1"/>
  <c r="D61" i="1"/>
  <c r="J31" i="1"/>
  <c r="F109" i="31"/>
  <c r="J64" i="31"/>
  <c r="F77" i="3"/>
  <c r="J32" i="3"/>
  <c r="F80" i="11"/>
  <c r="J35" i="11"/>
  <c r="F83" i="25"/>
  <c r="J38" i="25"/>
  <c r="F91" i="17"/>
  <c r="J46" i="17"/>
  <c r="E35" i="6"/>
  <c r="E37" i="6" s="1"/>
  <c r="F37" i="6" s="1"/>
  <c r="F34" i="6"/>
  <c r="F35" i="7"/>
  <c r="E36" i="7"/>
  <c r="E37" i="7" s="1"/>
  <c r="F37" i="7" s="1"/>
  <c r="H72" i="34"/>
  <c r="H73" i="34" s="1"/>
  <c r="J62" i="34"/>
  <c r="D92" i="34"/>
  <c r="F33" i="3"/>
  <c r="E34" i="3"/>
  <c r="E35" i="3" s="1"/>
  <c r="F35" i="3" s="1"/>
  <c r="E59" i="28"/>
  <c r="F32" i="2"/>
  <c r="E33" i="2"/>
  <c r="F99" i="5"/>
  <c r="J54" i="5"/>
  <c r="F112" i="41"/>
  <c r="J67" i="41"/>
  <c r="F86" i="22"/>
  <c r="H57" i="17"/>
  <c r="H58" i="17" s="1"/>
  <c r="J47" i="17"/>
  <c r="D77" i="17"/>
  <c r="F115" i="46"/>
  <c r="J70" i="46"/>
  <c r="F98" i="8"/>
  <c r="J53" i="8"/>
  <c r="F111" i="29"/>
  <c r="J66" i="29"/>
  <c r="F87" i="19"/>
  <c r="J42" i="19"/>
  <c r="F107" i="33"/>
  <c r="J62" i="33"/>
  <c r="F81" i="26"/>
  <c r="J36" i="26"/>
  <c r="F100" i="27"/>
  <c r="J55" i="27"/>
  <c r="F90" i="13"/>
  <c r="J45" i="13"/>
  <c r="F88" i="21"/>
  <c r="J43" i="21"/>
  <c r="F95" i="10"/>
  <c r="J50" i="10"/>
  <c r="F60" i="36"/>
  <c r="E61" i="36"/>
  <c r="E63" i="36" s="1"/>
  <c r="F63" i="36" s="1"/>
  <c r="H60" i="14"/>
  <c r="H61" i="14" s="1"/>
  <c r="J50" i="14"/>
  <c r="D80" i="14"/>
  <c r="H64" i="8"/>
  <c r="H65" i="8" s="1"/>
  <c r="D84" i="8"/>
  <c r="J54" i="8"/>
  <c r="F76" i="2"/>
  <c r="J31" i="2"/>
  <c r="F93" i="15"/>
  <c r="J48" i="15"/>
  <c r="H79" i="39"/>
  <c r="H80" i="39" s="1"/>
  <c r="J69" i="39"/>
  <c r="D99" i="39"/>
  <c r="F56" i="27"/>
  <c r="E57" i="27"/>
  <c r="E58" i="27" s="1"/>
  <c r="F58" i="27" s="1"/>
  <c r="E70" i="39"/>
  <c r="F69" i="39"/>
  <c r="F103" i="37"/>
  <c r="J58" i="37"/>
  <c r="F102" i="38"/>
  <c r="J57" i="38"/>
  <c r="F45" i="42"/>
  <c r="E46" i="42"/>
  <c r="F46" i="42" s="1"/>
  <c r="F104" i="36"/>
  <c r="J59" i="36"/>
  <c r="F78" i="6"/>
  <c r="J33" i="6"/>
  <c r="F97" i="9"/>
  <c r="J52" i="9"/>
  <c r="F92" i="16"/>
  <c r="J47" i="16"/>
  <c r="F106" i="34"/>
  <c r="J61" i="34"/>
  <c r="J63" i="34" s="1"/>
  <c r="F101" i="28"/>
  <c r="J56" i="28"/>
  <c r="F114" i="4"/>
  <c r="J69" i="4"/>
  <c r="F113" i="39"/>
  <c r="J68" i="39"/>
  <c r="F82" i="23"/>
  <c r="J37" i="23"/>
  <c r="F94" i="14"/>
  <c r="J49" i="14"/>
  <c r="E45" i="21"/>
  <c r="F45" i="21" s="1"/>
  <c r="F41" i="24"/>
  <c r="E43" i="24"/>
  <c r="E44" i="24"/>
  <c r="F44" i="24" s="1"/>
  <c r="F68" i="41"/>
  <c r="E69" i="41"/>
  <c r="E71" i="41" s="1"/>
  <c r="F71" i="41" s="1"/>
  <c r="H73" i="33"/>
  <c r="J63" i="33"/>
  <c r="D93" i="33"/>
  <c r="H71" i="35"/>
  <c r="H72" i="35" s="1"/>
  <c r="D91" i="35"/>
  <c r="J61" i="35"/>
  <c r="H47" i="26"/>
  <c r="E40" i="26"/>
  <c r="F40" i="26" s="1"/>
  <c r="D67" i="26"/>
  <c r="J37" i="26"/>
  <c r="H58" i="16"/>
  <c r="J48" i="16"/>
  <c r="D78" i="16"/>
  <c r="E41" i="18"/>
  <c r="F40" i="18"/>
  <c r="E51" i="16"/>
  <c r="F51" i="16" s="1"/>
  <c r="H68" i="38"/>
  <c r="H69" i="38" s="1"/>
  <c r="J58" i="38"/>
  <c r="D88" i="38"/>
  <c r="H66" i="27"/>
  <c r="H67" i="27" s="1"/>
  <c r="J56" i="27"/>
  <c r="D86" i="27"/>
  <c r="H42" i="2"/>
  <c r="H43" i="2" s="1"/>
  <c r="E35" i="2"/>
  <c r="F35" i="2" s="1"/>
  <c r="D62" i="2"/>
  <c r="J32" i="2"/>
  <c r="E48" i="13"/>
  <c r="H74" i="32"/>
  <c r="H75" i="32" s="1"/>
  <c r="D94" i="32"/>
  <c r="J64" i="32"/>
  <c r="H63" i="9"/>
  <c r="H64" i="9" s="1"/>
  <c r="D83" i="9"/>
  <c r="J53" i="9"/>
  <c r="H48" i="23"/>
  <c r="H49" i="23" s="1"/>
  <c r="J38" i="23"/>
  <c r="D68" i="23"/>
  <c r="H77" i="29"/>
  <c r="H78" i="29" s="1"/>
  <c r="D97" i="29"/>
  <c r="J67" i="29"/>
  <c r="H59" i="15"/>
  <c r="H60" i="15" s="1"/>
  <c r="D79" i="15"/>
  <c r="J49" i="15"/>
  <c r="H46" i="11"/>
  <c r="H47" i="11" s="1"/>
  <c r="D66" i="11"/>
  <c r="J36" i="11"/>
  <c r="F85" i="24"/>
  <c r="J40" i="24"/>
  <c r="J42" i="24" s="1"/>
  <c r="H54" i="21"/>
  <c r="H55" i="21" s="1"/>
  <c r="J44" i="21"/>
  <c r="D74" i="21"/>
  <c r="H76" i="30"/>
  <c r="H77" i="30" s="1"/>
  <c r="D96" i="30"/>
  <c r="J66" i="30"/>
  <c r="H74" i="33"/>
  <c r="H48" i="26"/>
  <c r="H59" i="16"/>
  <c r="H43" i="3"/>
  <c r="H44" i="3" s="1"/>
  <c r="J33" i="3"/>
  <c r="D63" i="3"/>
  <c r="H81" i="46"/>
  <c r="H82" i="46" s="1"/>
  <c r="E74" i="46"/>
  <c r="F74" i="46" s="1"/>
  <c r="D101" i="46"/>
  <c r="J71" i="46"/>
  <c r="E56" i="5"/>
  <c r="E58" i="5" s="1"/>
  <c r="F58" i="5" s="1"/>
  <c r="E68" i="29"/>
  <c r="E70" i="29" s="1"/>
  <c r="F70" i="29" s="1"/>
  <c r="H61" i="10"/>
  <c r="E54" i="10"/>
  <c r="F54" i="10" s="1"/>
  <c r="D81" i="10"/>
  <c r="J51" i="10"/>
  <c r="H50" i="18"/>
  <c r="E43" i="18"/>
  <c r="F43" i="18" s="1"/>
  <c r="D70" i="18"/>
  <c r="J40" i="18"/>
  <c r="F108" i="32"/>
  <c r="J63" i="32"/>
  <c r="E44" i="19"/>
  <c r="E46" i="19" s="1"/>
  <c r="F46" i="19" s="1"/>
  <c r="F43" i="19"/>
  <c r="E66" i="31"/>
  <c r="E68" i="31" s="1"/>
  <c r="F68" i="31" s="1"/>
  <c r="F65" i="31"/>
  <c r="E65" i="32"/>
  <c r="E67" i="32" s="1"/>
  <c r="F67" i="32" s="1"/>
  <c r="H49" i="25"/>
  <c r="H50" i="25" s="1"/>
  <c r="D69" i="25"/>
  <c r="J39" i="25"/>
  <c r="H52" i="22"/>
  <c r="H53" i="22" s="1"/>
  <c r="D72" i="22"/>
  <c r="H75" i="31"/>
  <c r="H76" i="31" s="1"/>
  <c r="D95" i="31"/>
  <c r="J65" i="31"/>
  <c r="H65" i="5"/>
  <c r="H66" i="5" s="1"/>
  <c r="J55" i="5"/>
  <c r="D85" i="5"/>
  <c r="H67" i="28"/>
  <c r="H68" i="28" s="1"/>
  <c r="E60" i="28"/>
  <c r="F60" i="28" s="1"/>
  <c r="D87" i="28"/>
  <c r="J57" i="28"/>
  <c r="H53" i="19"/>
  <c r="H54" i="19" s="1"/>
  <c r="D73" i="19"/>
  <c r="J43" i="19"/>
  <c r="H70" i="36"/>
  <c r="H71" i="36" s="1"/>
  <c r="D90" i="36"/>
  <c r="J60" i="36"/>
  <c r="E51" i="14"/>
  <c r="E53" i="14" s="1"/>
  <c r="F53" i="14" s="1"/>
  <c r="F50" i="14"/>
  <c r="E42" i="18"/>
  <c r="F42" i="18" s="1"/>
  <c r="E64" i="33"/>
  <c r="E65" i="33" s="1"/>
  <c r="F65" i="33" s="1"/>
  <c r="F63" i="33"/>
  <c r="H44" i="6"/>
  <c r="H45" i="6" s="1"/>
  <c r="J34" i="6"/>
  <c r="D64" i="6"/>
  <c r="H62" i="10"/>
  <c r="H51" i="18"/>
  <c r="H78" i="41"/>
  <c r="H79" i="41" s="1"/>
  <c r="J68" i="41"/>
  <c r="D98" i="41"/>
  <c r="H45" i="7"/>
  <c r="H46" i="7" s="1"/>
  <c r="J35" i="7"/>
  <c r="D65" i="7"/>
  <c r="E49" i="17"/>
  <c r="H80" i="4"/>
  <c r="H81" i="4" s="1"/>
  <c r="E73" i="4"/>
  <c r="J70" i="4"/>
  <c r="D100" i="4"/>
  <c r="H63" i="12"/>
  <c r="H64" i="12" s="1"/>
  <c r="F56" i="12"/>
  <c r="F83" i="12" s="1"/>
  <c r="D83" i="12"/>
  <c r="J53" i="12"/>
  <c r="H69" i="37"/>
  <c r="H70" i="37" s="1"/>
  <c r="D89" i="37"/>
  <c r="J59" i="37"/>
  <c r="H56" i="13"/>
  <c r="H57" i="13" s="1"/>
  <c r="J46" i="13"/>
  <c r="D76" i="13"/>
  <c r="H55" i="42"/>
  <c r="H56" i="42" s="1"/>
  <c r="D75" i="42"/>
  <c r="J45" i="42"/>
  <c r="E39" i="26" l="1"/>
  <c r="F39" i="26" s="1"/>
  <c r="F39" i="23"/>
  <c r="E65" i="34"/>
  <c r="F65" i="34" s="1"/>
  <c r="E41" i="23"/>
  <c r="F41" i="23" s="1"/>
  <c r="J65" i="32"/>
  <c r="E50" i="17"/>
  <c r="F50" i="17" s="1"/>
  <c r="E69" i="30"/>
  <c r="F69" i="30" s="1"/>
  <c r="J51" i="14"/>
  <c r="J70" i="39"/>
  <c r="E64" i="34"/>
  <c r="E66" i="34" s="1"/>
  <c r="E61" i="37"/>
  <c r="F61" i="37" s="1"/>
  <c r="E73" i="46"/>
  <c r="F73" i="46" s="1"/>
  <c r="F40" i="25"/>
  <c r="E55" i="9"/>
  <c r="F55" i="9" s="1"/>
  <c r="E56" i="9"/>
  <c r="F56" i="9" s="1"/>
  <c r="E48" i="42"/>
  <c r="F48" i="42" s="1"/>
  <c r="E49" i="13"/>
  <c r="F49" i="13" s="1"/>
  <c r="E62" i="37"/>
  <c r="F62" i="37" s="1"/>
  <c r="E42" i="25"/>
  <c r="F42" i="25" s="1"/>
  <c r="E64" i="35"/>
  <c r="F64" i="35" s="1"/>
  <c r="E63" i="35"/>
  <c r="F63" i="35" s="1"/>
  <c r="E61" i="38"/>
  <c r="F61" i="38" s="1"/>
  <c r="F55" i="8"/>
  <c r="E56" i="8"/>
  <c r="E52" i="16"/>
  <c r="E53" i="16" s="1"/>
  <c r="F49" i="16"/>
  <c r="E47" i="21"/>
  <c r="F47" i="21" s="1"/>
  <c r="E45" i="22"/>
  <c r="F45" i="22" s="1"/>
  <c r="E45" i="24"/>
  <c r="F45" i="24" s="1"/>
  <c r="E36" i="3"/>
  <c r="F36" i="3" s="1"/>
  <c r="E44" i="22"/>
  <c r="F44" i="22" s="1"/>
  <c r="E68" i="30"/>
  <c r="F68" i="30" s="1"/>
  <c r="E53" i="10"/>
  <c r="F53" i="10" s="1"/>
  <c r="E61" i="28"/>
  <c r="F61" i="28" s="1"/>
  <c r="J58" i="28"/>
  <c r="J35" i="6"/>
  <c r="E60" i="38"/>
  <c r="E66" i="33"/>
  <c r="F66" i="33" s="1"/>
  <c r="J43" i="22"/>
  <c r="J56" i="5"/>
  <c r="E38" i="11"/>
  <c r="F38" i="11" s="1"/>
  <c r="E39" i="11"/>
  <c r="F39" i="11" s="1"/>
  <c r="J47" i="13"/>
  <c r="J38" i="26"/>
  <c r="J44" i="19"/>
  <c r="J55" i="8"/>
  <c r="E72" i="4"/>
  <c r="F70" i="39"/>
  <c r="E51" i="17"/>
  <c r="F51" i="17" s="1"/>
  <c r="F110" i="30"/>
  <c r="J65" i="30"/>
  <c r="J67" i="30" s="1"/>
  <c r="F41" i="18"/>
  <c r="E44" i="18"/>
  <c r="E45" i="18" s="1"/>
  <c r="F45" i="18" s="1"/>
  <c r="J59" i="38"/>
  <c r="J50" i="15"/>
  <c r="J48" i="17"/>
  <c r="J37" i="11"/>
  <c r="J66" i="31"/>
  <c r="E34" i="1"/>
  <c r="F34" i="1" s="1"/>
  <c r="E33" i="1"/>
  <c r="J30" i="1"/>
  <c r="J32" i="1" s="1"/>
  <c r="H40" i="1"/>
  <c r="H42" i="1" s="1"/>
  <c r="F49" i="17"/>
  <c r="J33" i="2"/>
  <c r="J52" i="10"/>
  <c r="J46" i="42"/>
  <c r="F64" i="33"/>
  <c r="F51" i="14"/>
  <c r="F65" i="32"/>
  <c r="E66" i="32"/>
  <c r="F66" i="31"/>
  <c r="E67" i="31"/>
  <c r="F105" i="35"/>
  <c r="J60" i="35"/>
  <c r="J62" i="35" s="1"/>
  <c r="F41" i="25"/>
  <c r="F69" i="41"/>
  <c r="F43" i="24"/>
  <c r="E46" i="24"/>
  <c r="F46" i="24" s="1"/>
  <c r="J39" i="23"/>
  <c r="J71" i="4"/>
  <c r="J54" i="9"/>
  <c r="J61" i="36"/>
  <c r="E71" i="39"/>
  <c r="F71" i="39" s="1"/>
  <c r="E59" i="27"/>
  <c r="F59" i="27" s="1"/>
  <c r="F57" i="27"/>
  <c r="E62" i="36"/>
  <c r="F61" i="36"/>
  <c r="E41" i="26"/>
  <c r="F41" i="26" s="1"/>
  <c r="E46" i="21"/>
  <c r="F46" i="21" s="1"/>
  <c r="J45" i="21"/>
  <c r="J57" i="27"/>
  <c r="J64" i="33"/>
  <c r="J68" i="29"/>
  <c r="J72" i="46"/>
  <c r="J69" i="41"/>
  <c r="F97" i="12"/>
  <c r="J52" i="12"/>
  <c r="J54" i="12" s="1"/>
  <c r="F33" i="2"/>
  <c r="E37" i="3"/>
  <c r="F34" i="3"/>
  <c r="J36" i="7"/>
  <c r="F44" i="19"/>
  <c r="E45" i="19"/>
  <c r="F45" i="19" s="1"/>
  <c r="J49" i="16"/>
  <c r="E57" i="9"/>
  <c r="F57" i="9" s="1"/>
  <c r="E51" i="15"/>
  <c r="F51" i="15" s="1"/>
  <c r="F50" i="15"/>
  <c r="J41" i="18"/>
  <c r="F96" i="12"/>
  <c r="F93" i="12"/>
  <c r="F73" i="4"/>
  <c r="F68" i="29"/>
  <c r="E69" i="29"/>
  <c r="E71" i="29" s="1"/>
  <c r="F71" i="29" s="1"/>
  <c r="E57" i="5"/>
  <c r="F57" i="5" s="1"/>
  <c r="F56" i="5"/>
  <c r="F48" i="13"/>
  <c r="E70" i="41"/>
  <c r="E52" i="14"/>
  <c r="E47" i="42"/>
  <c r="J60" i="37"/>
  <c r="E72" i="39"/>
  <c r="F72" i="39" s="1"/>
  <c r="E34" i="2"/>
  <c r="F59" i="28"/>
  <c r="E38" i="7"/>
  <c r="F38" i="7" s="1"/>
  <c r="F36" i="7"/>
  <c r="F35" i="6"/>
  <c r="E36" i="6"/>
  <c r="J40" i="25"/>
  <c r="J34" i="3"/>
  <c r="E50" i="13" l="1"/>
  <c r="F50" i="13" s="1"/>
  <c r="E63" i="37"/>
  <c r="E64" i="37" s="1"/>
  <c r="F64" i="37" s="1"/>
  <c r="E67" i="33"/>
  <c r="F67" i="33" s="1"/>
  <c r="E42" i="23"/>
  <c r="E43" i="23" s="1"/>
  <c r="F43" i="23" s="1"/>
  <c r="E62" i="28"/>
  <c r="F64" i="34"/>
  <c r="E43" i="25"/>
  <c r="F43" i="25" s="1"/>
  <c r="F52" i="16"/>
  <c r="E55" i="10"/>
  <c r="F55" i="10" s="1"/>
  <c r="E46" i="22"/>
  <c r="F46" i="22" s="1"/>
  <c r="E75" i="46"/>
  <c r="F75" i="46" s="1"/>
  <c r="E70" i="30"/>
  <c r="E71" i="30" s="1"/>
  <c r="F71" i="30" s="1"/>
  <c r="E65" i="35"/>
  <c r="E66" i="35" s="1"/>
  <c r="F66" i="35" s="1"/>
  <c r="F56" i="8"/>
  <c r="E58" i="8"/>
  <c r="E59" i="5"/>
  <c r="F59" i="5" s="1"/>
  <c r="E72" i="29"/>
  <c r="F72" i="29" s="1"/>
  <c r="E62" i="38"/>
  <c r="F60" i="38"/>
  <c r="F98" i="12"/>
  <c r="E60" i="27"/>
  <c r="F60" i="27" s="1"/>
  <c r="E47" i="24"/>
  <c r="F47" i="24" s="1"/>
  <c r="E72" i="41"/>
  <c r="F72" i="41" s="1"/>
  <c r="F72" i="4"/>
  <c r="E74" i="4"/>
  <c r="E40" i="11"/>
  <c r="F40" i="11" s="1"/>
  <c r="E58" i="9"/>
  <c r="F58" i="9" s="1"/>
  <c r="F33" i="1"/>
  <c r="F42" i="23"/>
  <c r="F34" i="2"/>
  <c r="F62" i="28"/>
  <c r="E44" i="23"/>
  <c r="E45" i="23" s="1"/>
  <c r="F45" i="23" s="1"/>
  <c r="E38" i="3"/>
  <c r="F37" i="3"/>
  <c r="F66" i="34"/>
  <c r="E65" i="37"/>
  <c r="E69" i="31"/>
  <c r="E68" i="32"/>
  <c r="E63" i="28"/>
  <c r="F70" i="30"/>
  <c r="E72" i="30"/>
  <c r="E73" i="30" s="1"/>
  <c r="E53" i="15"/>
  <c r="F47" i="42"/>
  <c r="E51" i="13"/>
  <c r="F51" i="13" s="1"/>
  <c r="F52" i="14"/>
  <c r="F70" i="41"/>
  <c r="F69" i="29"/>
  <c r="E47" i="19"/>
  <c r="E39" i="7"/>
  <c r="F39" i="7" s="1"/>
  <c r="E54" i="14"/>
  <c r="E48" i="21"/>
  <c r="E36" i="2"/>
  <c r="F36" i="2" s="1"/>
  <c r="E49" i="42"/>
  <c r="F49" i="42" s="1"/>
  <c r="F44" i="18"/>
  <c r="E67" i="34"/>
  <c r="E35" i="1"/>
  <c r="F35" i="1" s="1"/>
  <c r="F36" i="6"/>
  <c r="E38" i="6"/>
  <c r="F38" i="6" s="1"/>
  <c r="E59" i="9"/>
  <c r="F59" i="9" s="1"/>
  <c r="F53" i="16"/>
  <c r="E54" i="16"/>
  <c r="E73" i="39"/>
  <c r="F62" i="36"/>
  <c r="E64" i="36"/>
  <c r="E47" i="22"/>
  <c r="F67" i="31"/>
  <c r="F66" i="32"/>
  <c r="E42" i="26"/>
  <c r="E46" i="18"/>
  <c r="E52" i="17"/>
  <c r="E56" i="10" l="1"/>
  <c r="E57" i="10" s="1"/>
  <c r="F57" i="10" s="1"/>
  <c r="F63" i="37"/>
  <c r="E68" i="33"/>
  <c r="F65" i="35"/>
  <c r="E44" i="25"/>
  <c r="E73" i="29"/>
  <c r="E74" i="29" s="1"/>
  <c r="E76" i="46"/>
  <c r="E61" i="27"/>
  <c r="E62" i="27" s="1"/>
  <c r="F62" i="27" s="1"/>
  <c r="E41" i="11"/>
  <c r="E42" i="11" s="1"/>
  <c r="F42" i="11" s="1"/>
  <c r="E67" i="35"/>
  <c r="F67" i="35" s="1"/>
  <c r="E60" i="5"/>
  <c r="E61" i="5" s="1"/>
  <c r="F61" i="5" s="1"/>
  <c r="F58" i="8"/>
  <c r="E59" i="8"/>
  <c r="E52" i="13"/>
  <c r="F52" i="13" s="1"/>
  <c r="F74" i="4"/>
  <c r="E75" i="4"/>
  <c r="F75" i="4" s="1"/>
  <c r="F62" i="38"/>
  <c r="E63" i="38"/>
  <c r="E64" i="38" s="1"/>
  <c r="E40" i="7"/>
  <c r="F40" i="7" s="1"/>
  <c r="E48" i="24"/>
  <c r="F76" i="46"/>
  <c r="E77" i="46"/>
  <c r="E78" i="46" s="1"/>
  <c r="F78" i="46" s="1"/>
  <c r="E39" i="6"/>
  <c r="E40" i="6" s="1"/>
  <c r="F40" i="6" s="1"/>
  <c r="E60" i="9"/>
  <c r="F60" i="9" s="1"/>
  <c r="E73" i="41"/>
  <c r="E75" i="29"/>
  <c r="F75" i="29" s="1"/>
  <c r="F74" i="29"/>
  <c r="F47" i="22"/>
  <c r="E48" i="22"/>
  <c r="F48" i="22" s="1"/>
  <c r="F46" i="18"/>
  <c r="E74" i="30"/>
  <c r="E75" i="30" s="1"/>
  <c r="F75" i="30" s="1"/>
  <c r="F73" i="30"/>
  <c r="F47" i="19"/>
  <c r="E48" i="19"/>
  <c r="F48" i="19" s="1"/>
  <c r="E50" i="42"/>
  <c r="F72" i="30"/>
  <c r="F68" i="32"/>
  <c r="F60" i="5"/>
  <c r="F54" i="16"/>
  <c r="E55" i="16"/>
  <c r="E69" i="33"/>
  <c r="F68" i="33"/>
  <c r="E37" i="2"/>
  <c r="F73" i="29"/>
  <c r="E76" i="29"/>
  <c r="F76" i="29" s="1"/>
  <c r="E53" i="13"/>
  <c r="F53" i="13" s="1"/>
  <c r="E66" i="37"/>
  <c r="F65" i="37"/>
  <c r="F38" i="3"/>
  <c r="E39" i="3"/>
  <c r="F44" i="23"/>
  <c r="E46" i="23"/>
  <c r="F46" i="23" s="1"/>
  <c r="E47" i="18"/>
  <c r="F47" i="18" s="1"/>
  <c r="E70" i="31"/>
  <c r="F70" i="31" s="1"/>
  <c r="F69" i="31"/>
  <c r="F52" i="17"/>
  <c r="E53" i="17"/>
  <c r="F53" i="17" s="1"/>
  <c r="F42" i="26"/>
  <c r="E43" i="26"/>
  <c r="F43" i="26" s="1"/>
  <c r="E36" i="1"/>
  <c r="F36" i="1" s="1"/>
  <c r="F64" i="36"/>
  <c r="E65" i="36"/>
  <c r="E66" i="36" s="1"/>
  <c r="E74" i="39"/>
  <c r="F73" i="39"/>
  <c r="E68" i="34"/>
  <c r="F67" i="34"/>
  <c r="E49" i="21"/>
  <c r="F49" i="21" s="1"/>
  <c r="F48" i="21"/>
  <c r="F54" i="14"/>
  <c r="E55" i="14"/>
  <c r="F53" i="15"/>
  <c r="E54" i="15"/>
  <c r="F63" i="28"/>
  <c r="E64" i="28"/>
  <c r="E65" i="28" s="1"/>
  <c r="F65" i="28" s="1"/>
  <c r="E69" i="32"/>
  <c r="F56" i="10"/>
  <c r="F39" i="6" l="1"/>
  <c r="F61" i="27"/>
  <c r="E58" i="10"/>
  <c r="F44" i="25"/>
  <c r="E45" i="25"/>
  <c r="E43" i="11"/>
  <c r="F41" i="11"/>
  <c r="E63" i="27"/>
  <c r="F63" i="27" s="1"/>
  <c r="E50" i="21"/>
  <c r="F50" i="21" s="1"/>
  <c r="E68" i="35"/>
  <c r="F59" i="8"/>
  <c r="E60" i="8"/>
  <c r="E61" i="9"/>
  <c r="F61" i="9" s="1"/>
  <c r="E54" i="17"/>
  <c r="F54" i="17" s="1"/>
  <c r="E47" i="23"/>
  <c r="E68" i="23" s="1"/>
  <c r="E83" i="23" s="1"/>
  <c r="E71" i="31"/>
  <c r="F71" i="31" s="1"/>
  <c r="E76" i="4"/>
  <c r="F64" i="38"/>
  <c r="E49" i="22"/>
  <c r="F49" i="22" s="1"/>
  <c r="E49" i="19"/>
  <c r="E97" i="29"/>
  <c r="E112" i="29" s="1"/>
  <c r="F73" i="41"/>
  <c r="E74" i="41"/>
  <c r="F74" i="41" s="1"/>
  <c r="F77" i="46"/>
  <c r="E79" i="46"/>
  <c r="F79" i="46" s="1"/>
  <c r="E41" i="7"/>
  <c r="F41" i="7" s="1"/>
  <c r="F97" i="29"/>
  <c r="F107" i="29" s="1"/>
  <c r="F48" i="24"/>
  <c r="E49" i="24"/>
  <c r="E65" i="38"/>
  <c r="F65" i="38" s="1"/>
  <c r="F63" i="38"/>
  <c r="F55" i="14"/>
  <c r="E56" i="14"/>
  <c r="F56" i="14" s="1"/>
  <c r="F66" i="36"/>
  <c r="E67" i="36"/>
  <c r="F67" i="36" s="1"/>
  <c r="E56" i="16"/>
  <c r="F55" i="16"/>
  <c r="E55" i="17"/>
  <c r="F47" i="23"/>
  <c r="F68" i="23" s="1"/>
  <c r="E48" i="18"/>
  <c r="F43" i="11"/>
  <c r="E44" i="11"/>
  <c r="E45" i="11" s="1"/>
  <c r="F45" i="11" s="1"/>
  <c r="F68" i="34"/>
  <c r="F39" i="3"/>
  <c r="F58" i="10"/>
  <c r="E59" i="10"/>
  <c r="F59" i="10" s="1"/>
  <c r="F69" i="33"/>
  <c r="E70" i="33"/>
  <c r="F69" i="32"/>
  <c r="F74" i="39"/>
  <c r="E75" i="39"/>
  <c r="F75" i="39" s="1"/>
  <c r="E69" i="34"/>
  <c r="F65" i="36"/>
  <c r="E40" i="3"/>
  <c r="F40" i="3" s="1"/>
  <c r="F66" i="37"/>
  <c r="E67" i="37"/>
  <c r="F110" i="29"/>
  <c r="F112" i="29" s="1"/>
  <c r="F37" i="2"/>
  <c r="E38" i="2"/>
  <c r="E41" i="6"/>
  <c r="F41" i="6" s="1"/>
  <c r="E70" i="32"/>
  <c r="F74" i="30"/>
  <c r="F96" i="30" s="1"/>
  <c r="E96" i="30"/>
  <c r="E111" i="30" s="1"/>
  <c r="E62" i="5"/>
  <c r="F75" i="1"/>
  <c r="F64" i="28"/>
  <c r="E66" i="28"/>
  <c r="F66" i="28" s="1"/>
  <c r="F54" i="15"/>
  <c r="E55" i="15"/>
  <c r="E51" i="21"/>
  <c r="E44" i="26"/>
  <c r="F44" i="26" s="1"/>
  <c r="E37" i="1"/>
  <c r="E54" i="13"/>
  <c r="F50" i="42"/>
  <c r="E51" i="42"/>
  <c r="F45" i="25" l="1"/>
  <c r="E46" i="25"/>
  <c r="E64" i="27"/>
  <c r="E57" i="14"/>
  <c r="F57" i="14" s="1"/>
  <c r="E62" i="9"/>
  <c r="E50" i="22"/>
  <c r="F50" i="22" s="1"/>
  <c r="F87" i="28"/>
  <c r="F97" i="28" s="1"/>
  <c r="E72" i="31"/>
  <c r="E73" i="31" s="1"/>
  <c r="F68" i="35"/>
  <c r="E69" i="35"/>
  <c r="F69" i="35" s="1"/>
  <c r="E61" i="8"/>
  <c r="F60" i="8"/>
  <c r="E42" i="6"/>
  <c r="F42" i="6" s="1"/>
  <c r="E42" i="7"/>
  <c r="F42" i="7" s="1"/>
  <c r="E80" i="46"/>
  <c r="F80" i="46" s="1"/>
  <c r="F101" i="46" s="1"/>
  <c r="F76" i="4"/>
  <c r="E77" i="4"/>
  <c r="F77" i="4" s="1"/>
  <c r="F49" i="19"/>
  <c r="E66" i="38"/>
  <c r="E87" i="28"/>
  <c r="E102" i="28" s="1"/>
  <c r="E63" i="5"/>
  <c r="F63" i="5" s="1"/>
  <c r="F49" i="24"/>
  <c r="E50" i="24"/>
  <c r="F50" i="24" s="1"/>
  <c r="E75" i="41"/>
  <c r="F75" i="41" s="1"/>
  <c r="E50" i="19"/>
  <c r="F69" i="34"/>
  <c r="E70" i="34"/>
  <c r="F106" i="30"/>
  <c r="F109" i="30"/>
  <c r="F111" i="30" s="1"/>
  <c r="F55" i="17"/>
  <c r="E56" i="17"/>
  <c r="E56" i="15"/>
  <c r="F56" i="15" s="1"/>
  <c r="F55" i="15"/>
  <c r="F62" i="9"/>
  <c r="F83" i="9" s="1"/>
  <c r="E83" i="9"/>
  <c r="E98" i="9" s="1"/>
  <c r="E43" i="6"/>
  <c r="F67" i="37"/>
  <c r="E68" i="37"/>
  <c r="E76" i="39"/>
  <c r="E49" i="18"/>
  <c r="F49" i="18" s="1"/>
  <c r="F48" i="18"/>
  <c r="E45" i="26"/>
  <c r="F70" i="32"/>
  <c r="E71" i="32"/>
  <c r="F71" i="32" s="1"/>
  <c r="F54" i="13"/>
  <c r="E55" i="13"/>
  <c r="E41" i="3"/>
  <c r="E68" i="36"/>
  <c r="F68" i="36" s="1"/>
  <c r="F70" i="33"/>
  <c r="E71" i="33"/>
  <c r="F71" i="33" s="1"/>
  <c r="E58" i="14"/>
  <c r="F44" i="11"/>
  <c r="F66" i="11" s="1"/>
  <c r="E66" i="11"/>
  <c r="E81" i="11" s="1"/>
  <c r="E60" i="10"/>
  <c r="F51" i="42"/>
  <c r="E52" i="42"/>
  <c r="F52" i="42" s="1"/>
  <c r="F37" i="1"/>
  <c r="E38" i="1"/>
  <c r="E52" i="21"/>
  <c r="F52" i="21" s="1"/>
  <c r="F51" i="21"/>
  <c r="F62" i="5"/>
  <c r="F38" i="2"/>
  <c r="E39" i="2"/>
  <c r="F64" i="27"/>
  <c r="E65" i="27"/>
  <c r="E51" i="22"/>
  <c r="F81" i="23"/>
  <c r="F83" i="23" s="1"/>
  <c r="F78" i="23"/>
  <c r="F56" i="16"/>
  <c r="E57" i="16"/>
  <c r="F57" i="16" s="1"/>
  <c r="E47" i="25" l="1"/>
  <c r="F46" i="25"/>
  <c r="F72" i="31"/>
  <c r="F100" i="28"/>
  <c r="F102" i="28" s="1"/>
  <c r="E101" i="46"/>
  <c r="E116" i="46" s="1"/>
  <c r="E72" i="32"/>
  <c r="F71" i="24"/>
  <c r="E70" i="35"/>
  <c r="F70" i="35" s="1"/>
  <c r="F91" i="35" s="1"/>
  <c r="F61" i="8"/>
  <c r="E62" i="8"/>
  <c r="E71" i="24"/>
  <c r="E86" i="24" s="1"/>
  <c r="E43" i="7"/>
  <c r="F43" i="7" s="1"/>
  <c r="E76" i="41"/>
  <c r="E78" i="4"/>
  <c r="F84" i="24"/>
  <c r="F86" i="24" s="1"/>
  <c r="F81" i="24"/>
  <c r="F50" i="19"/>
  <c r="E53" i="21"/>
  <c r="F53" i="21" s="1"/>
  <c r="F74" i="21" s="1"/>
  <c r="F87" i="21" s="1"/>
  <c r="F89" i="21" s="1"/>
  <c r="E70" i="18"/>
  <c r="E85" i="18" s="1"/>
  <c r="F66" i="38"/>
  <c r="E67" i="38"/>
  <c r="F67" i="38" s="1"/>
  <c r="F111" i="46"/>
  <c r="F114" i="46"/>
  <c r="F116" i="46" s="1"/>
  <c r="F78" i="16"/>
  <c r="F88" i="16" s="1"/>
  <c r="E78" i="16"/>
  <c r="E93" i="16" s="1"/>
  <c r="E51" i="19"/>
  <c r="F51" i="19" s="1"/>
  <c r="E64" i="5"/>
  <c r="F76" i="11"/>
  <c r="F79" i="11"/>
  <c r="F81" i="11" s="1"/>
  <c r="F38" i="1"/>
  <c r="E39" i="1"/>
  <c r="F58" i="14"/>
  <c r="E59" i="14"/>
  <c r="F96" i="9"/>
  <c r="F98" i="9" s="1"/>
  <c r="F93" i="9"/>
  <c r="F55" i="13"/>
  <c r="F76" i="13" s="1"/>
  <c r="E76" i="13"/>
  <c r="E91" i="13" s="1"/>
  <c r="F70" i="18"/>
  <c r="E57" i="15"/>
  <c r="F73" i="31"/>
  <c r="E74" i="31"/>
  <c r="F39" i="2"/>
  <c r="F72" i="32"/>
  <c r="E73" i="32"/>
  <c r="F51" i="22"/>
  <c r="F72" i="22" s="1"/>
  <c r="E72" i="22"/>
  <c r="E87" i="22" s="1"/>
  <c r="F65" i="27"/>
  <c r="F86" i="27" s="1"/>
  <c r="E86" i="27"/>
  <c r="E101" i="27" s="1"/>
  <c r="E40" i="2"/>
  <c r="F45" i="26"/>
  <c r="E46" i="26"/>
  <c r="F76" i="39"/>
  <c r="E77" i="39"/>
  <c r="F43" i="6"/>
  <c r="F64" i="6" s="1"/>
  <c r="E64" i="6"/>
  <c r="E79" i="6" s="1"/>
  <c r="F56" i="17"/>
  <c r="F77" i="17" s="1"/>
  <c r="E77" i="17"/>
  <c r="E92" i="17" s="1"/>
  <c r="F70" i="34"/>
  <c r="E71" i="34"/>
  <c r="E53" i="42"/>
  <c r="F41" i="3"/>
  <c r="E42" i="3"/>
  <c r="F68" i="37"/>
  <c r="F89" i="37" s="1"/>
  <c r="E89" i="37"/>
  <c r="E104" i="37" s="1"/>
  <c r="F60" i="10"/>
  <c r="F81" i="10" s="1"/>
  <c r="E81" i="10"/>
  <c r="E96" i="10" s="1"/>
  <c r="E69" i="36"/>
  <c r="E72" i="33"/>
  <c r="F47" i="25" l="1"/>
  <c r="E48" i="25"/>
  <c r="F91" i="16"/>
  <c r="F93" i="16" s="1"/>
  <c r="E91" i="35"/>
  <c r="E106" i="35" s="1"/>
  <c r="F104" i="35"/>
  <c r="F106" i="35" s="1"/>
  <c r="F101" i="35"/>
  <c r="E88" i="38"/>
  <c r="E103" i="38" s="1"/>
  <c r="F62" i="8"/>
  <c r="E63" i="8"/>
  <c r="F63" i="8" s="1"/>
  <c r="E74" i="21"/>
  <c r="E89" i="21" s="1"/>
  <c r="E44" i="7"/>
  <c r="F84" i="21"/>
  <c r="E79" i="4"/>
  <c r="F78" i="4"/>
  <c r="F76" i="41"/>
  <c r="E77" i="41"/>
  <c r="F77" i="41" s="1"/>
  <c r="E52" i="19"/>
  <c r="F52" i="19" s="1"/>
  <c r="F73" i="19" s="1"/>
  <c r="F88" i="38"/>
  <c r="F64" i="5"/>
  <c r="F85" i="5" s="1"/>
  <c r="E85" i="5"/>
  <c r="E100" i="5" s="1"/>
  <c r="F85" i="22"/>
  <c r="F87" i="22" s="1"/>
  <c r="F82" i="22"/>
  <c r="F39" i="1"/>
  <c r="E40" i="1"/>
  <c r="F53" i="42"/>
  <c r="E54" i="42"/>
  <c r="F90" i="17"/>
  <c r="F92" i="17" s="1"/>
  <c r="F87" i="17"/>
  <c r="F73" i="32"/>
  <c r="F94" i="32" s="1"/>
  <c r="E94" i="32"/>
  <c r="E109" i="32" s="1"/>
  <c r="F74" i="31"/>
  <c r="F95" i="31" s="1"/>
  <c r="E95" i="31"/>
  <c r="E110" i="31" s="1"/>
  <c r="F77" i="39"/>
  <c r="E78" i="39"/>
  <c r="F80" i="18"/>
  <c r="F83" i="18"/>
  <c r="F85" i="18" s="1"/>
  <c r="F102" i="37"/>
  <c r="F104" i="37" s="1"/>
  <c r="F99" i="37"/>
  <c r="F71" i="34"/>
  <c r="F92" i="34" s="1"/>
  <c r="E92" i="34"/>
  <c r="E107" i="34" s="1"/>
  <c r="F46" i="26"/>
  <c r="F67" i="26" s="1"/>
  <c r="E67" i="26"/>
  <c r="E82" i="26" s="1"/>
  <c r="F99" i="27"/>
  <c r="F101" i="27" s="1"/>
  <c r="F96" i="27"/>
  <c r="F86" i="13"/>
  <c r="F89" i="13"/>
  <c r="F91" i="13" s="1"/>
  <c r="F59" i="14"/>
  <c r="F80" i="14" s="1"/>
  <c r="E80" i="14"/>
  <c r="E95" i="14" s="1"/>
  <c r="F69" i="36"/>
  <c r="F90" i="36" s="1"/>
  <c r="E90" i="36"/>
  <c r="E105" i="36" s="1"/>
  <c r="F40" i="2"/>
  <c r="E41" i="2"/>
  <c r="F91" i="10"/>
  <c r="F94" i="10"/>
  <c r="F96" i="10" s="1"/>
  <c r="F72" i="33"/>
  <c r="F93" i="33" s="1"/>
  <c r="E93" i="33"/>
  <c r="E108" i="33" s="1"/>
  <c r="F42" i="3"/>
  <c r="F63" i="3" s="1"/>
  <c r="E63" i="3"/>
  <c r="E78" i="3" s="1"/>
  <c r="F74" i="6"/>
  <c r="F77" i="6"/>
  <c r="F79" i="6" s="1"/>
  <c r="F57" i="15"/>
  <c r="E58" i="15"/>
  <c r="F48" i="25" l="1"/>
  <c r="F69" i="25" s="1"/>
  <c r="E69" i="25"/>
  <c r="E84" i="25" s="1"/>
  <c r="F98" i="41"/>
  <c r="F111" i="41" s="1"/>
  <c r="F113" i="41" s="1"/>
  <c r="F84" i="8"/>
  <c r="F94" i="8" s="1"/>
  <c r="E84" i="8"/>
  <c r="E99" i="8" s="1"/>
  <c r="F44" i="7"/>
  <c r="F65" i="7" s="1"/>
  <c r="E65" i="7"/>
  <c r="E80" i="7" s="1"/>
  <c r="E100" i="4"/>
  <c r="E115" i="4" s="1"/>
  <c r="F79" i="4"/>
  <c r="F100" i="4" s="1"/>
  <c r="F108" i="41"/>
  <c r="E98" i="41"/>
  <c r="E113" i="41" s="1"/>
  <c r="F98" i="38"/>
  <c r="F101" i="38"/>
  <c r="F103" i="38" s="1"/>
  <c r="F95" i="5"/>
  <c r="F98" i="5"/>
  <c r="F100" i="5" s="1"/>
  <c r="F83" i="19"/>
  <c r="F86" i="19"/>
  <c r="F88" i="19" s="1"/>
  <c r="E73" i="19"/>
  <c r="E88" i="19" s="1"/>
  <c r="F58" i="15"/>
  <c r="F79" i="15" s="1"/>
  <c r="E79" i="15"/>
  <c r="E94" i="15" s="1"/>
  <c r="F76" i="3"/>
  <c r="F78" i="3" s="1"/>
  <c r="F73" i="3"/>
  <c r="F100" i="36"/>
  <c r="F103" i="36"/>
  <c r="F105" i="36" s="1"/>
  <c r="F77" i="26"/>
  <c r="F80" i="26"/>
  <c r="F82" i="26" s="1"/>
  <c r="F104" i="32"/>
  <c r="F107" i="32"/>
  <c r="F109" i="32" s="1"/>
  <c r="F78" i="39"/>
  <c r="F99" i="39" s="1"/>
  <c r="E99" i="39"/>
  <c r="E114" i="39" s="1"/>
  <c r="F41" i="2"/>
  <c r="F62" i="2" s="1"/>
  <c r="E62" i="2"/>
  <c r="E77" i="2" s="1"/>
  <c r="F40" i="1"/>
  <c r="F61" i="1" s="1"/>
  <c r="E61" i="1"/>
  <c r="E76" i="1" s="1"/>
  <c r="F54" i="42"/>
  <c r="F75" i="42" s="1"/>
  <c r="E75" i="42"/>
  <c r="E90" i="42" s="1"/>
  <c r="F103" i="33"/>
  <c r="F106" i="33"/>
  <c r="F108" i="33" s="1"/>
  <c r="F93" i="14"/>
  <c r="F95" i="14" s="1"/>
  <c r="F90" i="14"/>
  <c r="F102" i="34"/>
  <c r="F105" i="34"/>
  <c r="F107" i="34" s="1"/>
  <c r="F105" i="31"/>
  <c r="F108" i="31"/>
  <c r="F110" i="31" s="1"/>
  <c r="F82" i="25" l="1"/>
  <c r="F84" i="25" s="1"/>
  <c r="F79" i="25"/>
  <c r="F97" i="8"/>
  <c r="F99" i="8" s="1"/>
  <c r="F75" i="7"/>
  <c r="F78" i="7"/>
  <c r="F80" i="7" s="1"/>
  <c r="F113" i="4"/>
  <c r="F115" i="4" s="1"/>
  <c r="F110" i="4"/>
  <c r="F74" i="1"/>
  <c r="F76" i="1" s="1"/>
  <c r="F71" i="1"/>
  <c r="F112" i="39"/>
  <c r="F114" i="39" s="1"/>
  <c r="F109" i="39"/>
  <c r="F88" i="42"/>
  <c r="F90" i="42" s="1"/>
  <c r="F85" i="42"/>
  <c r="F72" i="2"/>
  <c r="F75" i="2"/>
  <c r="F77" i="2" s="1"/>
  <c r="F89" i="15"/>
  <c r="F92" i="15"/>
  <c r="F94" i="15" s="1"/>
</calcChain>
</file>

<file path=xl/sharedStrings.xml><?xml version="1.0" encoding="utf-8"?>
<sst xmlns="http://schemas.openxmlformats.org/spreadsheetml/2006/main" count="4102" uniqueCount="97">
  <si>
    <t>Value of  WPU:</t>
  </si>
  <si>
    <t>Utah  State Supported Minimum School Program</t>
  </si>
  <si>
    <t>Collection Rate:</t>
  </si>
  <si>
    <t>Recipient:</t>
  </si>
  <si>
    <t>Basic Program Tax Rate:</t>
  </si>
  <si>
    <t>Local Revenue Produced:</t>
  </si>
  <si>
    <t>State</t>
  </si>
  <si>
    <t>Less Local</t>
  </si>
  <si>
    <t>Local Revenue Required:</t>
  </si>
  <si>
    <t>Amount</t>
  </si>
  <si>
    <t>Support</t>
  </si>
  <si>
    <t>Recapture:</t>
  </si>
  <si>
    <t>Generated</t>
  </si>
  <si>
    <t>I:  BASIC SCHOOL PROGRAMS:</t>
  </si>
  <si>
    <t xml:space="preserve"> </t>
  </si>
  <si>
    <t xml:space="preserve">   A:  REGULAR BASIC SCHOOL PROGRAMS</t>
  </si>
  <si>
    <t xml:space="preserve">            1.  Grades K-12</t>
  </si>
  <si>
    <t xml:space="preserve">            2.  Nec. Existent Small Rural Schools</t>
  </si>
  <si>
    <t xml:space="preserve">            3.  Professional Staff</t>
  </si>
  <si>
    <t xml:space="preserve">            4.  Administrative Costs</t>
  </si>
  <si>
    <t xml:space="preserve">   B.  RESTRICTED BASIC SCHOOL PROGRAM</t>
  </si>
  <si>
    <t xml:space="preserve">            1.  Special Education -- Add-On</t>
  </si>
  <si>
    <t xml:space="preserve">            2.  Special Education -- Self-Contained</t>
  </si>
  <si>
    <t xml:space="preserve">            3.  Special Education -- Pre-School</t>
  </si>
  <si>
    <t xml:space="preserve">            4.  Extended Yr. Pgm. -- Severely Disabled</t>
  </si>
  <si>
    <t xml:space="preserve">            2.  Pupil Transportation</t>
  </si>
  <si>
    <t xml:space="preserve">   C.  RELATED TO BASIC PROGRAM</t>
  </si>
  <si>
    <t xml:space="preserve">            3. Transportation Levy</t>
  </si>
  <si>
    <t>TOTAL BASIC SCHOOL PROGRAM (A and B)</t>
  </si>
  <si>
    <t>TOTAL:</t>
  </si>
  <si>
    <t>III: ONE-TIME</t>
  </si>
  <si>
    <t>IV: LEEWAY PROGRAMS</t>
  </si>
  <si>
    <t>Adjusted Assessed Valuation:</t>
  </si>
  <si>
    <t xml:space="preserve">     A.  Capital Outlay</t>
  </si>
  <si>
    <t xml:space="preserve">             1.  Capital Outlay Foundation</t>
  </si>
  <si>
    <t xml:space="preserve">     B.  U-PASS Administration</t>
  </si>
  <si>
    <t>Total</t>
  </si>
  <si>
    <t xml:space="preserve">  </t>
  </si>
  <si>
    <t>Local &amp; State</t>
  </si>
  <si>
    <t>WPUs</t>
  </si>
  <si>
    <t>I:  OTHER STATE PROGRAMS</t>
  </si>
  <si>
    <t>District Summary</t>
  </si>
  <si>
    <t xml:space="preserve">            5.  Foreign Exchange Students</t>
  </si>
  <si>
    <t>Regular Programs</t>
  </si>
  <si>
    <t>Special Ed</t>
  </si>
  <si>
    <t>Total Basic</t>
  </si>
  <si>
    <t xml:space="preserve">CTE          </t>
  </si>
  <si>
    <t>Related to Basic</t>
  </si>
  <si>
    <t>Special Populations</t>
  </si>
  <si>
    <t>Total Other</t>
  </si>
  <si>
    <t>One Time</t>
  </si>
  <si>
    <t>Leeways</t>
  </si>
  <si>
    <t>Total A- E</t>
  </si>
  <si>
    <t>TOTAL STATE SUPPORT FUNDING</t>
  </si>
  <si>
    <t>Total Capital Outlay</t>
  </si>
  <si>
    <t>Total in MSP 4 does include UPASS total in MSP Other</t>
  </si>
  <si>
    <t xml:space="preserve">            1. Flexible Allocation WPU Distribution</t>
  </si>
  <si>
    <t xml:space="preserve">            6.  Special Education -- State Programs-Extended Year</t>
  </si>
  <si>
    <t xml:space="preserve">            7.  Career and Technical Ed. -- Add-On</t>
  </si>
  <si>
    <t xml:space="preserve">            8.  Class Size Reduction -- K - 8th Grade</t>
  </si>
  <si>
    <t xml:space="preserve">            1.  Teacher Supplies and Materials</t>
  </si>
  <si>
    <t>Voted Local Levy:</t>
  </si>
  <si>
    <t>Board Local Levy:</t>
  </si>
  <si>
    <t xml:space="preserve">            2.  Special Education - Intensive Services</t>
  </si>
  <si>
    <t xml:space="preserve">            6.  Special Ed -- State Programs-Intensive Services</t>
  </si>
  <si>
    <t xml:space="preserve">             3.  Enrollment Growth</t>
  </si>
  <si>
    <t xml:space="preserve">             2.  Foundation Guarantee SB97</t>
  </si>
  <si>
    <t xml:space="preserve">             4.  Enrollment Growth SB97</t>
  </si>
  <si>
    <t xml:space="preserve">             2.  Board Local Levy Program and SB97</t>
  </si>
  <si>
    <t xml:space="preserve">             1.  Voted Local Levy Program and SB97</t>
  </si>
  <si>
    <t>Local Revenue Contribution:</t>
  </si>
  <si>
    <t xml:space="preserve">            5.  Special Education -- Impact Aid</t>
  </si>
  <si>
    <t xml:space="preserve">            4.  Pupil Transportation Grants for Unsafe Routes </t>
  </si>
  <si>
    <t xml:space="preserve">            5.  Enhancement for Accelerated Students</t>
  </si>
  <si>
    <t xml:space="preserve">            6. Enhancement for At-Risk Students</t>
  </si>
  <si>
    <t xml:space="preserve">            7 . Gang Prevention</t>
  </si>
  <si>
    <t xml:space="preserve">            8. At-Risk - Youth in Custody</t>
  </si>
  <si>
    <t xml:space="preserve">            9. Adult Education</t>
  </si>
  <si>
    <t xml:space="preserve">          11. Concurrent Enrollment</t>
  </si>
  <si>
    <t xml:space="preserve">          10. Adult Education Supplemental</t>
  </si>
  <si>
    <t xml:space="preserve">          12.  Paraeducator Funding</t>
  </si>
  <si>
    <t xml:space="preserve">          13.  School LAND Trust</t>
  </si>
  <si>
    <t xml:space="preserve">          14.  Performance Plus - State Reading Achievement</t>
  </si>
  <si>
    <t xml:space="preserve">          15.  Early Intervention</t>
  </si>
  <si>
    <t xml:space="preserve">          16.  School Nurses</t>
  </si>
  <si>
    <t xml:space="preserve">          17.  Beverley Taylor Sorenson Elementary Arts</t>
  </si>
  <si>
    <t xml:space="preserve">          18.  Critical Languages Program &amp; Dual Immersion</t>
  </si>
  <si>
    <t xml:space="preserve">          19.  Educator Salary Adjustments</t>
  </si>
  <si>
    <t xml:space="preserve">          20.  Library Books and Electronic Resources</t>
  </si>
  <si>
    <t xml:space="preserve">          21.  Teacher Salary Supplement Restricted Act.</t>
  </si>
  <si>
    <t xml:space="preserve">          22.  USTAR Centers</t>
  </si>
  <si>
    <t xml:space="preserve">            3.  State Capitol Field Trips</t>
  </si>
  <si>
    <t xml:space="preserve">            4.  Digital Teaching and Learning</t>
  </si>
  <si>
    <t xml:space="preserve">          23.  Digital Teaching and Learning</t>
  </si>
  <si>
    <t xml:space="preserve">RECAPTURE:  </t>
  </si>
  <si>
    <t>FY 2017 FINAL UPDATE</t>
  </si>
  <si>
    <t>This amount is recapture and will not tie back to the book as the MSP Final book nets the recapture against remaining state funds.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</si>
</sst>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42" formatCode="_(&quot;$&quot;* #,##0_);_(&quot;$&quot;* \(#,##0\);_(&quot;$&quot;* &quot;-&quot;_);_(@_)"/>
    <numFmt numFmtId="164" formatCode="#,###.000"/>
    <numFmt numFmtId="165" formatCode="0.000000"/>
    <numFmt numFmtId="166" formatCode="00.00%"/>
    <numFmt numFmtId="167" formatCode="#,##0;\(#,##0\)"/>
    <numFmt numFmtId="168" formatCode="#,##0.000;\(#,##0.000\)"/>
  </numFmts>
  <fonts count="16" x14ac:knownFonts="1">
    <font>
      <sz val="10"/>
      <name val="MS Sans Serif"/>
    </font>
    <font>
      <sz val="9"/>
      <color rgb="FFFF0000"/>
      <name val="Helv"/>
    </font>
    <font>
      <sz val="10"/>
      <color rgb="FFFF0000"/>
      <name val="MS Sans Serif"/>
      <family val="2"/>
    </font>
    <font>
      <b/>
      <sz val="9"/>
      <color rgb="FFFF0000"/>
      <name val="Helv"/>
    </font>
    <font>
      <b/>
      <sz val="10"/>
      <color rgb="FFFF0000"/>
      <name val="MS Sans Serif"/>
      <family val="2"/>
    </font>
    <font>
      <b/>
      <sz val="10"/>
      <color rgb="FFFF0000"/>
      <name val="Helv"/>
    </font>
    <font>
      <b/>
      <sz val="9"/>
      <color theme="1"/>
      <name val="Helv"/>
    </font>
    <font>
      <sz val="10"/>
      <color rgb="FF000000"/>
      <name val="MS Sans Serif"/>
      <family val="2"/>
    </font>
    <font>
      <sz val="10"/>
      <color rgb="FF000000"/>
      <name val="MS Sans Serif"/>
    </font>
    <font>
      <sz val="8"/>
      <color rgb="FF000000"/>
      <name val="Helv"/>
    </font>
    <font>
      <sz val="9"/>
      <color rgb="FF000000"/>
      <name val="Helv"/>
    </font>
    <font>
      <b/>
      <sz val="10"/>
      <color rgb="FF000000"/>
      <name val="Helv"/>
    </font>
    <font>
      <b/>
      <sz val="10"/>
      <color rgb="FF000000"/>
      <name val="MS Sans Serif"/>
      <family val="2"/>
    </font>
    <font>
      <b/>
      <sz val="9"/>
      <color rgb="FF000000"/>
      <name val="Helv"/>
    </font>
    <font>
      <sz val="9"/>
      <color rgb="FF000000"/>
      <name val="MS Sans Serif"/>
      <family val="2"/>
    </font>
    <font>
      <i/>
      <sz val="8"/>
      <color rgb="FF000000"/>
      <name val="Helv"/>
    </font>
  </fonts>
  <fills count="3">
    <fill>
      <patternFill patternType="none"/>
    </fill>
    <fill>
      <patternFill patternType="gray125"/>
    </fill>
    <fill>
      <patternFill patternType="solid">
        <fgColor rgb="FFFFFFCC"/>
      </patternFill>
    </fill>
  </fills>
  <borders count="2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7">
    <xf numFmtId="0" fontId="8" fillId="0" borderId="0"/>
    <xf numFmtId="40" fontId="7" fillId="0" borderId="0" applyFont="0" applyFill="0" applyBorder="0" applyAlignment="0" applyProtection="0"/>
    <xf numFmtId="38" fontId="7" fillId="0" borderId="0" applyFont="0" applyFill="0" applyBorder="0" applyAlignment="0" applyProtection="0"/>
    <xf numFmtId="8" fontId="7" fillId="0" borderId="0" applyFont="0" applyFill="0" applyBorder="0" applyAlignment="0" applyProtection="0"/>
    <xf numFmtId="166" fontId="9" fillId="0" borderId="0" applyFill="0" applyProtection="0">
      <alignment horizontal="right"/>
    </xf>
    <xf numFmtId="42" fontId="8" fillId="0" borderId="0" applyFont="0" applyFill="0" applyBorder="0" applyAlignment="0" applyProtection="0"/>
    <xf numFmtId="0" fontId="8" fillId="2" borderId="1" applyNumberFormat="0" applyFont="0" applyAlignment="0" applyProtection="0"/>
  </cellStyleXfs>
  <cellXfs count="133">
    <xf numFmtId="0" fontId="0" fillId="0" borderId="0" xfId="0"/>
    <xf numFmtId="0" fontId="1" fillId="0" borderId="0" xfId="0" applyFont="1"/>
    <xf numFmtId="37" fontId="1" fillId="0" borderId="0" xfId="0" applyNumberFormat="1" applyFont="1"/>
    <xf numFmtId="0" fontId="1" fillId="0" borderId="0" xfId="0" applyFont="1" applyAlignment="1">
      <alignment horizontal="right"/>
    </xf>
    <xf numFmtId="3" fontId="1" fillId="0" borderId="0" xfId="0" applyNumberFormat="1" applyFont="1"/>
    <xf numFmtId="6" fontId="1" fillId="0" borderId="0" xfId="0" applyNumberFormat="1" applyFont="1"/>
    <xf numFmtId="38" fontId="2" fillId="0" borderId="0" xfId="1" applyNumberFormat="1" applyFont="1"/>
    <xf numFmtId="164" fontId="1" fillId="0" borderId="0" xfId="2" applyNumberFormat="1" applyFont="1"/>
    <xf numFmtId="0" fontId="2" fillId="0" borderId="0" xfId="0" applyFont="1"/>
    <xf numFmtId="164" fontId="3" fillId="0" borderId="0" xfId="2" applyNumberFormat="1" applyFont="1" applyFill="1" applyBorder="1"/>
    <xf numFmtId="0" fontId="1" fillId="0" borderId="0" xfId="0" applyFont="1" applyAlignment="1">
      <alignment horizontal="left"/>
    </xf>
    <xf numFmtId="0" fontId="3" fillId="0" borderId="0" xfId="0" applyFont="1" applyFill="1" applyBorder="1" applyAlignment="1">
      <alignment horizontal="left"/>
    </xf>
    <xf numFmtId="0" fontId="1" fillId="0" borderId="0" xfId="0" applyFont="1" applyFill="1" applyBorder="1"/>
    <xf numFmtId="38" fontId="1" fillId="0" borderId="0" xfId="0" applyNumberFormat="1" applyFont="1" applyAlignment="1">
      <alignment horizontal="right"/>
    </xf>
    <xf numFmtId="167" fontId="1" fillId="0" borderId="0" xfId="0" applyNumberFormat="1" applyFont="1"/>
    <xf numFmtId="0" fontId="4" fillId="0" borderId="0" xfId="0" applyFont="1"/>
    <xf numFmtId="38" fontId="2" fillId="0" borderId="0" xfId="0" applyNumberFormat="1" applyFont="1"/>
    <xf numFmtId="0" fontId="2" fillId="0" borderId="0" xfId="0" applyFont="1" applyBorder="1"/>
    <xf numFmtId="37" fontId="2" fillId="0" borderId="0" xfId="0" applyNumberFormat="1" applyFont="1"/>
    <xf numFmtId="3" fontId="2" fillId="0" borderId="0" xfId="0" applyNumberFormat="1" applyFont="1"/>
    <xf numFmtId="164" fontId="1" fillId="0" borderId="0" xfId="2" applyNumberFormat="1" applyFont="1" applyBorder="1"/>
    <xf numFmtId="0" fontId="5" fillId="0" borderId="0" xfId="0" applyFont="1" applyAlignment="1">
      <alignment horizontal="centerContinuous"/>
    </xf>
    <xf numFmtId="164" fontId="1" fillId="0" borderId="0" xfId="2" applyNumberFormat="1" applyFont="1" applyFill="1" applyBorder="1"/>
    <xf numFmtId="39" fontId="2" fillId="0" borderId="0" xfId="0" applyNumberFormat="1" applyFont="1" applyAlignment="1">
      <alignment horizontal="centerContinuous"/>
    </xf>
    <xf numFmtId="39" fontId="1" fillId="0" borderId="0" xfId="0" applyNumberFormat="1" applyFont="1" applyAlignment="1">
      <alignment horizontal="centerContinuous"/>
    </xf>
    <xf numFmtId="39" fontId="2" fillId="0" borderId="0" xfId="0" applyNumberFormat="1" applyFont="1"/>
    <xf numFmtId="39" fontId="1" fillId="0" borderId="0" xfId="0" applyNumberFormat="1" applyFont="1"/>
    <xf numFmtId="39" fontId="1" fillId="0" borderId="0" xfId="0" applyNumberFormat="1" applyFont="1" applyBorder="1"/>
    <xf numFmtId="39" fontId="1" fillId="0" borderId="0" xfId="2" applyNumberFormat="1" applyFont="1" applyFill="1" applyBorder="1"/>
    <xf numFmtId="39" fontId="1" fillId="0" borderId="0" xfId="0" applyNumberFormat="1" applyFont="1" applyFill="1" applyBorder="1"/>
    <xf numFmtId="40" fontId="1" fillId="0" borderId="0" xfId="0" applyNumberFormat="1" applyFont="1" applyAlignment="1">
      <alignment horizontal="right"/>
    </xf>
    <xf numFmtId="39" fontId="2" fillId="0" borderId="0" xfId="0" quotePrefix="1" applyNumberFormat="1" applyFont="1" applyAlignment="1">
      <alignment horizontal="center"/>
    </xf>
    <xf numFmtId="0" fontId="10" fillId="0" borderId="0" xfId="0" applyFont="1" applyBorder="1"/>
    <xf numFmtId="5" fontId="10" fillId="0" borderId="0" xfId="0" applyNumberFormat="1" applyFont="1" applyAlignment="1">
      <alignment horizontal="right"/>
    </xf>
    <xf numFmtId="0" fontId="11" fillId="0" borderId="0" xfId="0" applyFont="1" applyAlignment="1">
      <alignment horizontal="centerContinuous"/>
    </xf>
    <xf numFmtId="39" fontId="7" fillId="0" borderId="0" xfId="0" applyNumberFormat="1" applyFont="1" applyAlignment="1">
      <alignment horizontal="centerContinuous"/>
    </xf>
    <xf numFmtId="165" fontId="10" fillId="0" borderId="0" xfId="0" applyNumberFormat="1" applyFont="1" applyBorder="1"/>
    <xf numFmtId="39" fontId="12" fillId="0" borderId="0" xfId="0" applyNumberFormat="1" applyFont="1" applyAlignment="1">
      <alignment horizontal="centerContinuous"/>
    </xf>
    <xf numFmtId="0" fontId="10" fillId="0" borderId="0" xfId="0" applyFont="1" applyBorder="1" applyAlignment="1">
      <alignment horizontal="left"/>
    </xf>
    <xf numFmtId="6" fontId="10" fillId="0" borderId="0" xfId="3" applyNumberFormat="1" applyFont="1" applyAlignment="1">
      <alignment horizontal="right"/>
    </xf>
    <xf numFmtId="10" fontId="10" fillId="0" borderId="0" xfId="4" applyNumberFormat="1" applyFont="1">
      <alignment horizontal="right"/>
    </xf>
    <xf numFmtId="39" fontId="11" fillId="0" borderId="2" xfId="0" applyNumberFormat="1" applyFont="1" applyFill="1" applyBorder="1" applyAlignment="1">
      <alignment horizontal="right"/>
    </xf>
    <xf numFmtId="39" fontId="11" fillId="0" borderId="2" xfId="0" applyNumberFormat="1" applyFont="1" applyFill="1" applyBorder="1" applyAlignment="1">
      <alignment horizontal="left"/>
    </xf>
    <xf numFmtId="37" fontId="12" fillId="0" borderId="2" xfId="0" applyNumberFormat="1" applyFont="1" applyFill="1" applyBorder="1" applyAlignment="1">
      <alignment horizontal="center"/>
    </xf>
    <xf numFmtId="0" fontId="13" fillId="0" borderId="0" xfId="4" applyNumberFormat="1" applyFont="1">
      <alignment horizontal="right"/>
    </xf>
    <xf numFmtId="3" fontId="10" fillId="0" borderId="0" xfId="0" applyNumberFormat="1" applyFont="1" applyBorder="1" applyAlignment="1">
      <alignment horizontal="right"/>
    </xf>
    <xf numFmtId="164" fontId="13" fillId="0" borderId="3" xfId="2" applyNumberFormat="1" applyFont="1" applyFill="1" applyBorder="1" applyAlignment="1">
      <alignment horizontal="centerContinuous"/>
    </xf>
    <xf numFmtId="39" fontId="13" fillId="0" borderId="4" xfId="0" applyNumberFormat="1" applyFont="1" applyFill="1" applyBorder="1" applyAlignment="1">
      <alignment horizontal="centerContinuous"/>
    </xf>
    <xf numFmtId="39" fontId="13" fillId="0" borderId="5" xfId="0" applyNumberFormat="1" applyFont="1" applyFill="1" applyBorder="1" applyAlignment="1">
      <alignment horizontal="centerContinuous"/>
    </xf>
    <xf numFmtId="164" fontId="13" fillId="0" borderId="6" xfId="2" applyNumberFormat="1" applyFont="1" applyFill="1" applyBorder="1" applyAlignment="1">
      <alignment horizontal="centerContinuous"/>
    </xf>
    <xf numFmtId="39" fontId="13" fillId="0" borderId="6" xfId="0" applyNumberFormat="1" applyFont="1" applyFill="1" applyBorder="1" applyAlignment="1">
      <alignment horizontal="centerContinuous"/>
    </xf>
    <xf numFmtId="164" fontId="13" fillId="0" borderId="7" xfId="2" applyNumberFormat="1" applyFont="1" applyFill="1" applyBorder="1" applyAlignment="1">
      <alignment horizontal="centerContinuous"/>
    </xf>
    <xf numFmtId="39" fontId="13" fillId="0" borderId="7" xfId="0" applyNumberFormat="1" applyFont="1" applyFill="1" applyBorder="1" applyAlignment="1">
      <alignment horizontal="centerContinuous"/>
    </xf>
    <xf numFmtId="164" fontId="10" fillId="0" borderId="4" xfId="2" applyNumberFormat="1" applyFont="1" applyFill="1" applyBorder="1"/>
    <xf numFmtId="39" fontId="10" fillId="0" borderId="4" xfId="0" applyNumberFormat="1" applyFont="1" applyFill="1" applyBorder="1"/>
    <xf numFmtId="0" fontId="13" fillId="0" borderId="5" xfId="0" quotePrefix="1" applyFont="1" applyFill="1" applyBorder="1" applyAlignment="1">
      <alignment horizontal="left"/>
    </xf>
    <xf numFmtId="0" fontId="10" fillId="0" borderId="8" xfId="0" applyFont="1" applyFill="1" applyBorder="1"/>
    <xf numFmtId="40" fontId="10" fillId="0" borderId="0" xfId="0" applyNumberFormat="1" applyFont="1" applyAlignment="1">
      <alignment horizontal="right"/>
    </xf>
    <xf numFmtId="0" fontId="10" fillId="0" borderId="0" xfId="0" quotePrefix="1" applyFont="1" applyAlignment="1">
      <alignment horizontal="left"/>
    </xf>
    <xf numFmtId="0" fontId="10" fillId="0" borderId="0" xfId="0" applyFont="1"/>
    <xf numFmtId="168" fontId="10" fillId="0" borderId="4" xfId="0" applyNumberFormat="1" applyFont="1" applyFill="1" applyBorder="1" applyProtection="1"/>
    <xf numFmtId="39" fontId="10" fillId="0" borderId="9" xfId="3" applyNumberFormat="1" applyFont="1" applyFill="1" applyBorder="1" applyProtection="1"/>
    <xf numFmtId="39" fontId="10" fillId="0" borderId="4" xfId="3" applyNumberFormat="1" applyFont="1" applyFill="1" applyBorder="1"/>
    <xf numFmtId="164" fontId="1" fillId="0" borderId="4" xfId="2" applyNumberFormat="1" applyFont="1" applyFill="1" applyBorder="1"/>
    <xf numFmtId="39" fontId="1" fillId="0" borderId="4" xfId="0" applyNumberFormat="1" applyFont="1" applyFill="1" applyBorder="1"/>
    <xf numFmtId="0" fontId="13" fillId="0" borderId="5" xfId="0" applyFont="1" applyFill="1" applyBorder="1"/>
    <xf numFmtId="164" fontId="13" fillId="0" borderId="4" xfId="2" applyNumberFormat="1" applyFont="1" applyFill="1" applyBorder="1"/>
    <xf numFmtId="39" fontId="13" fillId="0" borderId="4" xfId="0" applyNumberFormat="1" applyFont="1" applyFill="1" applyBorder="1"/>
    <xf numFmtId="0" fontId="13" fillId="0" borderId="8" xfId="0" quotePrefix="1" applyFont="1" applyFill="1" applyBorder="1" applyAlignment="1">
      <alignment horizontal="left"/>
    </xf>
    <xf numFmtId="164" fontId="10" fillId="0" borderId="8" xfId="2" applyNumberFormat="1" applyFont="1" applyFill="1" applyBorder="1"/>
    <xf numFmtId="39" fontId="10" fillId="0" borderId="4" xfId="0" applyNumberFormat="1" applyFont="1" applyFill="1" applyBorder="1" applyAlignment="1" applyProtection="1">
      <alignment horizontal="right"/>
    </xf>
    <xf numFmtId="0" fontId="10" fillId="0" borderId="0" xfId="0" applyFont="1" applyAlignment="1">
      <alignment horizontal="left"/>
    </xf>
    <xf numFmtId="0" fontId="10" fillId="0" borderId="0" xfId="0" quotePrefix="1" applyFont="1" applyFill="1" applyAlignment="1">
      <alignment horizontal="left"/>
    </xf>
    <xf numFmtId="40" fontId="10" fillId="0" borderId="0" xfId="0" applyNumberFormat="1" applyFont="1"/>
    <xf numFmtId="39" fontId="10" fillId="0" borderId="6" xfId="0" applyNumberFormat="1" applyFont="1" applyFill="1" applyBorder="1"/>
    <xf numFmtId="0" fontId="7" fillId="0" borderId="0" xfId="0" applyFont="1"/>
    <xf numFmtId="39" fontId="14" fillId="0" borderId="4" xfId="0" applyNumberFormat="1" applyFont="1" applyFill="1" applyBorder="1"/>
    <xf numFmtId="39" fontId="10" fillId="0" borderId="10" xfId="0" applyNumberFormat="1" applyFont="1" applyFill="1" applyBorder="1"/>
    <xf numFmtId="0" fontId="10" fillId="0" borderId="5" xfId="0" applyFont="1" applyFill="1" applyBorder="1"/>
    <xf numFmtId="164" fontId="1" fillId="0" borderId="8" xfId="2" applyNumberFormat="1" applyFont="1" applyFill="1" applyBorder="1"/>
    <xf numFmtId="0" fontId="13" fillId="0" borderId="11" xfId="0" applyFont="1" applyFill="1" applyBorder="1" applyAlignment="1">
      <alignment horizontal="left"/>
    </xf>
    <xf numFmtId="0" fontId="10" fillId="0" borderId="11" xfId="0" applyFont="1" applyFill="1" applyBorder="1"/>
    <xf numFmtId="164" fontId="13" fillId="0" borderId="11" xfId="2" applyNumberFormat="1" applyFont="1" applyFill="1" applyBorder="1"/>
    <xf numFmtId="39" fontId="13" fillId="0" borderId="12" xfId="0" applyNumberFormat="1" applyFont="1" applyFill="1" applyBorder="1"/>
    <xf numFmtId="0" fontId="9" fillId="0" borderId="0" xfId="0" quotePrefix="1" applyNumberFormat="1" applyFont="1" applyAlignment="1">
      <alignment horizontal="left"/>
    </xf>
    <xf numFmtId="164" fontId="10" fillId="0" borderId="0" xfId="2" applyNumberFormat="1" applyFont="1"/>
    <xf numFmtId="39" fontId="10" fillId="0" borderId="0" xfId="0" applyNumberFormat="1" applyFont="1"/>
    <xf numFmtId="39" fontId="15" fillId="0" borderId="0" xfId="0" quotePrefix="1" applyNumberFormat="1" applyFont="1" applyAlignment="1">
      <alignment horizontal="left"/>
    </xf>
    <xf numFmtId="0" fontId="13" fillId="0" borderId="3" xfId="0" quotePrefix="1" applyFont="1" applyFill="1" applyBorder="1" applyAlignment="1">
      <alignment horizontal="left"/>
    </xf>
    <xf numFmtId="164" fontId="1" fillId="0" borderId="5" xfId="2" applyNumberFormat="1" applyFont="1" applyFill="1" applyBorder="1"/>
    <xf numFmtId="39" fontId="1" fillId="0" borderId="5" xfId="0" applyNumberFormat="1" applyFont="1" applyFill="1" applyBorder="1"/>
    <xf numFmtId="39" fontId="1" fillId="0" borderId="8" xfId="0" applyNumberFormat="1" applyFont="1" applyFill="1" applyBorder="1"/>
    <xf numFmtId="39" fontId="13" fillId="0" borderId="8" xfId="0" applyNumberFormat="1" applyFont="1" applyFill="1" applyBorder="1" applyAlignment="1">
      <alignment horizontal="center"/>
    </xf>
    <xf numFmtId="0" fontId="13" fillId="0" borderId="13" xfId="0" quotePrefix="1" applyFont="1" applyFill="1" applyBorder="1" applyAlignment="1">
      <alignment horizontal="left"/>
    </xf>
    <xf numFmtId="0" fontId="10" fillId="0" borderId="2" xfId="0" applyFont="1" applyFill="1" applyBorder="1"/>
    <xf numFmtId="164" fontId="1" fillId="0" borderId="2" xfId="2" applyNumberFormat="1" applyFont="1" applyFill="1" applyBorder="1"/>
    <xf numFmtId="39" fontId="1" fillId="0" borderId="2" xfId="0" applyNumberFormat="1" applyFont="1" applyFill="1" applyBorder="1"/>
    <xf numFmtId="39" fontId="10" fillId="0" borderId="4" xfId="1" applyNumberFormat="1" applyFont="1" applyFill="1" applyBorder="1"/>
    <xf numFmtId="0" fontId="13" fillId="0" borderId="14" xfId="0" applyFont="1" applyFill="1" applyBorder="1" applyAlignment="1">
      <alignment horizontal="left"/>
    </xf>
    <xf numFmtId="0" fontId="10" fillId="0" borderId="15" xfId="0" applyFont="1" applyFill="1" applyBorder="1"/>
    <xf numFmtId="164" fontId="13" fillId="0" borderId="15" xfId="2" applyNumberFormat="1" applyFont="1" applyFill="1" applyBorder="1"/>
    <xf numFmtId="39" fontId="10" fillId="0" borderId="15" xfId="0" applyNumberFormat="1" applyFont="1" applyFill="1" applyBorder="1"/>
    <xf numFmtId="39" fontId="1" fillId="0" borderId="16" xfId="0" applyNumberFormat="1" applyFont="1" applyFill="1" applyBorder="1"/>
    <xf numFmtId="39" fontId="13" fillId="0" borderId="16" xfId="3" applyNumberFormat="1" applyFont="1" applyFill="1" applyBorder="1"/>
    <xf numFmtId="0" fontId="13" fillId="0" borderId="17" xfId="0" applyFont="1" applyFill="1" applyBorder="1" applyAlignment="1">
      <alignment horizontal="left"/>
    </xf>
    <xf numFmtId="0" fontId="10" fillId="0" borderId="18" xfId="0" applyFont="1" applyFill="1" applyBorder="1"/>
    <xf numFmtId="164" fontId="13" fillId="0" borderId="18" xfId="2" applyNumberFormat="1" applyFont="1" applyFill="1" applyBorder="1"/>
    <xf numFmtId="39" fontId="10" fillId="0" borderId="18" xfId="0" applyNumberFormat="1" applyFont="1" applyFill="1" applyBorder="1"/>
    <xf numFmtId="39" fontId="1" fillId="0" borderId="18" xfId="0" applyNumberFormat="1" applyFont="1" applyFill="1" applyBorder="1"/>
    <xf numFmtId="39" fontId="13" fillId="0" borderId="19" xfId="3" applyNumberFormat="1" applyFont="1" applyFill="1" applyBorder="1"/>
    <xf numFmtId="39" fontId="13" fillId="0" borderId="0" xfId="3" applyNumberFormat="1" applyFont="1" applyFill="1" applyBorder="1"/>
    <xf numFmtId="40" fontId="10" fillId="0" borderId="0" xfId="0" applyNumberFormat="1" applyFont="1" applyAlignment="1">
      <alignment horizontal="left"/>
    </xf>
    <xf numFmtId="0" fontId="10" fillId="0" borderId="0" xfId="0" applyFont="1" applyAlignment="1">
      <alignment horizontal="right"/>
    </xf>
    <xf numFmtId="38" fontId="10" fillId="0" borderId="0" xfId="0" applyNumberFormat="1" applyFont="1" applyAlignment="1">
      <alignment horizontal="right"/>
    </xf>
    <xf numFmtId="0" fontId="6" fillId="0" borderId="5" xfId="0" applyFont="1" applyFill="1" applyBorder="1"/>
    <xf numFmtId="3" fontId="10" fillId="0" borderId="0" xfId="0" applyNumberFormat="1" applyFont="1"/>
    <xf numFmtId="3" fontId="10" fillId="0" borderId="0" xfId="0" applyNumberFormat="1" applyFont="1" applyAlignment="1">
      <alignment horizontal="right"/>
    </xf>
    <xf numFmtId="164" fontId="10" fillId="0" borderId="0" xfId="2" applyNumberFormat="1" applyFont="1" applyBorder="1"/>
    <xf numFmtId="6" fontId="10" fillId="0" borderId="0" xfId="0" applyNumberFormat="1" applyFont="1"/>
    <xf numFmtId="164" fontId="10" fillId="0" borderId="5" xfId="2" applyNumberFormat="1" applyFont="1" applyFill="1" applyBorder="1"/>
    <xf numFmtId="39" fontId="10" fillId="0" borderId="5" xfId="0" applyNumberFormat="1" applyFont="1" applyFill="1" applyBorder="1"/>
    <xf numFmtId="39" fontId="10" fillId="0" borderId="8" xfId="0" applyNumberFormat="1" applyFont="1" applyFill="1" applyBorder="1"/>
    <xf numFmtId="38" fontId="7" fillId="0" borderId="0" xfId="1" applyNumberFormat="1" applyFont="1"/>
    <xf numFmtId="164" fontId="10" fillId="0" borderId="2" xfId="2" applyNumberFormat="1" applyFont="1" applyFill="1" applyBorder="1"/>
    <xf numFmtId="39" fontId="10" fillId="0" borderId="2" xfId="0" applyNumberFormat="1" applyFont="1" applyFill="1" applyBorder="1"/>
    <xf numFmtId="164" fontId="10" fillId="0" borderId="0" xfId="2" applyNumberFormat="1" applyFont="1" applyFill="1" applyBorder="1"/>
    <xf numFmtId="39" fontId="10" fillId="0" borderId="0" xfId="0" applyNumberFormat="1" applyFont="1" applyBorder="1"/>
    <xf numFmtId="39" fontId="10" fillId="0" borderId="0" xfId="2" applyNumberFormat="1" applyFont="1" applyFill="1" applyBorder="1"/>
    <xf numFmtId="39" fontId="10" fillId="0" borderId="16" xfId="0" applyNumberFormat="1" applyFont="1" applyFill="1" applyBorder="1"/>
    <xf numFmtId="0" fontId="13" fillId="0" borderId="0" xfId="0" applyFont="1" applyFill="1" applyBorder="1" applyAlignment="1">
      <alignment horizontal="left"/>
    </xf>
    <xf numFmtId="0" fontId="10" fillId="0" borderId="0" xfId="0" applyFont="1" applyFill="1" applyBorder="1"/>
    <xf numFmtId="164" fontId="13" fillId="0" borderId="0" xfId="2" applyNumberFormat="1" applyFont="1" applyFill="1" applyBorder="1"/>
    <xf numFmtId="39" fontId="10" fillId="0" borderId="0" xfId="0" applyNumberFormat="1" applyFont="1" applyFill="1" applyBorder="1"/>
  </cellXfs>
  <cellStyles count="7">
    <cellStyle name="Comma" xfId="1" builtinId="3" customBuiltin="1"/>
    <cellStyle name="Comma [0]" xfId="2" builtinId="6" customBuiltin="1"/>
    <cellStyle name="Currency" xfId="3" builtinId="4" customBuiltin="1"/>
    <cellStyle name="Currency [0]" xfId="5" builtinId="7" customBuiltin="1"/>
    <cellStyle name="Normal" xfId="0" builtinId="0" customBuiltin="1"/>
    <cellStyle name="Note" xfId="6" builtinId="10" customBuiltin="1"/>
    <cellStyle name="Percent" xfId="4" builtinId="5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1.xml"/><Relationship Id="rId47" Type="http://schemas.openxmlformats.org/officeDocument/2006/relationships/externalLink" Target="externalLinks/externalLink6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4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3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2.xml"/><Relationship Id="rId48" Type="http://schemas.openxmlformats.org/officeDocument/2006/relationships/externalLink" Target="externalLinks/externalLink7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5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MSP17\MSP17%20Final\4MSP_Final%20Update-FY1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MSP17\MSP17%20Final\5MSP_Final%20Update-FY17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MSP17\MSP17%20Final\1MSP_Final%20Update-FY17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MSP17\MSP17%20Legislative%20Estimate\Source%20Data\Local%20Replacement%20Funding%20FY1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MSP17\MSP17%20Final\3MSP_Final%20Update-FY17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MSP17\MSP17%20Final\2MSP_Final%20Update-FY17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MSP17\MSP17%20Final\Source%20Documents\K-3%20Reading%20Achievement%20FY17%20Final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MSP17\MSP17%20Final\Other%20State_Final%20Update-FY1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Charters"/>
    </sheetNames>
    <sheetDataSet>
      <sheetData sheetId="0">
        <row r="10">
          <cell r="C10">
            <v>9091108.6899999995</v>
          </cell>
          <cell r="D10">
            <v>0</v>
          </cell>
          <cell r="E10">
            <v>55261.36</v>
          </cell>
          <cell r="F10">
            <v>906497.66</v>
          </cell>
          <cell r="G10">
            <v>10052867.709999999</v>
          </cell>
        </row>
        <row r="11">
          <cell r="C11">
            <v>196613.51</v>
          </cell>
          <cell r="D11">
            <v>0</v>
          </cell>
          <cell r="E11">
            <v>0</v>
          </cell>
          <cell r="F11">
            <v>23921.74</v>
          </cell>
          <cell r="G11">
            <v>220535.25</v>
          </cell>
        </row>
        <row r="12">
          <cell r="C12">
            <v>3356449.94</v>
          </cell>
          <cell r="D12">
            <v>0</v>
          </cell>
          <cell r="E12">
            <v>0</v>
          </cell>
          <cell r="F12">
            <v>141304.76</v>
          </cell>
          <cell r="G12">
            <v>3497754.7</v>
          </cell>
        </row>
        <row r="13">
          <cell r="C13">
            <v>4390180.26</v>
          </cell>
          <cell r="D13">
            <v>0</v>
          </cell>
          <cell r="E13">
            <v>0</v>
          </cell>
          <cell r="F13">
            <v>209569.26</v>
          </cell>
          <cell r="G13">
            <v>4599749.5199999996</v>
          </cell>
        </row>
        <row r="14">
          <cell r="C14">
            <v>808725.22</v>
          </cell>
          <cell r="D14">
            <v>0</v>
          </cell>
          <cell r="E14">
            <v>0</v>
          </cell>
          <cell r="F14">
            <v>45469.37</v>
          </cell>
          <cell r="G14">
            <v>854194.59</v>
          </cell>
        </row>
        <row r="15">
          <cell r="C15">
            <v>110991.85</v>
          </cell>
          <cell r="D15">
            <v>26102</v>
          </cell>
          <cell r="E15">
            <v>0</v>
          </cell>
          <cell r="F15">
            <v>5985.86</v>
          </cell>
          <cell r="G15">
            <v>143079.71</v>
          </cell>
        </row>
        <row r="16">
          <cell r="C16">
            <v>6896814.2400000002</v>
          </cell>
          <cell r="D16">
            <v>0</v>
          </cell>
          <cell r="E16">
            <v>0</v>
          </cell>
          <cell r="F16">
            <v>834396.22</v>
          </cell>
          <cell r="G16">
            <v>7731210.46</v>
          </cell>
        </row>
        <row r="17">
          <cell r="C17">
            <v>1155811.49</v>
          </cell>
          <cell r="D17">
            <v>0</v>
          </cell>
          <cell r="E17">
            <v>3829.08</v>
          </cell>
          <cell r="F17">
            <v>69402.84</v>
          </cell>
          <cell r="G17">
            <v>1229043.4100000001</v>
          </cell>
        </row>
        <row r="18">
          <cell r="C18">
            <v>553305.91</v>
          </cell>
          <cell r="D18">
            <v>0</v>
          </cell>
          <cell r="E18">
            <v>0</v>
          </cell>
          <cell r="F18">
            <v>34722.980000000003</v>
          </cell>
          <cell r="G18">
            <v>588028.89</v>
          </cell>
        </row>
        <row r="19">
          <cell r="C19">
            <v>194316.63</v>
          </cell>
          <cell r="D19">
            <v>0</v>
          </cell>
          <cell r="E19">
            <v>0</v>
          </cell>
          <cell r="F19">
            <v>20718.52</v>
          </cell>
          <cell r="G19">
            <v>215035.15</v>
          </cell>
        </row>
        <row r="20">
          <cell r="C20">
            <v>273712.73</v>
          </cell>
          <cell r="D20">
            <v>0</v>
          </cell>
          <cell r="E20">
            <v>0</v>
          </cell>
          <cell r="F20">
            <v>20347.98</v>
          </cell>
          <cell r="G20">
            <v>294060.70999999996</v>
          </cell>
        </row>
        <row r="21">
          <cell r="C21">
            <v>4862180.87</v>
          </cell>
          <cell r="D21">
            <v>0</v>
          </cell>
          <cell r="E21">
            <v>0</v>
          </cell>
          <cell r="F21">
            <v>796278.29</v>
          </cell>
          <cell r="G21">
            <v>5658459.1600000001</v>
          </cell>
        </row>
        <row r="22">
          <cell r="C22">
            <v>1479734.75</v>
          </cell>
          <cell r="D22">
            <v>0</v>
          </cell>
          <cell r="E22">
            <v>0</v>
          </cell>
          <cell r="F22">
            <v>114628.94</v>
          </cell>
          <cell r="G22">
            <v>1594363.69</v>
          </cell>
        </row>
        <row r="23">
          <cell r="C23">
            <v>6417872.2300000004</v>
          </cell>
          <cell r="D23">
            <v>0</v>
          </cell>
          <cell r="E23">
            <v>0</v>
          </cell>
          <cell r="F23">
            <v>624473.53</v>
          </cell>
          <cell r="G23">
            <v>7042345.7600000007</v>
          </cell>
        </row>
        <row r="24">
          <cell r="C24">
            <v>366822.42</v>
          </cell>
          <cell r="D24">
            <v>12511</v>
          </cell>
          <cell r="E24">
            <v>0</v>
          </cell>
          <cell r="F24">
            <v>30966.06</v>
          </cell>
          <cell r="G24">
            <v>410299.48</v>
          </cell>
        </row>
        <row r="25">
          <cell r="C25">
            <v>334040.02</v>
          </cell>
          <cell r="D25">
            <v>0</v>
          </cell>
          <cell r="E25">
            <v>0</v>
          </cell>
          <cell r="F25">
            <v>24464.959999999999</v>
          </cell>
          <cell r="G25">
            <v>358504.98000000004</v>
          </cell>
        </row>
        <row r="26">
          <cell r="C26">
            <v>671373.75</v>
          </cell>
          <cell r="D26">
            <v>0</v>
          </cell>
          <cell r="E26">
            <v>0</v>
          </cell>
          <cell r="F26">
            <v>40936.01</v>
          </cell>
          <cell r="G26">
            <v>712309.76000000001</v>
          </cell>
        </row>
        <row r="27">
          <cell r="C27">
            <v>620729.11</v>
          </cell>
          <cell r="D27">
            <v>0</v>
          </cell>
          <cell r="E27">
            <v>0</v>
          </cell>
          <cell r="F27">
            <v>35010.54</v>
          </cell>
          <cell r="G27">
            <v>655739.65</v>
          </cell>
        </row>
        <row r="28">
          <cell r="C28">
            <v>3933798.73</v>
          </cell>
          <cell r="D28">
            <v>0</v>
          </cell>
          <cell r="E28">
            <v>0</v>
          </cell>
          <cell r="F28">
            <v>394116.82</v>
          </cell>
          <cell r="G28">
            <v>4327915.55</v>
          </cell>
        </row>
        <row r="29">
          <cell r="C29">
            <v>628802.76</v>
          </cell>
          <cell r="D29">
            <v>33595</v>
          </cell>
          <cell r="E29">
            <v>0</v>
          </cell>
          <cell r="F29">
            <v>29740.07</v>
          </cell>
          <cell r="G29">
            <v>692137.83</v>
          </cell>
        </row>
        <row r="30">
          <cell r="C30">
            <v>291732.40999999997</v>
          </cell>
          <cell r="D30">
            <v>0</v>
          </cell>
          <cell r="E30">
            <v>0</v>
          </cell>
          <cell r="F30">
            <v>16826.96</v>
          </cell>
          <cell r="G30">
            <v>308559.37</v>
          </cell>
        </row>
        <row r="31">
          <cell r="C31">
            <v>903969.93</v>
          </cell>
          <cell r="D31">
            <v>0</v>
          </cell>
          <cell r="E31">
            <v>0</v>
          </cell>
          <cell r="F31">
            <v>56064.73</v>
          </cell>
          <cell r="G31">
            <v>960034.66</v>
          </cell>
        </row>
        <row r="32">
          <cell r="C32">
            <v>180589.06</v>
          </cell>
          <cell r="D32">
            <v>23683</v>
          </cell>
          <cell r="E32">
            <v>0</v>
          </cell>
          <cell r="F32">
            <v>8210</v>
          </cell>
          <cell r="G32">
            <v>212482.06</v>
          </cell>
        </row>
        <row r="33">
          <cell r="C33">
            <v>220028.14</v>
          </cell>
          <cell r="D33">
            <v>0</v>
          </cell>
          <cell r="E33">
            <v>0</v>
          </cell>
          <cell r="F33">
            <v>11100.96</v>
          </cell>
          <cell r="G33">
            <v>231129.1</v>
          </cell>
        </row>
        <row r="34">
          <cell r="C34">
            <v>1759518.48</v>
          </cell>
          <cell r="D34">
            <v>261917</v>
          </cell>
          <cell r="E34">
            <v>0</v>
          </cell>
          <cell r="F34">
            <v>46905.74</v>
          </cell>
          <cell r="G34">
            <v>2068341.22</v>
          </cell>
        </row>
        <row r="35">
          <cell r="C35">
            <v>916381.32</v>
          </cell>
          <cell r="D35">
            <v>33392</v>
          </cell>
          <cell r="E35">
            <v>0</v>
          </cell>
          <cell r="F35">
            <v>62507.77</v>
          </cell>
          <cell r="G35">
            <v>1012281.09</v>
          </cell>
        </row>
        <row r="36">
          <cell r="C36">
            <v>505913.83</v>
          </cell>
          <cell r="D36">
            <v>53880</v>
          </cell>
          <cell r="E36">
            <v>0</v>
          </cell>
          <cell r="F36">
            <v>44555.17</v>
          </cell>
          <cell r="G36">
            <v>604349.00000000012</v>
          </cell>
        </row>
        <row r="37">
          <cell r="C37">
            <v>287805.94</v>
          </cell>
          <cell r="D37">
            <v>0</v>
          </cell>
          <cell r="E37">
            <v>3171</v>
          </cell>
          <cell r="F37">
            <v>21423.15</v>
          </cell>
          <cell r="G37">
            <v>312400.09000000003</v>
          </cell>
        </row>
        <row r="38">
          <cell r="C38">
            <v>52910.67</v>
          </cell>
          <cell r="D38">
            <v>21010</v>
          </cell>
          <cell r="E38">
            <v>0</v>
          </cell>
          <cell r="F38">
            <v>7737.37</v>
          </cell>
          <cell r="G38">
            <v>81658.039999999994</v>
          </cell>
        </row>
        <row r="39">
          <cell r="C39">
            <v>2220771.87</v>
          </cell>
          <cell r="D39">
            <v>0</v>
          </cell>
          <cell r="E39">
            <v>0</v>
          </cell>
          <cell r="F39">
            <v>179641.46</v>
          </cell>
          <cell r="G39">
            <v>2400413.33</v>
          </cell>
        </row>
        <row r="40">
          <cell r="C40">
            <v>1949899.03</v>
          </cell>
          <cell r="D40">
            <v>0</v>
          </cell>
          <cell r="E40">
            <v>0</v>
          </cell>
          <cell r="F40">
            <v>89121.82</v>
          </cell>
          <cell r="G40">
            <v>2039020.85</v>
          </cell>
        </row>
        <row r="41">
          <cell r="C41">
            <v>949656.64</v>
          </cell>
          <cell r="D41">
            <v>0</v>
          </cell>
          <cell r="E41">
            <v>0</v>
          </cell>
          <cell r="F41">
            <v>79866.78</v>
          </cell>
          <cell r="G41">
            <v>1029523.42</v>
          </cell>
        </row>
        <row r="42">
          <cell r="C42">
            <v>3790181.98</v>
          </cell>
          <cell r="D42">
            <v>0</v>
          </cell>
          <cell r="E42">
            <v>0</v>
          </cell>
          <cell r="F42">
            <v>357648.72</v>
          </cell>
          <cell r="G42">
            <v>4147830.7</v>
          </cell>
        </row>
        <row r="43">
          <cell r="C43">
            <v>172332.95</v>
          </cell>
          <cell r="D43">
            <v>33910</v>
          </cell>
          <cell r="E43">
            <v>0</v>
          </cell>
          <cell r="F43">
            <v>10978.72</v>
          </cell>
          <cell r="G43">
            <v>217221.67</v>
          </cell>
        </row>
        <row r="44">
          <cell r="C44">
            <v>4489045.3899999997</v>
          </cell>
          <cell r="D44">
            <v>0</v>
          </cell>
          <cell r="E44">
            <v>0</v>
          </cell>
          <cell r="F44">
            <v>388541.16</v>
          </cell>
          <cell r="G44">
            <v>4877586.55</v>
          </cell>
        </row>
        <row r="45">
          <cell r="C45">
            <v>3045005.76</v>
          </cell>
          <cell r="D45">
            <v>0</v>
          </cell>
          <cell r="E45">
            <v>0</v>
          </cell>
          <cell r="F45">
            <v>283572.59000000003</v>
          </cell>
          <cell r="G45">
            <v>3328578.3499999996</v>
          </cell>
        </row>
        <row r="46">
          <cell r="C46">
            <v>910489.78</v>
          </cell>
          <cell r="D46">
            <v>0</v>
          </cell>
          <cell r="E46">
            <v>0</v>
          </cell>
          <cell r="F46">
            <v>143783.82</v>
          </cell>
          <cell r="G46">
            <v>1054273.6000000001</v>
          </cell>
        </row>
        <row r="47">
          <cell r="C47">
            <v>1121797.52</v>
          </cell>
          <cell r="D47">
            <v>0</v>
          </cell>
          <cell r="E47">
            <v>0</v>
          </cell>
          <cell r="F47">
            <v>207417.78</v>
          </cell>
          <cell r="G47">
            <v>1329215.3</v>
          </cell>
        </row>
        <row r="48">
          <cell r="C48">
            <v>850453.82</v>
          </cell>
          <cell r="D48">
            <v>0</v>
          </cell>
          <cell r="E48">
            <v>0</v>
          </cell>
          <cell r="F48">
            <v>70542.2</v>
          </cell>
          <cell r="G48">
            <v>920996.0199999999</v>
          </cell>
        </row>
        <row r="49">
          <cell r="C49">
            <v>383820.21</v>
          </cell>
          <cell r="D49">
            <v>0</v>
          </cell>
          <cell r="E49">
            <v>0</v>
          </cell>
          <cell r="F49">
            <v>76874</v>
          </cell>
          <cell r="G49">
            <v>460694.21</v>
          </cell>
        </row>
        <row r="50">
          <cell r="C50">
            <v>4015776.43</v>
          </cell>
          <cell r="D50">
            <v>0</v>
          </cell>
          <cell r="E50">
            <v>0</v>
          </cell>
          <cell r="F50">
            <v>398625.85</v>
          </cell>
          <cell r="G50">
            <v>4414402.28</v>
          </cell>
        </row>
        <row r="68">
          <cell r="C68">
            <v>1941680</v>
          </cell>
          <cell r="D68">
            <v>0</v>
          </cell>
          <cell r="E68">
            <v>1915166</v>
          </cell>
          <cell r="F68">
            <v>270316</v>
          </cell>
          <cell r="G68">
            <v>0</v>
          </cell>
        </row>
        <row r="69">
          <cell r="C69">
            <v>59615</v>
          </cell>
          <cell r="D69">
            <v>0</v>
          </cell>
          <cell r="E69">
            <v>0</v>
          </cell>
          <cell r="F69">
            <v>185374</v>
          </cell>
          <cell r="G69">
            <v>0</v>
          </cell>
        </row>
        <row r="70">
          <cell r="C70">
            <v>418853</v>
          </cell>
          <cell r="D70">
            <v>0</v>
          </cell>
          <cell r="E70">
            <v>611568</v>
          </cell>
          <cell r="F70">
            <v>221067</v>
          </cell>
          <cell r="G70">
            <v>0</v>
          </cell>
        </row>
        <row r="71">
          <cell r="C71">
            <v>466494</v>
          </cell>
          <cell r="D71">
            <v>4000</v>
          </cell>
          <cell r="E71">
            <v>641745</v>
          </cell>
          <cell r="F71">
            <v>63680</v>
          </cell>
          <cell r="G71">
            <v>0</v>
          </cell>
        </row>
        <row r="72">
          <cell r="C72">
            <v>178662</v>
          </cell>
          <cell r="D72">
            <v>0</v>
          </cell>
          <cell r="E72">
            <v>298200</v>
          </cell>
          <cell r="F72">
            <v>70697</v>
          </cell>
          <cell r="G72">
            <v>0</v>
          </cell>
        </row>
        <row r="73">
          <cell r="C73">
            <v>11881</v>
          </cell>
          <cell r="D73">
            <v>0</v>
          </cell>
          <cell r="E73">
            <v>0</v>
          </cell>
          <cell r="F73">
            <v>26561</v>
          </cell>
          <cell r="G73">
            <v>0</v>
          </cell>
        </row>
        <row r="74">
          <cell r="C74">
            <v>1747599</v>
          </cell>
          <cell r="D74">
            <v>158640</v>
          </cell>
          <cell r="E74">
            <v>1391221</v>
          </cell>
          <cell r="F74">
            <v>685030</v>
          </cell>
          <cell r="G74">
            <v>0</v>
          </cell>
        </row>
        <row r="75">
          <cell r="C75">
            <v>179482</v>
          </cell>
          <cell r="D75">
            <v>0</v>
          </cell>
          <cell r="E75">
            <v>66854</v>
          </cell>
          <cell r="F75">
            <v>130842</v>
          </cell>
          <cell r="G75">
            <v>0</v>
          </cell>
        </row>
        <row r="76">
          <cell r="C76">
            <v>139551</v>
          </cell>
          <cell r="D76">
            <v>4000</v>
          </cell>
          <cell r="E76">
            <v>28008</v>
          </cell>
          <cell r="F76">
            <v>28206</v>
          </cell>
          <cell r="G76">
            <v>0</v>
          </cell>
        </row>
        <row r="77">
          <cell r="C77">
            <v>92578</v>
          </cell>
          <cell r="D77">
            <v>0</v>
          </cell>
          <cell r="E77">
            <v>0</v>
          </cell>
          <cell r="F77">
            <v>67562</v>
          </cell>
          <cell r="G77">
            <v>0</v>
          </cell>
        </row>
        <row r="78">
          <cell r="C78">
            <v>58296</v>
          </cell>
          <cell r="D78">
            <v>0</v>
          </cell>
          <cell r="E78">
            <v>39595</v>
          </cell>
          <cell r="F78">
            <v>40124</v>
          </cell>
          <cell r="G78">
            <v>0</v>
          </cell>
        </row>
        <row r="79">
          <cell r="C79">
            <v>3943200</v>
          </cell>
          <cell r="D79">
            <v>102922</v>
          </cell>
          <cell r="E79">
            <v>4094168</v>
          </cell>
          <cell r="F79">
            <v>1528451</v>
          </cell>
          <cell r="G79">
            <v>0</v>
          </cell>
        </row>
        <row r="80">
          <cell r="C80">
            <v>365336</v>
          </cell>
          <cell r="D80">
            <v>0</v>
          </cell>
          <cell r="E80">
            <v>869177</v>
          </cell>
          <cell r="F80">
            <v>78639</v>
          </cell>
          <cell r="G80">
            <v>0</v>
          </cell>
        </row>
        <row r="81">
          <cell r="C81">
            <v>1492485</v>
          </cell>
          <cell r="D81">
            <v>115737</v>
          </cell>
          <cell r="E81">
            <v>480723</v>
          </cell>
          <cell r="F81">
            <v>373711</v>
          </cell>
          <cell r="G81">
            <v>0</v>
          </cell>
        </row>
        <row r="82">
          <cell r="C82">
            <v>77420</v>
          </cell>
          <cell r="D82">
            <v>0</v>
          </cell>
          <cell r="E82">
            <v>0</v>
          </cell>
          <cell r="F82">
            <v>37923</v>
          </cell>
          <cell r="G82">
            <v>0</v>
          </cell>
        </row>
        <row r="83">
          <cell r="C83">
            <v>102064</v>
          </cell>
          <cell r="D83">
            <v>0</v>
          </cell>
          <cell r="E83">
            <v>0</v>
          </cell>
          <cell r="F83">
            <v>89205</v>
          </cell>
          <cell r="G83">
            <v>0</v>
          </cell>
        </row>
        <row r="84">
          <cell r="C84">
            <v>112725</v>
          </cell>
          <cell r="D84">
            <v>0</v>
          </cell>
          <cell r="E84">
            <v>0</v>
          </cell>
          <cell r="F84">
            <v>49301</v>
          </cell>
          <cell r="G84">
            <v>0</v>
          </cell>
        </row>
        <row r="85">
          <cell r="C85">
            <v>69811</v>
          </cell>
          <cell r="D85">
            <v>0</v>
          </cell>
          <cell r="E85">
            <v>0</v>
          </cell>
          <cell r="F85">
            <v>29305</v>
          </cell>
          <cell r="G85">
            <v>0</v>
          </cell>
        </row>
        <row r="86">
          <cell r="C86">
            <v>953319</v>
          </cell>
          <cell r="D86">
            <v>52653</v>
          </cell>
          <cell r="E86">
            <v>2297921</v>
          </cell>
          <cell r="F86">
            <v>248524</v>
          </cell>
          <cell r="G86">
            <v>0</v>
          </cell>
        </row>
        <row r="87">
          <cell r="C87">
            <v>101768</v>
          </cell>
          <cell r="D87">
            <v>0</v>
          </cell>
          <cell r="E87">
            <v>841987</v>
          </cell>
          <cell r="F87">
            <v>46519</v>
          </cell>
          <cell r="G87">
            <v>0</v>
          </cell>
        </row>
        <row r="88">
          <cell r="C88">
            <v>38614</v>
          </cell>
          <cell r="D88">
            <v>0</v>
          </cell>
          <cell r="E88">
            <v>0</v>
          </cell>
          <cell r="F88">
            <v>24848</v>
          </cell>
          <cell r="G88">
            <v>0</v>
          </cell>
        </row>
        <row r="89">
          <cell r="C89">
            <v>108262</v>
          </cell>
          <cell r="D89">
            <v>2000</v>
          </cell>
          <cell r="E89">
            <v>0</v>
          </cell>
          <cell r="F89">
            <v>51293</v>
          </cell>
          <cell r="G89">
            <v>0</v>
          </cell>
        </row>
        <row r="90">
          <cell r="C90">
            <v>127520</v>
          </cell>
          <cell r="D90">
            <v>0</v>
          </cell>
          <cell r="E90">
            <v>0</v>
          </cell>
          <cell r="F90">
            <v>26169</v>
          </cell>
          <cell r="G90">
            <v>0</v>
          </cell>
        </row>
        <row r="91">
          <cell r="C91">
            <v>21367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</row>
        <row r="92">
          <cell r="C92">
            <v>810925</v>
          </cell>
          <cell r="D92">
            <v>0</v>
          </cell>
          <cell r="E92">
            <v>151459</v>
          </cell>
          <cell r="F92">
            <v>123025</v>
          </cell>
          <cell r="G92">
            <v>0</v>
          </cell>
        </row>
        <row r="93">
          <cell r="C93">
            <v>175018</v>
          </cell>
          <cell r="D93">
            <v>0</v>
          </cell>
          <cell r="E93">
            <v>183835</v>
          </cell>
          <cell r="F93">
            <v>44267</v>
          </cell>
          <cell r="G93">
            <v>0</v>
          </cell>
        </row>
        <row r="94">
          <cell r="C94">
            <v>121907</v>
          </cell>
          <cell r="D94">
            <v>0</v>
          </cell>
          <cell r="E94">
            <v>848362</v>
          </cell>
          <cell r="F94">
            <v>917878</v>
          </cell>
          <cell r="G94">
            <v>0</v>
          </cell>
        </row>
        <row r="95">
          <cell r="C95">
            <v>40034</v>
          </cell>
          <cell r="D95">
            <v>0</v>
          </cell>
          <cell r="E95">
            <v>0</v>
          </cell>
          <cell r="F95">
            <v>31049</v>
          </cell>
          <cell r="G95">
            <v>0</v>
          </cell>
        </row>
        <row r="96">
          <cell r="C96">
            <v>16192</v>
          </cell>
          <cell r="D96">
            <v>0</v>
          </cell>
          <cell r="E96">
            <v>0</v>
          </cell>
          <cell r="F96">
            <v>28755</v>
          </cell>
          <cell r="G96">
            <v>0</v>
          </cell>
        </row>
        <row r="97">
          <cell r="C97">
            <v>639903</v>
          </cell>
          <cell r="D97">
            <v>2807</v>
          </cell>
          <cell r="E97">
            <v>24879</v>
          </cell>
          <cell r="F97">
            <v>135769</v>
          </cell>
          <cell r="G97">
            <v>0</v>
          </cell>
        </row>
        <row r="98">
          <cell r="C98">
            <v>330893</v>
          </cell>
          <cell r="D98">
            <v>1951</v>
          </cell>
          <cell r="E98">
            <v>483835</v>
          </cell>
          <cell r="F98">
            <v>231863</v>
          </cell>
          <cell r="G98">
            <v>0</v>
          </cell>
        </row>
        <row r="99">
          <cell r="C99">
            <v>176844</v>
          </cell>
          <cell r="D99">
            <v>0</v>
          </cell>
          <cell r="E99">
            <v>0</v>
          </cell>
          <cell r="F99">
            <v>78340</v>
          </cell>
          <cell r="G99">
            <v>0</v>
          </cell>
        </row>
        <row r="100">
          <cell r="C100">
            <v>999615</v>
          </cell>
          <cell r="D100">
            <v>0</v>
          </cell>
          <cell r="E100">
            <v>702129</v>
          </cell>
          <cell r="F100">
            <v>337875</v>
          </cell>
          <cell r="G100">
            <v>0</v>
          </cell>
        </row>
        <row r="101">
          <cell r="C101">
            <v>77867</v>
          </cell>
          <cell r="D101">
            <v>0</v>
          </cell>
          <cell r="E101">
            <v>0</v>
          </cell>
          <cell r="F101">
            <v>23062</v>
          </cell>
          <cell r="G101">
            <v>0</v>
          </cell>
        </row>
        <row r="102">
          <cell r="C102">
            <v>1108170</v>
          </cell>
          <cell r="D102">
            <v>21822</v>
          </cell>
          <cell r="E102">
            <v>168542</v>
          </cell>
          <cell r="F102">
            <v>365202</v>
          </cell>
          <cell r="G102">
            <v>0</v>
          </cell>
        </row>
        <row r="103">
          <cell r="C103">
            <v>1877252</v>
          </cell>
          <cell r="D103">
            <v>223598</v>
          </cell>
          <cell r="E103">
            <v>649320</v>
          </cell>
          <cell r="F103">
            <v>1722133</v>
          </cell>
          <cell r="G103">
            <v>0</v>
          </cell>
        </row>
        <row r="104">
          <cell r="C104">
            <v>1210805</v>
          </cell>
          <cell r="D104">
            <v>206634</v>
          </cell>
          <cell r="E104">
            <v>1940127</v>
          </cell>
          <cell r="F104">
            <v>0</v>
          </cell>
          <cell r="G104">
            <v>0</v>
          </cell>
        </row>
        <row r="105">
          <cell r="C105">
            <v>611302</v>
          </cell>
          <cell r="D105">
            <v>81945</v>
          </cell>
          <cell r="E105">
            <v>1431557</v>
          </cell>
          <cell r="F105">
            <v>465788</v>
          </cell>
          <cell r="G105">
            <v>0</v>
          </cell>
        </row>
        <row r="106">
          <cell r="C106">
            <v>288079</v>
          </cell>
          <cell r="D106">
            <v>0</v>
          </cell>
          <cell r="E106">
            <v>247422</v>
          </cell>
          <cell r="F106">
            <v>52578</v>
          </cell>
          <cell r="G106">
            <v>0</v>
          </cell>
        </row>
        <row r="107">
          <cell r="C107">
            <v>205505</v>
          </cell>
          <cell r="D107">
            <v>1193.8800000000001</v>
          </cell>
          <cell r="E107">
            <v>38558</v>
          </cell>
          <cell r="F107">
            <v>34641</v>
          </cell>
          <cell r="G107">
            <v>0</v>
          </cell>
        </row>
        <row r="108">
          <cell r="C108">
            <v>1100806</v>
          </cell>
          <cell r="D108">
            <v>79637</v>
          </cell>
          <cell r="E108">
            <v>658576</v>
          </cell>
          <cell r="F108">
            <v>1333161</v>
          </cell>
          <cell r="G108">
            <v>0</v>
          </cell>
        </row>
        <row r="126">
          <cell r="F126">
            <v>607625.11</v>
          </cell>
          <cell r="G126">
            <v>553970.62</v>
          </cell>
        </row>
        <row r="127">
          <cell r="F127">
            <v>7723.05</v>
          </cell>
          <cell r="G127">
            <v>64983.3</v>
          </cell>
        </row>
        <row r="128">
          <cell r="F128">
            <v>69796.33</v>
          </cell>
          <cell r="G128">
            <v>101896.27</v>
          </cell>
        </row>
        <row r="129">
          <cell r="F129">
            <v>104245.08</v>
          </cell>
          <cell r="G129">
            <v>290621.14</v>
          </cell>
        </row>
        <row r="130">
          <cell r="F130">
            <v>18780.75</v>
          </cell>
          <cell r="G130">
            <v>65345.7</v>
          </cell>
        </row>
        <row r="131">
          <cell r="F131">
            <v>809.03</v>
          </cell>
          <cell r="G131">
            <v>5436.69</v>
          </cell>
        </row>
        <row r="132">
          <cell r="F132">
            <v>682098.38</v>
          </cell>
          <cell r="G132">
            <v>582727.66</v>
          </cell>
        </row>
        <row r="133">
          <cell r="F133">
            <v>27212.28</v>
          </cell>
          <cell r="G133">
            <v>101070.04</v>
          </cell>
        </row>
        <row r="134">
          <cell r="F134">
            <v>11051.58</v>
          </cell>
          <cell r="G134">
            <v>24075.37</v>
          </cell>
        </row>
        <row r="135">
          <cell r="F135">
            <v>4262.82</v>
          </cell>
          <cell r="G135">
            <v>36340.639999999999</v>
          </cell>
        </row>
        <row r="136">
          <cell r="F136">
            <v>7609.45</v>
          </cell>
          <cell r="G136">
            <v>16552.25</v>
          </cell>
        </row>
        <row r="137">
          <cell r="F137">
            <v>526046</v>
          </cell>
          <cell r="G137">
            <v>245321.31</v>
          </cell>
        </row>
        <row r="138">
          <cell r="F138">
            <v>53367.93</v>
          </cell>
          <cell r="G138">
            <v>120739.86</v>
          </cell>
        </row>
        <row r="139">
          <cell r="F139">
            <v>381247.54</v>
          </cell>
          <cell r="G139">
            <v>401161.4</v>
          </cell>
        </row>
        <row r="140">
          <cell r="F140">
            <v>11762.81</v>
          </cell>
          <cell r="G140">
            <v>56182.58</v>
          </cell>
        </row>
        <row r="141">
          <cell r="F141">
            <v>5781.52</v>
          </cell>
          <cell r="G141">
            <v>15810.1</v>
          </cell>
        </row>
        <row r="142">
          <cell r="F142">
            <v>12922.5</v>
          </cell>
          <cell r="G142">
            <v>66364.009999999995</v>
          </cell>
        </row>
        <row r="143">
          <cell r="F143">
            <v>22165.66</v>
          </cell>
          <cell r="G143">
            <v>41378.68</v>
          </cell>
        </row>
        <row r="144">
          <cell r="F144">
            <v>208129.85</v>
          </cell>
          <cell r="G144">
            <v>311046.28999999998</v>
          </cell>
        </row>
        <row r="145">
          <cell r="F145">
            <v>11113.01</v>
          </cell>
          <cell r="G145">
            <v>36794.080000000002</v>
          </cell>
        </row>
        <row r="146">
          <cell r="F146">
            <v>5651.41</v>
          </cell>
          <cell r="G146">
            <v>45284.9</v>
          </cell>
        </row>
        <row r="147">
          <cell r="F147">
            <v>86183.91</v>
          </cell>
          <cell r="G147">
            <v>12348.29</v>
          </cell>
        </row>
        <row r="148">
          <cell r="F148">
            <v>1305.8699999999999</v>
          </cell>
          <cell r="G148">
            <v>9607.77</v>
          </cell>
        </row>
        <row r="149">
          <cell r="F149">
            <v>2242.5</v>
          </cell>
          <cell r="G149">
            <v>36995.230000000003</v>
          </cell>
        </row>
        <row r="150">
          <cell r="F150">
            <v>759.91</v>
          </cell>
          <cell r="G150">
            <v>55571.49</v>
          </cell>
        </row>
        <row r="151">
          <cell r="F151">
            <v>21097.75</v>
          </cell>
          <cell r="G151">
            <v>71086.36</v>
          </cell>
        </row>
        <row r="152">
          <cell r="F152">
            <v>14871.8</v>
          </cell>
          <cell r="G152">
            <v>53643.69</v>
          </cell>
        </row>
        <row r="153">
          <cell r="F153">
            <v>9563.41</v>
          </cell>
          <cell r="G153">
            <v>29268.31</v>
          </cell>
        </row>
        <row r="154">
          <cell r="F154">
            <v>1176.8</v>
          </cell>
          <cell r="G154">
            <v>13886.49</v>
          </cell>
        </row>
        <row r="155">
          <cell r="F155">
            <v>83720.95</v>
          </cell>
          <cell r="G155">
            <v>196439.58</v>
          </cell>
        </row>
        <row r="156">
          <cell r="F156">
            <v>35054.1</v>
          </cell>
          <cell r="G156">
            <v>73886.59</v>
          </cell>
        </row>
        <row r="157">
          <cell r="F157">
            <v>55250.380000000005</v>
          </cell>
          <cell r="G157">
            <v>186936.95999999999</v>
          </cell>
        </row>
        <row r="158">
          <cell r="F158">
            <v>174151.04000000001</v>
          </cell>
          <cell r="G158">
            <v>159164.54</v>
          </cell>
        </row>
        <row r="159">
          <cell r="F159">
            <v>2144.8200000000002</v>
          </cell>
          <cell r="G159">
            <v>25639.41</v>
          </cell>
        </row>
        <row r="160">
          <cell r="F160">
            <v>224325.33000000002</v>
          </cell>
          <cell r="G160">
            <v>364542.89</v>
          </cell>
        </row>
        <row r="161">
          <cell r="F161">
            <v>210405.39</v>
          </cell>
          <cell r="G161">
            <v>57283.199999999997</v>
          </cell>
        </row>
        <row r="162">
          <cell r="F162">
            <v>76254.259999999995</v>
          </cell>
          <cell r="G162">
            <v>62739.76</v>
          </cell>
        </row>
        <row r="163">
          <cell r="F163">
            <v>134707.20000000001</v>
          </cell>
          <cell r="G163">
            <v>90384.28</v>
          </cell>
        </row>
        <row r="164">
          <cell r="F164">
            <v>49801.13</v>
          </cell>
          <cell r="G164">
            <v>38098.660000000003</v>
          </cell>
        </row>
        <row r="165">
          <cell r="F165">
            <v>47926.720000000001</v>
          </cell>
          <cell r="G165">
            <v>85319.58</v>
          </cell>
        </row>
        <row r="166">
          <cell r="F166">
            <v>369013.72000000003</v>
          </cell>
          <cell r="G166">
            <v>175897</v>
          </cell>
        </row>
        <row r="184">
          <cell r="C184">
            <v>0</v>
          </cell>
          <cell r="D184">
            <v>5288757.7300000004</v>
          </cell>
        </row>
        <row r="185">
          <cell r="C185">
            <v>0</v>
          </cell>
          <cell r="D185">
            <v>317695.34999999998</v>
          </cell>
        </row>
        <row r="186">
          <cell r="C186">
            <v>0</v>
          </cell>
          <cell r="D186">
            <v>1423180.6</v>
          </cell>
        </row>
        <row r="187">
          <cell r="C187">
            <v>0</v>
          </cell>
          <cell r="D187">
            <v>1570785.22</v>
          </cell>
        </row>
        <row r="188">
          <cell r="C188">
            <v>0</v>
          </cell>
          <cell r="D188">
            <v>631685.44999999995</v>
          </cell>
        </row>
        <row r="189">
          <cell r="C189">
            <v>0</v>
          </cell>
          <cell r="D189">
            <v>44687.72</v>
          </cell>
        </row>
        <row r="190">
          <cell r="C190">
            <v>20000</v>
          </cell>
          <cell r="D190">
            <v>5267316.04</v>
          </cell>
        </row>
        <row r="191">
          <cell r="C191">
            <v>0</v>
          </cell>
          <cell r="D191">
            <v>505460.32</v>
          </cell>
        </row>
        <row r="192">
          <cell r="C192">
            <v>0</v>
          </cell>
          <cell r="D192">
            <v>234891.95</v>
          </cell>
        </row>
        <row r="193">
          <cell r="C193">
            <v>0</v>
          </cell>
          <cell r="D193">
            <v>200743.46000000002</v>
          </cell>
        </row>
        <row r="194">
          <cell r="C194">
            <v>0</v>
          </cell>
          <cell r="D194">
            <v>162176.70000000001</v>
          </cell>
        </row>
        <row r="195">
          <cell r="C195">
            <v>80000</v>
          </cell>
          <cell r="D195">
            <v>10520108.309999999</v>
          </cell>
        </row>
        <row r="196">
          <cell r="C196">
            <v>0</v>
          </cell>
          <cell r="D196">
            <v>1487259.79</v>
          </cell>
        </row>
        <row r="197">
          <cell r="C197">
            <v>0</v>
          </cell>
          <cell r="D197">
            <v>3245064.94</v>
          </cell>
        </row>
        <row r="198">
          <cell r="C198">
            <v>0</v>
          </cell>
          <cell r="D198">
            <v>183288.39</v>
          </cell>
        </row>
        <row r="199">
          <cell r="C199">
            <v>0</v>
          </cell>
          <cell r="D199">
            <v>212860.62</v>
          </cell>
        </row>
        <row r="200">
          <cell r="C200">
            <v>0</v>
          </cell>
          <cell r="D200">
            <v>241312.51</v>
          </cell>
        </row>
        <row r="201">
          <cell r="C201">
            <v>0</v>
          </cell>
          <cell r="D201">
            <v>162660.34</v>
          </cell>
        </row>
        <row r="202">
          <cell r="C202">
            <v>0</v>
          </cell>
          <cell r="D202">
            <v>4071593.14</v>
          </cell>
        </row>
        <row r="203">
          <cell r="C203">
            <v>0</v>
          </cell>
          <cell r="D203">
            <v>1038181.09</v>
          </cell>
        </row>
        <row r="204">
          <cell r="C204">
            <v>0</v>
          </cell>
          <cell r="D204">
            <v>114398.31</v>
          </cell>
        </row>
        <row r="205">
          <cell r="C205">
            <v>0</v>
          </cell>
          <cell r="D205">
            <v>260087.2</v>
          </cell>
        </row>
        <row r="206">
          <cell r="C206">
            <v>0</v>
          </cell>
          <cell r="D206">
            <v>164602.64000000001</v>
          </cell>
        </row>
        <row r="207">
          <cell r="C207">
            <v>0</v>
          </cell>
          <cell r="D207">
            <v>60604.73</v>
          </cell>
        </row>
        <row r="208">
          <cell r="C208">
            <v>60000</v>
          </cell>
          <cell r="D208">
            <v>1201740.3999999999</v>
          </cell>
        </row>
        <row r="209">
          <cell r="C209">
            <v>0</v>
          </cell>
          <cell r="D209">
            <v>495304.11</v>
          </cell>
        </row>
        <row r="210">
          <cell r="C210">
            <v>0</v>
          </cell>
          <cell r="D210">
            <v>1956662.49</v>
          </cell>
        </row>
        <row r="211">
          <cell r="C211">
            <v>0</v>
          </cell>
          <cell r="D211">
            <v>109914.72</v>
          </cell>
        </row>
        <row r="212">
          <cell r="C212">
            <v>0</v>
          </cell>
          <cell r="D212">
            <v>60010.29</v>
          </cell>
        </row>
        <row r="213">
          <cell r="C213">
            <v>20000</v>
          </cell>
          <cell r="D213">
            <v>1103518.53</v>
          </cell>
        </row>
        <row r="214">
          <cell r="C214">
            <v>0</v>
          </cell>
          <cell r="D214">
            <v>1157482.69</v>
          </cell>
        </row>
        <row r="215">
          <cell r="C215">
            <v>0</v>
          </cell>
          <cell r="D215">
            <v>497371.33999999997</v>
          </cell>
        </row>
        <row r="216">
          <cell r="C216">
            <v>0</v>
          </cell>
          <cell r="D216">
            <v>2372934.58</v>
          </cell>
        </row>
        <row r="217">
          <cell r="C217">
            <v>0</v>
          </cell>
          <cell r="D217">
            <v>128713.23</v>
          </cell>
        </row>
        <row r="218">
          <cell r="C218">
            <v>0</v>
          </cell>
          <cell r="D218">
            <v>2252604.2200000002</v>
          </cell>
        </row>
        <row r="219">
          <cell r="C219">
            <v>0</v>
          </cell>
          <cell r="D219">
            <v>4739991.59</v>
          </cell>
        </row>
        <row r="220">
          <cell r="C220">
            <v>0</v>
          </cell>
          <cell r="D220">
            <v>3496560.02</v>
          </cell>
        </row>
        <row r="221">
          <cell r="C221">
            <v>0</v>
          </cell>
          <cell r="D221">
            <v>2815683.48</v>
          </cell>
        </row>
        <row r="222">
          <cell r="C222">
            <v>0</v>
          </cell>
          <cell r="D222">
            <v>675978.79</v>
          </cell>
        </row>
        <row r="223">
          <cell r="C223">
            <v>0</v>
          </cell>
          <cell r="D223">
            <v>413144.18</v>
          </cell>
        </row>
        <row r="224">
          <cell r="C224">
            <v>20000</v>
          </cell>
          <cell r="D224">
            <v>3737090.72</v>
          </cell>
        </row>
        <row r="242">
          <cell r="C242">
            <v>5377083</v>
          </cell>
          <cell r="E242">
            <v>107263.88</v>
          </cell>
          <cell r="F242">
            <v>502222</v>
          </cell>
          <cell r="G242">
            <v>832722</v>
          </cell>
        </row>
        <row r="243">
          <cell r="C243">
            <v>216780</v>
          </cell>
          <cell r="E243">
            <v>5745.59</v>
          </cell>
          <cell r="F243">
            <v>46060</v>
          </cell>
          <cell r="G243">
            <v>50030</v>
          </cell>
        </row>
        <row r="244">
          <cell r="C244">
            <v>901004</v>
          </cell>
          <cell r="E244">
            <v>19205.23</v>
          </cell>
          <cell r="F244">
            <v>142956</v>
          </cell>
          <cell r="G244">
            <v>47822</v>
          </cell>
        </row>
        <row r="245">
          <cell r="C245">
            <v>1295319</v>
          </cell>
          <cell r="E245">
            <v>27190.23</v>
          </cell>
          <cell r="F245">
            <v>178254</v>
          </cell>
          <cell r="G245">
            <v>291356</v>
          </cell>
        </row>
        <row r="246">
          <cell r="C246">
            <v>344136</v>
          </cell>
          <cell r="E246">
            <v>8194.3799999999992</v>
          </cell>
          <cell r="F246">
            <v>68506</v>
          </cell>
          <cell r="G246">
            <v>38684</v>
          </cell>
        </row>
        <row r="247">
          <cell r="C247">
            <v>120073</v>
          </cell>
          <cell r="E247">
            <v>0</v>
          </cell>
          <cell r="F247">
            <v>29949</v>
          </cell>
          <cell r="G247">
            <v>0</v>
          </cell>
        </row>
        <row r="248">
          <cell r="C248">
            <v>4997254</v>
          </cell>
          <cell r="E248">
            <v>98799.56</v>
          </cell>
          <cell r="F248">
            <v>432532</v>
          </cell>
          <cell r="G248">
            <v>126080</v>
          </cell>
        </row>
        <row r="249">
          <cell r="C249">
            <v>462605</v>
          </cell>
          <cell r="E249">
            <v>0</v>
          </cell>
          <cell r="F249">
            <v>74971</v>
          </cell>
          <cell r="G249">
            <v>245732</v>
          </cell>
        </row>
        <row r="250">
          <cell r="C250">
            <v>262754</v>
          </cell>
          <cell r="E250">
            <v>6622.55</v>
          </cell>
          <cell r="F250">
            <v>55421</v>
          </cell>
          <cell r="G250">
            <v>0</v>
          </cell>
        </row>
        <row r="251">
          <cell r="C251">
            <v>171925</v>
          </cell>
          <cell r="E251">
            <v>4922.1899999999996</v>
          </cell>
          <cell r="F251">
            <v>39672</v>
          </cell>
          <cell r="G251">
            <v>49531.199999999997</v>
          </cell>
        </row>
        <row r="252">
          <cell r="C252">
            <v>208943</v>
          </cell>
          <cell r="E252">
            <v>0</v>
          </cell>
          <cell r="F252">
            <v>47689</v>
          </cell>
          <cell r="G252">
            <v>44698</v>
          </cell>
        </row>
        <row r="253">
          <cell r="C253">
            <v>4853314</v>
          </cell>
          <cell r="E253">
            <v>93652.95</v>
          </cell>
          <cell r="F253">
            <v>1027822</v>
          </cell>
          <cell r="G253">
            <v>825339</v>
          </cell>
        </row>
        <row r="254">
          <cell r="C254">
            <v>732502</v>
          </cell>
          <cell r="E254">
            <v>15860.74</v>
          </cell>
          <cell r="F254">
            <v>139568</v>
          </cell>
          <cell r="G254">
            <v>124640</v>
          </cell>
        </row>
        <row r="255">
          <cell r="C255">
            <v>3768827</v>
          </cell>
          <cell r="E255">
            <v>74011.77</v>
          </cell>
          <cell r="F255">
            <v>365064</v>
          </cell>
          <cell r="G255">
            <v>1151184</v>
          </cell>
        </row>
        <row r="256">
          <cell r="C256">
            <v>276190</v>
          </cell>
          <cell r="E256">
            <v>7076.43</v>
          </cell>
          <cell r="F256">
            <v>49809</v>
          </cell>
          <cell r="G256">
            <v>43712</v>
          </cell>
        </row>
        <row r="257">
          <cell r="C257">
            <v>192009</v>
          </cell>
          <cell r="E257">
            <v>5393.47</v>
          </cell>
          <cell r="F257">
            <v>42931</v>
          </cell>
          <cell r="G257">
            <v>0</v>
          </cell>
        </row>
        <row r="258">
          <cell r="C258">
            <v>303550</v>
          </cell>
          <cell r="E258">
            <v>7514.24</v>
          </cell>
          <cell r="F258">
            <v>68040</v>
          </cell>
          <cell r="G258">
            <v>73492</v>
          </cell>
        </row>
        <row r="259">
          <cell r="C259">
            <v>305859</v>
          </cell>
          <cell r="E259">
            <v>7720.42</v>
          </cell>
          <cell r="F259">
            <v>40370</v>
          </cell>
          <cell r="G259">
            <v>0</v>
          </cell>
        </row>
        <row r="260">
          <cell r="C260">
            <v>2339289</v>
          </cell>
          <cell r="E260">
            <v>47140.7</v>
          </cell>
          <cell r="F260">
            <v>327102</v>
          </cell>
          <cell r="G260">
            <v>513885</v>
          </cell>
        </row>
        <row r="261">
          <cell r="C261">
            <v>273740</v>
          </cell>
          <cell r="E261">
            <v>6871.58</v>
          </cell>
          <cell r="F261">
            <v>64316</v>
          </cell>
          <cell r="G261">
            <v>126783</v>
          </cell>
        </row>
        <row r="262">
          <cell r="C262">
            <v>179763</v>
          </cell>
          <cell r="E262">
            <v>5106.95</v>
          </cell>
          <cell r="F262">
            <v>38586</v>
          </cell>
          <cell r="G262">
            <v>24521</v>
          </cell>
        </row>
        <row r="263">
          <cell r="C263">
            <v>440703</v>
          </cell>
          <cell r="E263">
            <v>10260.25</v>
          </cell>
          <cell r="F263">
            <v>55214</v>
          </cell>
          <cell r="G263">
            <v>29082</v>
          </cell>
        </row>
        <row r="264">
          <cell r="C264">
            <v>127771</v>
          </cell>
          <cell r="E264">
            <v>4086.74</v>
          </cell>
          <cell r="F264">
            <v>34423</v>
          </cell>
          <cell r="G264">
            <v>35336</v>
          </cell>
        </row>
        <row r="265">
          <cell r="C265">
            <v>141836</v>
          </cell>
          <cell r="E265">
            <v>0</v>
          </cell>
          <cell r="F265">
            <v>33699</v>
          </cell>
          <cell r="G265">
            <v>0</v>
          </cell>
        </row>
        <row r="266">
          <cell r="C266">
            <v>315586</v>
          </cell>
          <cell r="E266">
            <v>7648.12</v>
          </cell>
          <cell r="F266">
            <v>106726</v>
          </cell>
          <cell r="G266">
            <v>0</v>
          </cell>
        </row>
        <row r="267">
          <cell r="C267">
            <v>423699</v>
          </cell>
          <cell r="E267">
            <v>9754.16</v>
          </cell>
          <cell r="F267">
            <v>91495</v>
          </cell>
          <cell r="G267">
            <v>51908</v>
          </cell>
        </row>
        <row r="268">
          <cell r="C268">
            <v>328322</v>
          </cell>
          <cell r="E268">
            <v>8024.34</v>
          </cell>
          <cell r="F268">
            <v>72049</v>
          </cell>
          <cell r="G268">
            <v>17834</v>
          </cell>
        </row>
        <row r="269">
          <cell r="C269">
            <v>214961</v>
          </cell>
          <cell r="E269">
            <v>5819.23</v>
          </cell>
          <cell r="F269">
            <v>37681</v>
          </cell>
          <cell r="G269">
            <v>48104</v>
          </cell>
        </row>
        <row r="270">
          <cell r="C270">
            <v>125461</v>
          </cell>
          <cell r="E270">
            <v>0</v>
          </cell>
          <cell r="F270">
            <v>31630</v>
          </cell>
          <cell r="G270">
            <v>0</v>
          </cell>
        </row>
        <row r="271">
          <cell r="C271">
            <v>1086231</v>
          </cell>
          <cell r="E271">
            <v>22900.5</v>
          </cell>
          <cell r="F271">
            <v>172927</v>
          </cell>
          <cell r="G271">
            <v>66272</v>
          </cell>
        </row>
        <row r="272">
          <cell r="C272">
            <v>617322</v>
          </cell>
          <cell r="E272">
            <v>13129.45</v>
          </cell>
          <cell r="F272">
            <v>106856</v>
          </cell>
          <cell r="G272">
            <v>139899</v>
          </cell>
        </row>
        <row r="273">
          <cell r="C273">
            <v>547276</v>
          </cell>
          <cell r="E273">
            <v>12555.07</v>
          </cell>
          <cell r="F273">
            <v>81565</v>
          </cell>
          <cell r="G273">
            <v>203769</v>
          </cell>
        </row>
        <row r="274">
          <cell r="C274">
            <v>2078419</v>
          </cell>
          <cell r="E274">
            <v>43014.31</v>
          </cell>
          <cell r="F274">
            <v>346626</v>
          </cell>
          <cell r="G274">
            <v>566250</v>
          </cell>
        </row>
        <row r="275">
          <cell r="C275">
            <v>140226</v>
          </cell>
          <cell r="E275">
            <v>4314.34</v>
          </cell>
          <cell r="F275">
            <v>35302</v>
          </cell>
          <cell r="G275">
            <v>10000</v>
          </cell>
        </row>
        <row r="276">
          <cell r="C276">
            <v>2289536</v>
          </cell>
          <cell r="E276">
            <v>45812.54</v>
          </cell>
          <cell r="F276">
            <v>321517</v>
          </cell>
          <cell r="G276">
            <v>98496</v>
          </cell>
        </row>
        <row r="277">
          <cell r="C277">
            <v>1758839</v>
          </cell>
          <cell r="E277">
            <v>34568.730000000003</v>
          </cell>
          <cell r="F277">
            <v>407345</v>
          </cell>
          <cell r="G277">
            <v>813141</v>
          </cell>
        </row>
        <row r="278">
          <cell r="C278">
            <v>956075</v>
          </cell>
          <cell r="E278">
            <v>20035.32</v>
          </cell>
          <cell r="F278">
            <v>278253</v>
          </cell>
          <cell r="G278">
            <v>201849</v>
          </cell>
        </row>
        <row r="279">
          <cell r="C279">
            <v>1295808</v>
          </cell>
          <cell r="E279">
            <v>27597.25</v>
          </cell>
          <cell r="F279">
            <v>207657</v>
          </cell>
          <cell r="G279">
            <v>181908</v>
          </cell>
        </row>
        <row r="280">
          <cell r="C280">
            <v>524254</v>
          </cell>
          <cell r="E280">
            <v>11368.84</v>
          </cell>
          <cell r="F280">
            <v>120820</v>
          </cell>
          <cell r="G280">
            <v>73969</v>
          </cell>
        </row>
        <row r="281">
          <cell r="C281">
            <v>562391</v>
          </cell>
          <cell r="E281">
            <v>12406.46</v>
          </cell>
          <cell r="F281">
            <v>90021</v>
          </cell>
          <cell r="G281">
            <v>35941</v>
          </cell>
        </row>
        <row r="282">
          <cell r="C282">
            <v>2479523</v>
          </cell>
          <cell r="E282">
            <v>49256.11</v>
          </cell>
          <cell r="F282">
            <v>287615</v>
          </cell>
          <cell r="G282">
            <v>524089</v>
          </cell>
        </row>
        <row r="300">
          <cell r="C300">
            <v>135000</v>
          </cell>
          <cell r="D300">
            <v>17814850.420000002</v>
          </cell>
          <cell r="E300">
            <v>93847.87000000001</v>
          </cell>
          <cell r="F300">
            <v>614805.12</v>
          </cell>
          <cell r="G300">
            <v>309719</v>
          </cell>
        </row>
        <row r="301">
          <cell r="C301">
            <v>0</v>
          </cell>
          <cell r="D301">
            <v>445642.52</v>
          </cell>
          <cell r="E301">
            <v>2850.13</v>
          </cell>
          <cell r="F301">
            <v>8397.49</v>
          </cell>
          <cell r="G301">
            <v>0</v>
          </cell>
        </row>
        <row r="302">
          <cell r="C302">
            <v>35000</v>
          </cell>
          <cell r="D302">
            <v>2905590.83</v>
          </cell>
          <cell r="E302">
            <v>16741.63</v>
          </cell>
          <cell r="F302">
            <v>117364.02</v>
          </cell>
          <cell r="G302">
            <v>55776</v>
          </cell>
        </row>
        <row r="303">
          <cell r="C303">
            <v>140000</v>
          </cell>
          <cell r="D303">
            <v>4271007.4000000004</v>
          </cell>
          <cell r="E303">
            <v>22400</v>
          </cell>
          <cell r="F303">
            <v>156370.21</v>
          </cell>
          <cell r="G303">
            <v>178527</v>
          </cell>
        </row>
        <row r="304">
          <cell r="C304">
            <v>0</v>
          </cell>
          <cell r="D304">
            <v>1083833.8600000001</v>
          </cell>
          <cell r="E304">
            <v>5541.14</v>
          </cell>
          <cell r="F304">
            <v>21670.959999999999</v>
          </cell>
          <cell r="G304">
            <v>73988</v>
          </cell>
        </row>
        <row r="305">
          <cell r="C305">
            <v>0</v>
          </cell>
          <cell r="D305">
            <v>105763.21</v>
          </cell>
          <cell r="E305">
            <v>823.03</v>
          </cell>
          <cell r="F305">
            <v>4550.8999999999996</v>
          </cell>
          <cell r="G305">
            <v>0</v>
          </cell>
        </row>
        <row r="306">
          <cell r="C306">
            <v>162000</v>
          </cell>
          <cell r="D306">
            <v>18226103.949999999</v>
          </cell>
          <cell r="E306">
            <v>89531.58</v>
          </cell>
          <cell r="F306">
            <v>456948.54</v>
          </cell>
          <cell r="G306">
            <v>0</v>
          </cell>
        </row>
        <row r="307">
          <cell r="C307">
            <v>0</v>
          </cell>
          <cell r="D307">
            <v>1488850.48</v>
          </cell>
          <cell r="E307">
            <v>8069.22</v>
          </cell>
          <cell r="F307">
            <v>53554.35</v>
          </cell>
          <cell r="G307">
            <v>0</v>
          </cell>
        </row>
        <row r="308">
          <cell r="C308">
            <v>0</v>
          </cell>
          <cell r="D308">
            <v>674375.04</v>
          </cell>
          <cell r="E308">
            <v>4375.34</v>
          </cell>
          <cell r="F308">
            <v>26492.720000000001</v>
          </cell>
          <cell r="G308">
            <v>0</v>
          </cell>
        </row>
        <row r="309">
          <cell r="C309">
            <v>0</v>
          </cell>
          <cell r="D309">
            <v>318035.34000000003</v>
          </cell>
          <cell r="E309">
            <v>2857.29</v>
          </cell>
          <cell r="F309">
            <v>5417.74</v>
          </cell>
          <cell r="G309">
            <v>0</v>
          </cell>
        </row>
        <row r="310">
          <cell r="C310">
            <v>0</v>
          </cell>
          <cell r="D310">
            <v>491227.62</v>
          </cell>
          <cell r="E310">
            <v>2102.96</v>
          </cell>
          <cell r="F310">
            <v>5417.74</v>
          </cell>
          <cell r="G310">
            <v>0</v>
          </cell>
        </row>
        <row r="311">
          <cell r="C311">
            <v>386000</v>
          </cell>
          <cell r="D311">
            <v>18464596.940000001</v>
          </cell>
          <cell r="E311">
            <v>87326.01</v>
          </cell>
          <cell r="F311">
            <v>510981.7</v>
          </cell>
          <cell r="G311">
            <v>354628</v>
          </cell>
        </row>
        <row r="312">
          <cell r="C312">
            <v>10000</v>
          </cell>
          <cell r="D312">
            <v>2468570.23</v>
          </cell>
          <cell r="E312">
            <v>12246.48</v>
          </cell>
          <cell r="F312">
            <v>78269.52</v>
          </cell>
          <cell r="G312">
            <v>102000</v>
          </cell>
        </row>
        <row r="313">
          <cell r="C313">
            <v>310000</v>
          </cell>
          <cell r="D313">
            <v>13585809.01</v>
          </cell>
          <cell r="E313">
            <v>64387.040000000001</v>
          </cell>
          <cell r="F313">
            <v>440080.1</v>
          </cell>
          <cell r="G313">
            <v>338800</v>
          </cell>
        </row>
        <row r="314">
          <cell r="C314">
            <v>0</v>
          </cell>
          <cell r="D314">
            <v>615292.26</v>
          </cell>
          <cell r="E314">
            <v>3518.79</v>
          </cell>
          <cell r="F314">
            <v>22404.639999999999</v>
          </cell>
          <cell r="G314">
            <v>251193</v>
          </cell>
        </row>
        <row r="315">
          <cell r="C315">
            <v>0</v>
          </cell>
          <cell r="D315">
            <v>419076.03</v>
          </cell>
          <cell r="E315">
            <v>3155.07</v>
          </cell>
          <cell r="F315">
            <v>8343.31</v>
          </cell>
          <cell r="G315">
            <v>0</v>
          </cell>
        </row>
        <row r="316">
          <cell r="C316">
            <v>0</v>
          </cell>
          <cell r="D316">
            <v>855989.34</v>
          </cell>
          <cell r="E316">
            <v>4893.72</v>
          </cell>
          <cell r="F316">
            <v>6187.92</v>
          </cell>
          <cell r="G316">
            <v>311800</v>
          </cell>
        </row>
        <row r="317">
          <cell r="C317">
            <v>0</v>
          </cell>
          <cell r="D317">
            <v>652473.22</v>
          </cell>
          <cell r="E317">
            <v>3742.24</v>
          </cell>
          <cell r="F317">
            <v>19937.27</v>
          </cell>
          <cell r="G317">
            <v>0</v>
          </cell>
        </row>
        <row r="318">
          <cell r="C318">
            <v>38000</v>
          </cell>
          <cell r="D318">
            <v>8236381.8099999996</v>
          </cell>
          <cell r="E318">
            <v>41582.239999999998</v>
          </cell>
          <cell r="F318">
            <v>263899.84999999998</v>
          </cell>
          <cell r="G318">
            <v>425380</v>
          </cell>
        </row>
        <row r="319">
          <cell r="C319">
            <v>10000</v>
          </cell>
          <cell r="D319">
            <v>686654.96</v>
          </cell>
          <cell r="E319">
            <v>4090.32</v>
          </cell>
          <cell r="F319">
            <v>22394.22</v>
          </cell>
          <cell r="G319">
            <v>146991</v>
          </cell>
        </row>
        <row r="320">
          <cell r="C320">
            <v>0</v>
          </cell>
          <cell r="D320">
            <v>312488.37</v>
          </cell>
          <cell r="E320">
            <v>1694.46</v>
          </cell>
          <cell r="F320">
            <v>5417.74</v>
          </cell>
          <cell r="G320">
            <v>9735</v>
          </cell>
        </row>
        <row r="321">
          <cell r="C321">
            <v>50000</v>
          </cell>
          <cell r="D321">
            <v>1661789.72</v>
          </cell>
          <cell r="E321">
            <v>6253.18</v>
          </cell>
          <cell r="F321">
            <v>59152.97</v>
          </cell>
          <cell r="G321">
            <v>208982</v>
          </cell>
        </row>
        <row r="322">
          <cell r="C322">
            <v>0</v>
          </cell>
          <cell r="D322">
            <v>145841.14000000001</v>
          </cell>
          <cell r="E322">
            <v>935.49</v>
          </cell>
          <cell r="F322">
            <v>2347.69</v>
          </cell>
          <cell r="G322">
            <v>0</v>
          </cell>
        </row>
        <row r="323">
          <cell r="C323">
            <v>0</v>
          </cell>
          <cell r="D323">
            <v>197065.51</v>
          </cell>
          <cell r="E323">
            <v>1350.24</v>
          </cell>
          <cell r="F323">
            <v>1805.91</v>
          </cell>
          <cell r="G323">
            <v>0</v>
          </cell>
        </row>
        <row r="324">
          <cell r="C324">
            <v>0</v>
          </cell>
          <cell r="D324">
            <v>993924.39</v>
          </cell>
          <cell r="E324">
            <v>5537.24</v>
          </cell>
          <cell r="F324">
            <v>27457.06</v>
          </cell>
          <cell r="G324">
            <v>0</v>
          </cell>
        </row>
        <row r="325">
          <cell r="C325">
            <v>0</v>
          </cell>
          <cell r="D325">
            <v>1217639.6000000001</v>
          </cell>
          <cell r="E325">
            <v>7128.06</v>
          </cell>
          <cell r="F325">
            <v>22830.34</v>
          </cell>
          <cell r="G325">
            <v>168800</v>
          </cell>
        </row>
        <row r="326">
          <cell r="C326">
            <v>0</v>
          </cell>
          <cell r="D326">
            <v>990579.76</v>
          </cell>
          <cell r="E326">
            <v>4897.4799999999996</v>
          </cell>
          <cell r="F326">
            <v>50038.879999999997</v>
          </cell>
          <cell r="G326">
            <v>193200</v>
          </cell>
        </row>
        <row r="327">
          <cell r="C327">
            <v>10000</v>
          </cell>
          <cell r="D327">
            <v>437015.14</v>
          </cell>
          <cell r="E327">
            <v>2623.3</v>
          </cell>
          <cell r="F327">
            <v>19589.75</v>
          </cell>
          <cell r="G327">
            <v>0</v>
          </cell>
        </row>
        <row r="328">
          <cell r="C328">
            <v>0</v>
          </cell>
          <cell r="D328">
            <v>109737.08</v>
          </cell>
          <cell r="E328">
            <v>1119.9100000000001</v>
          </cell>
          <cell r="F328">
            <v>4767.6000000000004</v>
          </cell>
          <cell r="G328">
            <v>0</v>
          </cell>
        </row>
        <row r="329">
          <cell r="C329">
            <v>296000</v>
          </cell>
          <cell r="D329">
            <v>3834889.94</v>
          </cell>
          <cell r="E329">
            <v>19488.509999999998</v>
          </cell>
          <cell r="F329">
            <v>143028.32</v>
          </cell>
          <cell r="G329">
            <v>178173</v>
          </cell>
        </row>
        <row r="330">
          <cell r="C330">
            <v>10000</v>
          </cell>
          <cell r="D330">
            <v>1764299.7</v>
          </cell>
          <cell r="E330">
            <v>9799.33</v>
          </cell>
          <cell r="F330">
            <v>43341.919999999998</v>
          </cell>
          <cell r="G330">
            <v>0</v>
          </cell>
        </row>
        <row r="331">
          <cell r="C331">
            <v>40000</v>
          </cell>
          <cell r="D331">
            <v>1812835.33</v>
          </cell>
          <cell r="E331">
            <v>8095.84</v>
          </cell>
          <cell r="F331">
            <v>72380.990000000005</v>
          </cell>
          <cell r="G331">
            <v>0</v>
          </cell>
        </row>
        <row r="332">
          <cell r="C332">
            <v>175000</v>
          </cell>
          <cell r="D332">
            <v>8085697.25</v>
          </cell>
          <cell r="E332">
            <v>38275.46</v>
          </cell>
          <cell r="F332">
            <v>262487.28999999998</v>
          </cell>
          <cell r="G332">
            <v>280758</v>
          </cell>
        </row>
        <row r="333">
          <cell r="C333">
            <v>0</v>
          </cell>
          <cell r="D333">
            <v>181700.21</v>
          </cell>
          <cell r="E333">
            <v>1335.27</v>
          </cell>
          <cell r="F333">
            <v>0</v>
          </cell>
          <cell r="G333">
            <v>0</v>
          </cell>
        </row>
        <row r="334">
          <cell r="C334">
            <v>45000</v>
          </cell>
          <cell r="D334">
            <v>7996417.0300000003</v>
          </cell>
          <cell r="E334">
            <v>41517.949999999997</v>
          </cell>
          <cell r="F334">
            <v>261077.57</v>
          </cell>
          <cell r="G334">
            <v>313868</v>
          </cell>
        </row>
        <row r="335">
          <cell r="C335">
            <v>75000</v>
          </cell>
          <cell r="D335">
            <v>7349862.6699999999</v>
          </cell>
          <cell r="E335">
            <v>31896.7</v>
          </cell>
          <cell r="F335">
            <v>178704.19</v>
          </cell>
          <cell r="G335">
            <v>229234</v>
          </cell>
        </row>
        <row r="336">
          <cell r="C336">
            <v>80000</v>
          </cell>
          <cell r="D336">
            <v>3601010</v>
          </cell>
          <cell r="E336">
            <v>16709.48</v>
          </cell>
          <cell r="F336">
            <v>66286.039999999994</v>
          </cell>
          <cell r="G336">
            <v>300766</v>
          </cell>
        </row>
        <row r="337">
          <cell r="C337">
            <v>260000</v>
          </cell>
          <cell r="D337">
            <v>3924329.09</v>
          </cell>
          <cell r="E337">
            <v>21468.959999999999</v>
          </cell>
          <cell r="F337">
            <v>130977.93</v>
          </cell>
          <cell r="G337">
            <v>106000</v>
          </cell>
        </row>
        <row r="338">
          <cell r="C338">
            <v>20000</v>
          </cell>
          <cell r="D338">
            <v>1666592.23</v>
          </cell>
          <cell r="E338">
            <v>7689.52</v>
          </cell>
          <cell r="F338">
            <v>48488.77</v>
          </cell>
          <cell r="G338">
            <v>170000</v>
          </cell>
        </row>
        <row r="339">
          <cell r="C339">
            <v>182000</v>
          </cell>
          <cell r="D339">
            <v>1712874.11</v>
          </cell>
          <cell r="E339">
            <v>8692.42</v>
          </cell>
          <cell r="F339">
            <v>46984.08</v>
          </cell>
          <cell r="G339">
            <v>124160</v>
          </cell>
        </row>
        <row r="340">
          <cell r="C340">
            <v>447000</v>
          </cell>
          <cell r="D340">
            <v>9600856.5600000005</v>
          </cell>
          <cell r="E340">
            <v>44517.61</v>
          </cell>
          <cell r="F340">
            <v>335579.49</v>
          </cell>
          <cell r="G340">
            <v>190000</v>
          </cell>
        </row>
        <row r="357">
          <cell r="F357">
            <v>1107989.5606065502</v>
          </cell>
        </row>
        <row r="358">
          <cell r="F358">
            <v>45092.354163608885</v>
          </cell>
        </row>
        <row r="359">
          <cell r="F359">
            <v>186025.97431710045</v>
          </cell>
        </row>
        <row r="360">
          <cell r="F360">
            <v>267245.13463259698</v>
          </cell>
        </row>
        <row r="361">
          <cell r="F361">
            <v>71324.629545011485</v>
          </cell>
        </row>
        <row r="362">
          <cell r="F362">
            <v>25173.120879488888</v>
          </cell>
        </row>
        <row r="363">
          <cell r="F363">
            <v>1029753.9612822351</v>
          </cell>
        </row>
        <row r="364">
          <cell r="F364">
            <v>95726.410984964561</v>
          </cell>
        </row>
        <row r="365">
          <cell r="F365">
            <v>54561.917309532793</v>
          </cell>
        </row>
        <row r="366">
          <cell r="F366">
            <v>35853.40442763138</v>
          </cell>
        </row>
        <row r="367">
          <cell r="F367">
            <v>43478.060293984112</v>
          </cell>
        </row>
        <row r="368">
          <cell r="F368">
            <v>1000105.7247660017</v>
          </cell>
        </row>
        <row r="369">
          <cell r="F369">
            <v>151318.65612016775</v>
          </cell>
        </row>
        <row r="370">
          <cell r="F370">
            <v>776727.81055667333</v>
          </cell>
        </row>
        <row r="371">
          <cell r="F371">
            <v>57329.278228889554</v>
          </cell>
        </row>
        <row r="372">
          <cell r="F372">
            <v>39990.032468544858</v>
          </cell>
        </row>
        <row r="373">
          <cell r="F373">
            <v>62964.893434454614</v>
          </cell>
        </row>
        <row r="374">
          <cell r="F374">
            <v>63440.533592469059</v>
          </cell>
        </row>
        <row r="375">
          <cell r="F375">
            <v>482277.72606949008</v>
          </cell>
        </row>
        <row r="376">
          <cell r="F376">
            <v>56824.811394631804</v>
          </cell>
        </row>
        <row r="377">
          <cell r="F377">
            <v>37467.698297256153</v>
          </cell>
        </row>
        <row r="378">
          <cell r="F378">
            <v>0</v>
          </cell>
        </row>
        <row r="379">
          <cell r="F379">
            <v>26758.588072870363</v>
          </cell>
        </row>
        <row r="380">
          <cell r="F380">
            <v>29655.669035321971</v>
          </cell>
        </row>
        <row r="381">
          <cell r="F381">
            <v>65443.987591378376</v>
          </cell>
        </row>
        <row r="382">
          <cell r="F382">
            <v>87712.594989327292</v>
          </cell>
        </row>
        <row r="383">
          <cell r="F383">
            <v>68067.215129518634</v>
          </cell>
        </row>
        <row r="384">
          <cell r="F384">
            <v>44717.607372445993</v>
          </cell>
        </row>
        <row r="385">
          <cell r="F385">
            <v>26282.947914855922</v>
          </cell>
        </row>
        <row r="386">
          <cell r="F386">
            <v>224178.08032510741</v>
          </cell>
        </row>
        <row r="387">
          <cell r="F387">
            <v>127594.30157193223</v>
          </cell>
        </row>
        <row r="388">
          <cell r="F388">
            <v>113166.5501121608</v>
          </cell>
        </row>
        <row r="389">
          <cell r="F389">
            <v>428544.80155197962</v>
          </cell>
        </row>
        <row r="390">
          <cell r="F390">
            <v>29324.162258524026</v>
          </cell>
        </row>
        <row r="391">
          <cell r="F391">
            <v>472029.84266499704</v>
          </cell>
        </row>
        <row r="392">
          <cell r="F392">
            <v>362719.08635040512</v>
          </cell>
        </row>
        <row r="393">
          <cell r="F393">
            <v>0</v>
          </cell>
        </row>
        <row r="394">
          <cell r="F394">
            <v>267346.02799944847</v>
          </cell>
        </row>
        <row r="395">
          <cell r="F395">
            <v>108424.56187013802</v>
          </cell>
        </row>
        <row r="396">
          <cell r="F396">
            <v>116279.83114643715</v>
          </cell>
        </row>
        <row r="397">
          <cell r="F397">
            <v>511162.05566527619</v>
          </cell>
        </row>
        <row r="414">
          <cell r="C414">
            <v>629399.52</v>
          </cell>
          <cell r="D414">
            <v>421543.79760747519</v>
          </cell>
          <cell r="E414">
            <v>0</v>
          </cell>
          <cell r="F414">
            <v>314199.53925034899</v>
          </cell>
          <cell r="G414">
            <v>1365142.8568578241</v>
          </cell>
        </row>
        <row r="415">
          <cell r="C415">
            <v>16385.11</v>
          </cell>
          <cell r="D415">
            <v>0</v>
          </cell>
          <cell r="E415">
            <v>0</v>
          </cell>
          <cell r="F415">
            <v>12800.786570589991</v>
          </cell>
          <cell r="G415">
            <v>29185.89657058999</v>
          </cell>
        </row>
        <row r="416">
          <cell r="C416">
            <v>102965.74</v>
          </cell>
          <cell r="D416">
            <v>13412.208208975453</v>
          </cell>
          <cell r="E416">
            <v>0</v>
          </cell>
          <cell r="F416">
            <v>52764.403999840964</v>
          </cell>
          <cell r="G416">
            <v>169142.35220881642</v>
          </cell>
        </row>
        <row r="417">
          <cell r="C417">
            <v>148435.78</v>
          </cell>
          <cell r="D417">
            <v>1434.2844142980459</v>
          </cell>
          <cell r="E417">
            <v>0</v>
          </cell>
          <cell r="F417">
            <v>75795.185776669474</v>
          </cell>
          <cell r="G417">
            <v>225665.25019096752</v>
          </cell>
        </row>
        <row r="418">
          <cell r="C418">
            <v>38838.199999999997</v>
          </cell>
          <cell r="D418">
            <v>0</v>
          </cell>
          <cell r="E418">
            <v>0</v>
          </cell>
          <cell r="F418">
            <v>20239.299939503551</v>
          </cell>
          <cell r="G418">
            <v>59077.499939503548</v>
          </cell>
        </row>
        <row r="419">
          <cell r="C419">
            <v>3980.07</v>
          </cell>
          <cell r="D419">
            <v>0</v>
          </cell>
          <cell r="E419">
            <v>0</v>
          </cell>
          <cell r="F419">
            <v>7152.4209245248612</v>
          </cell>
          <cell r="G419">
            <v>11132.490924524862</v>
          </cell>
        </row>
        <row r="420">
          <cell r="C420">
            <v>638446.51</v>
          </cell>
          <cell r="D420">
            <v>124594.67718851304</v>
          </cell>
          <cell r="E420">
            <v>0</v>
          </cell>
          <cell r="F420">
            <v>292014.78619185294</v>
          </cell>
          <cell r="G420">
            <v>1055055.9733803661</v>
          </cell>
        </row>
        <row r="421">
          <cell r="C421">
            <v>52259.45</v>
          </cell>
          <cell r="D421">
            <v>17809.368978908951</v>
          </cell>
          <cell r="E421">
            <v>933</v>
          </cell>
          <cell r="F421">
            <v>27158.752210696217</v>
          </cell>
          <cell r="G421">
            <v>98160.571189605165</v>
          </cell>
        </row>
        <row r="422">
          <cell r="C422">
            <v>23892.45</v>
          </cell>
          <cell r="D422">
            <v>0</v>
          </cell>
          <cell r="E422">
            <v>0</v>
          </cell>
          <cell r="F422">
            <v>15486.008154862633</v>
          </cell>
          <cell r="G422">
            <v>39378.45815486263</v>
          </cell>
        </row>
        <row r="423">
          <cell r="C423">
            <v>11518.06</v>
          </cell>
          <cell r="D423">
            <v>0</v>
          </cell>
          <cell r="E423">
            <v>560</v>
          </cell>
          <cell r="F423">
            <v>10180.958510439666</v>
          </cell>
          <cell r="G423">
            <v>22259.018510439666</v>
          </cell>
        </row>
        <row r="424">
          <cell r="C424">
            <v>17060.310000000001</v>
          </cell>
          <cell r="D424">
            <v>0</v>
          </cell>
          <cell r="E424">
            <v>0</v>
          </cell>
          <cell r="F424">
            <v>12343.031901733772</v>
          </cell>
          <cell r="G424">
            <v>29403.341901733773</v>
          </cell>
        </row>
        <row r="425">
          <cell r="C425">
            <v>651332</v>
          </cell>
          <cell r="D425">
            <v>153069.90275103683</v>
          </cell>
          <cell r="E425">
            <v>4268</v>
          </cell>
          <cell r="F425">
            <v>283607.6312468776</v>
          </cell>
          <cell r="G425">
            <v>1092277.5339979143</v>
          </cell>
        </row>
        <row r="426">
          <cell r="C426">
            <v>88528.29</v>
          </cell>
          <cell r="D426">
            <v>5768.9331795753023</v>
          </cell>
          <cell r="E426">
            <v>0</v>
          </cell>
          <cell r="F426">
            <v>42922.678619432256</v>
          </cell>
          <cell r="G426">
            <v>137219.90179900755</v>
          </cell>
        </row>
        <row r="427">
          <cell r="C427">
            <v>471841.11</v>
          </cell>
          <cell r="D427">
            <v>59111.654197035481</v>
          </cell>
          <cell r="E427">
            <v>2232.19</v>
          </cell>
          <cell r="F427">
            <v>220265.82894389832</v>
          </cell>
          <cell r="G427">
            <v>753450.78314093372</v>
          </cell>
        </row>
        <row r="428">
          <cell r="C428">
            <v>21520.23</v>
          </cell>
          <cell r="D428">
            <v>0</v>
          </cell>
          <cell r="E428">
            <v>0</v>
          </cell>
          <cell r="F428">
            <v>16270.730444330438</v>
          </cell>
          <cell r="G428">
            <v>37790.960444330442</v>
          </cell>
        </row>
        <row r="429">
          <cell r="C429">
            <v>15223.67</v>
          </cell>
          <cell r="D429">
            <v>4822.8464326280491</v>
          </cell>
          <cell r="E429">
            <v>0</v>
          </cell>
          <cell r="F429">
            <v>11353.954849383728</v>
          </cell>
          <cell r="G429">
            <v>31400.471282011778</v>
          </cell>
        </row>
        <row r="430">
          <cell r="C430">
            <v>31183.35</v>
          </cell>
          <cell r="D430">
            <v>0</v>
          </cell>
          <cell r="E430">
            <v>0</v>
          </cell>
          <cell r="F430">
            <v>17868.784690069559</v>
          </cell>
          <cell r="G430">
            <v>49052.134690069557</v>
          </cell>
        </row>
        <row r="431">
          <cell r="C431">
            <v>24132.880000000001</v>
          </cell>
          <cell r="D431">
            <v>4998.3893352402383</v>
          </cell>
          <cell r="E431">
            <v>0</v>
          </cell>
          <cell r="F431">
            <v>18003.658833571837</v>
          </cell>
          <cell r="G431">
            <v>47134.928168812075</v>
          </cell>
        </row>
        <row r="432">
          <cell r="C432">
            <v>278855.84000000003</v>
          </cell>
          <cell r="D432">
            <v>61624.471303573249</v>
          </cell>
          <cell r="E432">
            <v>0</v>
          </cell>
          <cell r="F432">
            <v>136770.55992547245</v>
          </cell>
          <cell r="G432">
            <v>477250.87122904568</v>
          </cell>
        </row>
        <row r="433">
          <cell r="C433">
            <v>24335.64</v>
          </cell>
          <cell r="D433">
            <v>1945.8882841419531</v>
          </cell>
          <cell r="E433">
            <v>0</v>
          </cell>
          <cell r="F433">
            <v>16127.682110312868</v>
          </cell>
          <cell r="G433">
            <v>42409.210394454822</v>
          </cell>
        </row>
        <row r="434">
          <cell r="C434">
            <v>11532.49</v>
          </cell>
          <cell r="D434">
            <v>0</v>
          </cell>
          <cell r="E434">
            <v>0</v>
          </cell>
          <cell r="F434">
            <v>10638.713179295886</v>
          </cell>
          <cell r="G434">
            <v>22171.203179295888</v>
          </cell>
        </row>
        <row r="435">
          <cell r="C435">
            <v>58107.83</v>
          </cell>
          <cell r="D435">
            <v>0</v>
          </cell>
          <cell r="E435">
            <v>0</v>
          </cell>
          <cell r="F435">
            <v>0</v>
          </cell>
          <cell r="G435">
            <v>58107.83</v>
          </cell>
        </row>
        <row r="436">
          <cell r="C436">
            <v>5583.48</v>
          </cell>
          <cell r="D436">
            <v>0</v>
          </cell>
          <cell r="E436">
            <v>0</v>
          </cell>
          <cell r="F436">
            <v>7602.0014028657906</v>
          </cell>
          <cell r="G436">
            <v>13185.481402865789</v>
          </cell>
        </row>
        <row r="437">
          <cell r="C437">
            <v>7126.66</v>
          </cell>
          <cell r="D437">
            <v>0</v>
          </cell>
          <cell r="E437">
            <v>0</v>
          </cell>
          <cell r="F437">
            <v>8423.5075496523968</v>
          </cell>
          <cell r="G437">
            <v>15550.167549652397</v>
          </cell>
        </row>
        <row r="438">
          <cell r="C438">
            <v>35276.68</v>
          </cell>
          <cell r="D438">
            <v>3998.1155371931077</v>
          </cell>
          <cell r="E438">
            <v>0</v>
          </cell>
          <cell r="F438">
            <v>18571.765074384468</v>
          </cell>
          <cell r="G438">
            <v>57846.560611577574</v>
          </cell>
        </row>
        <row r="439">
          <cell r="C439">
            <v>44461.39</v>
          </cell>
          <cell r="D439">
            <v>7330.3266384653953</v>
          </cell>
          <cell r="E439">
            <v>0</v>
          </cell>
          <cell r="F439">
            <v>24886.327247445701</v>
          </cell>
          <cell r="G439">
            <v>76678.043885911102</v>
          </cell>
        </row>
        <row r="440">
          <cell r="C440">
            <v>36078.5</v>
          </cell>
          <cell r="D440">
            <v>0</v>
          </cell>
          <cell r="E440">
            <v>0</v>
          </cell>
          <cell r="F440">
            <v>19315.616411275823</v>
          </cell>
          <cell r="G440">
            <v>55394.116411275827</v>
          </cell>
        </row>
        <row r="441">
          <cell r="C441">
            <v>15667.24</v>
          </cell>
          <cell r="D441">
            <v>1903.0015022904638</v>
          </cell>
          <cell r="E441">
            <v>0</v>
          </cell>
          <cell r="F441">
            <v>12694.522093891228</v>
          </cell>
          <cell r="G441">
            <v>30264.763596181692</v>
          </cell>
        </row>
        <row r="442">
          <cell r="C442">
            <v>4001.71</v>
          </cell>
          <cell r="D442">
            <v>0</v>
          </cell>
          <cell r="E442">
            <v>0</v>
          </cell>
          <cell r="F442">
            <v>7467.1272593635113</v>
          </cell>
          <cell r="G442">
            <v>11468.83725936351</v>
          </cell>
        </row>
        <row r="443">
          <cell r="C443">
            <v>137141.04</v>
          </cell>
          <cell r="D443">
            <v>0</v>
          </cell>
          <cell r="E443">
            <v>0</v>
          </cell>
          <cell r="F443">
            <v>63582.945146826787</v>
          </cell>
          <cell r="G443">
            <v>200723.9851468268</v>
          </cell>
        </row>
        <row r="444">
          <cell r="C444">
            <v>62320.92</v>
          </cell>
          <cell r="D444">
            <v>0</v>
          </cell>
          <cell r="E444">
            <v>0</v>
          </cell>
          <cell r="F444">
            <v>36195.319825348895</v>
          </cell>
          <cell r="G444">
            <v>98516.239825348894</v>
          </cell>
        </row>
        <row r="445">
          <cell r="C445">
            <v>63633.06</v>
          </cell>
          <cell r="D445">
            <v>0</v>
          </cell>
          <cell r="E445">
            <v>0</v>
          </cell>
          <cell r="F445">
            <v>32104.137472446437</v>
          </cell>
          <cell r="G445">
            <v>95737.197472446438</v>
          </cell>
        </row>
        <row r="446">
          <cell r="C446">
            <v>289637.25</v>
          </cell>
          <cell r="D446">
            <v>31268.182174168531</v>
          </cell>
          <cell r="E446">
            <v>0</v>
          </cell>
          <cell r="F446">
            <v>121533.86880497256</v>
          </cell>
          <cell r="G446">
            <v>442439.30097914109</v>
          </cell>
        </row>
        <row r="447">
          <cell r="C447">
            <v>6659.43</v>
          </cell>
          <cell r="D447">
            <v>0</v>
          </cell>
          <cell r="E447">
            <v>0</v>
          </cell>
          <cell r="F447">
            <v>8329.5043587265664</v>
          </cell>
          <cell r="G447">
            <v>14988.934358726567</v>
          </cell>
        </row>
        <row r="448">
          <cell r="C448">
            <v>287157.75</v>
          </cell>
          <cell r="D448">
            <v>1619.8923311265446</v>
          </cell>
          <cell r="E448">
            <v>1004.01</v>
          </cell>
          <cell r="F448">
            <v>133864.63519728699</v>
          </cell>
          <cell r="G448">
            <v>423646.28752841358</v>
          </cell>
        </row>
        <row r="449">
          <cell r="C449">
            <v>252639.78</v>
          </cell>
          <cell r="D449">
            <v>0</v>
          </cell>
          <cell r="E449">
            <v>0</v>
          </cell>
          <cell r="F449">
            <v>102868.10476330871</v>
          </cell>
          <cell r="G449">
            <v>355507.88476330868</v>
          </cell>
        </row>
        <row r="450">
          <cell r="C450">
            <v>123684.75</v>
          </cell>
          <cell r="D450">
            <v>0</v>
          </cell>
          <cell r="E450">
            <v>0</v>
          </cell>
          <cell r="F450">
            <v>5000</v>
          </cell>
          <cell r="G450">
            <v>128684.75</v>
          </cell>
        </row>
        <row r="451">
          <cell r="C451">
            <v>135483.31</v>
          </cell>
          <cell r="D451">
            <v>17404.12071197058</v>
          </cell>
          <cell r="E451">
            <v>3843.4</v>
          </cell>
          <cell r="F451">
            <v>75823.795443472991</v>
          </cell>
          <cell r="G451">
            <v>232554.62615544355</v>
          </cell>
        </row>
        <row r="452">
          <cell r="C452">
            <v>57736.58</v>
          </cell>
          <cell r="D452">
            <v>0</v>
          </cell>
          <cell r="E452">
            <v>0</v>
          </cell>
          <cell r="F452">
            <v>30759.483132681296</v>
          </cell>
          <cell r="G452">
            <v>88496.063132681302</v>
          </cell>
        </row>
        <row r="453">
          <cell r="C453">
            <v>59286.55</v>
          </cell>
          <cell r="D453">
            <v>0</v>
          </cell>
          <cell r="E453">
            <v>0</v>
          </cell>
          <cell r="F453">
            <v>32986.950048097722</v>
          </cell>
          <cell r="G453">
            <v>92273.500048097718</v>
          </cell>
        </row>
        <row r="454">
          <cell r="C454">
            <v>330092.19</v>
          </cell>
          <cell r="D454">
            <v>65398.21998529978</v>
          </cell>
          <cell r="E454">
            <v>1868.4</v>
          </cell>
          <cell r="F454">
            <v>144961.09882179264</v>
          </cell>
          <cell r="G454">
            <v>542319.90880709246</v>
          </cell>
        </row>
        <row r="471">
          <cell r="C471">
            <v>28395233.930606555</v>
          </cell>
          <cell r="D471">
            <v>45102002.229999997</v>
          </cell>
        </row>
        <row r="472">
          <cell r="C472">
            <v>871728.34416360885</v>
          </cell>
          <cell r="D472">
            <v>1439144.84</v>
          </cell>
        </row>
        <row r="473">
          <cell r="C473">
            <v>4699813.6443171008</v>
          </cell>
          <cell r="D473">
            <v>9789891.3000000007</v>
          </cell>
        </row>
        <row r="474">
          <cell r="C474">
            <v>7280186.7946325969</v>
          </cell>
          <cell r="D474">
            <v>13676386.779999999</v>
          </cell>
        </row>
        <row r="475">
          <cell r="C475">
            <v>1793793.0995450115</v>
          </cell>
          <cell r="D475">
            <v>3338750.64</v>
          </cell>
        </row>
        <row r="476">
          <cell r="C476">
            <v>316447.5808794889</v>
          </cell>
          <cell r="D476">
            <v>515347.5</v>
          </cell>
        </row>
        <row r="477">
          <cell r="C477">
            <v>26961899.77128223</v>
          </cell>
          <cell r="D477">
            <v>41015482.240000002</v>
          </cell>
        </row>
        <row r="478">
          <cell r="C478">
            <v>2507963.6609849646</v>
          </cell>
          <cell r="D478">
            <v>4340627.96</v>
          </cell>
        </row>
        <row r="479">
          <cell r="C479">
            <v>1144367.2073095329</v>
          </cell>
          <cell r="D479">
            <v>2006666.51</v>
          </cell>
        </row>
        <row r="480">
          <cell r="C480">
            <v>679554.48442763148</v>
          </cell>
          <cell r="D480">
            <v>1117592.1100000001</v>
          </cell>
        </row>
        <row r="481">
          <cell r="C481">
            <v>895255.2702939841</v>
          </cell>
          <cell r="D481">
            <v>1380896.02</v>
          </cell>
        </row>
        <row r="482">
          <cell r="C482">
            <v>29452489.154766005</v>
          </cell>
          <cell r="D482">
            <v>46723334.159999996</v>
          </cell>
        </row>
        <row r="483">
          <cell r="C483">
            <v>4049673.9161201674</v>
          </cell>
          <cell r="D483">
            <v>7268517.2999999998</v>
          </cell>
        </row>
        <row r="484">
          <cell r="C484">
            <v>21866092.120556671</v>
          </cell>
          <cell r="D484">
            <v>32906953.600000001</v>
          </cell>
        </row>
        <row r="485">
          <cell r="C485">
            <v>1406835.3882288896</v>
          </cell>
          <cell r="D485">
            <v>2038214.22</v>
          </cell>
        </row>
        <row r="486">
          <cell r="C486">
            <v>757007.92246854492</v>
          </cell>
          <cell r="D486">
            <v>1359773.99</v>
          </cell>
        </row>
        <row r="487">
          <cell r="C487">
            <v>1768887.9234344547</v>
          </cell>
          <cell r="D487">
            <v>2771562.33</v>
          </cell>
        </row>
        <row r="488">
          <cell r="C488">
            <v>1146805.513592469</v>
          </cell>
          <cell r="D488">
            <v>2012340.43</v>
          </cell>
        </row>
        <row r="489">
          <cell r="C489">
            <v>13530784.076069491</v>
          </cell>
          <cell r="D489">
            <v>22407543.640000001</v>
          </cell>
        </row>
        <row r="490">
          <cell r="C490">
            <v>1495107.4213946317</v>
          </cell>
          <cell r="D490">
            <v>3267835.55</v>
          </cell>
        </row>
        <row r="491">
          <cell r="C491">
            <v>655764.5182972562</v>
          </cell>
          <cell r="D491">
            <v>1100893.3999999999</v>
          </cell>
        </row>
        <row r="492">
          <cell r="C492">
            <v>2550008.5499999998</v>
          </cell>
          <cell r="D492">
            <v>3828238.24</v>
          </cell>
        </row>
        <row r="493">
          <cell r="C493">
            <v>421319.44807287038</v>
          </cell>
          <cell r="D493">
            <v>811589.63</v>
          </cell>
        </row>
        <row r="494">
          <cell r="C494">
            <v>439727.02903532196</v>
          </cell>
          <cell r="D494">
            <v>747011.03</v>
          </cell>
        </row>
        <row r="495">
          <cell r="C495">
            <v>1668733.0475913784</v>
          </cell>
          <cell r="D495">
            <v>4996661.2300000004</v>
          </cell>
        </row>
        <row r="496">
          <cell r="C496">
            <v>2215993.7249893276</v>
          </cell>
          <cell r="D496">
            <v>3800256.97</v>
          </cell>
        </row>
        <row r="497">
          <cell r="C497">
            <v>1869169.3051295187</v>
          </cell>
          <cell r="D497">
            <v>4485574.91</v>
          </cell>
        </row>
        <row r="498">
          <cell r="C498">
            <v>860198.45737244608</v>
          </cell>
          <cell r="D498">
            <v>1312778.03</v>
          </cell>
        </row>
        <row r="499">
          <cell r="C499">
            <v>344827.97791485593</v>
          </cell>
          <cell r="D499">
            <v>497965.15</v>
          </cell>
        </row>
        <row r="500">
          <cell r="C500">
            <v>6445704.4003251065</v>
          </cell>
          <cell r="D500">
            <v>10150360.25</v>
          </cell>
        </row>
        <row r="501">
          <cell r="C501">
            <v>2967526.7415719321</v>
          </cell>
          <cell r="D501">
            <v>6262546.5199999996</v>
          </cell>
        </row>
        <row r="502">
          <cell r="C502">
            <v>2986787.7001121612</v>
          </cell>
          <cell r="D502">
            <v>4609419.66</v>
          </cell>
        </row>
        <row r="503">
          <cell r="C503">
            <v>12854778.17155198</v>
          </cell>
          <cell r="D503">
            <v>19817982.75</v>
          </cell>
        </row>
        <row r="504">
          <cell r="C504">
            <v>446275.45225852402</v>
          </cell>
          <cell r="D504">
            <v>807199.29</v>
          </cell>
        </row>
        <row r="505">
          <cell r="C505">
            <v>12643992.852664998</v>
          </cell>
          <cell r="D505">
            <v>20197829.91</v>
          </cell>
        </row>
        <row r="506">
          <cell r="C506">
            <v>11715046.776350407</v>
          </cell>
          <cell r="D506">
            <v>20139124.600000001</v>
          </cell>
        </row>
        <row r="507">
          <cell r="C507">
            <v>5980679.9100000001</v>
          </cell>
          <cell r="D507">
            <v>10660198.279999999</v>
          </cell>
        </row>
        <row r="508">
          <cell r="C508">
            <v>6854053.5579994479</v>
          </cell>
          <cell r="D508">
            <v>11231506.960000001</v>
          </cell>
        </row>
        <row r="509">
          <cell r="C509">
            <v>2915578.111870138</v>
          </cell>
          <cell r="D509">
            <v>4601048.99</v>
          </cell>
        </row>
        <row r="510">
          <cell r="C510">
            <v>3009268.3311464372</v>
          </cell>
          <cell r="D510">
            <v>3975380.22</v>
          </cell>
        </row>
        <row r="511">
          <cell r="C511">
            <v>14934214.745665276</v>
          </cell>
          <cell r="D511">
            <v>23628027.649999999</v>
          </cell>
        </row>
        <row r="527">
          <cell r="C527">
            <v>1.2800000000000001E-3</v>
          </cell>
          <cell r="D527">
            <v>28936337.52</v>
          </cell>
          <cell r="G527">
            <v>60577549.299999997</v>
          </cell>
        </row>
        <row r="528">
          <cell r="C528">
            <v>1E-3</v>
          </cell>
          <cell r="D528">
            <v>1251131.77</v>
          </cell>
          <cell r="G528">
            <v>1465709.46</v>
          </cell>
        </row>
        <row r="529">
          <cell r="C529">
            <v>5.8100000000000003E-4</v>
          </cell>
          <cell r="D529">
            <v>2365613.9300000002</v>
          </cell>
          <cell r="G529">
            <v>3541058.29</v>
          </cell>
        </row>
        <row r="530">
          <cell r="C530">
            <v>1.524E-3</v>
          </cell>
          <cell r="D530">
            <v>6817619.1100000003</v>
          </cell>
          <cell r="G530">
            <v>14004660.960000001</v>
          </cell>
        </row>
        <row r="531">
          <cell r="C531">
            <v>1.207E-3</v>
          </cell>
          <cell r="D531">
            <v>2187982.4</v>
          </cell>
          <cell r="G531">
            <v>2292193.31</v>
          </cell>
        </row>
        <row r="532">
          <cell r="D532">
            <v>0</v>
          </cell>
          <cell r="G532">
            <v>0</v>
          </cell>
        </row>
        <row r="533">
          <cell r="C533">
            <v>1.201E-3</v>
          </cell>
          <cell r="D533">
            <v>24915008.800000001</v>
          </cell>
          <cell r="G533">
            <v>55759305.719999999</v>
          </cell>
        </row>
        <row r="534">
          <cell r="C534">
            <v>1.384E-3</v>
          </cell>
          <cell r="D534">
            <v>3780019.22</v>
          </cell>
          <cell r="G534">
            <v>4011791.48</v>
          </cell>
        </row>
        <row r="535">
          <cell r="C535">
            <v>1.6919999999999999E-3</v>
          </cell>
          <cell r="D535">
            <v>3133531.75</v>
          </cell>
          <cell r="G535">
            <v>3133531.75</v>
          </cell>
        </row>
        <row r="536">
          <cell r="C536">
            <v>8.9899999999999995E-4</v>
          </cell>
          <cell r="D536">
            <v>663882.43000000005</v>
          </cell>
          <cell r="G536">
            <v>777935.14</v>
          </cell>
        </row>
        <row r="537">
          <cell r="D537">
            <v>0</v>
          </cell>
          <cell r="G537">
            <v>0</v>
          </cell>
        </row>
        <row r="538">
          <cell r="C538">
            <v>1.3649999999999999E-3</v>
          </cell>
          <cell r="D538">
            <v>35449050.289999999</v>
          </cell>
          <cell r="G538">
            <v>53212039.409999996</v>
          </cell>
        </row>
        <row r="539">
          <cell r="C539">
            <v>7.1599999999999995E-4</v>
          </cell>
          <cell r="D539">
            <v>2860454.22</v>
          </cell>
          <cell r="G539">
            <v>3830092.91</v>
          </cell>
        </row>
        <row r="540">
          <cell r="C540">
            <v>1.6000000000000001E-3</v>
          </cell>
          <cell r="D540">
            <v>30343355.93</v>
          </cell>
          <cell r="G540">
            <v>41731026.189999998</v>
          </cell>
        </row>
        <row r="541">
          <cell r="C541">
            <v>4.0000000000000002E-4</v>
          </cell>
          <cell r="D541">
            <v>371154.69</v>
          </cell>
          <cell r="G541">
            <v>527680.71</v>
          </cell>
        </row>
        <row r="542">
          <cell r="C542">
            <v>1.0330000000000001E-3</v>
          </cell>
          <cell r="D542">
            <v>1315210.49</v>
          </cell>
          <cell r="G542">
            <v>1315210.49</v>
          </cell>
        </row>
        <row r="543">
          <cell r="C543">
            <v>8.0599999999999997E-4</v>
          </cell>
          <cell r="D543">
            <v>2074760.39</v>
          </cell>
          <cell r="G543">
            <v>2074760.39</v>
          </cell>
        </row>
        <row r="544">
          <cell r="D544">
            <v>0</v>
          </cell>
          <cell r="G544">
            <v>0</v>
          </cell>
        </row>
        <row r="545">
          <cell r="C545">
            <v>1.2999999999999999E-3</v>
          </cell>
          <cell r="D545">
            <v>10259189.390000001</v>
          </cell>
          <cell r="G545">
            <v>21398994.280000001</v>
          </cell>
        </row>
        <row r="546">
          <cell r="C546">
            <v>1.4580000000000001E-3</v>
          </cell>
          <cell r="D546">
            <v>1027027.02</v>
          </cell>
          <cell r="G546">
            <v>1987407.67</v>
          </cell>
        </row>
        <row r="547">
          <cell r="C547">
            <v>2.1599999999999999E-4</v>
          </cell>
          <cell r="D547">
            <v>255219.49</v>
          </cell>
          <cell r="G547">
            <v>255219.49</v>
          </cell>
        </row>
        <row r="548">
          <cell r="C548">
            <v>1.24E-3</v>
          </cell>
          <cell r="D548">
            <v>17314055.920000002</v>
          </cell>
          <cell r="G548">
            <v>17314055.920000002</v>
          </cell>
        </row>
        <row r="549">
          <cell r="C549">
            <v>2.9500000000000001E-4</v>
          </cell>
          <cell r="D549">
            <v>39030.33</v>
          </cell>
          <cell r="G549">
            <v>105270.42</v>
          </cell>
        </row>
        <row r="550">
          <cell r="C550">
            <v>1.2899999999999999E-3</v>
          </cell>
          <cell r="D550">
            <v>1130658.1200000001</v>
          </cell>
          <cell r="G550">
            <v>1130658.1200000001</v>
          </cell>
        </row>
        <row r="551">
          <cell r="C551">
            <v>1.6000000000000001E-3</v>
          </cell>
          <cell r="D551">
            <v>1342209.36</v>
          </cell>
          <cell r="G551">
            <v>3134519.74</v>
          </cell>
        </row>
        <row r="552">
          <cell r="C552">
            <v>1.307E-3</v>
          </cell>
          <cell r="D552">
            <v>1821002.57</v>
          </cell>
          <cell r="G552">
            <v>3412201.26</v>
          </cell>
        </row>
        <row r="553">
          <cell r="C553">
            <v>1.5679999999999999E-3</v>
          </cell>
          <cell r="D553">
            <v>930968.29</v>
          </cell>
          <cell r="G553">
            <v>2977440.87</v>
          </cell>
        </row>
        <row r="554">
          <cell r="C554">
            <v>5.9999999999999995E-4</v>
          </cell>
          <cell r="D554">
            <v>1130853.3899999999</v>
          </cell>
          <cell r="G554">
            <v>1130853.3899999999</v>
          </cell>
        </row>
        <row r="555">
          <cell r="C555">
            <v>2.7339999999999999E-3</v>
          </cell>
          <cell r="D555">
            <v>102566.85</v>
          </cell>
          <cell r="G555">
            <v>517057.12</v>
          </cell>
        </row>
        <row r="556">
          <cell r="C556">
            <v>5.9999999999999995E-4</v>
          </cell>
          <cell r="D556">
            <v>2391276.56</v>
          </cell>
          <cell r="G556">
            <v>4501765.6100000003</v>
          </cell>
        </row>
        <row r="557">
          <cell r="D557">
            <v>0</v>
          </cell>
          <cell r="G557">
            <v>0</v>
          </cell>
        </row>
        <row r="558">
          <cell r="C558">
            <v>1.3619999999999999E-3</v>
          </cell>
          <cell r="D558">
            <v>6422064.9000000004</v>
          </cell>
          <cell r="G558">
            <v>6422064.9000000004</v>
          </cell>
        </row>
        <row r="559">
          <cell r="C559">
            <v>1.1000000000000001E-3</v>
          </cell>
          <cell r="D559">
            <v>15597201.01</v>
          </cell>
          <cell r="G559">
            <v>16431393.98</v>
          </cell>
        </row>
        <row r="560">
          <cell r="D560">
            <v>0</v>
          </cell>
          <cell r="G560">
            <v>0</v>
          </cell>
        </row>
        <row r="561">
          <cell r="C561">
            <v>1.1230000000000001E-3</v>
          </cell>
          <cell r="D561">
            <v>10962940.470000001</v>
          </cell>
          <cell r="G561">
            <v>18223921.219999999</v>
          </cell>
        </row>
        <row r="562">
          <cell r="C562">
            <v>8.61E-4</v>
          </cell>
          <cell r="D562">
            <v>19274293.559999999</v>
          </cell>
          <cell r="G562">
            <v>19274293.559999999</v>
          </cell>
        </row>
        <row r="563">
          <cell r="C563">
            <v>1.603E-3</v>
          </cell>
          <cell r="D563">
            <v>6054482.0700000003</v>
          </cell>
          <cell r="G563">
            <v>9608487.5399999991</v>
          </cell>
        </row>
        <row r="564">
          <cell r="C564">
            <v>1.093E-3</v>
          </cell>
          <cell r="D564">
            <v>6033632.4699999997</v>
          </cell>
          <cell r="G564">
            <v>12422819.800000001</v>
          </cell>
        </row>
        <row r="565">
          <cell r="C565">
            <v>1.6000000000000001E-3</v>
          </cell>
          <cell r="D565">
            <v>3688163.36</v>
          </cell>
          <cell r="G565">
            <v>4714048.5199999996</v>
          </cell>
        </row>
        <row r="566">
          <cell r="C566">
            <v>1.786E-3</v>
          </cell>
          <cell r="D566">
            <v>5698530.9900000002</v>
          </cell>
          <cell r="G566">
            <v>5698530.9900000002</v>
          </cell>
        </row>
        <row r="567">
          <cell r="C567">
            <v>1.6000000000000001E-3</v>
          </cell>
          <cell r="D567">
            <v>31783470.739999998</v>
          </cell>
          <cell r="G567">
            <v>31783470.739999998</v>
          </cell>
        </row>
        <row r="582">
          <cell r="C582">
            <v>1.1349999999999999E-3</v>
          </cell>
          <cell r="D582">
            <v>9042605.4800000004</v>
          </cell>
          <cell r="G582">
            <v>15144387.33</v>
          </cell>
        </row>
        <row r="583">
          <cell r="C583">
            <v>1.5150000000000001E-3</v>
          </cell>
          <cell r="D583">
            <v>500452.71</v>
          </cell>
          <cell r="G583">
            <v>500452.71</v>
          </cell>
        </row>
        <row r="584">
          <cell r="C584">
            <v>2.4160000000000002E-3</v>
          </cell>
          <cell r="D584">
            <v>1628649.86</v>
          </cell>
          <cell r="G584">
            <v>2360705.5299999998</v>
          </cell>
        </row>
        <row r="585">
          <cell r="C585">
            <v>1.1800000000000001E-3</v>
          </cell>
          <cell r="D585">
            <v>1789401.34</v>
          </cell>
          <cell r="G585">
            <v>3501165.24</v>
          </cell>
        </row>
        <row r="586">
          <cell r="C586">
            <v>2.696E-3</v>
          </cell>
          <cell r="D586">
            <v>725097.73</v>
          </cell>
          <cell r="G586">
            <v>759633.24</v>
          </cell>
        </row>
        <row r="587">
          <cell r="C587">
            <v>1.474E-3</v>
          </cell>
          <cell r="D587">
            <v>117250.04</v>
          </cell>
          <cell r="G587">
            <v>117250.04</v>
          </cell>
        </row>
        <row r="588">
          <cell r="C588">
            <v>1.957E-3</v>
          </cell>
          <cell r="D588">
            <v>8298087.8600000003</v>
          </cell>
          <cell r="G588">
            <v>13939826.43</v>
          </cell>
        </row>
        <row r="589">
          <cell r="C589">
            <v>1.3090000000000001E-3</v>
          </cell>
          <cell r="D589">
            <v>1092491.1000000001</v>
          </cell>
          <cell r="G589">
            <v>1159477.31</v>
          </cell>
        </row>
        <row r="590">
          <cell r="C590">
            <v>2.1940000000000002E-3</v>
          </cell>
          <cell r="D590">
            <v>783382.94</v>
          </cell>
          <cell r="G590">
            <v>783382.94</v>
          </cell>
        </row>
        <row r="591">
          <cell r="C591">
            <v>2.5000000000000001E-3</v>
          </cell>
          <cell r="D591">
            <v>295387.07</v>
          </cell>
          <cell r="G591">
            <v>346133.55</v>
          </cell>
        </row>
        <row r="592">
          <cell r="C592">
            <v>2.5010000000000002E-3</v>
          </cell>
          <cell r="D592">
            <v>662144.32999999996</v>
          </cell>
          <cell r="G592">
            <v>662144.32999999996</v>
          </cell>
        </row>
        <row r="593">
          <cell r="C593">
            <v>2.0230000000000001E-3</v>
          </cell>
          <cell r="D593">
            <v>10388000.08</v>
          </cell>
          <cell r="G593">
            <v>13303009.85</v>
          </cell>
        </row>
        <row r="594">
          <cell r="C594">
            <v>1.248E-3</v>
          </cell>
          <cell r="D594">
            <v>1598019.12</v>
          </cell>
          <cell r="G594">
            <v>1915046.45</v>
          </cell>
        </row>
        <row r="595">
          <cell r="C595">
            <v>6.4400000000000004E-4</v>
          </cell>
          <cell r="D595">
            <v>7585838.9800000004</v>
          </cell>
          <cell r="G595">
            <v>10432756.550000001</v>
          </cell>
        </row>
        <row r="596">
          <cell r="C596">
            <v>2.006E-3</v>
          </cell>
          <cell r="D596">
            <v>371154.69</v>
          </cell>
          <cell r="G596">
            <v>517334.03</v>
          </cell>
        </row>
        <row r="597">
          <cell r="C597">
            <v>1.7730000000000001E-3</v>
          </cell>
          <cell r="D597">
            <v>509278.02</v>
          </cell>
          <cell r="G597">
            <v>509278.02</v>
          </cell>
        </row>
        <row r="598">
          <cell r="C598">
            <v>1.92E-3</v>
          </cell>
          <cell r="D598">
            <v>1029657.76</v>
          </cell>
          <cell r="G598">
            <v>1029657.76</v>
          </cell>
        </row>
        <row r="599">
          <cell r="C599">
            <v>2.2200000000000002E-3</v>
          </cell>
          <cell r="D599">
            <v>443504.33</v>
          </cell>
          <cell r="G599">
            <v>584903.05000000005</v>
          </cell>
        </row>
        <row r="600">
          <cell r="C600">
            <v>1.694E-3</v>
          </cell>
          <cell r="D600">
            <v>3156673.66</v>
          </cell>
          <cell r="G600">
            <v>6584305.9299999997</v>
          </cell>
        </row>
        <row r="601">
          <cell r="C601">
            <v>1.9750000000000002E-3</v>
          </cell>
          <cell r="D601">
            <v>281763.24</v>
          </cell>
          <cell r="G601">
            <v>496851.92</v>
          </cell>
        </row>
        <row r="602">
          <cell r="C602">
            <v>2.5000000000000001E-3</v>
          </cell>
          <cell r="D602">
            <v>472628.68</v>
          </cell>
          <cell r="G602">
            <v>472628.68</v>
          </cell>
        </row>
        <row r="603">
          <cell r="C603">
            <v>9.4499999999999998E-4</v>
          </cell>
          <cell r="D603">
            <v>5585179.3300000001</v>
          </cell>
          <cell r="G603">
            <v>5585179.3300000001</v>
          </cell>
        </row>
        <row r="604">
          <cell r="C604">
            <v>1.74E-3</v>
          </cell>
          <cell r="D604">
            <v>52922.48</v>
          </cell>
          <cell r="G604">
            <v>137160.16</v>
          </cell>
        </row>
        <row r="605">
          <cell r="C605">
            <v>1.24E-3</v>
          </cell>
          <cell r="D605">
            <v>350591.67</v>
          </cell>
          <cell r="G605">
            <v>350591.67</v>
          </cell>
        </row>
        <row r="606">
          <cell r="C606">
            <v>1.8979999999999999E-3</v>
          </cell>
          <cell r="D606">
            <v>335552.34</v>
          </cell>
          <cell r="G606">
            <v>783629.93</v>
          </cell>
        </row>
        <row r="607">
          <cell r="C607">
            <v>1.9620000000000002E-3</v>
          </cell>
          <cell r="D607">
            <v>557307.6</v>
          </cell>
          <cell r="G607">
            <v>1044285.01</v>
          </cell>
        </row>
        <row r="608">
          <cell r="C608">
            <v>1.797E-3</v>
          </cell>
          <cell r="D608">
            <v>237491.91</v>
          </cell>
          <cell r="G608">
            <v>744360.22</v>
          </cell>
        </row>
        <row r="609">
          <cell r="C609">
            <v>2.3249999999999998E-3</v>
          </cell>
          <cell r="D609">
            <v>753902.26</v>
          </cell>
          <cell r="G609">
            <v>753902.26</v>
          </cell>
        </row>
        <row r="610">
          <cell r="C610">
            <v>9.7999999999999997E-4</v>
          </cell>
          <cell r="D610">
            <v>25641.71</v>
          </cell>
          <cell r="G610">
            <v>129264.28</v>
          </cell>
        </row>
        <row r="611">
          <cell r="C611">
            <v>2.5000000000000001E-3</v>
          </cell>
          <cell r="D611">
            <v>1594184.37</v>
          </cell>
          <cell r="G611">
            <v>3001177.08</v>
          </cell>
        </row>
        <row r="612">
          <cell r="C612">
            <v>2.173E-3</v>
          </cell>
          <cell r="D612">
            <v>2014324.02</v>
          </cell>
          <cell r="G612">
            <v>2014324.02</v>
          </cell>
        </row>
        <row r="613">
          <cell r="C613">
            <v>1.668E-3</v>
          </cell>
          <cell r="D613">
            <v>1886068.99</v>
          </cell>
          <cell r="G613">
            <v>1886068.99</v>
          </cell>
        </row>
        <row r="614">
          <cell r="C614">
            <v>1.6280000000000001E-3</v>
          </cell>
          <cell r="D614">
            <v>5671709.46</v>
          </cell>
          <cell r="G614">
            <v>5975052.3600000003</v>
          </cell>
        </row>
        <row r="615">
          <cell r="C615">
            <v>1.635E-3</v>
          </cell>
          <cell r="D615">
            <v>141720.19</v>
          </cell>
          <cell r="G615">
            <v>183415.84</v>
          </cell>
        </row>
        <row r="616">
          <cell r="C616">
            <v>1.168E-3</v>
          </cell>
          <cell r="D616">
            <v>3904876.39</v>
          </cell>
          <cell r="G616">
            <v>6491156.2699999996</v>
          </cell>
        </row>
        <row r="617">
          <cell r="C617">
            <v>2.1090000000000002E-3</v>
          </cell>
          <cell r="D617">
            <v>8954375.6400000006</v>
          </cell>
          <cell r="G617">
            <v>8954375.6400000006</v>
          </cell>
        </row>
        <row r="618">
          <cell r="C618">
            <v>2.1350000000000002E-3</v>
          </cell>
          <cell r="D618">
            <v>1513620.52</v>
          </cell>
          <cell r="G618">
            <v>2402121.89</v>
          </cell>
        </row>
        <row r="619">
          <cell r="C619">
            <v>1.6000000000000001E-3</v>
          </cell>
          <cell r="D619">
            <v>2208099.71</v>
          </cell>
          <cell r="G619">
            <v>3465221.7</v>
          </cell>
        </row>
        <row r="620">
          <cell r="C620">
            <v>2.5000000000000001E-3</v>
          </cell>
          <cell r="D620">
            <v>922040.84</v>
          </cell>
          <cell r="G620">
            <v>1178512.1299999999</v>
          </cell>
        </row>
        <row r="621">
          <cell r="C621">
            <v>9.2699999999999998E-4</v>
          </cell>
          <cell r="D621">
            <v>1424632.75</v>
          </cell>
          <cell r="G621">
            <v>1424632.75</v>
          </cell>
        </row>
        <row r="622">
          <cell r="C622">
            <v>1.2489999999999999E-3</v>
          </cell>
          <cell r="D622">
            <v>7945867.6900000004</v>
          </cell>
          <cell r="G622">
            <v>7945867.6900000004</v>
          </cell>
        </row>
        <row r="638">
          <cell r="E638">
            <v>26344588.539999999</v>
          </cell>
          <cell r="F638">
            <v>11398405.09</v>
          </cell>
          <cell r="G638">
            <v>75721936.629999995</v>
          </cell>
        </row>
        <row r="639">
          <cell r="E639">
            <v>0</v>
          </cell>
          <cell r="F639">
            <v>214577.69</v>
          </cell>
          <cell r="G639">
            <v>1966162.17</v>
          </cell>
        </row>
        <row r="640">
          <cell r="E640">
            <v>971879.99</v>
          </cell>
          <cell r="F640">
            <v>935620.04</v>
          </cell>
          <cell r="G640">
            <v>5901763.8200000003</v>
          </cell>
        </row>
        <row r="641">
          <cell r="E641">
            <v>6553124.8600000003</v>
          </cell>
          <cell r="F641">
            <v>2345680.89</v>
          </cell>
          <cell r="G641">
            <v>17505826.200000003</v>
          </cell>
        </row>
        <row r="642">
          <cell r="E642">
            <v>0</v>
          </cell>
          <cell r="F642">
            <v>138746.42000000001</v>
          </cell>
          <cell r="G642">
            <v>3051826.55</v>
          </cell>
        </row>
        <row r="643">
          <cell r="E643">
            <v>0</v>
          </cell>
          <cell r="F643">
            <v>0</v>
          </cell>
          <cell r="G643">
            <v>117250.04</v>
          </cell>
        </row>
        <row r="644">
          <cell r="E644">
            <v>26508242.300000001</v>
          </cell>
          <cell r="F644">
            <v>9977793.1899999995</v>
          </cell>
          <cell r="G644">
            <v>69699132.150000006</v>
          </cell>
        </row>
        <row r="645">
          <cell r="E645">
            <v>0</v>
          </cell>
          <cell r="F645">
            <v>298758.46999999997</v>
          </cell>
          <cell r="G645">
            <v>5171268.79</v>
          </cell>
        </row>
        <row r="646">
          <cell r="E646">
            <v>0</v>
          </cell>
          <cell r="F646">
            <v>0</v>
          </cell>
          <cell r="G646">
            <v>3916914.69</v>
          </cell>
        </row>
        <row r="647">
          <cell r="E647">
            <v>91416.98</v>
          </cell>
          <cell r="F647">
            <v>73382.210000000006</v>
          </cell>
          <cell r="G647">
            <v>1124068.69</v>
          </cell>
        </row>
        <row r="648">
          <cell r="E648">
            <v>0</v>
          </cell>
          <cell r="F648">
            <v>0</v>
          </cell>
          <cell r="G648">
            <v>662144.32999999996</v>
          </cell>
        </row>
        <row r="649">
          <cell r="E649">
            <v>11060538.960000001</v>
          </cell>
          <cell r="F649">
            <v>9617459.9299999997</v>
          </cell>
          <cell r="G649">
            <v>66515049.259999998</v>
          </cell>
        </row>
        <row r="650">
          <cell r="E650">
            <v>871198.43</v>
          </cell>
          <cell r="F650">
            <v>415467.59</v>
          </cell>
          <cell r="G650">
            <v>5745139.3599999994</v>
          </cell>
        </row>
        <row r="651">
          <cell r="E651">
            <v>6692590.3499999996</v>
          </cell>
          <cell r="F651">
            <v>7541997.4800000004</v>
          </cell>
          <cell r="G651">
            <v>52163782.739999995</v>
          </cell>
        </row>
        <row r="652">
          <cell r="E652">
            <v>175693.57</v>
          </cell>
          <cell r="F652">
            <v>127011.79</v>
          </cell>
          <cell r="G652">
            <v>1045014.74</v>
          </cell>
        </row>
        <row r="653">
          <cell r="E653">
            <v>0</v>
          </cell>
          <cell r="F653">
            <v>0</v>
          </cell>
          <cell r="G653">
            <v>1824488.51</v>
          </cell>
        </row>
        <row r="654">
          <cell r="E654">
            <v>0</v>
          </cell>
          <cell r="F654">
            <v>0</v>
          </cell>
          <cell r="G654">
            <v>3104418.15</v>
          </cell>
        </row>
        <row r="655">
          <cell r="E655">
            <v>64621.29</v>
          </cell>
          <cell r="F655">
            <v>76777.429999999993</v>
          </cell>
          <cell r="G655">
            <v>584903.05000000005</v>
          </cell>
        </row>
        <row r="656">
          <cell r="E656">
            <v>12482495.380000001</v>
          </cell>
          <cell r="F656">
            <v>2084941.78</v>
          </cell>
          <cell r="G656">
            <v>27983300.210000001</v>
          </cell>
        </row>
        <row r="657">
          <cell r="E657">
            <v>907427.63</v>
          </cell>
          <cell r="F657">
            <v>268041.7</v>
          </cell>
          <cell r="G657">
            <v>2484259.5900000003</v>
          </cell>
        </row>
        <row r="658">
          <cell r="E658">
            <v>0</v>
          </cell>
          <cell r="F658">
            <v>0</v>
          </cell>
          <cell r="G658">
            <v>727848.16999999993</v>
          </cell>
        </row>
        <row r="659">
          <cell r="E659">
            <v>0</v>
          </cell>
          <cell r="F659">
            <v>0</v>
          </cell>
          <cell r="G659">
            <v>22899235.25</v>
          </cell>
        </row>
        <row r="660">
          <cell r="E660">
            <v>116089.77</v>
          </cell>
          <cell r="F660">
            <v>34388</v>
          </cell>
          <cell r="G660">
            <v>242430.58000000002</v>
          </cell>
        </row>
        <row r="661">
          <cell r="E661">
            <v>0</v>
          </cell>
          <cell r="F661">
            <v>0</v>
          </cell>
          <cell r="G661">
            <v>1481249.79</v>
          </cell>
        </row>
        <row r="662">
          <cell r="E662">
            <v>1769652.91</v>
          </cell>
          <cell r="F662">
            <v>470735.06</v>
          </cell>
          <cell r="G662">
            <v>3918149.6700000004</v>
          </cell>
        </row>
        <row r="663">
          <cell r="E663">
            <v>1011263.02</v>
          </cell>
          <cell r="F663">
            <v>1066913.08</v>
          </cell>
          <cell r="G663">
            <v>4456486.2699999996</v>
          </cell>
        </row>
        <row r="664">
          <cell r="E664">
            <v>1967356.6</v>
          </cell>
          <cell r="F664">
            <v>585984.29</v>
          </cell>
          <cell r="G664">
            <v>3721801.09</v>
          </cell>
        </row>
        <row r="665">
          <cell r="E665">
            <v>0</v>
          </cell>
          <cell r="F665">
            <v>0</v>
          </cell>
          <cell r="G665">
            <v>1884755.65</v>
          </cell>
        </row>
        <row r="666">
          <cell r="E666">
            <v>414556.34</v>
          </cell>
          <cell r="F666">
            <v>103556.5</v>
          </cell>
          <cell r="G666">
            <v>646321.4</v>
          </cell>
        </row>
        <row r="667">
          <cell r="E667">
            <v>2340704.6800000002</v>
          </cell>
          <cell r="F667">
            <v>1176777.08</v>
          </cell>
          <cell r="G667">
            <v>7502942.6900000004</v>
          </cell>
        </row>
        <row r="668">
          <cell r="E668">
            <v>0</v>
          </cell>
          <cell r="F668">
            <v>0</v>
          </cell>
          <cell r="G668">
            <v>2014324.02</v>
          </cell>
        </row>
        <row r="669">
          <cell r="E669">
            <v>0</v>
          </cell>
          <cell r="F669">
            <v>0</v>
          </cell>
          <cell r="G669">
            <v>8308133.8900000006</v>
          </cell>
        </row>
        <row r="670">
          <cell r="E670">
            <v>354733.35</v>
          </cell>
          <cell r="F670">
            <v>782802.52</v>
          </cell>
          <cell r="G670">
            <v>22406446.34</v>
          </cell>
        </row>
        <row r="671">
          <cell r="E671">
            <v>11423.48</v>
          </cell>
          <cell r="F671">
            <v>30272.17</v>
          </cell>
          <cell r="G671">
            <v>183415.84000000003</v>
          </cell>
        </row>
        <row r="672">
          <cell r="E672">
            <v>8287513.7599999998</v>
          </cell>
          <cell r="F672">
            <v>1559746.87</v>
          </cell>
          <cell r="G672">
            <v>24715077.490000002</v>
          </cell>
        </row>
        <row r="673">
          <cell r="E673">
            <v>0</v>
          </cell>
          <cell r="F673">
            <v>0</v>
          </cell>
          <cell r="G673">
            <v>28228669.199999999</v>
          </cell>
        </row>
        <row r="674">
          <cell r="E674">
            <v>3178060.47</v>
          </cell>
          <cell r="F674">
            <v>1264446.3700000001</v>
          </cell>
          <cell r="G674">
            <v>12010609.43</v>
          </cell>
        </row>
        <row r="675">
          <cell r="E675">
            <v>4444815.0999999996</v>
          </cell>
          <cell r="F675">
            <v>3201494.22</v>
          </cell>
          <cell r="G675">
            <v>15888041.5</v>
          </cell>
        </row>
        <row r="676">
          <cell r="E676">
            <v>824134.31</v>
          </cell>
          <cell r="F676">
            <v>458222.14</v>
          </cell>
          <cell r="G676">
            <v>5892560.6499999994</v>
          </cell>
        </row>
        <row r="677">
          <cell r="E677">
            <v>0</v>
          </cell>
          <cell r="F677">
            <v>0</v>
          </cell>
          <cell r="G677">
            <v>7123163.7400000002</v>
          </cell>
        </row>
        <row r="678">
          <cell r="E678">
            <v>0</v>
          </cell>
          <cell r="F678">
            <v>0</v>
          </cell>
          <cell r="G678">
            <v>39729338.43</v>
          </cell>
        </row>
        <row r="754">
          <cell r="E754">
            <v>-77963342.180000007</v>
          </cell>
          <cell r="F754">
            <v>368447785.92000002</v>
          </cell>
        </row>
        <row r="755">
          <cell r="E755">
            <v>-3992845.83</v>
          </cell>
          <cell r="F755">
            <v>7828532.2999999989</v>
          </cell>
        </row>
        <row r="756">
          <cell r="E756">
            <v>-11256148.51</v>
          </cell>
          <cell r="F756">
            <v>53789900.359999999</v>
          </cell>
        </row>
        <row r="757">
          <cell r="E757">
            <v>-16561439.520000001</v>
          </cell>
          <cell r="F757">
            <v>90115537.850000024</v>
          </cell>
        </row>
        <row r="758">
          <cell r="E758">
            <v>-6191762.9000000004</v>
          </cell>
          <cell r="F758">
            <v>16171899.67</v>
          </cell>
        </row>
        <row r="759">
          <cell r="E759">
            <v>-641565.98</v>
          </cell>
          <cell r="F759">
            <v>2150638.5100000002</v>
          </cell>
        </row>
        <row r="760">
          <cell r="E760">
            <v>-70128577.409999996</v>
          </cell>
          <cell r="F760">
            <v>335051955.48000002</v>
          </cell>
        </row>
        <row r="761">
          <cell r="E761">
            <v>-9827014.0600000005</v>
          </cell>
          <cell r="F761">
            <v>24113127.019999996</v>
          </cell>
        </row>
        <row r="762">
          <cell r="E762">
            <v>-7446942.0999999996</v>
          </cell>
          <cell r="F762">
            <v>10721444.76</v>
          </cell>
        </row>
        <row r="763">
          <cell r="E763">
            <v>-2272362.4500000002</v>
          </cell>
          <cell r="F763">
            <v>7306219.9000000013</v>
          </cell>
        </row>
        <row r="764">
          <cell r="E764">
            <v>-3624902.77</v>
          </cell>
          <cell r="F764">
            <v>5642210.2699999996</v>
          </cell>
        </row>
        <row r="765">
          <cell r="E765">
            <v>-91832665.590000004</v>
          </cell>
          <cell r="F765">
            <v>298911487.57000005</v>
          </cell>
        </row>
        <row r="766">
          <cell r="E766">
            <v>-11522371.800000001</v>
          </cell>
          <cell r="F766">
            <v>41588929.780000001</v>
          </cell>
        </row>
        <row r="767">
          <cell r="E767">
            <v>-71443816.669999987</v>
          </cell>
          <cell r="F767">
            <v>231123666.47</v>
          </cell>
        </row>
        <row r="768">
          <cell r="E768">
            <v>-2393081.6799999997</v>
          </cell>
          <cell r="F768">
            <v>11529174.900000002</v>
          </cell>
        </row>
        <row r="769">
          <cell r="E769">
            <v>-4102888.5700000003</v>
          </cell>
          <cell r="F769">
            <v>7681102.9299999997</v>
          </cell>
        </row>
        <row r="770">
          <cell r="E770">
            <v>-7672307.7300000004</v>
          </cell>
          <cell r="F770">
            <v>12599863.170000002</v>
          </cell>
        </row>
        <row r="771">
          <cell r="E771">
            <v>-2412983.5700000003</v>
          </cell>
          <cell r="F771">
            <v>12494029.029999999</v>
          </cell>
        </row>
        <row r="772">
          <cell r="E772">
            <v>-27399730.510000002</v>
          </cell>
          <cell r="F772">
            <v>168728385.57000002</v>
          </cell>
        </row>
        <row r="773">
          <cell r="E773">
            <v>-2566847.2400000002</v>
          </cell>
          <cell r="F773">
            <v>13546165.25</v>
          </cell>
        </row>
        <row r="774">
          <cell r="E774">
            <v>-2827503.05</v>
          </cell>
          <cell r="F774">
            <v>4946506.8</v>
          </cell>
        </row>
        <row r="775">
          <cell r="E775">
            <v>-47698326.510000005</v>
          </cell>
          <cell r="F775">
            <v>-195992.56000000983</v>
          </cell>
        </row>
        <row r="776">
          <cell r="E776">
            <v>-327341.68</v>
          </cell>
          <cell r="F776">
            <v>3684315.46</v>
          </cell>
        </row>
        <row r="777">
          <cell r="E777">
            <v>-3047573.2</v>
          </cell>
          <cell r="F777">
            <v>3170605.34</v>
          </cell>
        </row>
        <row r="778">
          <cell r="E778">
            <v>-3197733.33</v>
          </cell>
          <cell r="F778">
            <v>22031892.700000003</v>
          </cell>
        </row>
        <row r="779">
          <cell r="E779">
            <v>-4887592.09</v>
          </cell>
          <cell r="F779">
            <v>25149917.639999997</v>
          </cell>
        </row>
        <row r="780">
          <cell r="E780">
            <v>-2229710.16</v>
          </cell>
          <cell r="F780">
            <v>22578039.25</v>
          </cell>
        </row>
        <row r="781">
          <cell r="E781">
            <v>-5233605.12</v>
          </cell>
          <cell r="F781">
            <v>5560987.3700000001</v>
          </cell>
        </row>
        <row r="782">
          <cell r="E782">
            <v>-241904.83</v>
          </cell>
          <cell r="F782">
            <v>3799441.23</v>
          </cell>
        </row>
        <row r="783">
          <cell r="E783">
            <v>-11081552.030000001</v>
          </cell>
          <cell r="F783">
            <v>70340645.050000012</v>
          </cell>
        </row>
        <row r="784">
          <cell r="E784">
            <v>-11173786.42</v>
          </cell>
          <cell r="F784">
            <v>28608018.960000001</v>
          </cell>
        </row>
        <row r="785">
          <cell r="E785">
            <v>-16679861.92</v>
          </cell>
          <cell r="F785">
            <v>24533788.030000001</v>
          </cell>
        </row>
        <row r="786">
          <cell r="E786">
            <v>-46435440.329999998</v>
          </cell>
          <cell r="F786">
            <v>121391856.27999999</v>
          </cell>
        </row>
        <row r="787">
          <cell r="E787">
            <v>-770765.86</v>
          </cell>
          <cell r="F787">
            <v>4154918.0900000003</v>
          </cell>
        </row>
        <row r="788">
          <cell r="E788">
            <v>-32203890.190000001</v>
          </cell>
          <cell r="F788">
            <v>148661777.63999999</v>
          </cell>
        </row>
        <row r="789">
          <cell r="E789">
            <v>-67797272.039999992</v>
          </cell>
          <cell r="F789">
            <v>80589768.820000023</v>
          </cell>
        </row>
        <row r="790">
          <cell r="E790">
            <v>-14297742.300000001</v>
          </cell>
          <cell r="F790">
            <v>59079650.230000004</v>
          </cell>
        </row>
        <row r="791">
          <cell r="E791">
            <v>-18067636.57</v>
          </cell>
          <cell r="F791">
            <v>82195731.669999987</v>
          </cell>
        </row>
        <row r="792">
          <cell r="E792">
            <v>-8719270.3599999994</v>
          </cell>
          <cell r="F792">
            <v>26402576.300000004</v>
          </cell>
        </row>
        <row r="793">
          <cell r="E793">
            <v>-13424974.84</v>
          </cell>
          <cell r="F793">
            <v>24600324.060000006</v>
          </cell>
        </row>
        <row r="794">
          <cell r="E794">
            <v>-74655918.549999997</v>
          </cell>
          <cell r="F794">
            <v>128132379.59000002</v>
          </cell>
        </row>
      </sheetData>
      <sheetData sheetId="1">
        <row r="7">
          <cell r="C7">
            <v>12126.77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9">
          <cell r="E9">
            <v>20390084416</v>
          </cell>
          <cell r="F9">
            <v>0.92979999999999996</v>
          </cell>
          <cell r="G9">
            <v>1.6750000000000001E-3</v>
          </cell>
        </row>
        <row r="10">
          <cell r="E10">
            <v>1236174957</v>
          </cell>
          <cell r="F10">
            <v>0.95520000000000005</v>
          </cell>
          <cell r="G10">
            <v>1.6750000000000001E-3</v>
          </cell>
        </row>
        <row r="11">
          <cell r="E11">
            <v>3752754103</v>
          </cell>
          <cell r="F11">
            <v>0.96899999999999997</v>
          </cell>
          <cell r="G11">
            <v>1.6750000000000001E-3</v>
          </cell>
        </row>
        <row r="12">
          <cell r="E12">
            <v>4073761016</v>
          </cell>
          <cell r="F12">
            <v>0.95760000000000001</v>
          </cell>
          <cell r="G12">
            <v>1.6750000000000001E-3</v>
          </cell>
        </row>
        <row r="13">
          <cell r="E13">
            <v>1740838001</v>
          </cell>
          <cell r="F13">
            <v>0.95420000000000005</v>
          </cell>
          <cell r="G13">
            <v>1.6750000000000001E-3</v>
          </cell>
        </row>
        <row r="14">
          <cell r="E14">
            <v>284126686</v>
          </cell>
          <cell r="F14">
            <v>0.96150000000000002</v>
          </cell>
          <cell r="G14">
            <v>1.6750000000000001E-3</v>
          </cell>
        </row>
        <row r="15">
          <cell r="E15">
            <v>19296819622</v>
          </cell>
          <cell r="F15">
            <v>0.93989999999999996</v>
          </cell>
          <cell r="G15">
            <v>1.6750000000000001E-3</v>
          </cell>
        </row>
        <row r="16">
          <cell r="E16">
            <v>2588353833</v>
          </cell>
          <cell r="F16">
            <v>0.9476</v>
          </cell>
          <cell r="G16">
            <v>1.6750000000000001E-3</v>
          </cell>
        </row>
        <row r="17">
          <cell r="E17">
            <v>1979806080</v>
          </cell>
          <cell r="F17">
            <v>0.97689999999999999</v>
          </cell>
          <cell r="G17">
            <v>1.6750000000000001E-3</v>
          </cell>
        </row>
        <row r="18">
          <cell r="E18">
            <v>622097393</v>
          </cell>
          <cell r="F18">
            <v>0.94289999999999996</v>
          </cell>
          <cell r="G18">
            <v>1.6750000000000001E-3</v>
          </cell>
        </row>
        <row r="19">
          <cell r="E19">
            <v>1570019219</v>
          </cell>
          <cell r="F19">
            <v>0.93740000000000001</v>
          </cell>
          <cell r="G19">
            <v>1.6750000000000001E-3</v>
          </cell>
        </row>
        <row r="20">
          <cell r="E20">
            <v>24086973300</v>
          </cell>
          <cell r="F20">
            <v>0.96870000000000001</v>
          </cell>
          <cell r="G20">
            <v>1.6750000000000001E-3</v>
          </cell>
        </row>
        <row r="21">
          <cell r="E21">
            <v>3443183358</v>
          </cell>
          <cell r="F21">
            <v>0.9083</v>
          </cell>
          <cell r="G21">
            <v>1.6750000000000001E-3</v>
          </cell>
        </row>
        <row r="22">
          <cell r="E22">
            <v>17424276158</v>
          </cell>
          <cell r="F22">
            <v>0.97370000000000001</v>
          </cell>
          <cell r="G22">
            <v>1.6750000000000001E-3</v>
          </cell>
        </row>
        <row r="23">
          <cell r="E23">
            <v>869793342</v>
          </cell>
          <cell r="F23">
            <v>0.96830000000000005</v>
          </cell>
          <cell r="G23">
            <v>1.6750000000000001E-3</v>
          </cell>
        </row>
        <row r="24">
          <cell r="E24">
            <v>1234823270</v>
          </cell>
          <cell r="F24">
            <v>0.87670000000000003</v>
          </cell>
          <cell r="G24">
            <v>1.6750000000000001E-3</v>
          </cell>
        </row>
        <row r="25">
          <cell r="E25">
            <v>2410655112</v>
          </cell>
          <cell r="F25">
            <v>0.98509999999999998</v>
          </cell>
          <cell r="G25">
            <v>1.6750000000000001E-3</v>
          </cell>
        </row>
        <row r="26">
          <cell r="E26">
            <v>1024332899</v>
          </cell>
          <cell r="F26">
            <v>0.89639999999999997</v>
          </cell>
          <cell r="G26">
            <v>1.6750000000000001E-3</v>
          </cell>
        </row>
        <row r="27">
          <cell r="E27">
            <v>7162567746</v>
          </cell>
          <cell r="F27">
            <v>0.92300000000000004</v>
          </cell>
          <cell r="G27">
            <v>1.6750000000000001E-3</v>
          </cell>
        </row>
        <row r="28">
          <cell r="E28">
            <v>649395948</v>
          </cell>
          <cell r="F28">
            <v>0.9163</v>
          </cell>
          <cell r="G28">
            <v>1.6750000000000001E-3</v>
          </cell>
        </row>
        <row r="29">
          <cell r="E29">
            <v>1130877499</v>
          </cell>
          <cell r="F29">
            <v>0.94010000000000005</v>
          </cell>
          <cell r="G29">
            <v>1.6750000000000001E-3</v>
          </cell>
        </row>
        <row r="30">
          <cell r="E30">
            <v>13547334207</v>
          </cell>
          <cell r="F30">
            <v>0.94510000000000005</v>
          </cell>
          <cell r="G30">
            <v>1.6750000000000001E-3</v>
          </cell>
        </row>
        <row r="31">
          <cell r="E31">
            <v>113638228</v>
          </cell>
          <cell r="F31">
            <v>0.87990000000000002</v>
          </cell>
          <cell r="G31">
            <v>1.6750000000000001E-3</v>
          </cell>
        </row>
        <row r="32">
          <cell r="E32">
            <v>821211394</v>
          </cell>
          <cell r="F32">
            <v>0.94399999999999995</v>
          </cell>
          <cell r="G32">
            <v>1.6750000000000001E-3</v>
          </cell>
        </row>
        <row r="33">
          <cell r="E33">
            <v>726252524</v>
          </cell>
          <cell r="F33">
            <v>0.9516</v>
          </cell>
          <cell r="G33">
            <v>1.6750000000000001E-3</v>
          </cell>
        </row>
        <row r="34">
          <cell r="E34">
            <v>1289482146</v>
          </cell>
          <cell r="F34">
            <v>0.95679999999999998</v>
          </cell>
          <cell r="G34">
            <v>1.6750000000000001E-3</v>
          </cell>
        </row>
        <row r="35">
          <cell r="E35">
            <v>553224112</v>
          </cell>
          <cell r="F35">
            <v>0.92949999999999999</v>
          </cell>
          <cell r="G35">
            <v>1.6750000000000001E-3</v>
          </cell>
        </row>
        <row r="36">
          <cell r="E36">
            <v>1766571236</v>
          </cell>
          <cell r="F36">
            <v>0.93730000000000002</v>
          </cell>
          <cell r="G36">
            <v>1.6750000000000001E-3</v>
          </cell>
        </row>
        <row r="37">
          <cell r="E37">
            <v>56505607</v>
          </cell>
          <cell r="F37">
            <v>0.92969999999999997</v>
          </cell>
          <cell r="G37">
            <v>1.6750000000000001E-3</v>
          </cell>
        </row>
        <row r="38">
          <cell r="E38">
            <v>3872175093</v>
          </cell>
          <cell r="F38">
            <v>0.91479999999999995</v>
          </cell>
          <cell r="G38">
            <v>1.6750000000000001E-3</v>
          </cell>
        </row>
        <row r="39">
          <cell r="E39">
            <v>4916673493</v>
          </cell>
          <cell r="F39">
            <v>0.97319999999999995</v>
          </cell>
          <cell r="G39">
            <v>1.6750000000000001E-3</v>
          </cell>
        </row>
        <row r="40">
          <cell r="E40">
            <v>4504304072</v>
          </cell>
          <cell r="F40">
            <v>0.94099999999999995</v>
          </cell>
          <cell r="G40">
            <v>1.6750000000000001E-3</v>
          </cell>
        </row>
        <row r="41">
          <cell r="E41">
            <v>13300572192</v>
          </cell>
          <cell r="F41">
            <v>0.92549999999999999</v>
          </cell>
          <cell r="G41">
            <v>1.6750000000000001E-3</v>
          </cell>
        </row>
        <row r="42">
          <cell r="E42">
            <v>313642695</v>
          </cell>
          <cell r="F42">
            <v>0.95909999999999995</v>
          </cell>
          <cell r="G42">
            <v>1.6750000000000001E-3</v>
          </cell>
        </row>
        <row r="43">
          <cell r="E43">
            <v>9093671761</v>
          </cell>
          <cell r="F43">
            <v>0.94940000000000002</v>
          </cell>
          <cell r="G43">
            <v>1.6750000000000001E-3</v>
          </cell>
        </row>
        <row r="44">
          <cell r="E44">
            <v>20848415440</v>
          </cell>
          <cell r="F44">
            <v>0.97130000000000005</v>
          </cell>
          <cell r="G44">
            <v>1.6750000000000001E-3</v>
          </cell>
        </row>
        <row r="45">
          <cell r="E45">
            <v>3579226139</v>
          </cell>
          <cell r="F45">
            <v>0.94950000000000001</v>
          </cell>
          <cell r="G45">
            <v>1.6750000000000001E-3</v>
          </cell>
        </row>
        <row r="46">
          <cell r="E46">
            <v>5319149189</v>
          </cell>
          <cell r="F46">
            <v>0.93079999999999996</v>
          </cell>
          <cell r="G46">
            <v>1.6750000000000001E-3</v>
          </cell>
        </row>
        <row r="47">
          <cell r="E47">
            <v>2094555816</v>
          </cell>
          <cell r="F47">
            <v>0.96009999999999995</v>
          </cell>
          <cell r="G47">
            <v>1.6750000000000001E-3</v>
          </cell>
        </row>
        <row r="48">
          <cell r="E48">
            <v>3272694291</v>
          </cell>
          <cell r="F48">
            <v>0.9738</v>
          </cell>
          <cell r="G48">
            <v>1.6750000000000001E-3</v>
          </cell>
        </row>
        <row r="49">
          <cell r="E49">
            <v>18001243363</v>
          </cell>
          <cell r="F49">
            <v>0.96970000000000001</v>
          </cell>
          <cell r="G49">
            <v>1.6750000000000001E-3</v>
          </cell>
        </row>
        <row r="65">
          <cell r="C65">
            <v>37865910</v>
          </cell>
        </row>
        <row r="66">
          <cell r="C66">
            <v>2095646</v>
          </cell>
        </row>
        <row r="67">
          <cell r="C67">
            <v>6819971</v>
          </cell>
        </row>
        <row r="68">
          <cell r="C68">
            <v>7493118</v>
          </cell>
        </row>
        <row r="69">
          <cell r="C69">
            <v>3036347</v>
          </cell>
        </row>
        <row r="70">
          <cell r="C70">
            <v>490985</v>
          </cell>
        </row>
        <row r="71">
          <cell r="C71">
            <v>34748243</v>
          </cell>
        </row>
        <row r="72">
          <cell r="C72">
            <v>4574806</v>
          </cell>
        </row>
        <row r="73">
          <cell r="C73">
            <v>3280416</v>
          </cell>
        </row>
        <row r="74">
          <cell r="C74">
            <v>1236933</v>
          </cell>
        </row>
        <row r="75">
          <cell r="C75">
            <v>2772729</v>
          </cell>
        </row>
        <row r="76">
          <cell r="C76">
            <v>43499750</v>
          </cell>
        </row>
        <row r="77">
          <cell r="C77">
            <v>6691705</v>
          </cell>
        </row>
        <row r="78">
          <cell r="C78">
            <v>31765701</v>
          </cell>
        </row>
        <row r="79">
          <cell r="C79">
            <v>1554210</v>
          </cell>
        </row>
        <row r="80">
          <cell r="C80">
            <v>2132602</v>
          </cell>
        </row>
        <row r="81">
          <cell r="C81">
            <v>4311692</v>
          </cell>
        </row>
        <row r="82">
          <cell r="C82">
            <v>1857174</v>
          </cell>
        </row>
        <row r="83">
          <cell r="C83">
            <v>13218571</v>
          </cell>
        </row>
        <row r="84">
          <cell r="C84">
            <v>1179884</v>
          </cell>
        </row>
        <row r="85">
          <cell r="C85">
            <v>1979133</v>
          </cell>
        </row>
        <row r="86">
          <cell r="C86">
            <v>23387938</v>
          </cell>
        </row>
        <row r="87">
          <cell r="C87">
            <v>221613</v>
          </cell>
        </row>
        <row r="88">
          <cell r="C88">
            <v>1468103</v>
          </cell>
        </row>
        <row r="89">
          <cell r="C89">
            <v>1405125</v>
          </cell>
        </row>
        <row r="90">
          <cell r="C90">
            <v>2333726</v>
          </cell>
        </row>
        <row r="91">
          <cell r="C91">
            <v>994497</v>
          </cell>
        </row>
        <row r="92">
          <cell r="C92">
            <v>3156966</v>
          </cell>
        </row>
        <row r="93">
          <cell r="C93">
            <v>107375</v>
          </cell>
        </row>
        <row r="94">
          <cell r="C94">
            <v>6675647</v>
          </cell>
        </row>
        <row r="95">
          <cell r="C95">
            <v>8434982</v>
          </cell>
        </row>
        <row r="96">
          <cell r="C96">
            <v>7897914</v>
          </cell>
        </row>
        <row r="97">
          <cell r="C97">
            <v>23750283</v>
          </cell>
        </row>
        <row r="98">
          <cell r="C98">
            <v>593453</v>
          </cell>
        </row>
        <row r="99">
          <cell r="C99">
            <v>16351670</v>
          </cell>
        </row>
        <row r="100">
          <cell r="C100">
            <v>37496448</v>
          </cell>
        </row>
        <row r="101">
          <cell r="C101">
            <v>6338286</v>
          </cell>
        </row>
        <row r="102">
          <cell r="C102">
            <v>9246418</v>
          </cell>
        </row>
        <row r="103">
          <cell r="C103">
            <v>3861046</v>
          </cell>
        </row>
        <row r="104">
          <cell r="C104">
            <v>5965650</v>
          </cell>
        </row>
        <row r="105">
          <cell r="C105">
            <v>33273321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Charters"/>
      <sheetName val="1MSP_Final Update-FY17"/>
    </sheetNames>
    <sheetDataSet>
      <sheetData sheetId="0" refreshError="1">
        <row r="10">
          <cell r="A10">
            <v>1</v>
          </cell>
          <cell r="B10" t="str">
            <v>Alpine</v>
          </cell>
        </row>
        <row r="11">
          <cell r="A11">
            <v>2</v>
          </cell>
          <cell r="B11" t="str">
            <v>Beaver</v>
          </cell>
        </row>
        <row r="12">
          <cell r="A12">
            <v>3</v>
          </cell>
          <cell r="B12" t="str">
            <v>Box Elder</v>
          </cell>
        </row>
        <row r="13">
          <cell r="A13">
            <v>4</v>
          </cell>
          <cell r="B13" t="str">
            <v>Cache</v>
          </cell>
        </row>
        <row r="14">
          <cell r="A14">
            <v>5</v>
          </cell>
          <cell r="B14" t="str">
            <v>Carbon</v>
          </cell>
        </row>
        <row r="15">
          <cell r="A15">
            <v>6</v>
          </cell>
          <cell r="B15" t="str">
            <v>Daggett</v>
          </cell>
        </row>
        <row r="16">
          <cell r="A16">
            <v>7</v>
          </cell>
          <cell r="B16" t="str">
            <v>Davis</v>
          </cell>
        </row>
        <row r="17">
          <cell r="A17">
            <v>8</v>
          </cell>
          <cell r="B17" t="str">
            <v>Duchesne</v>
          </cell>
        </row>
        <row r="18">
          <cell r="A18">
            <v>9</v>
          </cell>
          <cell r="B18" t="str">
            <v>Emery</v>
          </cell>
        </row>
        <row r="19">
          <cell r="A19">
            <v>10</v>
          </cell>
          <cell r="B19" t="str">
            <v>Garfield</v>
          </cell>
        </row>
        <row r="20">
          <cell r="A20">
            <v>11</v>
          </cell>
          <cell r="B20" t="str">
            <v>Grand</v>
          </cell>
        </row>
        <row r="21">
          <cell r="A21">
            <v>12</v>
          </cell>
          <cell r="B21" t="str">
            <v>Granite</v>
          </cell>
        </row>
        <row r="22">
          <cell r="A22">
            <v>13</v>
          </cell>
          <cell r="B22" t="str">
            <v>Iron</v>
          </cell>
        </row>
        <row r="23">
          <cell r="A23">
            <v>14</v>
          </cell>
          <cell r="B23" t="str">
            <v>Jordan</v>
          </cell>
        </row>
        <row r="24">
          <cell r="A24">
            <v>15</v>
          </cell>
          <cell r="B24" t="str">
            <v>Juab</v>
          </cell>
        </row>
        <row r="25">
          <cell r="A25">
            <v>16</v>
          </cell>
          <cell r="B25" t="str">
            <v>Kane</v>
          </cell>
        </row>
        <row r="26">
          <cell r="A26">
            <v>17</v>
          </cell>
          <cell r="B26" t="str">
            <v>Millard</v>
          </cell>
        </row>
        <row r="27">
          <cell r="A27">
            <v>18</v>
          </cell>
          <cell r="B27" t="str">
            <v>Morgan</v>
          </cell>
        </row>
        <row r="28">
          <cell r="A28">
            <v>19</v>
          </cell>
          <cell r="B28" t="str">
            <v>Nebo</v>
          </cell>
        </row>
        <row r="29">
          <cell r="A29">
            <v>20</v>
          </cell>
          <cell r="B29" t="str">
            <v>North Sanpete</v>
          </cell>
        </row>
        <row r="30">
          <cell r="A30">
            <v>21</v>
          </cell>
          <cell r="B30" t="str">
            <v>North Summit</v>
          </cell>
        </row>
        <row r="31">
          <cell r="A31">
            <v>22</v>
          </cell>
          <cell r="B31" t="str">
            <v>Park City</v>
          </cell>
        </row>
        <row r="32">
          <cell r="A32">
            <v>23</v>
          </cell>
          <cell r="B32" t="str">
            <v>Piute</v>
          </cell>
        </row>
        <row r="33">
          <cell r="A33">
            <v>24</v>
          </cell>
          <cell r="B33" t="str">
            <v>Rich</v>
          </cell>
        </row>
        <row r="34">
          <cell r="A34">
            <v>25</v>
          </cell>
          <cell r="B34" t="str">
            <v>San Juan</v>
          </cell>
        </row>
        <row r="35">
          <cell r="A35">
            <v>26</v>
          </cell>
          <cell r="B35" t="str">
            <v>Sevier</v>
          </cell>
        </row>
        <row r="36">
          <cell r="A36">
            <v>27</v>
          </cell>
          <cell r="B36" t="str">
            <v>South Sanpete</v>
          </cell>
        </row>
        <row r="37">
          <cell r="A37">
            <v>28</v>
          </cell>
          <cell r="B37" t="str">
            <v>South Summit</v>
          </cell>
        </row>
        <row r="38">
          <cell r="A38">
            <v>29</v>
          </cell>
          <cell r="B38" t="str">
            <v>Tintic</v>
          </cell>
        </row>
        <row r="39">
          <cell r="A39">
            <v>30</v>
          </cell>
          <cell r="B39" t="str">
            <v>Tooele</v>
          </cell>
        </row>
        <row r="40">
          <cell r="A40">
            <v>31</v>
          </cell>
          <cell r="B40" t="str">
            <v>Uintah</v>
          </cell>
        </row>
        <row r="41">
          <cell r="A41">
            <v>32</v>
          </cell>
          <cell r="B41" t="str">
            <v>Wasatch</v>
          </cell>
        </row>
        <row r="42">
          <cell r="A42">
            <v>33</v>
          </cell>
          <cell r="B42" t="str">
            <v>Washington</v>
          </cell>
        </row>
        <row r="43">
          <cell r="A43">
            <v>34</v>
          </cell>
          <cell r="B43" t="str">
            <v>Wayne</v>
          </cell>
        </row>
        <row r="44">
          <cell r="A44">
            <v>35</v>
          </cell>
          <cell r="B44" t="str">
            <v>Weber</v>
          </cell>
        </row>
        <row r="45">
          <cell r="A45">
            <v>36</v>
          </cell>
          <cell r="B45" t="str">
            <v>Salt Lake</v>
          </cell>
        </row>
        <row r="46">
          <cell r="A46">
            <v>37</v>
          </cell>
          <cell r="B46" t="str">
            <v>Ogden</v>
          </cell>
        </row>
        <row r="47">
          <cell r="A47">
            <v>38</v>
          </cell>
          <cell r="B47" t="str">
            <v>Provo</v>
          </cell>
        </row>
        <row r="48">
          <cell r="A48">
            <v>39</v>
          </cell>
          <cell r="B48" t="str">
            <v>Logan</v>
          </cell>
        </row>
        <row r="49">
          <cell r="A49">
            <v>40</v>
          </cell>
          <cell r="B49" t="str">
            <v>Murray</v>
          </cell>
        </row>
        <row r="50">
          <cell r="A50" t="str">
            <v>42</v>
          </cell>
          <cell r="B50" t="str">
            <v>Canyons</v>
          </cell>
        </row>
        <row r="67">
          <cell r="C67">
            <v>30</v>
          </cell>
          <cell r="E67">
            <v>95520</v>
          </cell>
        </row>
        <row r="68">
          <cell r="C68">
            <v>1</v>
          </cell>
          <cell r="E68">
            <v>3184</v>
          </cell>
        </row>
        <row r="69">
          <cell r="C69">
            <v>4</v>
          </cell>
          <cell r="E69">
            <v>12736</v>
          </cell>
        </row>
        <row r="70">
          <cell r="C70">
            <v>12</v>
          </cell>
          <cell r="E70">
            <v>38208</v>
          </cell>
        </row>
        <row r="71">
          <cell r="C71">
            <v>8</v>
          </cell>
          <cell r="E71">
            <v>25472</v>
          </cell>
        </row>
        <row r="72">
          <cell r="C72">
            <v>0</v>
          </cell>
          <cell r="E72">
            <v>0</v>
          </cell>
        </row>
        <row r="73">
          <cell r="C73">
            <v>30</v>
          </cell>
          <cell r="E73">
            <v>95520</v>
          </cell>
        </row>
        <row r="74">
          <cell r="C74">
            <v>0</v>
          </cell>
          <cell r="E74">
            <v>0</v>
          </cell>
        </row>
        <row r="75">
          <cell r="C75">
            <v>0</v>
          </cell>
          <cell r="E75">
            <v>0</v>
          </cell>
        </row>
        <row r="76">
          <cell r="C76">
            <v>0</v>
          </cell>
          <cell r="E76">
            <v>0</v>
          </cell>
        </row>
        <row r="77">
          <cell r="C77">
            <v>0</v>
          </cell>
          <cell r="E77">
            <v>0</v>
          </cell>
        </row>
        <row r="78">
          <cell r="C78">
            <v>18</v>
          </cell>
          <cell r="E78">
            <v>57312</v>
          </cell>
        </row>
        <row r="79">
          <cell r="C79">
            <v>3</v>
          </cell>
          <cell r="E79">
            <v>9552</v>
          </cell>
        </row>
        <row r="80">
          <cell r="C80">
            <v>26</v>
          </cell>
          <cell r="E80">
            <v>82784</v>
          </cell>
        </row>
        <row r="81">
          <cell r="C81">
            <v>0</v>
          </cell>
          <cell r="E81">
            <v>0</v>
          </cell>
        </row>
        <row r="82">
          <cell r="C82">
            <v>0</v>
          </cell>
          <cell r="E82">
            <v>0</v>
          </cell>
        </row>
        <row r="83">
          <cell r="C83">
            <v>0</v>
          </cell>
          <cell r="E83">
            <v>0</v>
          </cell>
        </row>
        <row r="84">
          <cell r="C84">
            <v>0</v>
          </cell>
          <cell r="E84">
            <v>0</v>
          </cell>
        </row>
        <row r="85">
          <cell r="C85">
            <v>17</v>
          </cell>
          <cell r="E85">
            <v>54128</v>
          </cell>
        </row>
        <row r="86">
          <cell r="C86">
            <v>2</v>
          </cell>
          <cell r="E86">
            <v>6368</v>
          </cell>
        </row>
        <row r="87">
          <cell r="C87">
            <v>2</v>
          </cell>
          <cell r="E87">
            <v>6368</v>
          </cell>
        </row>
        <row r="88">
          <cell r="C88">
            <v>0</v>
          </cell>
          <cell r="E88">
            <v>0</v>
          </cell>
        </row>
        <row r="89">
          <cell r="C89">
            <v>0</v>
          </cell>
          <cell r="E89">
            <v>0</v>
          </cell>
        </row>
        <row r="90">
          <cell r="C90">
            <v>0</v>
          </cell>
          <cell r="E90">
            <v>0</v>
          </cell>
        </row>
        <row r="91">
          <cell r="C91">
            <v>0</v>
          </cell>
          <cell r="E91">
            <v>0</v>
          </cell>
        </row>
        <row r="92">
          <cell r="C92">
            <v>6</v>
          </cell>
          <cell r="E92">
            <v>19104</v>
          </cell>
        </row>
        <row r="93">
          <cell r="C93">
            <v>4</v>
          </cell>
          <cell r="E93">
            <v>12736</v>
          </cell>
        </row>
        <row r="94">
          <cell r="C94">
            <v>0</v>
          </cell>
          <cell r="E94">
            <v>0</v>
          </cell>
        </row>
        <row r="95">
          <cell r="C95">
            <v>0</v>
          </cell>
          <cell r="E95">
            <v>0</v>
          </cell>
        </row>
        <row r="96">
          <cell r="C96">
            <v>10</v>
          </cell>
          <cell r="E96">
            <v>31840</v>
          </cell>
        </row>
        <row r="97">
          <cell r="C97">
            <v>2</v>
          </cell>
          <cell r="E97">
            <v>6368</v>
          </cell>
        </row>
        <row r="98">
          <cell r="C98">
            <v>3</v>
          </cell>
          <cell r="E98">
            <v>9552</v>
          </cell>
        </row>
        <row r="99">
          <cell r="C99">
            <v>14</v>
          </cell>
          <cell r="E99">
            <v>44576</v>
          </cell>
        </row>
        <row r="100">
          <cell r="C100">
            <v>0</v>
          </cell>
          <cell r="E100">
            <v>0</v>
          </cell>
        </row>
        <row r="101">
          <cell r="C101">
            <v>18</v>
          </cell>
          <cell r="E101">
            <v>57312</v>
          </cell>
        </row>
        <row r="102">
          <cell r="C102">
            <v>16</v>
          </cell>
          <cell r="E102">
            <v>50944</v>
          </cell>
        </row>
        <row r="103">
          <cell r="C103">
            <v>4</v>
          </cell>
          <cell r="E103">
            <v>12736</v>
          </cell>
        </row>
        <row r="104">
          <cell r="C104">
            <v>9</v>
          </cell>
          <cell r="E104">
            <v>28656</v>
          </cell>
        </row>
        <row r="105">
          <cell r="C105">
            <v>6</v>
          </cell>
          <cell r="E105">
            <v>19104</v>
          </cell>
        </row>
        <row r="106">
          <cell r="C106">
            <v>6</v>
          </cell>
          <cell r="E106">
            <v>19104</v>
          </cell>
        </row>
        <row r="107">
          <cell r="C107">
            <v>13</v>
          </cell>
          <cell r="E107">
            <v>41392</v>
          </cell>
        </row>
        <row r="126">
          <cell r="F126">
            <v>0</v>
          </cell>
          <cell r="H126">
            <v>0</v>
          </cell>
        </row>
        <row r="127">
          <cell r="F127">
            <v>417.75582167497072</v>
          </cell>
          <cell r="H127">
            <v>1330134.54</v>
          </cell>
        </row>
        <row r="128">
          <cell r="F128">
            <v>227.07931482111974</v>
          </cell>
          <cell r="H128">
            <v>723020.54</v>
          </cell>
        </row>
        <row r="129">
          <cell r="F129">
            <v>0</v>
          </cell>
          <cell r="H129">
            <v>0</v>
          </cell>
        </row>
        <row r="130">
          <cell r="F130">
            <v>143.21025472574826</v>
          </cell>
          <cell r="H130">
            <v>455981.45</v>
          </cell>
        </row>
        <row r="131">
          <cell r="F131">
            <v>256.4178155727152</v>
          </cell>
          <cell r="H131">
            <v>816434.32</v>
          </cell>
        </row>
        <row r="132">
          <cell r="F132">
            <v>0</v>
          </cell>
          <cell r="H132">
            <v>0</v>
          </cell>
        </row>
        <row r="133">
          <cell r="F133">
            <v>629.82534840248377</v>
          </cell>
          <cell r="H133">
            <v>2005363.91</v>
          </cell>
        </row>
        <row r="134">
          <cell r="F134">
            <v>536.42952073497247</v>
          </cell>
          <cell r="H134">
            <v>1707991.59</v>
          </cell>
        </row>
        <row r="135">
          <cell r="F135">
            <v>776.38859292333723</v>
          </cell>
          <cell r="H135">
            <v>2472021.2799999998</v>
          </cell>
        </row>
        <row r="136">
          <cell r="F136">
            <v>111.10709513202434</v>
          </cell>
          <cell r="H136">
            <v>353764.99</v>
          </cell>
        </row>
        <row r="137">
          <cell r="F137">
            <v>0</v>
          </cell>
          <cell r="H137">
            <v>0</v>
          </cell>
        </row>
        <row r="138">
          <cell r="F138">
            <v>232.0917973933735</v>
          </cell>
          <cell r="H138">
            <v>738980.28</v>
          </cell>
        </row>
        <row r="139">
          <cell r="F139">
            <v>0</v>
          </cell>
          <cell r="H139">
            <v>0</v>
          </cell>
        </row>
        <row r="140">
          <cell r="F140">
            <v>0</v>
          </cell>
          <cell r="H140">
            <v>0</v>
          </cell>
        </row>
        <row r="141">
          <cell r="F141">
            <v>719.87030089482528</v>
          </cell>
          <cell r="H141">
            <v>2292067.04</v>
          </cell>
        </row>
        <row r="142">
          <cell r="F142">
            <v>471.16143823663515</v>
          </cell>
          <cell r="H142">
            <v>1500178.02</v>
          </cell>
        </row>
        <row r="143">
          <cell r="F143">
            <v>0</v>
          </cell>
          <cell r="H143">
            <v>0</v>
          </cell>
        </row>
        <row r="144">
          <cell r="F144">
            <v>0</v>
          </cell>
          <cell r="H144">
            <v>0</v>
          </cell>
        </row>
        <row r="145">
          <cell r="F145">
            <v>41.025758187345865</v>
          </cell>
          <cell r="H145">
            <v>130626.01</v>
          </cell>
        </row>
        <row r="146">
          <cell r="F146">
            <v>297.54937996623613</v>
          </cell>
          <cell r="H146">
            <v>947397.23</v>
          </cell>
        </row>
        <row r="147">
          <cell r="F147">
            <v>0</v>
          </cell>
          <cell r="H147">
            <v>0</v>
          </cell>
        </row>
        <row r="148">
          <cell r="F148">
            <v>315.16537623782187</v>
          </cell>
          <cell r="H148">
            <v>1003486.56</v>
          </cell>
        </row>
        <row r="149">
          <cell r="F149">
            <v>407.25931750607117</v>
          </cell>
          <cell r="H149">
            <v>1296713.67</v>
          </cell>
        </row>
        <row r="150">
          <cell r="F150">
            <v>1003.7441699642377</v>
          </cell>
          <cell r="H150">
            <v>3195921.44</v>
          </cell>
        </row>
        <row r="151">
          <cell r="F151">
            <v>546.67488054346768</v>
          </cell>
          <cell r="H151">
            <v>1740612.82</v>
          </cell>
        </row>
        <row r="152">
          <cell r="F152">
            <v>264.21233089779827</v>
          </cell>
          <cell r="H152">
            <v>841252.06</v>
          </cell>
        </row>
        <row r="153">
          <cell r="F153">
            <v>68.261146134385456</v>
          </cell>
          <cell r="H153">
            <v>217343.49</v>
          </cell>
        </row>
        <row r="154">
          <cell r="F154">
            <v>325.68015181714617</v>
          </cell>
          <cell r="H154">
            <v>1036965.6</v>
          </cell>
        </row>
        <row r="155">
          <cell r="F155">
            <v>527.44403872468934</v>
          </cell>
          <cell r="H155">
            <v>1679381.82</v>
          </cell>
        </row>
        <row r="156">
          <cell r="F156">
            <v>146.68150276552086</v>
          </cell>
          <cell r="H156">
            <v>467033.9</v>
          </cell>
        </row>
        <row r="157">
          <cell r="F157">
            <v>0</v>
          </cell>
          <cell r="H157">
            <v>0</v>
          </cell>
        </row>
        <row r="158">
          <cell r="F158">
            <v>458.31993228864235</v>
          </cell>
          <cell r="H158">
            <v>1459290.66</v>
          </cell>
        </row>
        <row r="159">
          <cell r="F159">
            <v>367.60531244508377</v>
          </cell>
          <cell r="H159">
            <v>1170455.31</v>
          </cell>
        </row>
        <row r="160">
          <cell r="F160">
            <v>82.732607671160338</v>
          </cell>
          <cell r="H160">
            <v>263420.62</v>
          </cell>
        </row>
        <row r="161">
          <cell r="F161">
            <v>0</v>
          </cell>
          <cell r="H161">
            <v>0</v>
          </cell>
        </row>
        <row r="162">
          <cell r="F162">
            <v>0</v>
          </cell>
          <cell r="H162">
            <v>0</v>
          </cell>
        </row>
        <row r="163">
          <cell r="F163">
            <v>0</v>
          </cell>
          <cell r="H163">
            <v>0</v>
          </cell>
        </row>
        <row r="164">
          <cell r="F164">
            <v>0</v>
          </cell>
          <cell r="H164">
            <v>0</v>
          </cell>
        </row>
        <row r="165">
          <cell r="F165">
            <v>0</v>
          </cell>
          <cell r="H165">
            <v>0</v>
          </cell>
        </row>
        <row r="166">
          <cell r="F166">
            <v>0</v>
          </cell>
          <cell r="H166">
            <v>0</v>
          </cell>
        </row>
        <row r="184">
          <cell r="C184">
            <v>72866.672509607946</v>
          </cell>
          <cell r="E184">
            <v>232007485.26999998</v>
          </cell>
          <cell r="F184">
            <v>6103.5942894759555</v>
          </cell>
          <cell r="H184">
            <v>19433844.219999999</v>
          </cell>
        </row>
        <row r="185">
          <cell r="C185">
            <v>1878.8500720937313</v>
          </cell>
          <cell r="E185">
            <v>5982258.6399999997</v>
          </cell>
          <cell r="F185">
            <v>169.9590355074765</v>
          </cell>
          <cell r="H185">
            <v>541149.56999999995</v>
          </cell>
        </row>
        <row r="186">
          <cell r="C186">
            <v>11025.572037810172</v>
          </cell>
          <cell r="E186">
            <v>35105421.369999997</v>
          </cell>
          <cell r="F186">
            <v>1019.4238166213499</v>
          </cell>
          <cell r="H186">
            <v>3245845.43</v>
          </cell>
        </row>
        <row r="187">
          <cell r="C187">
            <v>16420.138743402069</v>
          </cell>
          <cell r="E187">
            <v>52281721.760000005</v>
          </cell>
          <cell r="F187">
            <v>1506.606903973842</v>
          </cell>
          <cell r="H187">
            <v>4797036.38</v>
          </cell>
        </row>
        <row r="188">
          <cell r="C188">
            <v>3298.933099505201</v>
          </cell>
          <cell r="E188">
            <v>10503802.987777777</v>
          </cell>
          <cell r="F188">
            <v>289.14675204710829</v>
          </cell>
          <cell r="H188">
            <v>920643.26</v>
          </cell>
        </row>
        <row r="189">
          <cell r="C189">
            <v>424.51118058833322</v>
          </cell>
          <cell r="E189">
            <v>1351643.6</v>
          </cell>
          <cell r="F189">
            <v>37.31453277371449</v>
          </cell>
          <cell r="H189">
            <v>118809.47</v>
          </cell>
        </row>
        <row r="190">
          <cell r="C190">
            <v>66494.865746849435</v>
          </cell>
          <cell r="E190">
            <v>211719652.54000002</v>
          </cell>
          <cell r="F190">
            <v>6382.1352931091251</v>
          </cell>
          <cell r="H190">
            <v>20320718.77</v>
          </cell>
        </row>
        <row r="191">
          <cell r="C191">
            <v>5207.2499603511151</v>
          </cell>
          <cell r="E191">
            <v>16579883.879999999</v>
          </cell>
          <cell r="F191">
            <v>422.77002894335135</v>
          </cell>
          <cell r="H191">
            <v>1346099.77</v>
          </cell>
        </row>
        <row r="192">
          <cell r="C192">
            <v>2617.3312139231352</v>
          </cell>
          <cell r="E192">
            <v>8333582.5822222224</v>
          </cell>
          <cell r="F192">
            <v>244.32212829933223</v>
          </cell>
          <cell r="H192">
            <v>777921.66</v>
          </cell>
        </row>
        <row r="193">
          <cell r="C193">
            <v>1647.7285929233371</v>
          </cell>
          <cell r="E193">
            <v>5246367.84</v>
          </cell>
          <cell r="F193">
            <v>159.67313929723599</v>
          </cell>
          <cell r="H193">
            <v>508399.28</v>
          </cell>
        </row>
        <row r="194">
          <cell r="C194">
            <v>1505.5379236793926</v>
          </cell>
          <cell r="E194">
            <v>4793632.75</v>
          </cell>
          <cell r="F194">
            <v>133.98055106313609</v>
          </cell>
          <cell r="H194">
            <v>426594.07</v>
          </cell>
        </row>
        <row r="195">
          <cell r="C195">
            <v>63246.315714684533</v>
          </cell>
          <cell r="E195">
            <v>201376269.2288889</v>
          </cell>
          <cell r="F195">
            <v>6127.172974283334</v>
          </cell>
          <cell r="H195">
            <v>19508918.75</v>
          </cell>
        </row>
        <row r="196">
          <cell r="C196">
            <v>8808.5673088678705</v>
          </cell>
          <cell r="E196">
            <v>28046478.310000002</v>
          </cell>
          <cell r="F196">
            <v>863.83822188180625</v>
          </cell>
          <cell r="H196">
            <v>2750460.9</v>
          </cell>
        </row>
        <row r="197">
          <cell r="C197">
            <v>49658.598756507068</v>
          </cell>
          <cell r="E197">
            <v>158112978.44000003</v>
          </cell>
          <cell r="F197">
            <v>4401.3194188473835</v>
          </cell>
          <cell r="H197">
            <v>14013801.029999999</v>
          </cell>
        </row>
        <row r="198">
          <cell r="C198">
            <v>2400.914910249227</v>
          </cell>
          <cell r="E198">
            <v>7644513.0800000001</v>
          </cell>
          <cell r="F198">
            <v>194.48820607657402</v>
          </cell>
          <cell r="H198">
            <v>619250.44999999995</v>
          </cell>
        </row>
        <row r="199">
          <cell r="C199">
            <v>1921.1054561036656</v>
          </cell>
          <cell r="E199">
            <v>6116799.7699999996</v>
          </cell>
          <cell r="F199">
            <v>172.60356781756644</v>
          </cell>
          <cell r="H199">
            <v>549569.76</v>
          </cell>
        </row>
        <row r="200">
          <cell r="C200">
            <v>3084.3202197699347</v>
          </cell>
          <cell r="E200">
            <v>9820475.5800000001</v>
          </cell>
          <cell r="F200">
            <v>305.61589828779415</v>
          </cell>
          <cell r="H200">
            <v>973081.02</v>
          </cell>
        </row>
        <row r="201">
          <cell r="C201">
            <v>2868.6240137502396</v>
          </cell>
          <cell r="E201">
            <v>9133698.8600000013</v>
          </cell>
          <cell r="F201">
            <v>228.44807958195926</v>
          </cell>
          <cell r="H201">
            <v>727378.69</v>
          </cell>
        </row>
        <row r="202">
          <cell r="C202">
            <v>30382.744712866122</v>
          </cell>
          <cell r="E202">
            <v>96738659.170000002</v>
          </cell>
          <cell r="F202">
            <v>2718.9728939788051</v>
          </cell>
          <cell r="H202">
            <v>8657209.6899999995</v>
          </cell>
        </row>
        <row r="203">
          <cell r="C203">
            <v>2278.2245437819856</v>
          </cell>
          <cell r="E203">
            <v>7253866.9399999995</v>
          </cell>
          <cell r="F203">
            <v>207.97183970244299</v>
          </cell>
          <cell r="H203">
            <v>662182.34</v>
          </cell>
        </row>
        <row r="204">
          <cell r="C204">
            <v>1299.5095368911172</v>
          </cell>
          <cell r="E204">
            <v>4137638.3699999996</v>
          </cell>
          <cell r="F204">
            <v>130.50682892500748</v>
          </cell>
          <cell r="H204">
            <v>415533.74</v>
          </cell>
        </row>
        <row r="205">
          <cell r="C205">
            <v>4643.9759916501534</v>
          </cell>
          <cell r="E205">
            <v>14786419.560000001</v>
          </cell>
          <cell r="F205">
            <v>521.92434645953119</v>
          </cell>
          <cell r="H205">
            <v>1661807.12</v>
          </cell>
        </row>
        <row r="206">
          <cell r="C206">
            <v>586.48676512671079</v>
          </cell>
          <cell r="E206">
            <v>1867373.8599999999</v>
          </cell>
          <cell r="F206">
            <v>48.474304111252906</v>
          </cell>
          <cell r="H206">
            <v>154342.18</v>
          </cell>
        </row>
        <row r="207">
          <cell r="C207">
            <v>873.18579898755263</v>
          </cell>
          <cell r="E207">
            <v>2780223.58</v>
          </cell>
          <cell r="F207">
            <v>79.025061179971487</v>
          </cell>
          <cell r="H207">
            <v>251615.79</v>
          </cell>
        </row>
        <row r="208">
          <cell r="C208">
            <v>3795.2621096627304</v>
          </cell>
          <cell r="E208">
            <v>12084114.559999999</v>
          </cell>
          <cell r="F208">
            <v>348.755925686512</v>
          </cell>
          <cell r="H208">
            <v>1110438.8700000001</v>
          </cell>
        </row>
        <row r="209">
          <cell r="C209">
            <v>4829.7092258812681</v>
          </cell>
          <cell r="E209">
            <v>15377794.170000002</v>
          </cell>
          <cell r="F209">
            <v>494.32726441790436</v>
          </cell>
          <cell r="H209">
            <v>1573938.01</v>
          </cell>
        </row>
        <row r="210">
          <cell r="C210">
            <v>3311.0854639093272</v>
          </cell>
          <cell r="E210">
            <v>10542496.119999999</v>
          </cell>
          <cell r="F210">
            <v>314.98085294108756</v>
          </cell>
          <cell r="H210">
            <v>1002899.04</v>
          </cell>
        </row>
        <row r="211">
          <cell r="C211">
            <v>1567.2467576241061</v>
          </cell>
          <cell r="E211">
            <v>4990113.6800000006</v>
          </cell>
          <cell r="F211">
            <v>160.30877360977954</v>
          </cell>
          <cell r="H211">
            <v>510423.14</v>
          </cell>
        </row>
        <row r="212">
          <cell r="C212">
            <v>570.1857073727017</v>
          </cell>
          <cell r="E212">
            <v>1815471.29</v>
          </cell>
          <cell r="F212">
            <v>57.088703579277016</v>
          </cell>
          <cell r="H212">
            <v>181770.43</v>
          </cell>
        </row>
        <row r="213">
          <cell r="C213">
            <v>14032.478622027558</v>
          </cell>
          <cell r="E213">
            <v>44679411.93</v>
          </cell>
          <cell r="F213">
            <v>1276.426419802295</v>
          </cell>
          <cell r="H213">
            <v>4064141.72</v>
          </cell>
        </row>
        <row r="214">
          <cell r="C214">
            <v>6855.7825664171123</v>
          </cell>
          <cell r="E214">
            <v>21828811.689999998</v>
          </cell>
          <cell r="F214">
            <v>528.02468653046094</v>
          </cell>
          <cell r="H214">
            <v>1681230.6</v>
          </cell>
        </row>
        <row r="215">
          <cell r="C215">
            <v>6340.9177446562189</v>
          </cell>
          <cell r="E215">
            <v>20189482.100000001</v>
          </cell>
          <cell r="F215">
            <v>640.92559850952739</v>
          </cell>
          <cell r="H215">
            <v>2040707.11</v>
          </cell>
        </row>
        <row r="216">
          <cell r="C216">
            <v>27929.383453345356</v>
          </cell>
          <cell r="E216">
            <v>88927156.902222216</v>
          </cell>
          <cell r="F216">
            <v>2768.5763456938985</v>
          </cell>
          <cell r="H216">
            <v>8815147.0800000001</v>
          </cell>
        </row>
        <row r="217">
          <cell r="C217">
            <v>813.23781244508382</v>
          </cell>
          <cell r="E217">
            <v>2589349.19</v>
          </cell>
          <cell r="F217">
            <v>73.519137958472911</v>
          </cell>
          <cell r="H217">
            <v>234084.94</v>
          </cell>
        </row>
        <row r="218">
          <cell r="C218">
            <v>29754.05942600808</v>
          </cell>
          <cell r="E218">
            <v>94736925.200000003</v>
          </cell>
          <cell r="F218">
            <v>2897.9392912742837</v>
          </cell>
          <cell r="H218">
            <v>9227038.6999999993</v>
          </cell>
        </row>
        <row r="219">
          <cell r="C219">
            <v>21788.13256420994</v>
          </cell>
          <cell r="E219">
            <v>69373414.079999998</v>
          </cell>
          <cell r="F219">
            <v>2326.9713159305556</v>
          </cell>
          <cell r="H219">
            <v>7409076.6699999999</v>
          </cell>
        </row>
        <row r="220">
          <cell r="C220">
            <v>11350.188678229333</v>
          </cell>
          <cell r="E220">
            <v>36139000.754444443</v>
          </cell>
          <cell r="F220">
            <v>977.83757114037462</v>
          </cell>
          <cell r="H220">
            <v>3113434.83</v>
          </cell>
        </row>
        <row r="221">
          <cell r="C221">
            <v>16505.552346513734</v>
          </cell>
          <cell r="E221">
            <v>52553678.670000002</v>
          </cell>
          <cell r="F221">
            <v>1283.5426840536052</v>
          </cell>
          <cell r="H221">
            <v>4086799.91</v>
          </cell>
        </row>
        <row r="222">
          <cell r="C222">
            <v>5553.2012018425457</v>
          </cell>
          <cell r="E222">
            <v>17681392.630000003</v>
          </cell>
          <cell r="F222">
            <v>507.137311565</v>
          </cell>
          <cell r="H222">
            <v>1614725.2</v>
          </cell>
        </row>
        <row r="223">
          <cell r="C223">
            <v>6154.1402472268619</v>
          </cell>
          <cell r="E223">
            <v>19594782.539999999</v>
          </cell>
          <cell r="F223">
            <v>619.7351261605952</v>
          </cell>
          <cell r="H223">
            <v>1973236.64</v>
          </cell>
        </row>
        <row r="224">
          <cell r="C224">
            <v>32189.364274343592</v>
          </cell>
          <cell r="E224">
            <v>102490935.84999999</v>
          </cell>
          <cell r="F224">
            <v>2765.3550447071739</v>
          </cell>
          <cell r="H224">
            <v>8804890.4600000009</v>
          </cell>
        </row>
        <row r="243">
          <cell r="C243">
            <v>0</v>
          </cell>
          <cell r="E243">
            <v>0</v>
          </cell>
          <cell r="H243">
            <v>251536849.48999998</v>
          </cell>
        </row>
        <row r="244">
          <cell r="C244">
            <v>70</v>
          </cell>
          <cell r="E244">
            <v>222880</v>
          </cell>
          <cell r="H244">
            <v>6749472.21</v>
          </cell>
        </row>
        <row r="245">
          <cell r="C245">
            <v>0</v>
          </cell>
          <cell r="E245">
            <v>0</v>
          </cell>
          <cell r="H245">
            <v>38364002.799999997</v>
          </cell>
        </row>
        <row r="246">
          <cell r="C246">
            <v>0</v>
          </cell>
          <cell r="E246">
            <v>0</v>
          </cell>
          <cell r="H246">
            <v>57116966.140000008</v>
          </cell>
        </row>
        <row r="247">
          <cell r="C247">
            <v>60</v>
          </cell>
          <cell r="E247">
            <v>191040</v>
          </cell>
          <cell r="H247">
            <v>11640958.247777777</v>
          </cell>
        </row>
        <row r="248">
          <cell r="C248">
            <v>95</v>
          </cell>
          <cell r="E248">
            <v>302480</v>
          </cell>
          <cell r="H248">
            <v>1772933.07</v>
          </cell>
        </row>
        <row r="249">
          <cell r="C249">
            <v>0</v>
          </cell>
          <cell r="E249">
            <v>0</v>
          </cell>
          <cell r="H249">
            <v>232135891.31000003</v>
          </cell>
        </row>
        <row r="250">
          <cell r="C250">
            <v>0</v>
          </cell>
          <cell r="E250">
            <v>0</v>
          </cell>
          <cell r="H250">
            <v>17925983.649999999</v>
          </cell>
        </row>
        <row r="251">
          <cell r="C251">
            <v>60</v>
          </cell>
          <cell r="E251">
            <v>191040</v>
          </cell>
          <cell r="H251">
            <v>9302544.2422222216</v>
          </cell>
        </row>
        <row r="252">
          <cell r="C252">
            <v>80</v>
          </cell>
          <cell r="E252">
            <v>254720</v>
          </cell>
          <cell r="H252">
            <v>6009487.1200000001</v>
          </cell>
        </row>
        <row r="253">
          <cell r="C253">
            <v>70</v>
          </cell>
          <cell r="E253">
            <v>222880</v>
          </cell>
          <cell r="H253">
            <v>5443106.8200000003</v>
          </cell>
        </row>
        <row r="254">
          <cell r="C254">
            <v>0</v>
          </cell>
          <cell r="E254">
            <v>0</v>
          </cell>
          <cell r="H254">
            <v>220942499.9788889</v>
          </cell>
        </row>
        <row r="255">
          <cell r="C255">
            <v>0</v>
          </cell>
          <cell r="E255">
            <v>0</v>
          </cell>
          <cell r="H255">
            <v>30806491.210000001</v>
          </cell>
        </row>
        <row r="256">
          <cell r="C256">
            <v>0</v>
          </cell>
          <cell r="E256">
            <v>0</v>
          </cell>
          <cell r="H256">
            <v>172209563.47000003</v>
          </cell>
        </row>
        <row r="257">
          <cell r="C257">
            <v>60</v>
          </cell>
          <cell r="E257">
            <v>191040</v>
          </cell>
          <cell r="H257">
            <v>8454803.5300000012</v>
          </cell>
        </row>
        <row r="258">
          <cell r="C258">
            <v>70</v>
          </cell>
          <cell r="E258">
            <v>222880</v>
          </cell>
          <cell r="H258">
            <v>6889249.5299999993</v>
          </cell>
        </row>
        <row r="259">
          <cell r="C259">
            <v>60</v>
          </cell>
          <cell r="E259">
            <v>191040</v>
          </cell>
          <cell r="H259">
            <v>10984596.6</v>
          </cell>
        </row>
        <row r="260">
          <cell r="C260">
            <v>60</v>
          </cell>
          <cell r="E260">
            <v>191040</v>
          </cell>
          <cell r="H260">
            <v>10052117.550000001</v>
          </cell>
        </row>
        <row r="261">
          <cell r="C261">
            <v>0</v>
          </cell>
          <cell r="E261">
            <v>0</v>
          </cell>
          <cell r="H261">
            <v>105449996.86</v>
          </cell>
        </row>
        <row r="262">
          <cell r="C262">
            <v>60</v>
          </cell>
          <cell r="E262">
            <v>191040</v>
          </cell>
          <cell r="H262">
            <v>8113457.2799999993</v>
          </cell>
        </row>
        <row r="263">
          <cell r="C263">
            <v>70</v>
          </cell>
          <cell r="E263">
            <v>222880</v>
          </cell>
          <cell r="H263">
            <v>4782420.1099999994</v>
          </cell>
        </row>
        <row r="264">
          <cell r="C264">
            <v>60</v>
          </cell>
          <cell r="E264">
            <v>191040</v>
          </cell>
          <cell r="H264">
            <v>16639266.68</v>
          </cell>
        </row>
        <row r="265">
          <cell r="C265">
            <v>95</v>
          </cell>
          <cell r="E265">
            <v>302480</v>
          </cell>
          <cell r="H265">
            <v>2324196.04</v>
          </cell>
        </row>
        <row r="266">
          <cell r="C266">
            <v>95</v>
          </cell>
          <cell r="E266">
            <v>302480</v>
          </cell>
          <cell r="H266">
            <v>3334319.37</v>
          </cell>
        </row>
        <row r="267">
          <cell r="C267">
            <v>60</v>
          </cell>
          <cell r="E267">
            <v>191040</v>
          </cell>
          <cell r="H267">
            <v>13385593.43</v>
          </cell>
        </row>
        <row r="268">
          <cell r="C268">
            <v>60</v>
          </cell>
          <cell r="E268">
            <v>191040</v>
          </cell>
          <cell r="H268">
            <v>17161876.180000003</v>
          </cell>
        </row>
        <row r="269">
          <cell r="C269">
            <v>60</v>
          </cell>
          <cell r="E269">
            <v>191040</v>
          </cell>
          <cell r="H269">
            <v>11749171.16</v>
          </cell>
        </row>
        <row r="270">
          <cell r="C270">
            <v>70</v>
          </cell>
          <cell r="E270">
            <v>222880</v>
          </cell>
          <cell r="H270">
            <v>5723416.8200000003</v>
          </cell>
        </row>
        <row r="271">
          <cell r="C271">
            <v>95</v>
          </cell>
          <cell r="E271">
            <v>302480</v>
          </cell>
          <cell r="H271">
            <v>2299721.7199999997</v>
          </cell>
        </row>
        <row r="272">
          <cell r="C272">
            <v>0</v>
          </cell>
          <cell r="E272">
            <v>0</v>
          </cell>
          <cell r="H272">
            <v>48775393.649999999</v>
          </cell>
        </row>
        <row r="273">
          <cell r="C273">
            <v>0</v>
          </cell>
          <cell r="E273">
            <v>0</v>
          </cell>
          <cell r="H273">
            <v>23516410.289999999</v>
          </cell>
        </row>
        <row r="274">
          <cell r="C274">
            <v>0</v>
          </cell>
          <cell r="E274">
            <v>0</v>
          </cell>
          <cell r="H274">
            <v>22239741.210000001</v>
          </cell>
        </row>
        <row r="275">
          <cell r="C275">
            <v>0</v>
          </cell>
          <cell r="E275">
            <v>0</v>
          </cell>
          <cell r="H275">
            <v>97786879.982222214</v>
          </cell>
        </row>
        <row r="276">
          <cell r="C276">
            <v>95</v>
          </cell>
          <cell r="E276">
            <v>302480</v>
          </cell>
          <cell r="H276">
            <v>3125914.13</v>
          </cell>
        </row>
        <row r="277">
          <cell r="C277">
            <v>0</v>
          </cell>
          <cell r="E277">
            <v>0</v>
          </cell>
          <cell r="H277">
            <v>104021275.90000001</v>
          </cell>
        </row>
        <row r="278">
          <cell r="C278">
            <v>0</v>
          </cell>
          <cell r="E278">
            <v>0</v>
          </cell>
          <cell r="H278">
            <v>76833434.75</v>
          </cell>
        </row>
        <row r="279">
          <cell r="C279">
            <v>0</v>
          </cell>
          <cell r="E279">
            <v>0</v>
          </cell>
          <cell r="H279">
            <v>39265171.584444441</v>
          </cell>
        </row>
        <row r="280">
          <cell r="C280">
            <v>0</v>
          </cell>
          <cell r="E280">
            <v>0</v>
          </cell>
          <cell r="H280">
            <v>56669134.579999998</v>
          </cell>
        </row>
        <row r="281">
          <cell r="C281">
            <v>0</v>
          </cell>
          <cell r="E281">
            <v>0</v>
          </cell>
          <cell r="H281">
            <v>19315221.830000002</v>
          </cell>
        </row>
        <row r="282">
          <cell r="C282">
            <v>0</v>
          </cell>
          <cell r="E282">
            <v>0</v>
          </cell>
          <cell r="H282">
            <v>21587123.18</v>
          </cell>
        </row>
        <row r="283">
          <cell r="C283">
            <v>0</v>
          </cell>
          <cell r="E283">
            <v>0</v>
          </cell>
          <cell r="H283">
            <v>111337218.31</v>
          </cell>
        </row>
      </sheetData>
      <sheetData sheetId="1">
        <row r="6">
          <cell r="E6">
            <v>3184</v>
          </cell>
        </row>
      </sheetData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RF FY17"/>
      <sheetName val="Local Replacement Funding FY17"/>
    </sheetNames>
    <sheetDataSet>
      <sheetData sheetId="0">
        <row r="7">
          <cell r="U7">
            <v>1662361</v>
          </cell>
        </row>
        <row r="8">
          <cell r="U8">
            <v>7909</v>
          </cell>
        </row>
        <row r="9">
          <cell r="U9">
            <v>292220</v>
          </cell>
        </row>
        <row r="10">
          <cell r="U10">
            <v>230845</v>
          </cell>
        </row>
        <row r="11">
          <cell r="U11">
            <v>284507</v>
          </cell>
        </row>
        <row r="12">
          <cell r="U12">
            <v>0</v>
          </cell>
        </row>
        <row r="13">
          <cell r="U13">
            <v>2028158</v>
          </cell>
        </row>
        <row r="14">
          <cell r="U14">
            <v>158579</v>
          </cell>
        </row>
        <row r="15">
          <cell r="U15">
            <v>57094</v>
          </cell>
        </row>
        <row r="16">
          <cell r="U16">
            <v>5959</v>
          </cell>
        </row>
        <row r="17">
          <cell r="U17">
            <v>102219</v>
          </cell>
        </row>
        <row r="18">
          <cell r="U18">
            <v>2764116</v>
          </cell>
        </row>
        <row r="19">
          <cell r="U19">
            <v>184589</v>
          </cell>
        </row>
        <row r="20">
          <cell r="U20">
            <v>2629637</v>
          </cell>
        </row>
        <row r="21">
          <cell r="U21">
            <v>10790</v>
          </cell>
        </row>
        <row r="22">
          <cell r="U22">
            <v>8498</v>
          </cell>
        </row>
        <row r="23">
          <cell r="U23">
            <v>39936</v>
          </cell>
        </row>
        <row r="24">
          <cell r="U24">
            <v>16070</v>
          </cell>
        </row>
        <row r="25">
          <cell r="U25">
            <v>565257</v>
          </cell>
        </row>
        <row r="26">
          <cell r="U26">
            <v>15805</v>
          </cell>
        </row>
        <row r="27">
          <cell r="U27">
            <v>13442</v>
          </cell>
        </row>
        <row r="28">
          <cell r="U28">
            <v>688600</v>
          </cell>
        </row>
        <row r="29">
          <cell r="U29">
            <v>396</v>
          </cell>
        </row>
        <row r="30">
          <cell r="U30">
            <v>5203</v>
          </cell>
        </row>
        <row r="31">
          <cell r="U31">
            <v>9515</v>
          </cell>
        </row>
        <row r="32">
          <cell r="U32">
            <v>48243</v>
          </cell>
        </row>
        <row r="33">
          <cell r="U33">
            <v>12363</v>
          </cell>
        </row>
        <row r="34">
          <cell r="U34">
            <v>66105</v>
          </cell>
        </row>
        <row r="35">
          <cell r="U35">
            <v>433</v>
          </cell>
        </row>
        <row r="36">
          <cell r="U36">
            <v>302301</v>
          </cell>
        </row>
        <row r="37">
          <cell r="U37">
            <v>533063</v>
          </cell>
        </row>
        <row r="38">
          <cell r="U38">
            <v>254511</v>
          </cell>
        </row>
        <row r="39">
          <cell r="U39">
            <v>968680</v>
          </cell>
        </row>
        <row r="40">
          <cell r="U40">
            <v>2351</v>
          </cell>
        </row>
        <row r="41">
          <cell r="U41">
            <v>757173</v>
          </cell>
        </row>
        <row r="42">
          <cell r="U42">
            <v>2119093</v>
          </cell>
        </row>
        <row r="43">
          <cell r="U43">
            <v>680061</v>
          </cell>
        </row>
        <row r="44">
          <cell r="U44">
            <v>397234</v>
          </cell>
        </row>
        <row r="45">
          <cell r="U45">
            <v>406350</v>
          </cell>
        </row>
        <row r="46">
          <cell r="U46">
            <v>143060</v>
          </cell>
        </row>
        <row r="47">
          <cell r="U47">
            <v>1714967</v>
          </cell>
        </row>
      </sheetData>
      <sheetData sheetId="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 1"/>
      <sheetName val="Charters"/>
      <sheetName val="3MSP_Final Update-FY17"/>
    </sheetNames>
    <sheetDataSet>
      <sheetData sheetId="0" refreshError="1">
        <row r="9">
          <cell r="C9">
            <v>4747.6994189698498</v>
          </cell>
          <cell r="E9">
            <v>15116674.950000001</v>
          </cell>
        </row>
        <row r="10">
          <cell r="C10">
            <v>96.614956030150765</v>
          </cell>
          <cell r="E10">
            <v>307622.02</v>
          </cell>
        </row>
        <row r="11">
          <cell r="C11">
            <v>707.05542399497494</v>
          </cell>
          <cell r="E11">
            <v>2251264.4700000002</v>
          </cell>
        </row>
        <row r="12">
          <cell r="C12">
            <v>1067.2809265075377</v>
          </cell>
          <cell r="E12">
            <v>3398222.47</v>
          </cell>
        </row>
        <row r="13">
          <cell r="C13">
            <v>210.34856783919597</v>
          </cell>
          <cell r="E13">
            <v>669749.84</v>
          </cell>
        </row>
        <row r="14">
          <cell r="C14">
            <v>12.140040829145729</v>
          </cell>
          <cell r="E14">
            <v>38653.89</v>
          </cell>
        </row>
        <row r="15">
          <cell r="C15">
            <v>4308.8417776381912</v>
          </cell>
          <cell r="E15">
            <v>13719352.220000001</v>
          </cell>
        </row>
        <row r="16">
          <cell r="C16">
            <v>304.55031092964822</v>
          </cell>
          <cell r="E16">
            <v>969688.19</v>
          </cell>
        </row>
        <row r="17">
          <cell r="C17">
            <v>138.03857726130653</v>
          </cell>
          <cell r="E17">
            <v>439514.83</v>
          </cell>
        </row>
        <row r="18">
          <cell r="C18">
            <v>55.33947550251257</v>
          </cell>
          <cell r="E18">
            <v>176200.89</v>
          </cell>
        </row>
        <row r="19">
          <cell r="C19">
            <v>89.249755025125623</v>
          </cell>
          <cell r="E19">
            <v>284171.21999999997</v>
          </cell>
        </row>
        <row r="20">
          <cell r="C20">
            <v>4189.5742054020102</v>
          </cell>
          <cell r="E20">
            <v>13339604.27</v>
          </cell>
        </row>
        <row r="21">
          <cell r="C21">
            <v>567.19232412060308</v>
          </cell>
          <cell r="E21">
            <v>1805940.36</v>
          </cell>
        </row>
        <row r="22">
          <cell r="C22">
            <v>3140.4361746231152</v>
          </cell>
          <cell r="E22">
            <v>9999148.7799999993</v>
          </cell>
        </row>
        <row r="23">
          <cell r="C23">
            <v>155.06246545226131</v>
          </cell>
          <cell r="E23">
            <v>493718.89</v>
          </cell>
        </row>
        <row r="24">
          <cell r="C24">
            <v>80.816391331658295</v>
          </cell>
          <cell r="E24">
            <v>257319.39</v>
          </cell>
        </row>
        <row r="25">
          <cell r="C25">
            <v>167.94328831658294</v>
          </cell>
          <cell r="E25">
            <v>534731.43000000005</v>
          </cell>
        </row>
        <row r="26">
          <cell r="C26">
            <v>187.83474560301505</v>
          </cell>
          <cell r="E26">
            <v>598065.82999999996</v>
          </cell>
        </row>
        <row r="27">
          <cell r="C27">
            <v>1966.3675157035175</v>
          </cell>
          <cell r="E27">
            <v>6260914.1699999999</v>
          </cell>
        </row>
        <row r="28">
          <cell r="C28">
            <v>147.35120288944722</v>
          </cell>
          <cell r="E28">
            <v>469166.23</v>
          </cell>
        </row>
        <row r="29">
          <cell r="C29">
            <v>62.763630653266333</v>
          </cell>
          <cell r="E29">
            <v>199839.4</v>
          </cell>
        </row>
        <row r="30">
          <cell r="C30">
            <v>284.47029208542716</v>
          </cell>
          <cell r="E30">
            <v>905753.41</v>
          </cell>
        </row>
        <row r="31">
          <cell r="C31">
            <v>16.630778894472364</v>
          </cell>
          <cell r="E31">
            <v>52952.4</v>
          </cell>
        </row>
        <row r="32">
          <cell r="C32">
            <v>30.719579145728645</v>
          </cell>
          <cell r="E32">
            <v>97811.14</v>
          </cell>
        </row>
        <row r="33">
          <cell r="C33">
            <v>175.89200690954775</v>
          </cell>
          <cell r="E33">
            <v>560040.15</v>
          </cell>
        </row>
        <row r="34">
          <cell r="C34">
            <v>279.24243090452262</v>
          </cell>
          <cell r="E34">
            <v>889107.9</v>
          </cell>
        </row>
        <row r="35">
          <cell r="C35">
            <v>195.72829773869347</v>
          </cell>
          <cell r="E35">
            <v>623198.9</v>
          </cell>
        </row>
        <row r="36">
          <cell r="C36">
            <v>98.897889447236182</v>
          </cell>
          <cell r="E36">
            <v>314890.88</v>
          </cell>
        </row>
        <row r="37">
          <cell r="C37">
            <v>13.479824120603016</v>
          </cell>
          <cell r="E37">
            <v>42919.76</v>
          </cell>
        </row>
        <row r="38">
          <cell r="C38">
            <v>854.79707914572862</v>
          </cell>
          <cell r="E38">
            <v>2721673.9</v>
          </cell>
        </row>
        <row r="39">
          <cell r="C39">
            <v>469.97765389447238</v>
          </cell>
          <cell r="E39">
            <v>1496408.85</v>
          </cell>
        </row>
        <row r="40">
          <cell r="C40">
            <v>408.69994974874368</v>
          </cell>
          <cell r="E40">
            <v>1301300.6399999999</v>
          </cell>
        </row>
        <row r="41">
          <cell r="C41">
            <v>1774.2778486180905</v>
          </cell>
          <cell r="E41">
            <v>5649300.6699999999</v>
          </cell>
        </row>
        <row r="42">
          <cell r="C42">
            <v>27.87663944723618</v>
          </cell>
          <cell r="E42">
            <v>88759.22</v>
          </cell>
        </row>
        <row r="43">
          <cell r="C43">
            <v>1874.9473932160804</v>
          </cell>
          <cell r="E43">
            <v>5969832.5</v>
          </cell>
        </row>
        <row r="44">
          <cell r="C44">
            <v>1443.164393844221</v>
          </cell>
          <cell r="E44">
            <v>4595035.43</v>
          </cell>
        </row>
        <row r="45">
          <cell r="C45">
            <v>752.24656092964813</v>
          </cell>
          <cell r="E45">
            <v>2395153.0499999998</v>
          </cell>
        </row>
        <row r="46">
          <cell r="C46">
            <v>1116.9864510050252</v>
          </cell>
          <cell r="E46">
            <v>3556484.86</v>
          </cell>
        </row>
        <row r="47">
          <cell r="C47">
            <v>365.666783919598</v>
          </cell>
          <cell r="E47">
            <v>1164283.04</v>
          </cell>
        </row>
        <row r="48">
          <cell r="C48">
            <v>398.11554334170853</v>
          </cell>
          <cell r="E48">
            <v>1267599.8899999999</v>
          </cell>
        </row>
        <row r="49">
          <cell r="C49">
            <v>2040.574733040201</v>
          </cell>
          <cell r="E49">
            <v>6497189.9500000002</v>
          </cell>
        </row>
        <row r="67">
          <cell r="E67">
            <v>312846134.31999999</v>
          </cell>
        </row>
        <row r="68">
          <cell r="E68">
            <v>8256423.7699999996</v>
          </cell>
        </row>
        <row r="69">
          <cell r="E69">
            <v>48764269.669999994</v>
          </cell>
        </row>
        <row r="70">
          <cell r="E70">
            <v>72341663.780000001</v>
          </cell>
        </row>
        <row r="71">
          <cell r="E71">
            <v>15712854.367777776</v>
          </cell>
        </row>
        <row r="72">
          <cell r="E72">
            <v>2065177.52</v>
          </cell>
        </row>
        <row r="73">
          <cell r="E73">
            <v>287970439.23000002</v>
          </cell>
        </row>
        <row r="74">
          <cell r="E74">
            <v>23944658.689999998</v>
          </cell>
        </row>
        <row r="75">
          <cell r="E75">
            <v>11979767.662222221</v>
          </cell>
        </row>
        <row r="76">
          <cell r="E76">
            <v>7148090.2200000007</v>
          </cell>
        </row>
        <row r="77">
          <cell r="E77">
            <v>7020248.9800000004</v>
          </cell>
        </row>
        <row r="78">
          <cell r="E78">
            <v>274781168.30888891</v>
          </cell>
        </row>
        <row r="79">
          <cell r="E79">
            <v>39557666.460000001</v>
          </cell>
        </row>
        <row r="80">
          <cell r="E80">
            <v>215532304.78000003</v>
          </cell>
        </row>
        <row r="81">
          <cell r="E81">
            <v>10683597.180000002</v>
          </cell>
        </row>
        <row r="82">
          <cell r="E82">
            <v>8440650.3599999994</v>
          </cell>
        </row>
        <row r="83">
          <cell r="E83">
            <v>14123328.74</v>
          </cell>
        </row>
        <row r="84">
          <cell r="E84">
            <v>12078982.73</v>
          </cell>
        </row>
        <row r="85">
          <cell r="E85">
            <v>136028311.30000001</v>
          </cell>
        </row>
        <row r="86">
          <cell r="E86">
            <v>10266984.52</v>
          </cell>
        </row>
        <row r="87">
          <cell r="E87">
            <v>5811837.2799999993</v>
          </cell>
        </row>
        <row r="88">
          <cell r="E88">
            <v>19342882.689999998</v>
          </cell>
        </row>
        <row r="89">
          <cell r="E89">
            <v>2832529.08</v>
          </cell>
        </row>
        <row r="90">
          <cell r="E90">
            <v>3829938.67</v>
          </cell>
        </row>
        <row r="91">
          <cell r="E91">
            <v>16182939.300000001</v>
          </cell>
        </row>
        <row r="92">
          <cell r="E92">
            <v>21584901.860000003</v>
          </cell>
        </row>
        <row r="93">
          <cell r="E93">
            <v>15384711.93</v>
          </cell>
        </row>
        <row r="94">
          <cell r="E94">
            <v>7391198.5200000005</v>
          </cell>
        </row>
        <row r="95">
          <cell r="E95">
            <v>2669468.2999999998</v>
          </cell>
        </row>
        <row r="96">
          <cell r="E96">
            <v>62009912.009999998</v>
          </cell>
        </row>
        <row r="97">
          <cell r="E97">
            <v>30754272.34</v>
          </cell>
        </row>
        <row r="98">
          <cell r="E98">
            <v>27564373.050000001</v>
          </cell>
        </row>
        <row r="99">
          <cell r="E99">
            <v>123436912.46222222</v>
          </cell>
        </row>
        <row r="100">
          <cell r="E100">
            <v>3787766.33</v>
          </cell>
        </row>
        <row r="101">
          <cell r="E101">
            <v>134107837.84</v>
          </cell>
        </row>
        <row r="102">
          <cell r="E102">
            <v>97886283.200000003</v>
          </cell>
        </row>
        <row r="103">
          <cell r="E103">
            <v>49619570.224444441</v>
          </cell>
        </row>
        <row r="104">
          <cell r="E104">
            <v>71589835</v>
          </cell>
        </row>
        <row r="105">
          <cell r="E105">
            <v>24356857.900000002</v>
          </cell>
        </row>
        <row r="106">
          <cell r="E106">
            <v>26541393.030000001</v>
          </cell>
        </row>
        <row r="107">
          <cell r="E107">
            <v>137571237.66</v>
          </cell>
        </row>
      </sheetData>
      <sheetData sheetId="1">
        <row r="8">
          <cell r="C8">
            <v>87.794654522613058</v>
          </cell>
        </row>
      </sheetData>
      <sheetData sheetId="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 1"/>
      <sheetName val="Charters"/>
    </sheetNames>
    <sheetDataSet>
      <sheetData sheetId="0" refreshError="1">
        <row r="9">
          <cell r="C9">
            <v>8102.0864486443434</v>
          </cell>
          <cell r="E9">
            <v>25797043.25</v>
          </cell>
          <cell r="F9">
            <v>1429.94</v>
          </cell>
          <cell r="H9">
            <v>4552928.96</v>
          </cell>
        </row>
        <row r="10">
          <cell r="C10">
            <v>206.11653333333334</v>
          </cell>
          <cell r="E10">
            <v>656275.04</v>
          </cell>
          <cell r="F10">
            <v>16.66</v>
          </cell>
          <cell r="H10">
            <v>53045.440000000002</v>
          </cell>
        </row>
        <row r="11">
          <cell r="C11">
            <v>1277.2088250353577</v>
          </cell>
          <cell r="E11">
            <v>4066632.9</v>
          </cell>
          <cell r="F11">
            <v>273.19</v>
          </cell>
          <cell r="H11">
            <v>869836.96</v>
          </cell>
        </row>
        <row r="12">
          <cell r="C12">
            <v>1924.7226313480855</v>
          </cell>
          <cell r="E12">
            <v>6128316.8600000003</v>
          </cell>
          <cell r="F12">
            <v>349.98</v>
          </cell>
          <cell r="H12">
            <v>1114336.32</v>
          </cell>
        </row>
        <row r="13">
          <cell r="C13">
            <v>603.72361520305139</v>
          </cell>
          <cell r="E13">
            <v>1922255.99</v>
          </cell>
          <cell r="F13">
            <v>89.23</v>
          </cell>
          <cell r="H13">
            <v>284108.32</v>
          </cell>
        </row>
        <row r="14">
          <cell r="C14">
            <v>21.747</v>
          </cell>
          <cell r="E14">
            <v>69242.45</v>
          </cell>
          <cell r="F14">
            <v>2.83</v>
          </cell>
          <cell r="H14">
            <v>9010.7199999999993</v>
          </cell>
        </row>
        <row r="15">
          <cell r="C15">
            <v>7194.5847997133142</v>
          </cell>
          <cell r="E15">
            <v>22907558</v>
          </cell>
          <cell r="F15">
            <v>1883.94</v>
          </cell>
          <cell r="H15">
            <v>5998464.96</v>
          </cell>
        </row>
        <row r="16">
          <cell r="C16">
            <v>851.61514153996939</v>
          </cell>
          <cell r="E16">
            <v>2711542.61</v>
          </cell>
          <cell r="F16">
            <v>260.3</v>
          </cell>
          <cell r="H16">
            <v>828795.2</v>
          </cell>
        </row>
        <row r="17">
          <cell r="C17">
            <v>382.3824222222222</v>
          </cell>
          <cell r="E17">
            <v>1217505.6299999999</v>
          </cell>
          <cell r="F17">
            <v>47.86</v>
          </cell>
          <cell r="H17">
            <v>152386.23999999999</v>
          </cell>
        </row>
        <row r="18">
          <cell r="C18">
            <v>120.49904235000812</v>
          </cell>
          <cell r="E18">
            <v>383668.95</v>
          </cell>
          <cell r="F18">
            <v>8.08</v>
          </cell>
          <cell r="H18">
            <v>25726.720000000001</v>
          </cell>
        </row>
        <row r="19">
          <cell r="C19">
            <v>173.90628888888889</v>
          </cell>
          <cell r="E19">
            <v>553717.62</v>
          </cell>
          <cell r="F19">
            <v>52.67</v>
          </cell>
          <cell r="H19">
            <v>167701.28</v>
          </cell>
        </row>
        <row r="20">
          <cell r="C20">
            <v>7409.6980000000003</v>
          </cell>
          <cell r="E20">
            <v>23592478.43</v>
          </cell>
          <cell r="F20">
            <v>1377.55</v>
          </cell>
          <cell r="H20">
            <v>4386119.2</v>
          </cell>
        </row>
        <row r="21">
          <cell r="C21">
            <v>1240.7374562185707</v>
          </cell>
          <cell r="E21">
            <v>3950508.06</v>
          </cell>
          <cell r="F21">
            <v>185.26</v>
          </cell>
          <cell r="H21">
            <v>589867.84</v>
          </cell>
        </row>
        <row r="22">
          <cell r="C22">
            <v>5665.73711241821</v>
          </cell>
          <cell r="E22">
            <v>18039706.969999999</v>
          </cell>
          <cell r="F22">
            <v>1403.08</v>
          </cell>
          <cell r="H22">
            <v>4467406.72</v>
          </cell>
        </row>
        <row r="23">
          <cell r="C23">
            <v>283.51222222222225</v>
          </cell>
          <cell r="E23">
            <v>902702.92</v>
          </cell>
          <cell r="F23">
            <v>49.88</v>
          </cell>
          <cell r="H23">
            <v>158817.92000000001</v>
          </cell>
        </row>
        <row r="24">
          <cell r="C24">
            <v>199.68836375788459</v>
          </cell>
          <cell r="E24">
            <v>635807.75</v>
          </cell>
          <cell r="F24">
            <v>8.9</v>
          </cell>
          <cell r="H24">
            <v>28337.599999999999</v>
          </cell>
        </row>
        <row r="25">
          <cell r="C25">
            <v>458.34517385825961</v>
          </cell>
          <cell r="E25">
            <v>1459371.03</v>
          </cell>
          <cell r="F25">
            <v>35.15</v>
          </cell>
          <cell r="H25">
            <v>111917.6</v>
          </cell>
        </row>
        <row r="26">
          <cell r="C26">
            <v>210.15290721832162</v>
          </cell>
          <cell r="E26">
            <v>669126.86</v>
          </cell>
          <cell r="F26">
            <v>32.47</v>
          </cell>
          <cell r="H26">
            <v>103384.48</v>
          </cell>
        </row>
        <row r="27">
          <cell r="C27">
            <v>4210.4626409910634</v>
          </cell>
          <cell r="E27">
            <v>13406113.050000001</v>
          </cell>
          <cell r="F27">
            <v>833.89</v>
          </cell>
          <cell r="H27">
            <v>2655105.7599999998</v>
          </cell>
        </row>
        <row r="28">
          <cell r="C28">
            <v>302.60325607408748</v>
          </cell>
          <cell r="E28">
            <v>963488.77</v>
          </cell>
          <cell r="F28">
            <v>27.62</v>
          </cell>
          <cell r="H28">
            <v>87942.080000000002</v>
          </cell>
        </row>
        <row r="29">
          <cell r="C29">
            <v>107.39864690473755</v>
          </cell>
          <cell r="E29">
            <v>341957.29</v>
          </cell>
          <cell r="F29">
            <v>10.53</v>
          </cell>
          <cell r="H29">
            <v>33527.519999999997</v>
          </cell>
        </row>
        <row r="30">
          <cell r="C30">
            <v>331.33471878189033</v>
          </cell>
          <cell r="E30">
            <v>1054969.74</v>
          </cell>
          <cell r="F30">
            <v>52.49</v>
          </cell>
          <cell r="H30">
            <v>167128.16</v>
          </cell>
        </row>
        <row r="31">
          <cell r="C31">
            <v>49.477777777777774</v>
          </cell>
          <cell r="E31">
            <v>157537.24</v>
          </cell>
          <cell r="F31">
            <v>7.81</v>
          </cell>
          <cell r="H31">
            <v>24867.040000000001</v>
          </cell>
        </row>
        <row r="32">
          <cell r="C32">
            <v>63.831822222222215</v>
          </cell>
          <cell r="E32">
            <v>203240.52</v>
          </cell>
          <cell r="F32">
            <v>5.19</v>
          </cell>
          <cell r="H32">
            <v>16524.96</v>
          </cell>
        </row>
        <row r="33">
          <cell r="C33">
            <v>339.71577777777782</v>
          </cell>
          <cell r="E33">
            <v>1081655.04</v>
          </cell>
          <cell r="F33">
            <v>24.82</v>
          </cell>
          <cell r="H33">
            <v>79026.880000000005</v>
          </cell>
        </row>
        <row r="34">
          <cell r="C34">
            <v>543.34229298384082</v>
          </cell>
          <cell r="E34">
            <v>1730001.86</v>
          </cell>
          <cell r="F34">
            <v>58.05</v>
          </cell>
          <cell r="H34">
            <v>184831.2</v>
          </cell>
        </row>
        <row r="35">
          <cell r="C35">
            <v>514.153280977799</v>
          </cell>
          <cell r="E35">
            <v>1637064.05</v>
          </cell>
          <cell r="F35">
            <v>40.47</v>
          </cell>
          <cell r="H35">
            <v>128856.48</v>
          </cell>
        </row>
        <row r="36">
          <cell r="C36">
            <v>159.77144817716902</v>
          </cell>
          <cell r="E36">
            <v>508712.29</v>
          </cell>
          <cell r="F36">
            <v>7.95</v>
          </cell>
          <cell r="H36">
            <v>25312.799999999999</v>
          </cell>
        </row>
        <row r="37">
          <cell r="C37">
            <v>33.803980143611867</v>
          </cell>
          <cell r="E37">
            <v>107631.87</v>
          </cell>
          <cell r="F37">
            <v>5.23</v>
          </cell>
          <cell r="H37">
            <v>16652.32</v>
          </cell>
        </row>
        <row r="38">
          <cell r="C38">
            <v>1644.6846222222223</v>
          </cell>
          <cell r="E38">
            <v>5236675.84</v>
          </cell>
          <cell r="F38">
            <v>362.33</v>
          </cell>
          <cell r="H38">
            <v>1153658.72</v>
          </cell>
        </row>
        <row r="39">
          <cell r="C39">
            <v>1012.2324883233422</v>
          </cell>
          <cell r="E39">
            <v>3222948.24</v>
          </cell>
          <cell r="F39">
            <v>139.99</v>
          </cell>
          <cell r="H39">
            <v>445728.16</v>
          </cell>
        </row>
        <row r="40">
          <cell r="C40">
            <v>670.81855632133625</v>
          </cell>
          <cell r="E40">
            <v>2135886.2799999998</v>
          </cell>
          <cell r="F40">
            <v>74.69</v>
          </cell>
          <cell r="H40">
            <v>237812.96</v>
          </cell>
        </row>
        <row r="41">
          <cell r="C41">
            <v>3143.0061708220005</v>
          </cell>
          <cell r="E41">
            <v>10007331.65</v>
          </cell>
          <cell r="F41">
            <v>774.72</v>
          </cell>
          <cell r="H41">
            <v>2466708.48</v>
          </cell>
        </row>
        <row r="42">
          <cell r="C42">
            <v>69.73288888888888</v>
          </cell>
          <cell r="E42">
            <v>222029.52</v>
          </cell>
          <cell r="F42">
            <v>6.06</v>
          </cell>
          <cell r="H42">
            <v>19295.04</v>
          </cell>
        </row>
        <row r="43">
          <cell r="C43">
            <v>4427.3369942248119</v>
          </cell>
          <cell r="E43">
            <v>14096640.99</v>
          </cell>
          <cell r="F43">
            <v>731.2</v>
          </cell>
          <cell r="H43">
            <v>2328140.7999999998</v>
          </cell>
        </row>
        <row r="44">
          <cell r="C44">
            <v>3087.2269468718068</v>
          </cell>
          <cell r="E44">
            <v>9829730.5999999996</v>
          </cell>
          <cell r="F44">
            <v>845.98</v>
          </cell>
          <cell r="H44">
            <v>2693600.32</v>
          </cell>
        </row>
        <row r="45">
          <cell r="C45">
            <v>1376.8389999999999</v>
          </cell>
          <cell r="E45">
            <v>4383855.38</v>
          </cell>
          <cell r="F45">
            <v>319.11</v>
          </cell>
          <cell r="H45">
            <v>1016046.24</v>
          </cell>
        </row>
        <row r="46">
          <cell r="C46">
            <v>2004.1275818137071</v>
          </cell>
          <cell r="E46">
            <v>6381142.2199999997</v>
          </cell>
          <cell r="F46">
            <v>503.91</v>
          </cell>
          <cell r="H46">
            <v>1604449.44</v>
          </cell>
        </row>
        <row r="47">
          <cell r="C47">
            <v>730.16271111111109</v>
          </cell>
          <cell r="E47">
            <v>2324838.0699999998</v>
          </cell>
          <cell r="F47">
            <v>102.16</v>
          </cell>
          <cell r="H47">
            <v>325277.44</v>
          </cell>
        </row>
        <row r="48">
          <cell r="C48">
            <v>653.85733333333326</v>
          </cell>
          <cell r="E48">
            <v>2081881.75</v>
          </cell>
          <cell r="F48">
            <v>109.04</v>
          </cell>
          <cell r="H48">
            <v>347183.35999999999</v>
          </cell>
        </row>
        <row r="49">
          <cell r="C49">
            <v>3444.6909999999998</v>
          </cell>
          <cell r="E49">
            <v>10967896.140000001</v>
          </cell>
          <cell r="F49">
            <v>711.23</v>
          </cell>
          <cell r="H49">
            <v>2264556.3199999998</v>
          </cell>
        </row>
        <row r="67">
          <cell r="C67">
            <v>1277.43</v>
          </cell>
          <cell r="E67">
            <v>4067337.12</v>
          </cell>
          <cell r="F67">
            <v>36.465204145728649</v>
          </cell>
          <cell r="H67">
            <v>116105.19</v>
          </cell>
        </row>
        <row r="68">
          <cell r="C68">
            <v>13.23</v>
          </cell>
          <cell r="E68">
            <v>42124.32</v>
          </cell>
          <cell r="F68">
            <v>1.6707757537688441</v>
          </cell>
          <cell r="H68">
            <v>5319.75</v>
          </cell>
        </row>
        <row r="69">
          <cell r="C69">
            <v>317.52</v>
          </cell>
          <cell r="E69">
            <v>1010983.68</v>
          </cell>
          <cell r="F69">
            <v>7.3402512562814071</v>
          </cell>
          <cell r="H69">
            <v>23371.360000000001</v>
          </cell>
        </row>
        <row r="70">
          <cell r="C70">
            <v>480.69</v>
          </cell>
          <cell r="E70">
            <v>1530516.96</v>
          </cell>
          <cell r="F70">
            <v>11.02305904522613</v>
          </cell>
          <cell r="H70">
            <v>35097.42</v>
          </cell>
        </row>
        <row r="71">
          <cell r="C71">
            <v>149.94</v>
          </cell>
          <cell r="E71">
            <v>477408.96</v>
          </cell>
          <cell r="F71">
            <v>3.4651821608040199</v>
          </cell>
          <cell r="H71">
            <v>11033.14</v>
          </cell>
        </row>
        <row r="72">
          <cell r="C72">
            <v>0</v>
          </cell>
          <cell r="E72">
            <v>0</v>
          </cell>
          <cell r="F72">
            <v>0.70948492462311563</v>
          </cell>
          <cell r="H72">
            <v>2259</v>
          </cell>
        </row>
        <row r="73">
          <cell r="C73">
            <v>1077.51</v>
          </cell>
          <cell r="E73">
            <v>3430791.84</v>
          </cell>
          <cell r="F73">
            <v>37.234233668341709</v>
          </cell>
          <cell r="H73">
            <v>118553.8</v>
          </cell>
        </row>
        <row r="74">
          <cell r="C74">
            <v>147</v>
          </cell>
          <cell r="E74">
            <v>468048</v>
          </cell>
          <cell r="F74">
            <v>4.388021356783919</v>
          </cell>
          <cell r="H74">
            <v>13971.46</v>
          </cell>
        </row>
        <row r="75">
          <cell r="C75">
            <v>107.31</v>
          </cell>
          <cell r="E75">
            <v>341675.04</v>
          </cell>
          <cell r="F75">
            <v>2.5594346733668343</v>
          </cell>
          <cell r="H75">
            <v>8149.24</v>
          </cell>
        </row>
        <row r="76">
          <cell r="C76">
            <v>11.76</v>
          </cell>
          <cell r="E76">
            <v>37443.839999999997</v>
          </cell>
          <cell r="F76">
            <v>1.2050847989949749</v>
          </cell>
          <cell r="H76">
            <v>3836.99</v>
          </cell>
        </row>
        <row r="77">
          <cell r="C77">
            <v>41.16</v>
          </cell>
          <cell r="E77">
            <v>131053.44</v>
          </cell>
          <cell r="F77">
            <v>1.8074905778894472</v>
          </cell>
          <cell r="H77">
            <v>5755.05</v>
          </cell>
        </row>
        <row r="78">
          <cell r="C78">
            <v>1005.48</v>
          </cell>
          <cell r="E78">
            <v>3201448.32</v>
          </cell>
          <cell r="F78">
            <v>35.367195351758795</v>
          </cell>
          <cell r="H78">
            <v>112609.15</v>
          </cell>
        </row>
        <row r="79">
          <cell r="C79">
            <v>288.12</v>
          </cell>
          <cell r="E79">
            <v>917374.08</v>
          </cell>
          <cell r="F79">
            <v>6.2208825376884427</v>
          </cell>
          <cell r="H79">
            <v>19807.29</v>
          </cell>
        </row>
        <row r="80">
          <cell r="C80">
            <v>926.1</v>
          </cell>
          <cell r="E80">
            <v>2948702.4</v>
          </cell>
          <cell r="F80">
            <v>27.852044597989952</v>
          </cell>
          <cell r="H80">
            <v>88680.91</v>
          </cell>
        </row>
        <row r="81">
          <cell r="C81">
            <v>54.39</v>
          </cell>
          <cell r="E81">
            <v>173177.76</v>
          </cell>
          <cell r="F81">
            <v>2.234733040201005</v>
          </cell>
          <cell r="H81">
            <v>7115.39</v>
          </cell>
        </row>
        <row r="82">
          <cell r="C82">
            <v>42.63</v>
          </cell>
          <cell r="E82">
            <v>135733.92000000001</v>
          </cell>
          <cell r="F82">
            <v>1.5682380653266332</v>
          </cell>
          <cell r="H82">
            <v>4993.2700000000004</v>
          </cell>
        </row>
        <row r="83">
          <cell r="C83">
            <v>80.849999999999994</v>
          </cell>
          <cell r="E83">
            <v>257426.4</v>
          </cell>
          <cell r="F83">
            <v>2.7260584170854272</v>
          </cell>
          <cell r="H83">
            <v>8679.77</v>
          </cell>
        </row>
        <row r="84">
          <cell r="C84">
            <v>44.1</v>
          </cell>
          <cell r="E84">
            <v>140414.39999999999</v>
          </cell>
          <cell r="F84">
            <v>2.063834798994975</v>
          </cell>
          <cell r="H84">
            <v>6571.25</v>
          </cell>
        </row>
        <row r="85">
          <cell r="C85">
            <v>702.66</v>
          </cell>
          <cell r="E85">
            <v>2237269.44</v>
          </cell>
          <cell r="F85">
            <v>19.819930904522614</v>
          </cell>
          <cell r="H85">
            <v>63106.66</v>
          </cell>
        </row>
        <row r="86">
          <cell r="C86">
            <v>35.28</v>
          </cell>
          <cell r="E86">
            <v>112331.52</v>
          </cell>
          <cell r="F86">
            <v>1.9954773869346736</v>
          </cell>
          <cell r="H86">
            <v>6353.6</v>
          </cell>
        </row>
        <row r="87">
          <cell r="C87">
            <v>19.11</v>
          </cell>
          <cell r="E87">
            <v>60846.239999999998</v>
          </cell>
          <cell r="F87">
            <v>1.1495414572864322</v>
          </cell>
          <cell r="H87">
            <v>3660.14</v>
          </cell>
        </row>
        <row r="88">
          <cell r="C88">
            <v>20.58</v>
          </cell>
          <cell r="E88">
            <v>65526.720000000001</v>
          </cell>
          <cell r="F88">
            <v>2.1535552763819097</v>
          </cell>
          <cell r="H88">
            <v>6856.92</v>
          </cell>
        </row>
        <row r="89">
          <cell r="C89">
            <v>19.11</v>
          </cell>
          <cell r="E89">
            <v>60846.239999999998</v>
          </cell>
          <cell r="F89">
            <v>1.072638190954774</v>
          </cell>
          <cell r="H89">
            <v>3415.28</v>
          </cell>
        </row>
        <row r="90">
          <cell r="C90">
            <v>10.29</v>
          </cell>
          <cell r="E90">
            <v>32763.360000000001</v>
          </cell>
          <cell r="F90">
            <v>1.094001256281407</v>
          </cell>
          <cell r="H90">
            <v>3483.3</v>
          </cell>
        </row>
        <row r="91">
          <cell r="C91">
            <v>72.03</v>
          </cell>
          <cell r="E91">
            <v>229343.52</v>
          </cell>
          <cell r="F91">
            <v>2.5850690954773872</v>
          </cell>
          <cell r="H91">
            <v>8230.86</v>
          </cell>
        </row>
        <row r="92">
          <cell r="C92">
            <v>119.07</v>
          </cell>
          <cell r="E92">
            <v>379118.88</v>
          </cell>
          <cell r="F92">
            <v>3.3882788944723621</v>
          </cell>
          <cell r="H92">
            <v>10788.28</v>
          </cell>
        </row>
        <row r="93">
          <cell r="C93">
            <v>105.84</v>
          </cell>
          <cell r="E93">
            <v>336994.56</v>
          </cell>
          <cell r="F93">
            <v>2.9653109296482412</v>
          </cell>
          <cell r="H93">
            <v>9441.5499999999993</v>
          </cell>
        </row>
        <row r="94">
          <cell r="C94">
            <v>23.52</v>
          </cell>
          <cell r="E94">
            <v>74887.679999999993</v>
          </cell>
          <cell r="F94">
            <v>1.4571545226130653</v>
          </cell>
          <cell r="H94">
            <v>4639.58</v>
          </cell>
        </row>
        <row r="95">
          <cell r="C95">
            <v>2.94</v>
          </cell>
          <cell r="E95">
            <v>9360.9599999999991</v>
          </cell>
          <cell r="F95">
            <v>0.70948492462311563</v>
          </cell>
          <cell r="H95">
            <v>2259</v>
          </cell>
        </row>
        <row r="96">
          <cell r="C96">
            <v>244.01999999999998</v>
          </cell>
          <cell r="E96">
            <v>776959.68</v>
          </cell>
          <cell r="F96">
            <v>9.4251821608040203</v>
          </cell>
          <cell r="H96">
            <v>30009.78</v>
          </cell>
        </row>
        <row r="97">
          <cell r="C97">
            <v>277.83</v>
          </cell>
          <cell r="E97">
            <v>884610.72</v>
          </cell>
          <cell r="F97">
            <v>4.7939007537688445</v>
          </cell>
          <cell r="H97">
            <v>15263.78</v>
          </cell>
        </row>
        <row r="98">
          <cell r="C98">
            <v>97.02</v>
          </cell>
          <cell r="E98">
            <v>308911.68</v>
          </cell>
          <cell r="F98">
            <v>3.5249968592964827</v>
          </cell>
          <cell r="H98">
            <v>11223.59</v>
          </cell>
        </row>
        <row r="99">
          <cell r="C99">
            <v>637.98</v>
          </cell>
          <cell r="E99">
            <v>2031328.32</v>
          </cell>
          <cell r="F99">
            <v>18.01270728643216</v>
          </cell>
          <cell r="H99">
            <v>57352.46</v>
          </cell>
        </row>
        <row r="100">
          <cell r="C100">
            <v>8.82</v>
          </cell>
          <cell r="E100">
            <v>28082.880000000001</v>
          </cell>
          <cell r="F100">
            <v>1.0470037688442211</v>
          </cell>
          <cell r="H100">
            <v>3333.66</v>
          </cell>
        </row>
        <row r="101">
          <cell r="C101">
            <v>413.07</v>
          </cell>
          <cell r="E101">
            <v>1315214.8799999999</v>
          </cell>
          <cell r="F101">
            <v>18.504032663316583</v>
          </cell>
          <cell r="H101">
            <v>58916.84</v>
          </cell>
        </row>
        <row r="102">
          <cell r="C102">
            <v>263.13</v>
          </cell>
          <cell r="E102">
            <v>837805.92</v>
          </cell>
          <cell r="F102">
            <v>13.462600502512561</v>
          </cell>
          <cell r="H102">
            <v>42864.92</v>
          </cell>
        </row>
        <row r="103">
          <cell r="C103">
            <v>210.21</v>
          </cell>
          <cell r="E103">
            <v>669308.64</v>
          </cell>
          <cell r="F103">
            <v>7.2889824120603013</v>
          </cell>
          <cell r="H103">
            <v>23208.12</v>
          </cell>
        </row>
        <row r="104">
          <cell r="C104">
            <v>329.28</v>
          </cell>
          <cell r="E104">
            <v>1048427.52</v>
          </cell>
          <cell r="F104">
            <v>9.0663002512562816</v>
          </cell>
          <cell r="H104">
            <v>28867.1</v>
          </cell>
        </row>
        <row r="105">
          <cell r="C105">
            <v>160.22999999999999</v>
          </cell>
          <cell r="E105">
            <v>510172.32</v>
          </cell>
          <cell r="F105">
            <v>4.5290106783919599</v>
          </cell>
          <cell r="H105">
            <v>14420.37</v>
          </cell>
        </row>
        <row r="106">
          <cell r="C106">
            <v>77.91</v>
          </cell>
          <cell r="E106">
            <v>248065.44</v>
          </cell>
          <cell r="F106">
            <v>3.9821451005025126</v>
          </cell>
          <cell r="H106">
            <v>12679.15</v>
          </cell>
        </row>
        <row r="107">
          <cell r="C107">
            <v>502.74</v>
          </cell>
          <cell r="E107">
            <v>1600724.16</v>
          </cell>
          <cell r="F107">
            <v>16.795072236180904</v>
          </cell>
          <cell r="H107">
            <v>53475.51</v>
          </cell>
        </row>
        <row r="125">
          <cell r="C125">
            <v>197.14234296482411</v>
          </cell>
          <cell r="E125">
            <v>627701.24</v>
          </cell>
          <cell r="F125">
            <v>0</v>
          </cell>
          <cell r="H125">
            <v>0</v>
          </cell>
          <cell r="I125">
            <v>167.34653894472362</v>
          </cell>
          <cell r="K125">
            <v>532831.38</v>
          </cell>
          <cell r="N125">
            <v>35693947.140000001</v>
          </cell>
        </row>
        <row r="126">
          <cell r="C126">
            <v>5.3001570351758795</v>
          </cell>
          <cell r="E126">
            <v>16875.7</v>
          </cell>
          <cell r="F126">
            <v>0</v>
          </cell>
          <cell r="H126">
            <v>0</v>
          </cell>
          <cell r="I126">
            <v>0</v>
          </cell>
          <cell r="K126">
            <v>0</v>
          </cell>
          <cell r="N126">
            <v>773640.24999999988</v>
          </cell>
        </row>
        <row r="127">
          <cell r="C127">
            <v>36.559315326633168</v>
          </cell>
          <cell r="E127">
            <v>116404.86</v>
          </cell>
          <cell r="F127">
            <v>0</v>
          </cell>
          <cell r="H127">
            <v>0</v>
          </cell>
          <cell r="I127">
            <v>5.3244440954773866</v>
          </cell>
          <cell r="K127">
            <v>16953.03</v>
          </cell>
          <cell r="N127">
            <v>6104182.79</v>
          </cell>
        </row>
        <row r="128">
          <cell r="C128">
            <v>56.864811557788947</v>
          </cell>
          <cell r="E128">
            <v>181057.56</v>
          </cell>
          <cell r="F128">
            <v>0</v>
          </cell>
          <cell r="H128">
            <v>0</v>
          </cell>
          <cell r="I128">
            <v>0.56939070351758791</v>
          </cell>
          <cell r="K128">
            <v>1812.94</v>
          </cell>
          <cell r="N128">
            <v>8991138.0600000005</v>
          </cell>
        </row>
        <row r="129">
          <cell r="C129">
            <v>15.19378768844221</v>
          </cell>
          <cell r="E129">
            <v>48377.02</v>
          </cell>
          <cell r="F129">
            <v>0</v>
          </cell>
          <cell r="H129">
            <v>0</v>
          </cell>
          <cell r="I129">
            <v>0</v>
          </cell>
          <cell r="K129">
            <v>0</v>
          </cell>
          <cell r="N129">
            <v>2743183.43</v>
          </cell>
        </row>
        <row r="130">
          <cell r="C130">
            <v>0.54179334170854265</v>
          </cell>
          <cell r="E130">
            <v>1725.07</v>
          </cell>
          <cell r="F130">
            <v>0</v>
          </cell>
          <cell r="H130">
            <v>0</v>
          </cell>
          <cell r="I130">
            <v>0</v>
          </cell>
          <cell r="K130">
            <v>0</v>
          </cell>
          <cell r="N130">
            <v>82237.240000000005</v>
          </cell>
        </row>
        <row r="131">
          <cell r="C131">
            <v>201.38246859296484</v>
          </cell>
          <cell r="E131">
            <v>641201.78</v>
          </cell>
          <cell r="F131">
            <v>0</v>
          </cell>
          <cell r="H131">
            <v>0</v>
          </cell>
          <cell r="I131">
            <v>49.462207914572865</v>
          </cell>
          <cell r="K131">
            <v>157487.67000000001</v>
          </cell>
          <cell r="N131">
            <v>33254058.050000004</v>
          </cell>
        </row>
        <row r="132">
          <cell r="C132">
            <v>20.281940954773869</v>
          </cell>
          <cell r="E132">
            <v>64577.7</v>
          </cell>
          <cell r="F132">
            <v>0</v>
          </cell>
          <cell r="H132">
            <v>0</v>
          </cell>
          <cell r="I132">
            <v>7.0700502512562817</v>
          </cell>
          <cell r="K132">
            <v>22511.040000000001</v>
          </cell>
          <cell r="N132">
            <v>4109446.01</v>
          </cell>
        </row>
        <row r="133">
          <cell r="C133">
            <v>10.199861809045226</v>
          </cell>
          <cell r="E133">
            <v>32476.36</v>
          </cell>
          <cell r="F133">
            <v>0</v>
          </cell>
          <cell r="H133">
            <v>0</v>
          </cell>
          <cell r="I133">
            <v>0</v>
          </cell>
          <cell r="K133">
            <v>0</v>
          </cell>
          <cell r="N133">
            <v>1752192.51</v>
          </cell>
        </row>
        <row r="134">
          <cell r="C134">
            <v>2.7325251256281411</v>
          </cell>
          <cell r="E134">
            <v>8700.36</v>
          </cell>
          <cell r="F134">
            <v>0</v>
          </cell>
          <cell r="H134">
            <v>0</v>
          </cell>
          <cell r="I134">
            <v>0</v>
          </cell>
          <cell r="K134">
            <v>0</v>
          </cell>
          <cell r="N134">
            <v>459376.86</v>
          </cell>
        </row>
        <row r="135">
          <cell r="C135">
            <v>6.0539604271356788</v>
          </cell>
          <cell r="E135">
            <v>19275.810000000001</v>
          </cell>
          <cell r="F135">
            <v>0</v>
          </cell>
          <cell r="H135">
            <v>0</v>
          </cell>
          <cell r="I135">
            <v>0</v>
          </cell>
          <cell r="K135">
            <v>0</v>
          </cell>
          <cell r="N135">
            <v>877503.20000000019</v>
          </cell>
        </row>
        <row r="136">
          <cell r="C136">
            <v>191.08838253768846</v>
          </cell>
          <cell r="E136">
            <v>608425.41</v>
          </cell>
          <cell r="F136">
            <v>0</v>
          </cell>
          <cell r="H136">
            <v>0</v>
          </cell>
          <cell r="I136">
            <v>60.766444723618086</v>
          </cell>
          <cell r="K136">
            <v>193480.36</v>
          </cell>
          <cell r="N136">
            <v>32094560.869999997</v>
          </cell>
        </row>
        <row r="137">
          <cell r="C137">
            <v>30.387575376884421</v>
          </cell>
          <cell r="E137">
            <v>96754.04</v>
          </cell>
          <cell r="F137">
            <v>0</v>
          </cell>
          <cell r="H137">
            <v>0</v>
          </cell>
          <cell r="I137">
            <v>2.2901790201005028</v>
          </cell>
          <cell r="K137">
            <v>7291.93</v>
          </cell>
          <cell r="N137">
            <v>5581603.2400000002</v>
          </cell>
        </row>
        <row r="138">
          <cell r="C138">
            <v>149.65292085427137</v>
          </cell>
          <cell r="E138">
            <v>476494.9</v>
          </cell>
          <cell r="F138">
            <v>0</v>
          </cell>
          <cell r="H138">
            <v>0</v>
          </cell>
          <cell r="I138">
            <v>23.466435301507538</v>
          </cell>
          <cell r="K138">
            <v>74717.13</v>
          </cell>
          <cell r="N138">
            <v>26095709.029999994</v>
          </cell>
        </row>
        <row r="139">
          <cell r="C139">
            <v>8.4095854271356778</v>
          </cell>
          <cell r="E139">
            <v>26776.12</v>
          </cell>
          <cell r="F139">
            <v>0</v>
          </cell>
          <cell r="H139">
            <v>0</v>
          </cell>
          <cell r="I139">
            <v>0</v>
          </cell>
          <cell r="K139">
            <v>0</v>
          </cell>
          <cell r="N139">
            <v>1268590.1100000001</v>
          </cell>
        </row>
        <row r="140">
          <cell r="C140">
            <v>4.7348084170854268</v>
          </cell>
          <cell r="E140">
            <v>15075.63</v>
          </cell>
          <cell r="F140">
            <v>0</v>
          </cell>
          <cell r="H140">
            <v>0</v>
          </cell>
          <cell r="I140">
            <v>1.9145979899497487</v>
          </cell>
          <cell r="K140">
            <v>6096.08</v>
          </cell>
          <cell r="N140">
            <v>826044.25</v>
          </cell>
        </row>
        <row r="141">
          <cell r="C141">
            <v>11.11855527638191</v>
          </cell>
          <cell r="E141">
            <v>35401.480000000003</v>
          </cell>
          <cell r="F141">
            <v>0</v>
          </cell>
          <cell r="H141">
            <v>0</v>
          </cell>
          <cell r="I141">
            <v>0</v>
          </cell>
          <cell r="K141">
            <v>0</v>
          </cell>
          <cell r="N141">
            <v>1872796.28</v>
          </cell>
        </row>
        <row r="142">
          <cell r="C142">
            <v>7.4673335427135683</v>
          </cell>
          <cell r="E142">
            <v>23775.99</v>
          </cell>
          <cell r="F142">
            <v>0</v>
          </cell>
          <cell r="H142">
            <v>0</v>
          </cell>
          <cell r="I142">
            <v>1.98428391959799</v>
          </cell>
          <cell r="K142">
            <v>6317.96</v>
          </cell>
          <cell r="N142">
            <v>949590.94</v>
          </cell>
        </row>
        <row r="143">
          <cell r="C143">
            <v>105.36715138190955</v>
          </cell>
          <cell r="E143">
            <v>335489.01</v>
          </cell>
          <cell r="F143">
            <v>0</v>
          </cell>
          <cell r="H143">
            <v>0</v>
          </cell>
          <cell r="I143">
            <v>24.46398555276382</v>
          </cell>
          <cell r="K143">
            <v>77893.33</v>
          </cell>
          <cell r="N143">
            <v>18774977.25</v>
          </cell>
        </row>
        <row r="144">
          <cell r="C144">
            <v>7.0904334170854266</v>
          </cell>
          <cell r="E144">
            <v>22575.94</v>
          </cell>
          <cell r="F144">
            <v>0</v>
          </cell>
          <cell r="H144">
            <v>0</v>
          </cell>
          <cell r="I144">
            <v>0.7724874371859296</v>
          </cell>
          <cell r="K144">
            <v>2459.6</v>
          </cell>
          <cell r="N144">
            <v>1195151.5100000002</v>
          </cell>
        </row>
        <row r="145">
          <cell r="C145">
            <v>2.4262939698492461</v>
          </cell>
          <cell r="E145">
            <v>7725.32</v>
          </cell>
          <cell r="F145">
            <v>0</v>
          </cell>
          <cell r="H145">
            <v>0</v>
          </cell>
          <cell r="I145">
            <v>0</v>
          </cell>
          <cell r="K145">
            <v>0</v>
          </cell>
          <cell r="N145">
            <v>447716.51</v>
          </cell>
        </row>
        <row r="146">
          <cell r="C146">
            <v>7.9620163316582921</v>
          </cell>
          <cell r="E146">
            <v>25351.06</v>
          </cell>
          <cell r="F146">
            <v>0</v>
          </cell>
          <cell r="H146">
            <v>0</v>
          </cell>
          <cell r="I146">
            <v>0</v>
          </cell>
          <cell r="K146">
            <v>0</v>
          </cell>
          <cell r="N146">
            <v>1319832.5999999999</v>
          </cell>
        </row>
        <row r="147">
          <cell r="C147">
            <v>2.0022832914572866</v>
          </cell>
          <cell r="E147">
            <v>6375.27</v>
          </cell>
          <cell r="F147">
            <v>0</v>
          </cell>
          <cell r="H147">
            <v>0</v>
          </cell>
          <cell r="I147">
            <v>0</v>
          </cell>
          <cell r="K147">
            <v>0</v>
          </cell>
          <cell r="N147">
            <v>253041.06999999998</v>
          </cell>
        </row>
        <row r="148">
          <cell r="C148">
            <v>2.1200628140703515</v>
          </cell>
          <cell r="E148">
            <v>6750.28</v>
          </cell>
          <cell r="F148">
            <v>0</v>
          </cell>
          <cell r="H148">
            <v>0</v>
          </cell>
          <cell r="I148">
            <v>0</v>
          </cell>
          <cell r="K148">
            <v>0</v>
          </cell>
          <cell r="N148">
            <v>262762.42</v>
          </cell>
        </row>
        <row r="149">
          <cell r="C149">
            <v>10.341199748743717</v>
          </cell>
          <cell r="E149">
            <v>32926.379999999997</v>
          </cell>
          <cell r="F149">
            <v>0</v>
          </cell>
          <cell r="H149">
            <v>0</v>
          </cell>
          <cell r="I149">
            <v>1.5871922110552763</v>
          </cell>
          <cell r="K149">
            <v>5053.62</v>
          </cell>
          <cell r="N149">
            <v>1436236.3</v>
          </cell>
        </row>
        <row r="150">
          <cell r="C150">
            <v>14.769773869346734</v>
          </cell>
          <cell r="E150">
            <v>47026.96</v>
          </cell>
          <cell r="F150">
            <v>0</v>
          </cell>
          <cell r="H150">
            <v>0</v>
          </cell>
          <cell r="I150">
            <v>2.9100282663316586</v>
          </cell>
          <cell r="K150">
            <v>9265.5300000000007</v>
          </cell>
          <cell r="N150">
            <v>2361032.7099999995</v>
          </cell>
        </row>
        <row r="151">
          <cell r="C151">
            <v>71.789777010050244</v>
          </cell>
          <cell r="E151">
            <v>228578.65</v>
          </cell>
          <cell r="F151">
            <v>0</v>
          </cell>
          <cell r="H151">
            <v>0</v>
          </cell>
          <cell r="I151">
            <v>0</v>
          </cell>
          <cell r="K151">
            <v>0</v>
          </cell>
          <cell r="N151">
            <v>2340935.2899999996</v>
          </cell>
        </row>
        <row r="152">
          <cell r="C152">
            <v>4.1223461055276376</v>
          </cell>
          <cell r="E152">
            <v>13125.55</v>
          </cell>
          <cell r="F152">
            <v>0</v>
          </cell>
          <cell r="H152">
            <v>0</v>
          </cell>
          <cell r="I152">
            <v>0.75546168341708542</v>
          </cell>
          <cell r="K152">
            <v>2405.39</v>
          </cell>
          <cell r="N152">
            <v>629083.29</v>
          </cell>
        </row>
        <row r="153">
          <cell r="C153">
            <v>0.8715829145728643</v>
          </cell>
          <cell r="E153">
            <v>2775.12</v>
          </cell>
          <cell r="F153">
            <v>0</v>
          </cell>
          <cell r="H153">
            <v>0</v>
          </cell>
          <cell r="I153">
            <v>0</v>
          </cell>
          <cell r="K153">
            <v>0</v>
          </cell>
          <cell r="N153">
            <v>138679.26999999999</v>
          </cell>
        </row>
        <row r="154">
          <cell r="C154">
            <v>48.05477072864322</v>
          </cell>
          <cell r="E154">
            <v>153006.39000000001</v>
          </cell>
          <cell r="F154">
            <v>0</v>
          </cell>
          <cell r="H154">
            <v>0</v>
          </cell>
          <cell r="I154">
            <v>0</v>
          </cell>
          <cell r="K154">
            <v>0</v>
          </cell>
          <cell r="N154">
            <v>7350310.4099999992</v>
          </cell>
        </row>
        <row r="155">
          <cell r="C155">
            <v>22.519783291457287</v>
          </cell>
          <cell r="E155">
            <v>71702.990000000005</v>
          </cell>
          <cell r="F155">
            <v>0</v>
          </cell>
          <cell r="H155">
            <v>0</v>
          </cell>
          <cell r="I155">
            <v>0</v>
          </cell>
          <cell r="K155">
            <v>0</v>
          </cell>
          <cell r="N155">
            <v>4640253.8900000006</v>
          </cell>
        </row>
        <row r="156">
          <cell r="C156">
            <v>15.523574120603014</v>
          </cell>
          <cell r="E156">
            <v>49427.06</v>
          </cell>
          <cell r="F156">
            <v>0</v>
          </cell>
          <cell r="H156">
            <v>0</v>
          </cell>
          <cell r="I156">
            <v>0</v>
          </cell>
          <cell r="K156">
            <v>0</v>
          </cell>
          <cell r="N156">
            <v>2743261.57</v>
          </cell>
        </row>
        <row r="157">
          <cell r="C157">
            <v>95.402854899497484</v>
          </cell>
          <cell r="E157">
            <v>303762.69</v>
          </cell>
          <cell r="F157">
            <v>0</v>
          </cell>
          <cell r="H157">
            <v>0</v>
          </cell>
          <cell r="I157">
            <v>12.41299623115578</v>
          </cell>
          <cell r="K157">
            <v>39522.980000000003</v>
          </cell>
          <cell r="N157">
            <v>14906006.580000002</v>
          </cell>
        </row>
        <row r="158">
          <cell r="C158">
            <v>1.8609453517587939</v>
          </cell>
          <cell r="E158">
            <v>5925.25</v>
          </cell>
          <cell r="F158">
            <v>0</v>
          </cell>
          <cell r="H158">
            <v>0</v>
          </cell>
          <cell r="I158">
            <v>0</v>
          </cell>
          <cell r="K158">
            <v>0</v>
          </cell>
          <cell r="N158">
            <v>278666.34999999998</v>
          </cell>
        </row>
        <row r="159">
          <cell r="C159">
            <v>98.111824748743715</v>
          </cell>
          <cell r="E159">
            <v>312388.05</v>
          </cell>
          <cell r="F159">
            <v>0</v>
          </cell>
          <cell r="H159">
            <v>0</v>
          </cell>
          <cell r="I159">
            <v>0.64307160804020103</v>
          </cell>
          <cell r="K159">
            <v>2047.54</v>
          </cell>
          <cell r="N159">
            <v>18113349.099999998</v>
          </cell>
        </row>
        <row r="160">
          <cell r="C160">
            <v>70.315436557788942</v>
          </cell>
          <cell r="E160">
            <v>223884.35</v>
          </cell>
          <cell r="F160">
            <v>0</v>
          </cell>
          <cell r="H160">
            <v>0</v>
          </cell>
          <cell r="I160">
            <v>0</v>
          </cell>
          <cell r="K160">
            <v>0</v>
          </cell>
          <cell r="N160">
            <v>13627886.109999999</v>
          </cell>
        </row>
        <row r="161">
          <cell r="C161">
            <v>36.276639447236185</v>
          </cell>
          <cell r="E161">
            <v>115504.82</v>
          </cell>
          <cell r="F161">
            <v>0</v>
          </cell>
          <cell r="H161">
            <v>0</v>
          </cell>
          <cell r="I161">
            <v>0</v>
          </cell>
          <cell r="K161">
            <v>0</v>
          </cell>
          <cell r="N161">
            <v>6207923.2000000002</v>
          </cell>
        </row>
        <row r="162">
          <cell r="C162">
            <v>46.076045854271356</v>
          </cell>
          <cell r="E162">
            <v>146706.13</v>
          </cell>
          <cell r="F162">
            <v>0</v>
          </cell>
          <cell r="H162">
            <v>0</v>
          </cell>
          <cell r="I162">
            <v>6.9091739949748749</v>
          </cell>
          <cell r="K162">
            <v>21998.81</v>
          </cell>
          <cell r="N162">
            <v>9231591.2200000007</v>
          </cell>
        </row>
        <row r="163">
          <cell r="C163">
            <v>21.059296482412062</v>
          </cell>
          <cell r="E163">
            <v>67052.800000000003</v>
          </cell>
          <cell r="F163">
            <v>0</v>
          </cell>
          <cell r="H163">
            <v>0</v>
          </cell>
          <cell r="I163">
            <v>0</v>
          </cell>
          <cell r="K163">
            <v>0</v>
          </cell>
          <cell r="N163">
            <v>3241760.9999999995</v>
          </cell>
        </row>
        <row r="164">
          <cell r="C164">
            <v>18.044095477386936</v>
          </cell>
          <cell r="E164">
            <v>57452.4</v>
          </cell>
          <cell r="F164">
            <v>0</v>
          </cell>
          <cell r="H164">
            <v>0</v>
          </cell>
          <cell r="I164">
            <v>0</v>
          </cell>
          <cell r="K164">
            <v>0</v>
          </cell>
          <cell r="N164">
            <v>2747262.0999999996</v>
          </cell>
        </row>
        <row r="165">
          <cell r="C165">
            <v>157.92047424623115</v>
          </cell>
          <cell r="E165">
            <v>502818.79</v>
          </cell>
          <cell r="F165">
            <v>0</v>
          </cell>
          <cell r="H165">
            <v>0</v>
          </cell>
          <cell r="I165">
            <v>25.962107412060302</v>
          </cell>
          <cell r="K165">
            <v>82663.350000000006</v>
          </cell>
          <cell r="N165">
            <v>15472134.27</v>
          </cell>
        </row>
        <row r="183">
          <cell r="C183">
            <v>3297.3180000000002</v>
          </cell>
          <cell r="E183">
            <v>10498662.74</v>
          </cell>
        </row>
        <row r="184">
          <cell r="C184">
            <v>133.69499999999999</v>
          </cell>
          <cell r="E184">
            <v>425689.29</v>
          </cell>
        </row>
        <row r="185">
          <cell r="C185">
            <v>642.21699999999998</v>
          </cell>
          <cell r="E185">
            <v>2044819.61</v>
          </cell>
        </row>
        <row r="186">
          <cell r="C186">
            <v>890.49599999999998</v>
          </cell>
          <cell r="E186">
            <v>2835337.11</v>
          </cell>
        </row>
        <row r="187">
          <cell r="C187">
            <v>206.96</v>
          </cell>
          <cell r="E187">
            <v>658962.85</v>
          </cell>
        </row>
        <row r="188">
          <cell r="C188">
            <v>53.817999999999998</v>
          </cell>
          <cell r="E188">
            <v>171353.32</v>
          </cell>
        </row>
        <row r="189">
          <cell r="C189">
            <v>2783.02</v>
          </cell>
          <cell r="E189">
            <v>8861137.6500000004</v>
          </cell>
        </row>
        <row r="190">
          <cell r="C190">
            <v>295.08300000000003</v>
          </cell>
          <cell r="E190">
            <v>939540.84</v>
          </cell>
        </row>
        <row r="191">
          <cell r="C191">
            <v>152.48699999999999</v>
          </cell>
          <cell r="E191">
            <v>485516.08</v>
          </cell>
        </row>
        <row r="192">
          <cell r="C192">
            <v>157.98599999999999</v>
          </cell>
          <cell r="E192">
            <v>503025.35</v>
          </cell>
        </row>
        <row r="193">
          <cell r="C193">
            <v>130.48699999999999</v>
          </cell>
          <cell r="E193">
            <v>415467.74</v>
          </cell>
        </row>
        <row r="194">
          <cell r="C194">
            <v>2639.605</v>
          </cell>
          <cell r="E194">
            <v>8404503.1899999995</v>
          </cell>
        </row>
        <row r="195">
          <cell r="C195">
            <v>428.27600000000001</v>
          </cell>
          <cell r="E195">
            <v>1363631.65</v>
          </cell>
        </row>
        <row r="196">
          <cell r="C196">
            <v>2270.0639999999999</v>
          </cell>
          <cell r="E196">
            <v>7227883.5</v>
          </cell>
        </row>
        <row r="197">
          <cell r="C197">
            <v>146.50899999999999</v>
          </cell>
          <cell r="E197">
            <v>466484.65</v>
          </cell>
        </row>
        <row r="198">
          <cell r="C198">
            <v>146.99700000000001</v>
          </cell>
          <cell r="E198">
            <v>468037.19</v>
          </cell>
        </row>
        <row r="199">
          <cell r="C199">
            <v>229.649</v>
          </cell>
          <cell r="E199">
            <v>731204.43</v>
          </cell>
        </row>
        <row r="200">
          <cell r="C200">
            <v>150.505</v>
          </cell>
          <cell r="E200">
            <v>479208.41</v>
          </cell>
        </row>
        <row r="201">
          <cell r="C201">
            <v>1740.711</v>
          </cell>
          <cell r="E201">
            <v>5542423.0199999996</v>
          </cell>
        </row>
        <row r="202">
          <cell r="C202">
            <v>153.64599999999999</v>
          </cell>
          <cell r="E202">
            <v>489209.5</v>
          </cell>
        </row>
        <row r="203">
          <cell r="C203">
            <v>119.931</v>
          </cell>
          <cell r="E203">
            <v>381861.26</v>
          </cell>
        </row>
        <row r="204">
          <cell r="C204">
            <v>150.13499999999999</v>
          </cell>
          <cell r="E204">
            <v>478030</v>
          </cell>
        </row>
        <row r="205">
          <cell r="C205">
            <v>63.548999999999999</v>
          </cell>
          <cell r="E205">
            <v>202339.57</v>
          </cell>
        </row>
        <row r="206">
          <cell r="C206">
            <v>42.414000000000001</v>
          </cell>
          <cell r="E206">
            <v>135045.74</v>
          </cell>
        </row>
        <row r="207">
          <cell r="C207">
            <v>251.59299999999999</v>
          </cell>
          <cell r="E207">
            <v>801069.42</v>
          </cell>
        </row>
        <row r="208">
          <cell r="C208">
            <v>368.36799999999999</v>
          </cell>
          <cell r="E208">
            <v>1172885.07</v>
          </cell>
        </row>
        <row r="209">
          <cell r="C209">
            <v>210.86799999999999</v>
          </cell>
          <cell r="E209">
            <v>671406.58</v>
          </cell>
        </row>
        <row r="210">
          <cell r="C210">
            <v>227.32599999999999</v>
          </cell>
          <cell r="E210">
            <v>723807.53</v>
          </cell>
        </row>
        <row r="211">
          <cell r="C211">
            <v>59.091999999999999</v>
          </cell>
          <cell r="E211">
            <v>188147.55</v>
          </cell>
        </row>
        <row r="212">
          <cell r="C212">
            <v>993.25900000000001</v>
          </cell>
          <cell r="E212">
            <v>3162534.05</v>
          </cell>
        </row>
        <row r="213">
          <cell r="C213">
            <v>345.85500000000002</v>
          </cell>
          <cell r="E213">
            <v>1101199.31</v>
          </cell>
        </row>
        <row r="214">
          <cell r="C214">
            <v>402.03300000000002</v>
          </cell>
          <cell r="E214">
            <v>1280069.6299999999</v>
          </cell>
        </row>
        <row r="215">
          <cell r="C215">
            <v>1600.1010000000001</v>
          </cell>
          <cell r="E215">
            <v>5094725.2300000004</v>
          </cell>
        </row>
        <row r="216">
          <cell r="C216">
            <v>92.471000000000004</v>
          </cell>
          <cell r="E216">
            <v>294426.63</v>
          </cell>
        </row>
        <row r="217">
          <cell r="C217">
            <v>1885.4839999999999</v>
          </cell>
          <cell r="E217">
            <v>6003380.3399999999</v>
          </cell>
        </row>
        <row r="218">
          <cell r="C218">
            <v>888.79600000000005</v>
          </cell>
          <cell r="E218">
            <v>2829926.91</v>
          </cell>
        </row>
        <row r="219">
          <cell r="C219">
            <v>550.03800000000001</v>
          </cell>
          <cell r="E219">
            <v>1751322.39</v>
          </cell>
        </row>
        <row r="220">
          <cell r="C220">
            <v>669.79399999999998</v>
          </cell>
          <cell r="E220">
            <v>2132624.34</v>
          </cell>
        </row>
        <row r="221">
          <cell r="C221">
            <v>199.62100000000001</v>
          </cell>
          <cell r="E221">
            <v>635592.03</v>
          </cell>
        </row>
        <row r="222">
          <cell r="C222">
            <v>295.04000000000002</v>
          </cell>
          <cell r="E222">
            <v>939407.86</v>
          </cell>
        </row>
        <row r="223">
          <cell r="C223">
            <v>1339.414</v>
          </cell>
          <cell r="E223">
            <v>4264695.13</v>
          </cell>
        </row>
      </sheetData>
      <sheetData sheetId="1">
        <row r="7">
          <cell r="C7">
            <v>152.28514110726647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District Calc"/>
      <sheetName val="charters"/>
    </sheetNames>
    <sheetDataSet>
      <sheetData sheetId="0">
        <row r="9">
          <cell r="I9">
            <v>1499730.93</v>
          </cell>
          <cell r="J9">
            <v>2118489.1800000002</v>
          </cell>
        </row>
        <row r="10">
          <cell r="I10">
            <v>51130.26</v>
          </cell>
          <cell r="J10">
            <v>145615.35</v>
          </cell>
        </row>
        <row r="11">
          <cell r="I11">
            <v>272327.96000000002</v>
          </cell>
          <cell r="J11">
            <v>441913.72</v>
          </cell>
        </row>
        <row r="12">
          <cell r="I12">
            <v>452517.82</v>
          </cell>
          <cell r="J12">
            <v>461301.07</v>
          </cell>
        </row>
        <row r="13">
          <cell r="I13">
            <v>77914.13</v>
          </cell>
          <cell r="J13">
            <v>242335.77</v>
          </cell>
        </row>
        <row r="14">
          <cell r="I14">
            <v>30115.32</v>
          </cell>
          <cell r="J14">
            <v>33330.94</v>
          </cell>
        </row>
        <row r="15">
          <cell r="I15">
            <v>1342896.18</v>
          </cell>
          <cell r="J15">
            <v>2167237.75</v>
          </cell>
        </row>
        <row r="16">
          <cell r="I16">
            <v>78455.199999999997</v>
          </cell>
          <cell r="J16">
            <v>379697.74</v>
          </cell>
        </row>
        <row r="17">
          <cell r="I17">
            <v>59764.639999999999</v>
          </cell>
          <cell r="J17">
            <v>249611.41</v>
          </cell>
        </row>
        <row r="18">
          <cell r="I18">
            <v>51340.32</v>
          </cell>
          <cell r="J18">
            <v>76159.95</v>
          </cell>
        </row>
        <row r="19">
          <cell r="I19">
            <v>51698.89</v>
          </cell>
          <cell r="J19">
            <v>190029.44</v>
          </cell>
        </row>
        <row r="20">
          <cell r="I20">
            <v>1848722.83</v>
          </cell>
          <cell r="J20">
            <v>2495865.2200000002</v>
          </cell>
        </row>
        <row r="21">
          <cell r="I21">
            <v>214698.29</v>
          </cell>
          <cell r="J21">
            <v>372193.46</v>
          </cell>
        </row>
        <row r="22">
          <cell r="I22">
            <v>991201.39</v>
          </cell>
          <cell r="J22">
            <v>1748920.76</v>
          </cell>
        </row>
        <row r="23">
          <cell r="I23">
            <v>80309.990000000005</v>
          </cell>
          <cell r="J23">
            <v>96562.3</v>
          </cell>
        </row>
        <row r="24">
          <cell r="I24">
            <v>46110.01</v>
          </cell>
          <cell r="J24">
            <v>145798.06</v>
          </cell>
        </row>
        <row r="25">
          <cell r="I25">
            <v>74455.81</v>
          </cell>
          <cell r="J25">
            <v>256197.58</v>
          </cell>
        </row>
        <row r="26">
          <cell r="I26">
            <v>53262.83</v>
          </cell>
          <cell r="J26">
            <v>112305.24</v>
          </cell>
        </row>
        <row r="27">
          <cell r="I27">
            <v>815845.75</v>
          </cell>
          <cell r="J27">
            <v>765296.46</v>
          </cell>
        </row>
        <row r="28">
          <cell r="I28">
            <v>96441.53</v>
          </cell>
          <cell r="J28">
            <v>78172.98</v>
          </cell>
        </row>
        <row r="29">
          <cell r="I29">
            <v>40984.300000000003</v>
          </cell>
          <cell r="J29">
            <v>120521.88</v>
          </cell>
        </row>
        <row r="30">
          <cell r="I30">
            <v>28571.43</v>
          </cell>
          <cell r="J30">
            <v>1411153.26</v>
          </cell>
        </row>
        <row r="31">
          <cell r="I31">
            <v>43819.8</v>
          </cell>
          <cell r="J31">
            <v>13775.87</v>
          </cell>
        </row>
        <row r="32">
          <cell r="I32">
            <v>34314.699999999997</v>
          </cell>
          <cell r="J32">
            <v>98220.41</v>
          </cell>
        </row>
        <row r="33">
          <cell r="I33">
            <v>146410.25</v>
          </cell>
          <cell r="J33">
            <v>114846.63</v>
          </cell>
        </row>
        <row r="34">
          <cell r="I34">
            <v>135026.97</v>
          </cell>
          <cell r="J34">
            <v>175555.92</v>
          </cell>
        </row>
        <row r="35">
          <cell r="I35">
            <v>136156.63</v>
          </cell>
          <cell r="J35">
            <v>66752.960000000006</v>
          </cell>
        </row>
        <row r="36">
          <cell r="I36">
            <v>39687.43</v>
          </cell>
          <cell r="J36">
            <v>191883.47</v>
          </cell>
        </row>
        <row r="37">
          <cell r="I37">
            <v>45829.440000000002</v>
          </cell>
          <cell r="J37">
            <v>6321.27</v>
          </cell>
        </row>
        <row r="38">
          <cell r="I38">
            <v>401616.05</v>
          </cell>
          <cell r="J38">
            <v>420444.1</v>
          </cell>
        </row>
        <row r="39">
          <cell r="I39">
            <v>135285.04</v>
          </cell>
          <cell r="J39">
            <v>724480.4</v>
          </cell>
        </row>
        <row r="40">
          <cell r="I40">
            <v>95143.92</v>
          </cell>
          <cell r="J40">
            <v>473814.03</v>
          </cell>
        </row>
        <row r="41">
          <cell r="I41">
            <v>549706.06000000006</v>
          </cell>
          <cell r="J41">
            <v>1416246.86</v>
          </cell>
        </row>
        <row r="42">
          <cell r="I42">
            <v>44073.47</v>
          </cell>
          <cell r="J42">
            <v>35592.67</v>
          </cell>
        </row>
        <row r="43">
          <cell r="I43">
            <v>758720.92</v>
          </cell>
          <cell r="J43">
            <v>984403.33</v>
          </cell>
        </row>
        <row r="44">
          <cell r="I44">
            <v>473736.4</v>
          </cell>
          <cell r="J44">
            <v>2072154.84</v>
          </cell>
        </row>
        <row r="45">
          <cell r="I45">
            <v>459696.07</v>
          </cell>
          <cell r="J45">
            <v>391353.71</v>
          </cell>
        </row>
        <row r="46">
          <cell r="I46">
            <v>430961.3</v>
          </cell>
          <cell r="J46">
            <v>579486.39</v>
          </cell>
        </row>
        <row r="47">
          <cell r="I47">
            <v>163971.19</v>
          </cell>
          <cell r="J47">
            <v>248020.16</v>
          </cell>
        </row>
        <row r="48">
          <cell r="I48">
            <v>117518.43</v>
          </cell>
          <cell r="J48">
            <v>336161.1</v>
          </cell>
        </row>
        <row r="49">
          <cell r="I49">
            <v>464615.92</v>
          </cell>
          <cell r="J49">
            <v>1653259.12</v>
          </cell>
        </row>
      </sheetData>
      <sheetData sheetId="1"/>
      <sheetData sheetId="2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Charters"/>
      <sheetName val="Other State_Final Update-FY17"/>
    </sheetNames>
    <sheetDataSet>
      <sheetData sheetId="0" refreshError="1">
        <row r="10">
          <cell r="C10">
            <v>3611194</v>
          </cell>
          <cell r="D10">
            <v>5340951</v>
          </cell>
          <cell r="E10">
            <v>502397</v>
          </cell>
          <cell r="F10">
            <v>997458</v>
          </cell>
          <cell r="G10">
            <v>10452000</v>
          </cell>
        </row>
        <row r="11"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</row>
        <row r="12">
          <cell r="C12">
            <v>0</v>
          </cell>
          <cell r="D12">
            <v>0</v>
          </cell>
          <cell r="E12">
            <v>37993</v>
          </cell>
          <cell r="F12">
            <v>75430</v>
          </cell>
          <cell r="G12">
            <v>113423</v>
          </cell>
        </row>
        <row r="13">
          <cell r="C13">
            <v>1090334</v>
          </cell>
          <cell r="D13">
            <v>1192430</v>
          </cell>
          <cell r="E13">
            <v>121353</v>
          </cell>
          <cell r="F13">
            <v>240934</v>
          </cell>
          <cell r="G13">
            <v>2645051</v>
          </cell>
        </row>
        <row r="14"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</row>
        <row r="15">
          <cell r="C15">
            <v>50000</v>
          </cell>
          <cell r="D15">
            <v>0</v>
          </cell>
          <cell r="E15">
            <v>0</v>
          </cell>
          <cell r="F15">
            <v>0</v>
          </cell>
          <cell r="G15">
            <v>50000</v>
          </cell>
        </row>
        <row r="16">
          <cell r="C16">
            <v>0</v>
          </cell>
          <cell r="D16">
            <v>3656459</v>
          </cell>
          <cell r="E16">
            <v>171750</v>
          </cell>
          <cell r="F16">
            <v>340989</v>
          </cell>
          <cell r="G16">
            <v>4169198</v>
          </cell>
        </row>
        <row r="17">
          <cell r="C17">
            <v>0</v>
          </cell>
          <cell r="D17">
            <v>0</v>
          </cell>
          <cell r="E17">
            <v>27601</v>
          </cell>
          <cell r="F17">
            <v>54798</v>
          </cell>
          <cell r="G17">
            <v>82399</v>
          </cell>
        </row>
        <row r="18"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</row>
        <row r="19">
          <cell r="C19">
            <v>100000</v>
          </cell>
          <cell r="D19">
            <v>0</v>
          </cell>
          <cell r="E19">
            <v>0</v>
          </cell>
          <cell r="F19">
            <v>0</v>
          </cell>
          <cell r="G19">
            <v>100000</v>
          </cell>
        </row>
        <row r="20"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</row>
        <row r="21">
          <cell r="C21">
            <v>0</v>
          </cell>
          <cell r="D21">
            <v>0</v>
          </cell>
          <cell r="E21">
            <v>24807</v>
          </cell>
          <cell r="F21">
            <v>49252</v>
          </cell>
          <cell r="G21">
            <v>74059</v>
          </cell>
        </row>
        <row r="22">
          <cell r="C22">
            <v>0</v>
          </cell>
          <cell r="D22">
            <v>0</v>
          </cell>
          <cell r="E22">
            <v>46262</v>
          </cell>
          <cell r="F22">
            <v>91847</v>
          </cell>
          <cell r="G22">
            <v>138109</v>
          </cell>
        </row>
        <row r="23">
          <cell r="C23">
            <v>0</v>
          </cell>
          <cell r="D23">
            <v>0</v>
          </cell>
          <cell r="E23">
            <v>31400</v>
          </cell>
          <cell r="F23">
            <v>62341</v>
          </cell>
          <cell r="G23">
            <v>93741</v>
          </cell>
        </row>
        <row r="24">
          <cell r="C24">
            <v>0</v>
          </cell>
          <cell r="D24">
            <v>0</v>
          </cell>
          <cell r="E24">
            <v>14415</v>
          </cell>
          <cell r="F24">
            <v>28619</v>
          </cell>
          <cell r="G24">
            <v>43034</v>
          </cell>
        </row>
        <row r="25"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</row>
        <row r="27">
          <cell r="C27">
            <v>0</v>
          </cell>
          <cell r="D27">
            <v>0</v>
          </cell>
          <cell r="E27">
            <v>34082</v>
          </cell>
          <cell r="F27">
            <v>67665</v>
          </cell>
          <cell r="G27">
            <v>101747</v>
          </cell>
        </row>
        <row r="28">
          <cell r="C28">
            <v>6115769</v>
          </cell>
          <cell r="D28">
            <v>2282109</v>
          </cell>
          <cell r="E28">
            <v>156553</v>
          </cell>
          <cell r="F28">
            <v>310817</v>
          </cell>
          <cell r="G28">
            <v>8865248</v>
          </cell>
        </row>
        <row r="29"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</row>
        <row r="30"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</row>
        <row r="31"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</row>
        <row r="32">
          <cell r="C32">
            <v>100000</v>
          </cell>
          <cell r="D32">
            <v>0</v>
          </cell>
          <cell r="E32">
            <v>0</v>
          </cell>
          <cell r="F32">
            <v>0</v>
          </cell>
          <cell r="G32">
            <v>100000</v>
          </cell>
        </row>
        <row r="33">
          <cell r="C33">
            <v>50000</v>
          </cell>
          <cell r="D33">
            <v>0</v>
          </cell>
          <cell r="E33">
            <v>0</v>
          </cell>
          <cell r="F33">
            <v>0</v>
          </cell>
          <cell r="G33">
            <v>50000</v>
          </cell>
        </row>
        <row r="34"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</row>
        <row r="35"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</row>
        <row r="36">
          <cell r="C36">
            <v>903407</v>
          </cell>
          <cell r="D36">
            <v>228086</v>
          </cell>
          <cell r="E36">
            <v>0</v>
          </cell>
          <cell r="F36">
            <v>0</v>
          </cell>
          <cell r="G36">
            <v>1131493</v>
          </cell>
        </row>
        <row r="37"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</row>
        <row r="38">
          <cell r="C38">
            <v>200000</v>
          </cell>
          <cell r="D38">
            <v>0</v>
          </cell>
          <cell r="E38">
            <v>3352</v>
          </cell>
          <cell r="F38">
            <v>6656</v>
          </cell>
          <cell r="G38">
            <v>210008</v>
          </cell>
        </row>
        <row r="39">
          <cell r="C39">
            <v>290196</v>
          </cell>
          <cell r="D39">
            <v>1007936</v>
          </cell>
          <cell r="E39">
            <v>0</v>
          </cell>
          <cell r="F39">
            <v>0</v>
          </cell>
          <cell r="G39">
            <v>1298132</v>
          </cell>
        </row>
        <row r="40"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</row>
        <row r="41">
          <cell r="C41">
            <v>0</v>
          </cell>
          <cell r="D41">
            <v>0</v>
          </cell>
          <cell r="E41">
            <v>78332</v>
          </cell>
          <cell r="F41">
            <v>155520</v>
          </cell>
          <cell r="G41">
            <v>233852</v>
          </cell>
        </row>
        <row r="42">
          <cell r="C42">
            <v>0</v>
          </cell>
          <cell r="D42">
            <v>0</v>
          </cell>
          <cell r="E42">
            <v>227510</v>
          </cell>
          <cell r="F42">
            <v>451695</v>
          </cell>
          <cell r="G42">
            <v>679205</v>
          </cell>
        </row>
        <row r="43">
          <cell r="C43">
            <v>100000</v>
          </cell>
          <cell r="D43">
            <v>0</v>
          </cell>
          <cell r="E43">
            <v>0</v>
          </cell>
          <cell r="F43">
            <v>0</v>
          </cell>
          <cell r="G43">
            <v>100000</v>
          </cell>
        </row>
        <row r="44">
          <cell r="C44">
            <v>0</v>
          </cell>
          <cell r="D44">
            <v>632826</v>
          </cell>
          <cell r="E44">
            <v>50508</v>
          </cell>
          <cell r="F44">
            <v>100278</v>
          </cell>
          <cell r="G44">
            <v>783612</v>
          </cell>
        </row>
        <row r="45"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</row>
        <row r="46">
          <cell r="C46">
            <v>0</v>
          </cell>
          <cell r="D46">
            <v>659203</v>
          </cell>
          <cell r="E46">
            <v>0</v>
          </cell>
          <cell r="F46">
            <v>0</v>
          </cell>
          <cell r="G46">
            <v>659203</v>
          </cell>
        </row>
        <row r="47">
          <cell r="C47">
            <v>0</v>
          </cell>
          <cell r="D47">
            <v>0</v>
          </cell>
          <cell r="E47">
            <v>310759</v>
          </cell>
          <cell r="F47">
            <v>616976</v>
          </cell>
          <cell r="G47">
            <v>927735</v>
          </cell>
        </row>
        <row r="48"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</row>
        <row r="49">
          <cell r="C49">
            <v>0</v>
          </cell>
          <cell r="D49">
            <v>0</v>
          </cell>
          <cell r="E49">
            <v>8269</v>
          </cell>
          <cell r="F49">
            <v>16417</v>
          </cell>
          <cell r="G49">
            <v>24686</v>
          </cell>
        </row>
        <row r="50">
          <cell r="C50">
            <v>0</v>
          </cell>
          <cell r="D50">
            <v>0</v>
          </cell>
          <cell r="E50">
            <v>41457</v>
          </cell>
          <cell r="F50">
            <v>82308</v>
          </cell>
          <cell r="G50">
            <v>123765</v>
          </cell>
        </row>
        <row r="68">
          <cell r="C68">
            <v>170565.74</v>
          </cell>
        </row>
        <row r="69">
          <cell r="C69">
            <v>14032</v>
          </cell>
        </row>
        <row r="70">
          <cell r="C70">
            <v>34787.360000000001</v>
          </cell>
        </row>
        <row r="71">
          <cell r="C71">
            <v>46748.54</v>
          </cell>
        </row>
        <row r="72">
          <cell r="C72">
            <v>17895.240000000002</v>
          </cell>
        </row>
        <row r="73">
          <cell r="C73">
            <v>11098.49</v>
          </cell>
        </row>
        <row r="74">
          <cell r="C74">
            <v>159043.51999999999</v>
          </cell>
        </row>
        <row r="75">
          <cell r="C75">
            <v>21488.9</v>
          </cell>
        </row>
        <row r="76">
          <cell r="C76">
            <v>15426.59</v>
          </cell>
        </row>
        <row r="77">
          <cell r="C77">
            <v>12671.38</v>
          </cell>
        </row>
        <row r="78">
          <cell r="C78">
            <v>13794.27</v>
          </cell>
        </row>
        <row r="79">
          <cell r="C79">
            <v>154677.21</v>
          </cell>
        </row>
        <row r="80">
          <cell r="C80">
            <v>29676</v>
          </cell>
        </row>
        <row r="81">
          <cell r="C81">
            <v>121780.26</v>
          </cell>
        </row>
        <row r="82">
          <cell r="C82">
            <v>15834.14</v>
          </cell>
        </row>
        <row r="83">
          <cell r="C83">
            <v>13280.58</v>
          </cell>
        </row>
        <row r="84">
          <cell r="C84">
            <v>16664.099999999999</v>
          </cell>
        </row>
        <row r="85">
          <cell r="C85">
            <v>16734.150000000001</v>
          </cell>
        </row>
        <row r="86">
          <cell r="C86">
            <v>78416.47</v>
          </cell>
        </row>
        <row r="87">
          <cell r="C87">
            <v>15759.85</v>
          </cell>
        </row>
        <row r="88">
          <cell r="C88">
            <v>12909.12</v>
          </cell>
        </row>
        <row r="89">
          <cell r="C89">
            <v>20824.509999999998</v>
          </cell>
        </row>
        <row r="90">
          <cell r="C90">
            <v>11331.98</v>
          </cell>
        </row>
        <row r="91">
          <cell r="C91">
            <v>11758.64</v>
          </cell>
        </row>
        <row r="92">
          <cell r="C92">
            <v>17029.2</v>
          </cell>
        </row>
        <row r="93">
          <cell r="C93">
            <v>20308.71</v>
          </cell>
        </row>
        <row r="94">
          <cell r="C94">
            <v>17415.52</v>
          </cell>
        </row>
        <row r="95">
          <cell r="C95">
            <v>13976.82</v>
          </cell>
        </row>
        <row r="96">
          <cell r="C96">
            <v>11261.94</v>
          </cell>
        </row>
        <row r="97">
          <cell r="C97">
            <v>40406.03</v>
          </cell>
        </row>
        <row r="98">
          <cell r="C98">
            <v>26182.1</v>
          </cell>
        </row>
        <row r="99">
          <cell r="C99">
            <v>24057.32</v>
          </cell>
        </row>
        <row r="100">
          <cell r="C100">
            <v>70503.199999999997</v>
          </cell>
        </row>
        <row r="101">
          <cell r="C101">
            <v>11709.82</v>
          </cell>
        </row>
        <row r="102">
          <cell r="C102">
            <v>76907.259999999995</v>
          </cell>
        </row>
        <row r="103">
          <cell r="C103">
            <v>60809.02</v>
          </cell>
        </row>
        <row r="104">
          <cell r="C104">
            <v>36457.89</v>
          </cell>
        </row>
        <row r="105">
          <cell r="C105">
            <v>46763.39</v>
          </cell>
        </row>
        <row r="106">
          <cell r="C106">
            <v>23358.959999999999</v>
          </cell>
        </row>
        <row r="107">
          <cell r="C107">
            <v>24514.81</v>
          </cell>
        </row>
        <row r="108">
          <cell r="C108">
            <v>82670.28</v>
          </cell>
        </row>
      </sheetData>
      <sheetData sheetId="1">
        <row r="7">
          <cell r="C7">
            <v>2415.0300000000002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4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79"/>
  <sheetViews>
    <sheetView topLeftCell="A28" workbookViewId="0">
      <selection activeCell="D44" sqref="D44"/>
    </sheetView>
  </sheetViews>
  <sheetFormatPr defaultColWidth="18.28515625" defaultRowHeight="12.75" customHeight="1" x14ac:dyDescent="0.15"/>
  <cols>
    <col min="1" max="1" width="27" style="59" customWidth="1"/>
    <col min="2" max="2" width="16.7109375" style="59" customWidth="1"/>
    <col min="3" max="3" width="15.85546875" style="85" customWidth="1"/>
    <col min="4" max="4" width="16.28515625" style="86" customWidth="1"/>
    <col min="5" max="5" width="15.5703125" style="86" customWidth="1"/>
    <col min="6" max="6" width="17.42578125" style="86" customWidth="1"/>
    <col min="7" max="7" width="3" style="59" customWidth="1"/>
    <col min="8" max="8" width="17.7109375" style="57" customWidth="1"/>
    <col min="9" max="9" width="3.28515625" style="57" customWidth="1"/>
    <col min="10" max="10" width="16" style="57" customWidth="1"/>
    <col min="11" max="16384" width="18.28515625" style="59"/>
  </cols>
  <sheetData>
    <row r="1" spans="1:11" ht="12.75" customHeight="1" x14ac:dyDescent="0.2">
      <c r="A1" s="32" t="s">
        <v>0</v>
      </c>
      <c r="B1" s="33">
        <v>3184</v>
      </c>
      <c r="C1" s="34" t="s">
        <v>1</v>
      </c>
      <c r="D1" s="35"/>
      <c r="E1" s="35"/>
      <c r="F1" s="35"/>
      <c r="G1" s="1"/>
      <c r="H1" s="30"/>
      <c r="I1" s="30"/>
      <c r="J1" s="30"/>
      <c r="K1" s="1"/>
    </row>
    <row r="2" spans="1:11" ht="12.75" customHeight="1" x14ac:dyDescent="0.2">
      <c r="A2" s="32" t="s">
        <v>61</v>
      </c>
      <c r="B2" s="36">
        <f>+[1]Main!$C527</f>
        <v>1.2800000000000001E-3</v>
      </c>
      <c r="C2" s="34" t="s">
        <v>41</v>
      </c>
      <c r="D2" s="35"/>
      <c r="E2" s="35"/>
      <c r="F2" s="35"/>
      <c r="G2" s="1"/>
      <c r="H2" s="30"/>
      <c r="I2" s="30"/>
      <c r="J2" s="30"/>
      <c r="K2" s="1"/>
    </row>
    <row r="3" spans="1:11" ht="12.75" customHeight="1" x14ac:dyDescent="0.2">
      <c r="A3" s="32" t="s">
        <v>62</v>
      </c>
      <c r="B3" s="36">
        <f>+[1]Main!$C582</f>
        <v>1.1349999999999999E-3</v>
      </c>
      <c r="C3" s="34" t="s">
        <v>95</v>
      </c>
      <c r="D3" s="35"/>
      <c r="E3" s="37"/>
      <c r="F3" s="35"/>
      <c r="G3" s="1"/>
      <c r="H3" s="30"/>
      <c r="I3" s="30"/>
      <c r="J3" s="30"/>
      <c r="K3" s="1"/>
    </row>
    <row r="4" spans="1:11" ht="12.75" customHeight="1" x14ac:dyDescent="0.2">
      <c r="A4" s="38" t="s">
        <v>32</v>
      </c>
      <c r="B4" s="39">
        <f>[2]Sheet1!E9</f>
        <v>20390084416</v>
      </c>
      <c r="C4" s="21"/>
      <c r="D4" s="31"/>
      <c r="E4" s="31"/>
      <c r="F4" s="23"/>
      <c r="G4" s="1"/>
      <c r="H4" s="30"/>
      <c r="I4" s="30"/>
      <c r="J4" s="30"/>
      <c r="K4" s="1"/>
    </row>
    <row r="5" spans="1:11" ht="12.75" customHeight="1" x14ac:dyDescent="0.2">
      <c r="A5" s="32" t="s">
        <v>2</v>
      </c>
      <c r="B5" s="40">
        <f>[2]Sheet1!F9</f>
        <v>0.92979999999999996</v>
      </c>
      <c r="C5" s="7"/>
      <c r="D5" s="41" t="s">
        <v>3</v>
      </c>
      <c r="E5" s="42" t="str">
        <f>+[3]main!B10</f>
        <v>Alpine</v>
      </c>
      <c r="F5" s="43">
        <f>+[3]main!A10</f>
        <v>1</v>
      </c>
      <c r="G5" s="1"/>
      <c r="H5" s="30"/>
      <c r="I5" s="30"/>
      <c r="J5" s="30"/>
      <c r="K5" s="1"/>
    </row>
    <row r="6" spans="1:11" ht="12.75" customHeight="1" x14ac:dyDescent="0.2">
      <c r="A6" s="32" t="s">
        <v>4</v>
      </c>
      <c r="B6" s="44">
        <f>[2]Sheet1!G9</f>
        <v>1.6750000000000001E-3</v>
      </c>
      <c r="C6" s="8"/>
      <c r="D6" s="24"/>
      <c r="E6" s="25"/>
      <c r="F6" s="24"/>
      <c r="G6" s="1"/>
      <c r="H6" s="30"/>
      <c r="I6" s="30"/>
      <c r="J6" s="30"/>
      <c r="K6" s="1"/>
    </row>
    <row r="7" spans="1:11" ht="12.75" customHeight="1" x14ac:dyDescent="0.15">
      <c r="A7" s="32" t="s">
        <v>5</v>
      </c>
      <c r="B7" s="45">
        <f>[2]Sheet1!C65</f>
        <v>37865910</v>
      </c>
      <c r="C7" s="46"/>
      <c r="D7" s="47" t="s">
        <v>38</v>
      </c>
      <c r="E7" s="48" t="s">
        <v>7</v>
      </c>
      <c r="F7" s="47" t="s">
        <v>6</v>
      </c>
      <c r="G7" s="1"/>
      <c r="H7" s="30"/>
      <c r="I7" s="30"/>
      <c r="J7" s="30"/>
      <c r="K7" s="1"/>
    </row>
    <row r="8" spans="1:11" ht="12.75" customHeight="1" x14ac:dyDescent="0.15">
      <c r="A8" s="32" t="s">
        <v>8</v>
      </c>
      <c r="B8" s="45">
        <f>+B7</f>
        <v>37865910</v>
      </c>
      <c r="C8" s="49"/>
      <c r="D8" s="50" t="s">
        <v>9</v>
      </c>
      <c r="E8" s="50" t="s">
        <v>37</v>
      </c>
      <c r="F8" s="50" t="s">
        <v>10</v>
      </c>
      <c r="G8" s="1"/>
      <c r="H8" s="30"/>
      <c r="I8" s="30"/>
      <c r="J8" s="30"/>
      <c r="K8" s="1"/>
    </row>
    <row r="9" spans="1:11" ht="12.75" customHeight="1" x14ac:dyDescent="0.15">
      <c r="A9" s="32" t="s">
        <v>11</v>
      </c>
      <c r="B9" s="45">
        <v>0</v>
      </c>
      <c r="C9" s="51" t="s">
        <v>39</v>
      </c>
      <c r="D9" s="52" t="s">
        <v>12</v>
      </c>
      <c r="E9" s="52" t="s">
        <v>9</v>
      </c>
      <c r="F9" s="52" t="s">
        <v>9</v>
      </c>
      <c r="G9" s="1"/>
      <c r="H9" s="30"/>
      <c r="I9" s="30"/>
      <c r="J9" s="30"/>
      <c r="K9" s="1"/>
    </row>
    <row r="10" spans="1:11" ht="12.75" customHeight="1" x14ac:dyDescent="0.15">
      <c r="A10" s="32" t="s">
        <v>70</v>
      </c>
      <c r="B10" s="45">
        <f>'[4]LRF FY17'!U7</f>
        <v>1662361</v>
      </c>
      <c r="C10" s="53"/>
      <c r="D10" s="54"/>
      <c r="E10" s="54"/>
      <c r="F10" s="54" t="s">
        <v>14</v>
      </c>
      <c r="G10" s="1"/>
      <c r="H10" s="30"/>
      <c r="I10" s="30"/>
      <c r="J10" s="30"/>
      <c r="K10" s="1"/>
    </row>
    <row r="11" spans="1:11" ht="12.75" customHeight="1" x14ac:dyDescent="0.15">
      <c r="A11" s="55" t="s">
        <v>13</v>
      </c>
      <c r="B11" s="56"/>
      <c r="C11" s="53"/>
      <c r="D11" s="54"/>
      <c r="E11" s="54"/>
      <c r="F11" s="54"/>
      <c r="G11" s="2"/>
      <c r="H11" s="30"/>
      <c r="I11" s="30"/>
      <c r="J11" s="30"/>
      <c r="K11" s="1"/>
    </row>
    <row r="12" spans="1:11" ht="12.75" customHeight="1" x14ac:dyDescent="0.15">
      <c r="A12" s="55" t="s">
        <v>15</v>
      </c>
      <c r="B12" s="56"/>
      <c r="C12" s="53"/>
      <c r="D12" s="54"/>
      <c r="E12" s="54"/>
      <c r="F12" s="54"/>
      <c r="G12" s="2"/>
      <c r="H12" s="57" t="s">
        <v>43</v>
      </c>
      <c r="I12" s="30"/>
      <c r="J12" s="57" t="s">
        <v>45</v>
      </c>
      <c r="K12" s="1"/>
    </row>
    <row r="13" spans="1:11" ht="12.75" customHeight="1" x14ac:dyDescent="0.15">
      <c r="A13" s="58" t="s">
        <v>16</v>
      </c>
      <c r="C13" s="60">
        <f>[3]main!C184-[3]main!F126</f>
        <v>72866.672999999995</v>
      </c>
      <c r="D13" s="61">
        <f>[3]main!E184-[3]main!H126</f>
        <v>232007485.27000001</v>
      </c>
      <c r="E13" s="62">
        <f>IF(B8&gt;D13,D13,B8)</f>
        <v>37865910</v>
      </c>
      <c r="F13" s="62">
        <f>D13-E13</f>
        <v>194141575.27000001</v>
      </c>
      <c r="G13" s="1"/>
      <c r="H13" s="57">
        <f>[3]main!H243</f>
        <v>251536849.49000001</v>
      </c>
      <c r="I13" s="30"/>
      <c r="J13" s="57">
        <f>'[5]Sheet 1'!E67</f>
        <v>312846134.31999999</v>
      </c>
      <c r="K13" s="1"/>
    </row>
    <row r="14" spans="1:11" ht="12.75" customHeight="1" x14ac:dyDescent="0.15">
      <c r="A14" s="58" t="s">
        <v>17</v>
      </c>
      <c r="C14" s="53">
        <f>[3]main!F126</f>
        <v>0</v>
      </c>
      <c r="D14" s="54">
        <f>[3]main!H126</f>
        <v>0</v>
      </c>
      <c r="E14" s="54">
        <f>IF(B7-SUM(E11:E13)&gt;D14,D14,B7-SUM(E11:E13))</f>
        <v>0</v>
      </c>
      <c r="F14" s="54">
        <f>D14-E14</f>
        <v>0</v>
      </c>
      <c r="G14" s="1"/>
      <c r="H14" s="57">
        <f>SUM(D13:D17)</f>
        <v>251536849.49000001</v>
      </c>
      <c r="I14" s="30"/>
      <c r="J14" s="57">
        <f>D28</f>
        <v>312846134.31999999</v>
      </c>
      <c r="K14" s="1"/>
    </row>
    <row r="15" spans="1:11" ht="12.75" customHeight="1" x14ac:dyDescent="0.15">
      <c r="A15" s="58" t="s">
        <v>18</v>
      </c>
      <c r="C15" s="53">
        <f>[3]main!F184</f>
        <v>6103.5940000000001</v>
      </c>
      <c r="D15" s="54">
        <f>[3]main!H184</f>
        <v>19433844.219999999</v>
      </c>
      <c r="E15" s="54">
        <f>IF(B8-SUM(E13:E14)&gt;D15,D15,B8-SUM(E13:E14))</f>
        <v>0</v>
      </c>
      <c r="F15" s="54">
        <f>D15-E15</f>
        <v>19433844.219999999</v>
      </c>
      <c r="G15" s="1"/>
      <c r="H15" s="57">
        <f>+H13-H14</f>
        <v>0</v>
      </c>
      <c r="I15" s="30"/>
      <c r="J15" s="57">
        <f>+J13-J14</f>
        <v>0</v>
      </c>
      <c r="K15" s="1"/>
    </row>
    <row r="16" spans="1:11" ht="12.75" customHeight="1" x14ac:dyDescent="0.15">
      <c r="A16" s="58" t="s">
        <v>19</v>
      </c>
      <c r="C16" s="53">
        <f>[3]main!C243</f>
        <v>0</v>
      </c>
      <c r="D16" s="54">
        <f>[3]main!E243</f>
        <v>0</v>
      </c>
      <c r="E16" s="54">
        <f>IF(B8-SUM(E13:E15)&gt;D16,D16,B8-SUM(E13:E15))</f>
        <v>0</v>
      </c>
      <c r="F16" s="54">
        <f>D16-E16</f>
        <v>0</v>
      </c>
      <c r="G16" s="1"/>
      <c r="H16" s="30"/>
      <c r="I16" s="30"/>
      <c r="J16" s="30"/>
      <c r="K16" s="1"/>
    </row>
    <row r="17" spans="1:11" ht="12.75" customHeight="1" x14ac:dyDescent="0.15">
      <c r="A17" s="58" t="s">
        <v>42</v>
      </c>
      <c r="C17" s="53">
        <f>[3]main!C67</f>
        <v>30</v>
      </c>
      <c r="D17" s="54">
        <f>[3]main!E67</f>
        <v>95520</v>
      </c>
      <c r="E17" s="54">
        <f>IF(B8-SUM(E13:E16)&gt;D17,D17,B8-SUM(E13:E16))</f>
        <v>0</v>
      </c>
      <c r="F17" s="54">
        <f>D17-E17</f>
        <v>95520</v>
      </c>
      <c r="G17" s="1"/>
      <c r="H17" s="30"/>
      <c r="I17" s="30"/>
      <c r="J17" s="30"/>
      <c r="K17" s="1"/>
    </row>
    <row r="18" spans="1:11" ht="12.75" customHeight="1" x14ac:dyDescent="0.15">
      <c r="A18" s="55" t="s">
        <v>20</v>
      </c>
      <c r="B18" s="56"/>
      <c r="C18" s="63"/>
      <c r="D18" s="64"/>
      <c r="E18" s="64"/>
      <c r="F18" s="64" t="s">
        <v>14</v>
      </c>
      <c r="G18" s="1"/>
      <c r="H18" s="57" t="s">
        <v>44</v>
      </c>
      <c r="I18" s="30"/>
      <c r="J18" s="30"/>
      <c r="K18" s="1"/>
    </row>
    <row r="19" spans="1:11" ht="12.75" customHeight="1" x14ac:dyDescent="0.15">
      <c r="A19" s="58" t="s">
        <v>21</v>
      </c>
      <c r="C19" s="53">
        <f>'[6]Sheet 1'!C9</f>
        <v>8102.0860000000002</v>
      </c>
      <c r="D19" s="54">
        <f>'[6]Sheet 1'!E9</f>
        <v>25797043.25</v>
      </c>
      <c r="E19" s="54">
        <f>IF(B8-SUM(E13:E18)&gt;D19,D19,B8-SUM(E13:E18))</f>
        <v>0</v>
      </c>
      <c r="F19" s="54">
        <f t="shared" ref="F19:F27" si="0">D19-E19</f>
        <v>25797043.25</v>
      </c>
      <c r="G19" s="1"/>
      <c r="H19" s="57">
        <f>'[6]Sheet 1'!N125</f>
        <v>35693947.140000001</v>
      </c>
      <c r="I19" s="30"/>
      <c r="J19" s="30"/>
      <c r="K19" s="1"/>
    </row>
    <row r="20" spans="1:11" ht="12.75" customHeight="1" x14ac:dyDescent="0.15">
      <c r="A20" s="59" t="s">
        <v>22</v>
      </c>
      <c r="C20" s="53">
        <f>'[6]Sheet 1'!F9</f>
        <v>1429.94</v>
      </c>
      <c r="D20" s="54">
        <f>'[6]Sheet 1'!H9</f>
        <v>4552928.96</v>
      </c>
      <c r="E20" s="54">
        <f>IF(B8-SUM(E13:E19)&gt;D20,D20,B8-SUM(E13:E19))</f>
        <v>0</v>
      </c>
      <c r="F20" s="54">
        <f t="shared" si="0"/>
        <v>4552928.96</v>
      </c>
      <c r="G20" s="1"/>
      <c r="H20" s="57">
        <f>SUM(D19:D25)</f>
        <v>35693947.140000001</v>
      </c>
      <c r="I20" s="30"/>
      <c r="J20" s="30"/>
      <c r="K20" s="1"/>
    </row>
    <row r="21" spans="1:11" ht="12.75" customHeight="1" x14ac:dyDescent="0.15">
      <c r="A21" s="59" t="s">
        <v>23</v>
      </c>
      <c r="C21" s="53">
        <f>'[6]Sheet 1'!C67</f>
        <v>1277.43</v>
      </c>
      <c r="D21" s="54">
        <f>'[6]Sheet 1'!E67</f>
        <v>4067337.12</v>
      </c>
      <c r="E21" s="54">
        <f>IF(B8-SUM(E13:E20)&gt;D21,D21,B8-SUM(E13:E20))</f>
        <v>0</v>
      </c>
      <c r="F21" s="54">
        <f t="shared" si="0"/>
        <v>4067337.12</v>
      </c>
      <c r="G21" s="1"/>
      <c r="H21" s="57">
        <f>+H19-H20</f>
        <v>0</v>
      </c>
      <c r="I21" s="30"/>
      <c r="J21" s="30"/>
      <c r="K21" s="1"/>
    </row>
    <row r="22" spans="1:11" ht="12.75" customHeight="1" x14ac:dyDescent="0.15">
      <c r="A22" s="58" t="s">
        <v>24</v>
      </c>
      <c r="C22" s="53">
        <f>'[6]Sheet 1'!F67</f>
        <v>36.465000000000003</v>
      </c>
      <c r="D22" s="54">
        <f>'[6]Sheet 1'!H67</f>
        <v>116105.19</v>
      </c>
      <c r="E22" s="54">
        <f>IF(B8-SUM(E13:E21)&gt;D22,D22,B8-SUM(E13:E21))</f>
        <v>0</v>
      </c>
      <c r="F22" s="54">
        <f t="shared" si="0"/>
        <v>116105.19</v>
      </c>
      <c r="G22" s="1"/>
      <c r="H22" s="30"/>
      <c r="I22" s="30"/>
      <c r="J22" s="30"/>
      <c r="K22" s="1"/>
    </row>
    <row r="23" spans="1:11" ht="12.75" customHeight="1" x14ac:dyDescent="0.15">
      <c r="A23" s="59" t="s">
        <v>71</v>
      </c>
      <c r="C23" s="53">
        <f>'[6]Sheet 1'!C125</f>
        <v>197.142</v>
      </c>
      <c r="D23" s="54">
        <f>'[6]Sheet 1'!E125</f>
        <v>627701.24</v>
      </c>
      <c r="E23" s="54">
        <f>IF(B8-SUM(E13:E22)&gt;D23,D23,B8-SUM(E13:E22))</f>
        <v>0</v>
      </c>
      <c r="F23" s="54">
        <f t="shared" si="0"/>
        <v>627701.24</v>
      </c>
      <c r="G23" s="1"/>
      <c r="H23" s="30"/>
      <c r="I23" s="30"/>
      <c r="J23" s="30"/>
      <c r="K23" s="1"/>
    </row>
    <row r="24" spans="1:11" ht="12.75" customHeight="1" x14ac:dyDescent="0.15">
      <c r="A24" s="59" t="s">
        <v>57</v>
      </c>
      <c r="C24" s="53">
        <f>'[6]Sheet 1'!F125</f>
        <v>0</v>
      </c>
      <c r="D24" s="54">
        <f>'[6]Sheet 1'!H125</f>
        <v>0</v>
      </c>
      <c r="E24" s="54">
        <f>IF(B9-SUM(E14:E23)&gt;D24,D24,B9-SUM(E14:E23))</f>
        <v>0</v>
      </c>
      <c r="F24" s="54">
        <f t="shared" si="0"/>
        <v>0</v>
      </c>
      <c r="G24" s="1"/>
      <c r="H24" s="30"/>
      <c r="I24" s="30"/>
      <c r="J24" s="30"/>
      <c r="K24" s="1"/>
    </row>
    <row r="25" spans="1:11" ht="12.75" customHeight="1" x14ac:dyDescent="0.15">
      <c r="A25" s="59" t="s">
        <v>64</v>
      </c>
      <c r="C25" s="53">
        <f>'[6]Sheet 1'!I125</f>
        <v>167.34700000000001</v>
      </c>
      <c r="D25" s="54">
        <f>'[6]Sheet 1'!K125</f>
        <v>532831.38</v>
      </c>
      <c r="E25" s="54">
        <f>IF(B11-SUM(E15:E24)&gt;D25,D25,B11-SUM(E15:E24))</f>
        <v>0</v>
      </c>
      <c r="F25" s="54">
        <f t="shared" si="0"/>
        <v>532831.38</v>
      </c>
      <c r="G25" s="1"/>
      <c r="H25" s="57" t="s">
        <v>46</v>
      </c>
      <c r="I25" s="30"/>
      <c r="J25" s="30"/>
      <c r="K25" s="1"/>
    </row>
    <row r="26" spans="1:11" ht="12.75" customHeight="1" x14ac:dyDescent="0.15">
      <c r="A26" s="59" t="s">
        <v>58</v>
      </c>
      <c r="C26" s="53">
        <f>'[6]Sheet 1'!C183</f>
        <v>3297.3180000000002</v>
      </c>
      <c r="D26" s="54">
        <f>'[6]Sheet 1'!E183</f>
        <v>10498662.74</v>
      </c>
      <c r="E26" s="54">
        <f>IF(B8-SUM(E13:E23)&gt;D26,D26,B8-SUM(E13:E23))</f>
        <v>0</v>
      </c>
      <c r="F26" s="54">
        <f t="shared" si="0"/>
        <v>10498662.74</v>
      </c>
      <c r="G26" s="4"/>
      <c r="H26" s="57">
        <f>+'[6]Sheet 1'!E183</f>
        <v>10498662.74</v>
      </c>
      <c r="I26" s="30"/>
      <c r="J26" s="30"/>
      <c r="K26" s="1"/>
    </row>
    <row r="27" spans="1:11" ht="12.75" customHeight="1" x14ac:dyDescent="0.15">
      <c r="A27" s="58" t="s">
        <v>59</v>
      </c>
      <c r="C27" s="53">
        <f>'[5]Sheet 1'!C9</f>
        <v>4747.6989999999996</v>
      </c>
      <c r="D27" s="54">
        <f>'[5]Sheet 1'!E9</f>
        <v>15116674.949999999</v>
      </c>
      <c r="E27" s="54">
        <f>IF(B8-SUM(E13:E26)&gt;D27,D27,B8-SUM(E13:E26))</f>
        <v>0</v>
      </c>
      <c r="F27" s="54">
        <f t="shared" si="0"/>
        <v>15116674.949999999</v>
      </c>
      <c r="G27" s="5"/>
      <c r="H27" s="57">
        <f>+D26</f>
        <v>10498662.74</v>
      </c>
      <c r="I27" s="30"/>
      <c r="J27" s="30"/>
      <c r="K27" s="1"/>
    </row>
    <row r="28" spans="1:11" ht="12.75" customHeight="1" x14ac:dyDescent="0.15">
      <c r="A28" s="65" t="s">
        <v>28</v>
      </c>
      <c r="B28" s="56"/>
      <c r="C28" s="66">
        <f>SUM(C13:C27)</f>
        <v>98255.694000000003</v>
      </c>
      <c r="D28" s="67">
        <f>SUM(D13:D27)</f>
        <v>312846134.31999999</v>
      </c>
      <c r="E28" s="67">
        <f>SUM(E13:E27)</f>
        <v>37865910</v>
      </c>
      <c r="F28" s="67">
        <f>SUM(F13:F27)</f>
        <v>274980224.31999999</v>
      </c>
      <c r="G28" s="1"/>
      <c r="H28" s="57">
        <f>+H26-H27</f>
        <v>0</v>
      </c>
      <c r="I28" s="30"/>
      <c r="J28" s="30"/>
      <c r="K28" s="1"/>
    </row>
    <row r="29" spans="1:11" ht="12.75" customHeight="1" x14ac:dyDescent="0.15">
      <c r="A29" s="68" t="s">
        <v>26</v>
      </c>
      <c r="B29" s="56"/>
      <c r="C29" s="69"/>
      <c r="D29" s="54"/>
      <c r="E29" s="54"/>
      <c r="F29" s="54"/>
      <c r="G29" s="1"/>
      <c r="H29" s="57" t="s">
        <v>47</v>
      </c>
      <c r="I29" s="30"/>
      <c r="J29" s="57" t="s">
        <v>52</v>
      </c>
      <c r="K29" s="1"/>
    </row>
    <row r="30" spans="1:11" ht="12.75" customHeight="1" x14ac:dyDescent="0.15">
      <c r="A30" s="58" t="s">
        <v>56</v>
      </c>
      <c r="C30" s="20"/>
      <c r="D30" s="70">
        <f>[1]Main!F10</f>
        <v>906497.66</v>
      </c>
      <c r="E30" s="54">
        <f>IF($B8-SUM($E28)&gt;D30,D30,$B8-SUM($E28))</f>
        <v>0</v>
      </c>
      <c r="F30" s="54">
        <f t="shared" ref="F30:F48" si="1">D30-E30</f>
        <v>906497.66</v>
      </c>
      <c r="G30" s="1"/>
      <c r="H30" s="57">
        <f>[1]Main!G10</f>
        <v>10052867.710000001</v>
      </c>
      <c r="I30" s="30"/>
      <c r="J30" s="57">
        <f>+[1]Main!D471</f>
        <v>45102002.229999997</v>
      </c>
      <c r="K30" s="14"/>
    </row>
    <row r="31" spans="1:11" ht="12.75" customHeight="1" x14ac:dyDescent="0.15">
      <c r="A31" s="59" t="s">
        <v>25</v>
      </c>
      <c r="C31" s="20"/>
      <c r="D31" s="70">
        <f>[1]Main!C10</f>
        <v>9091108.6899999995</v>
      </c>
      <c r="E31" s="54">
        <f>IF($B8-SUM($E28:E30)&gt;D31,D31,B8-SUM($E28:E30))</f>
        <v>0</v>
      </c>
      <c r="F31" s="54">
        <f t="shared" si="1"/>
        <v>9091108.6899999995</v>
      </c>
      <c r="G31" s="1"/>
      <c r="H31" s="57">
        <f>SUM(D30:D32)</f>
        <v>9997606.3499999996</v>
      </c>
      <c r="I31" s="30"/>
      <c r="J31" s="57">
        <f>SUM(D30:D57)-E43</f>
        <v>45102002.229999997</v>
      </c>
      <c r="K31" s="5"/>
    </row>
    <row r="32" spans="1:11" ht="12.75" customHeight="1" x14ac:dyDescent="0.15">
      <c r="A32" s="71" t="s">
        <v>27</v>
      </c>
      <c r="C32" s="20"/>
      <c r="D32" s="70">
        <f>[1]Main!D10</f>
        <v>0</v>
      </c>
      <c r="E32" s="54">
        <f>IF($B8-SUM($E28:E31)&gt;D32,D32,$B8-SUM($E28:E31))</f>
        <v>0</v>
      </c>
      <c r="F32" s="54">
        <f>D32-E32</f>
        <v>0</v>
      </c>
      <c r="G32" s="1"/>
      <c r="H32" s="57">
        <f>+H30-H31</f>
        <v>55261.36</v>
      </c>
      <c r="I32" s="30"/>
      <c r="J32" s="57">
        <f>+J30-J31</f>
        <v>0</v>
      </c>
      <c r="K32" s="1"/>
    </row>
    <row r="33" spans="1:11" ht="12.75" customHeight="1" x14ac:dyDescent="0.15">
      <c r="A33" s="72" t="s">
        <v>72</v>
      </c>
      <c r="C33" s="20"/>
      <c r="D33" s="70">
        <f>[1]Main!E10</f>
        <v>55261.36</v>
      </c>
      <c r="E33" s="54">
        <f>IF($B9-SUM($E29:E32)&gt;D33,D33,$B9-SUM($E29:E32))</f>
        <v>0</v>
      </c>
      <c r="F33" s="54">
        <f>D33-E33</f>
        <v>55261.36</v>
      </c>
      <c r="G33" s="1"/>
      <c r="H33" s="30"/>
      <c r="I33" s="30"/>
      <c r="J33" s="30"/>
      <c r="K33" s="1"/>
    </row>
    <row r="34" spans="1:11" ht="12.75" customHeight="1" x14ac:dyDescent="0.15">
      <c r="A34" s="72" t="s">
        <v>73</v>
      </c>
      <c r="C34" s="20"/>
      <c r="D34" s="54">
        <f>+[1]Main!$F126</f>
        <v>607625.11</v>
      </c>
      <c r="E34" s="54">
        <f>IF($B8-SUM($E28:E32)&gt;D34,D34,$B8-SUM($E28:E32))</f>
        <v>0</v>
      </c>
      <c r="F34" s="54">
        <f t="shared" si="1"/>
        <v>607625.11</v>
      </c>
      <c r="G34" s="1"/>
      <c r="H34" s="30"/>
      <c r="I34" s="30"/>
      <c r="J34" s="30"/>
      <c r="K34" s="1"/>
    </row>
    <row r="35" spans="1:11" ht="12.75" customHeight="1" x14ac:dyDescent="0.15">
      <c r="A35" s="71" t="s">
        <v>74</v>
      </c>
      <c r="C35" s="20"/>
      <c r="D35" s="54">
        <f>+[1]Main!$C68</f>
        <v>1941680</v>
      </c>
      <c r="E35" s="54">
        <f>IF($B8-SUM($E28:E34)&gt;D35,D35,$B8-SUM($E28:E34))</f>
        <v>0</v>
      </c>
      <c r="F35" s="54">
        <f t="shared" si="1"/>
        <v>1941680</v>
      </c>
      <c r="G35" s="1"/>
      <c r="H35" s="30"/>
      <c r="I35" s="30"/>
      <c r="J35" s="30"/>
      <c r="K35" s="1"/>
    </row>
    <row r="36" spans="1:11" ht="12.75" customHeight="1" x14ac:dyDescent="0.15">
      <c r="A36" s="71" t="s">
        <v>75</v>
      </c>
      <c r="C36" s="20"/>
      <c r="D36" s="54">
        <f>+[1]Main!$D68</f>
        <v>0</v>
      </c>
      <c r="E36" s="54">
        <f>IF($B8-SUM($E28:E35)&gt;D36,D36,$B8-SUM($E28:E35))</f>
        <v>0</v>
      </c>
      <c r="F36" s="54">
        <f t="shared" si="1"/>
        <v>0</v>
      </c>
      <c r="G36" s="1"/>
      <c r="H36" s="30"/>
      <c r="I36" s="30"/>
      <c r="J36" s="30"/>
      <c r="K36" s="1"/>
    </row>
    <row r="37" spans="1:11" ht="12.75" customHeight="1" x14ac:dyDescent="0.15">
      <c r="A37" s="71" t="s">
        <v>76</v>
      </c>
      <c r="C37" s="20"/>
      <c r="D37" s="54">
        <f>+[1]Main!$E68</f>
        <v>1915166</v>
      </c>
      <c r="E37" s="54">
        <f>IF($B8-SUM($E28:E36)&gt;D37,D37,$B8-SUM($E28:E36))</f>
        <v>0</v>
      </c>
      <c r="F37" s="54">
        <f t="shared" si="1"/>
        <v>1915166</v>
      </c>
      <c r="G37" s="1"/>
      <c r="H37" s="30"/>
      <c r="I37" s="30"/>
      <c r="J37" s="30"/>
      <c r="K37" s="1"/>
    </row>
    <row r="38" spans="1:11" ht="13.5" customHeight="1" x14ac:dyDescent="0.15">
      <c r="A38" s="71" t="s">
        <v>77</v>
      </c>
      <c r="C38" s="20"/>
      <c r="D38" s="54">
        <f>[1]Main!F68</f>
        <v>270316</v>
      </c>
      <c r="E38" s="54">
        <f>IF($B8-SUM($E28:E37)&gt;D38,D38,$B8-SUM($E28:E37))</f>
        <v>0</v>
      </c>
      <c r="F38" s="54">
        <f t="shared" si="1"/>
        <v>270316</v>
      </c>
      <c r="G38" s="1"/>
      <c r="H38" s="57" t="s">
        <v>48</v>
      </c>
      <c r="I38" s="30"/>
      <c r="J38" s="30"/>
      <c r="K38" s="1"/>
    </row>
    <row r="39" spans="1:11" ht="13.5" customHeight="1" x14ac:dyDescent="0.15">
      <c r="A39" s="71" t="s">
        <v>79</v>
      </c>
      <c r="C39" s="20"/>
      <c r="D39" s="54">
        <f>[1]Main!G68</f>
        <v>0</v>
      </c>
      <c r="E39" s="54">
        <f>IF($B8-SUM($E28:E38)&gt;D39,D39,$B8-SUM($E28:E38))</f>
        <v>0</v>
      </c>
      <c r="F39" s="54">
        <f t="shared" ref="F39:F46" si="2">D39-E39</f>
        <v>0</v>
      </c>
      <c r="G39" s="1"/>
      <c r="I39" s="30"/>
      <c r="J39" s="30"/>
      <c r="K39" s="1"/>
    </row>
    <row r="40" spans="1:11" ht="12.75" customHeight="1" x14ac:dyDescent="0.15">
      <c r="A40" s="71" t="s">
        <v>78</v>
      </c>
      <c r="C40" s="20"/>
      <c r="D40" s="54">
        <f>[1]Main!G126</f>
        <v>553970.62</v>
      </c>
      <c r="E40" s="54">
        <f>IF($B8-SUM($E28:E39)&gt;D40,D40,$B8-SUM($E28:E39))</f>
        <v>0</v>
      </c>
      <c r="F40" s="54">
        <f t="shared" si="2"/>
        <v>553970.62</v>
      </c>
      <c r="G40" s="1"/>
      <c r="H40" s="73">
        <f>+[1]Main!D184</f>
        <v>5288757.7300000004</v>
      </c>
      <c r="I40" s="30"/>
      <c r="J40" s="30"/>
      <c r="K40" s="1"/>
    </row>
    <row r="41" spans="1:11" ht="12.75" customHeight="1" x14ac:dyDescent="0.15">
      <c r="A41" s="71" t="s">
        <v>80</v>
      </c>
      <c r="C41" s="20"/>
      <c r="D41" s="54">
        <f>[1]Main!C184</f>
        <v>0</v>
      </c>
      <c r="E41" s="54"/>
      <c r="F41" s="54">
        <f t="shared" si="2"/>
        <v>0</v>
      </c>
      <c r="G41" s="1"/>
      <c r="H41" s="57">
        <f>+SUM(D34:D41)</f>
        <v>5288757.7300000004</v>
      </c>
      <c r="I41" s="30"/>
      <c r="J41" s="30"/>
      <c r="K41" s="1"/>
    </row>
    <row r="42" spans="1:11" ht="12.75" customHeight="1" x14ac:dyDescent="0.15">
      <c r="A42" s="71" t="s">
        <v>81</v>
      </c>
      <c r="C42" s="20"/>
      <c r="D42" s="54">
        <f>[1]Main!C242</f>
        <v>5377083</v>
      </c>
      <c r="E42" s="54">
        <v>0</v>
      </c>
      <c r="F42" s="54">
        <f t="shared" si="2"/>
        <v>5377083</v>
      </c>
      <c r="G42" s="1"/>
      <c r="H42" s="57">
        <f>+H40-H41</f>
        <v>0</v>
      </c>
      <c r="I42" s="30"/>
      <c r="J42" s="30"/>
      <c r="K42" s="1"/>
    </row>
    <row r="43" spans="1:11" ht="12.75" customHeight="1" x14ac:dyDescent="0.15">
      <c r="A43" s="71" t="s">
        <v>82</v>
      </c>
      <c r="C43" s="20"/>
      <c r="D43" s="54">
        <f>+[7]Main!I9+[7]Main!J9+0.15</f>
        <v>3618220.26</v>
      </c>
      <c r="E43" s="74">
        <f>[7]Main!J9</f>
        <v>2118489.1800000002</v>
      </c>
      <c r="F43" s="54">
        <f t="shared" si="2"/>
        <v>1499731.08</v>
      </c>
      <c r="G43" s="1"/>
      <c r="H43" s="30"/>
      <c r="I43" s="30"/>
      <c r="J43" s="30"/>
      <c r="K43" s="1"/>
    </row>
    <row r="44" spans="1:11" ht="12.75" customHeight="1" x14ac:dyDescent="0.15">
      <c r="A44" s="71" t="s">
        <v>83</v>
      </c>
      <c r="C44" s="20"/>
      <c r="D44" s="54">
        <f>[1]Main!F242</f>
        <v>502222</v>
      </c>
      <c r="E44" s="54">
        <v>0</v>
      </c>
      <c r="F44" s="54">
        <f t="shared" si="2"/>
        <v>502222</v>
      </c>
      <c r="G44" s="1"/>
      <c r="H44" s="30"/>
      <c r="I44" s="30"/>
      <c r="J44" s="30"/>
      <c r="K44" s="1"/>
    </row>
    <row r="45" spans="1:11" ht="13.7" customHeight="1" x14ac:dyDescent="0.15">
      <c r="A45" s="71" t="s">
        <v>84</v>
      </c>
      <c r="C45" s="7"/>
      <c r="D45" s="54">
        <f>[1]Main!E242</f>
        <v>107263.88</v>
      </c>
      <c r="E45" s="54">
        <v>0</v>
      </c>
      <c r="F45" s="54">
        <f t="shared" si="2"/>
        <v>107263.88</v>
      </c>
      <c r="G45" s="1"/>
      <c r="H45" s="57" t="s">
        <v>49</v>
      </c>
      <c r="I45" s="30"/>
      <c r="J45" s="30"/>
      <c r="K45" s="1"/>
    </row>
    <row r="46" spans="1:11" ht="13.7" customHeight="1" x14ac:dyDescent="0.15">
      <c r="A46" s="71" t="s">
        <v>85</v>
      </c>
      <c r="C46" s="7"/>
      <c r="D46" s="54">
        <f>[1]Main!G242</f>
        <v>832722</v>
      </c>
      <c r="E46" s="54">
        <v>0</v>
      </c>
      <c r="F46" s="54">
        <f t="shared" si="2"/>
        <v>832722</v>
      </c>
      <c r="G46" s="1"/>
      <c r="H46" s="57">
        <f>+[1]Main!C471</f>
        <v>28395233.93</v>
      </c>
      <c r="K46" s="1"/>
    </row>
    <row r="47" spans="1:11" ht="13.7" customHeight="1" x14ac:dyDescent="0.15">
      <c r="A47" s="71" t="s">
        <v>86</v>
      </c>
      <c r="C47" s="20"/>
      <c r="D47" s="54">
        <f>[1]Main!C300</f>
        <v>135000</v>
      </c>
      <c r="E47" s="54">
        <v>0</v>
      </c>
      <c r="F47" s="54">
        <f t="shared" si="1"/>
        <v>135000</v>
      </c>
      <c r="G47" s="1"/>
      <c r="H47" s="57">
        <f>+SUM(D42:D52)-E43</f>
        <v>28395233.93</v>
      </c>
      <c r="J47" s="57">
        <f>+H47-H46</f>
        <v>0</v>
      </c>
      <c r="K47" s="1"/>
    </row>
    <row r="48" spans="1:11" ht="12.75" customHeight="1" x14ac:dyDescent="0.2">
      <c r="A48" s="71" t="s">
        <v>87</v>
      </c>
      <c r="B48" s="75"/>
      <c r="C48" s="8"/>
      <c r="D48" s="76">
        <f>[1]Main!D300</f>
        <v>17814850.420000002</v>
      </c>
      <c r="E48" s="77">
        <v>0</v>
      </c>
      <c r="F48" s="77">
        <f t="shared" si="1"/>
        <v>17814850.420000002</v>
      </c>
      <c r="G48" s="5"/>
      <c r="H48" s="57">
        <f>+H46-H47</f>
        <v>0</v>
      </c>
      <c r="K48" s="1"/>
    </row>
    <row r="49" spans="1:11" ht="12.75" customHeight="1" x14ac:dyDescent="0.15">
      <c r="A49" s="71" t="s">
        <v>88</v>
      </c>
      <c r="C49" s="20"/>
      <c r="D49" s="54">
        <f>+[1]Main!$E300</f>
        <v>93847.87</v>
      </c>
      <c r="E49" s="54">
        <v>0</v>
      </c>
      <c r="F49" s="54">
        <f>D49-E49</f>
        <v>93847.87</v>
      </c>
      <c r="G49" s="4"/>
      <c r="H49" s="30"/>
      <c r="I49" s="30"/>
      <c r="J49" s="30"/>
      <c r="K49" s="1"/>
    </row>
    <row r="50" spans="1:11" ht="12.75" customHeight="1" x14ac:dyDescent="0.15">
      <c r="A50" s="71" t="s">
        <v>89</v>
      </c>
      <c r="C50" s="20"/>
      <c r="D50" s="54">
        <f>[1]Main!F300</f>
        <v>614805.12</v>
      </c>
      <c r="E50" s="54">
        <v>0</v>
      </c>
      <c r="F50" s="54">
        <f>D50-E50</f>
        <v>614805.12</v>
      </c>
      <c r="G50" s="4"/>
      <c r="H50" s="30"/>
      <c r="I50" s="30"/>
      <c r="J50" s="30"/>
      <c r="K50" s="1"/>
    </row>
    <row r="51" spans="1:11" ht="12.75" customHeight="1" x14ac:dyDescent="0.15">
      <c r="A51" s="71" t="s">
        <v>90</v>
      </c>
      <c r="C51" s="20"/>
      <c r="D51" s="54">
        <f>[1]Main!G300</f>
        <v>309719</v>
      </c>
      <c r="E51" s="54">
        <v>0</v>
      </c>
      <c r="F51" s="54">
        <f>D51-E51</f>
        <v>309719</v>
      </c>
      <c r="G51" s="1"/>
      <c r="H51" s="57" t="s">
        <v>50</v>
      </c>
      <c r="I51" s="30"/>
      <c r="J51" s="30"/>
      <c r="K51" s="4"/>
    </row>
    <row r="52" spans="1:11" ht="12.75" customHeight="1" x14ac:dyDescent="0.15">
      <c r="A52" s="71" t="s">
        <v>93</v>
      </c>
      <c r="C52" s="20"/>
      <c r="D52" s="54">
        <f>[1]Main!F357</f>
        <v>1107989.56</v>
      </c>
      <c r="E52" s="54">
        <v>0</v>
      </c>
      <c r="F52" s="54">
        <f>D52-E52</f>
        <v>1107989.56</v>
      </c>
      <c r="G52" s="1"/>
      <c r="I52" s="30"/>
      <c r="J52" s="30"/>
      <c r="K52" s="4"/>
    </row>
    <row r="53" spans="1:11" ht="12.75" customHeight="1" x14ac:dyDescent="0.15">
      <c r="A53" s="55" t="s">
        <v>30</v>
      </c>
      <c r="B53" s="78"/>
      <c r="C53" s="79"/>
      <c r="D53" s="64"/>
      <c r="E53" s="64"/>
      <c r="F53" s="64"/>
      <c r="G53" s="1"/>
      <c r="I53" s="30"/>
      <c r="J53" s="30"/>
      <c r="K53" s="4"/>
    </row>
    <row r="54" spans="1:11" ht="12.75" customHeight="1" x14ac:dyDescent="0.15">
      <c r="A54" s="71" t="s">
        <v>60</v>
      </c>
      <c r="C54" s="20"/>
      <c r="D54" s="54">
        <f>[1]Main!C414</f>
        <v>629399.52</v>
      </c>
      <c r="E54" s="54">
        <v>0</v>
      </c>
      <c r="F54" s="54">
        <f>D54-E54</f>
        <v>629399.52</v>
      </c>
      <c r="G54" s="1"/>
      <c r="H54" s="57">
        <f>+[1]Main!G414</f>
        <v>1365142.86</v>
      </c>
      <c r="I54" s="30"/>
      <c r="J54" s="30"/>
      <c r="K54" s="1"/>
    </row>
    <row r="55" spans="1:11" ht="12.75" customHeight="1" x14ac:dyDescent="0.15">
      <c r="A55" s="71" t="s">
        <v>63</v>
      </c>
      <c r="C55" s="20"/>
      <c r="D55" s="54">
        <f>[1]Main!D414</f>
        <v>421543.8</v>
      </c>
      <c r="E55" s="54">
        <v>0</v>
      </c>
      <c r="F55" s="54">
        <f>D55-E55</f>
        <v>421543.8</v>
      </c>
      <c r="G55" s="4"/>
      <c r="H55" s="57">
        <f>SUM(D54:D57)</f>
        <v>1365142.86</v>
      </c>
      <c r="I55" s="30"/>
      <c r="J55" s="30"/>
      <c r="K55" s="1"/>
    </row>
    <row r="56" spans="1:11" ht="12.75" customHeight="1" x14ac:dyDescent="0.15">
      <c r="A56" s="71" t="s">
        <v>91</v>
      </c>
      <c r="C56" s="20"/>
      <c r="D56" s="54">
        <f>[1]Main!E414</f>
        <v>0</v>
      </c>
      <c r="E56" s="54">
        <v>0</v>
      </c>
      <c r="F56" s="54">
        <f>D56-E56</f>
        <v>0</v>
      </c>
      <c r="G56" s="4"/>
      <c r="H56" s="57">
        <f>+H54-H55</f>
        <v>0</v>
      </c>
      <c r="I56" s="30"/>
      <c r="J56" s="30"/>
      <c r="K56" s="1"/>
    </row>
    <row r="57" spans="1:11" ht="12.75" customHeight="1" x14ac:dyDescent="0.15">
      <c r="A57" s="71" t="s">
        <v>92</v>
      </c>
      <c r="C57" s="20"/>
      <c r="D57" s="54">
        <f>[1]Main!F414</f>
        <v>314199.53999999998</v>
      </c>
      <c r="E57" s="54">
        <v>0</v>
      </c>
      <c r="F57" s="54">
        <f>D57-E57</f>
        <v>314199.53999999998</v>
      </c>
      <c r="G57" s="1"/>
      <c r="H57" s="30"/>
      <c r="I57" s="30"/>
      <c r="J57" s="30"/>
      <c r="K57" s="1"/>
    </row>
    <row r="58" spans="1:11" ht="12.75" customHeight="1" x14ac:dyDescent="0.15">
      <c r="A58" s="55" t="s">
        <v>31</v>
      </c>
      <c r="B58" s="78"/>
      <c r="C58" s="79"/>
      <c r="D58" s="64"/>
      <c r="E58" s="64"/>
      <c r="F58" s="64"/>
      <c r="G58" s="1"/>
      <c r="H58" s="30"/>
      <c r="I58" s="30"/>
      <c r="J58" s="30"/>
      <c r="K58" s="1"/>
    </row>
    <row r="59" spans="1:11" ht="12.75" customHeight="1" x14ac:dyDescent="0.15">
      <c r="A59" s="58" t="s">
        <v>69</v>
      </c>
      <c r="C59" s="20"/>
      <c r="D59" s="54">
        <f>+[1]Main!$G527</f>
        <v>60577549.299999997</v>
      </c>
      <c r="E59" s="54">
        <f>+[1]Main!$D527</f>
        <v>28936337.52</v>
      </c>
      <c r="F59" s="54">
        <f>+D59-E59</f>
        <v>31641211.780000001</v>
      </c>
      <c r="G59" s="1"/>
      <c r="H59" s="30"/>
      <c r="I59" s="30"/>
      <c r="J59" s="30"/>
      <c r="K59" s="1"/>
    </row>
    <row r="60" spans="1:11" ht="12.75" customHeight="1" x14ac:dyDescent="0.15">
      <c r="A60" s="59" t="s">
        <v>68</v>
      </c>
      <c r="C60" s="20"/>
      <c r="D60" s="54">
        <f>+[1]Main!$G582</f>
        <v>15144387.33</v>
      </c>
      <c r="E60" s="54">
        <f>+[1]Main!$D582</f>
        <v>9042605.4800000004</v>
      </c>
      <c r="F60" s="54">
        <f>+D60-E60</f>
        <v>6101781.8499999996</v>
      </c>
      <c r="G60" s="1"/>
      <c r="H60" s="30"/>
      <c r="I60" s="30"/>
      <c r="J60" s="30"/>
      <c r="K60" s="1"/>
    </row>
    <row r="61" spans="1:11" ht="12.75" customHeight="1" thickBot="1" x14ac:dyDescent="0.2">
      <c r="A61" s="80"/>
      <c r="B61" s="81"/>
      <c r="C61" s="82" t="s">
        <v>29</v>
      </c>
      <c r="D61" s="83">
        <f>SUM(D28:D60)</f>
        <v>435788562.36000001</v>
      </c>
      <c r="E61" s="83">
        <f>SUM(E28:E60)</f>
        <v>77963342.180000007</v>
      </c>
      <c r="F61" s="83">
        <f>SUM(F28:F60)</f>
        <v>357825220.18000001</v>
      </c>
      <c r="G61" s="1"/>
      <c r="H61" s="30"/>
      <c r="I61" s="30"/>
      <c r="J61" s="30"/>
      <c r="K61" s="1"/>
    </row>
    <row r="62" spans="1:11" ht="12.75" customHeight="1" thickTop="1" x14ac:dyDescent="0.15">
      <c r="A62" s="84"/>
      <c r="F62" s="87"/>
      <c r="G62" s="1"/>
      <c r="H62" s="30"/>
      <c r="I62" s="30"/>
      <c r="J62" s="30"/>
      <c r="K62" s="1"/>
    </row>
    <row r="63" spans="1:11" ht="12.75" customHeight="1" x14ac:dyDescent="0.2">
      <c r="A63" s="88" t="s">
        <v>40</v>
      </c>
      <c r="B63" s="78"/>
      <c r="C63" s="89"/>
      <c r="D63" s="90"/>
      <c r="E63" s="91"/>
      <c r="F63" s="92" t="s">
        <v>36</v>
      </c>
      <c r="G63" s="6"/>
      <c r="H63" s="57" t="s">
        <v>51</v>
      </c>
      <c r="I63" s="30"/>
      <c r="J63" s="57" t="s">
        <v>7</v>
      </c>
      <c r="K63" s="1"/>
    </row>
    <row r="64" spans="1:11" ht="12.75" customHeight="1" x14ac:dyDescent="0.2">
      <c r="A64" s="93" t="s">
        <v>33</v>
      </c>
      <c r="B64" s="94"/>
      <c r="C64" s="95"/>
      <c r="D64" s="96"/>
      <c r="E64" s="96"/>
      <c r="F64" s="91"/>
      <c r="G64" s="6"/>
      <c r="H64" s="30"/>
      <c r="I64" s="30"/>
      <c r="J64" s="30"/>
      <c r="K64" s="1"/>
    </row>
    <row r="65" spans="1:11" ht="12.75" customHeight="1" x14ac:dyDescent="0.15">
      <c r="A65" s="59" t="s">
        <v>34</v>
      </c>
      <c r="C65" s="22"/>
      <c r="D65" s="27"/>
      <c r="E65" s="27"/>
      <c r="F65" s="97">
        <f>+[8]Main!$C10</f>
        <v>3611194</v>
      </c>
      <c r="G65" s="5"/>
      <c r="H65" s="57">
        <f>+[1]Main!G638</f>
        <v>75721936.629999995</v>
      </c>
      <c r="I65" s="30"/>
      <c r="J65" s="57">
        <f>+[1]Main!E638+[1]Main!F638</f>
        <v>37742993.630000003</v>
      </c>
      <c r="K65" s="1"/>
    </row>
    <row r="66" spans="1:11" ht="12.75" customHeight="1" x14ac:dyDescent="0.15">
      <c r="A66" s="59" t="s">
        <v>66</v>
      </c>
      <c r="C66" s="22"/>
      <c r="D66" s="27"/>
      <c r="E66" s="27"/>
      <c r="F66" s="97">
        <f>+[8]Main!$D10</f>
        <v>5340951</v>
      </c>
      <c r="G66" s="5"/>
      <c r="H66" s="57">
        <f>+D59+D60</f>
        <v>75721936.629999995</v>
      </c>
      <c r="I66" s="30"/>
      <c r="J66" s="57">
        <f>+F59+F60</f>
        <v>37742993.630000003</v>
      </c>
      <c r="K66" s="1"/>
    </row>
    <row r="67" spans="1:11" ht="12.75" customHeight="1" x14ac:dyDescent="0.15">
      <c r="A67" s="32" t="s">
        <v>65</v>
      </c>
      <c r="B67" s="32"/>
      <c r="C67" s="22"/>
      <c r="D67" s="28"/>
      <c r="E67" s="28"/>
      <c r="F67" s="97">
        <f>+[8]Main!$E10</f>
        <v>502397</v>
      </c>
      <c r="G67" s="1"/>
      <c r="H67" s="57">
        <f>+H65-H66</f>
        <v>0</v>
      </c>
      <c r="I67" s="30"/>
      <c r="J67" s="57">
        <f>+J65-J66</f>
        <v>0</v>
      </c>
      <c r="K67" s="1"/>
    </row>
    <row r="68" spans="1:11" ht="12.75" customHeight="1" x14ac:dyDescent="0.15">
      <c r="A68" s="32" t="s">
        <v>67</v>
      </c>
      <c r="B68" s="32"/>
      <c r="C68" s="22"/>
      <c r="D68" s="28"/>
      <c r="E68" s="28"/>
      <c r="F68" s="97">
        <f>+[8]Main!$F10</f>
        <v>997458</v>
      </c>
      <c r="G68" s="1"/>
      <c r="H68" s="30"/>
      <c r="I68" s="30"/>
      <c r="J68" s="30"/>
      <c r="K68" s="1"/>
    </row>
    <row r="69" spans="1:11" ht="12.75" customHeight="1" x14ac:dyDescent="0.15">
      <c r="A69" s="88" t="s">
        <v>35</v>
      </c>
      <c r="B69" s="78"/>
      <c r="C69" s="89"/>
      <c r="D69" s="90"/>
      <c r="E69" s="91"/>
      <c r="F69" s="54">
        <f>+[8]Main!$C68</f>
        <v>170565.74</v>
      </c>
      <c r="G69" s="1"/>
      <c r="H69" s="30"/>
      <c r="I69" s="30"/>
      <c r="J69" s="30"/>
      <c r="K69" s="1"/>
    </row>
    <row r="70" spans="1:11" ht="12.75" customHeight="1" thickBot="1" x14ac:dyDescent="0.2">
      <c r="A70" s="98"/>
      <c r="B70" s="99"/>
      <c r="C70" s="100" t="s">
        <v>29</v>
      </c>
      <c r="D70" s="101"/>
      <c r="E70" s="102"/>
      <c r="F70" s="103">
        <f>SUM(F65:F69)</f>
        <v>10622565.74</v>
      </c>
      <c r="G70" s="1"/>
      <c r="H70" s="30"/>
      <c r="I70" s="30"/>
      <c r="J70" s="30"/>
      <c r="K70" s="1"/>
    </row>
    <row r="71" spans="1:11" ht="12.75" customHeight="1" thickBot="1" x14ac:dyDescent="0.2">
      <c r="A71" s="104"/>
      <c r="B71" s="105"/>
      <c r="C71" s="106" t="s">
        <v>53</v>
      </c>
      <c r="D71" s="107"/>
      <c r="E71" s="108"/>
      <c r="F71" s="109">
        <f>+F70+F61</f>
        <v>368447785.92000002</v>
      </c>
      <c r="G71" s="1"/>
      <c r="H71" s="57" t="s">
        <v>54</v>
      </c>
      <c r="I71" s="30"/>
      <c r="J71" s="30"/>
      <c r="K71" s="1"/>
    </row>
    <row r="72" spans="1:11" ht="12.75" customHeight="1" x14ac:dyDescent="0.15">
      <c r="A72" s="11"/>
      <c r="B72" s="12"/>
      <c r="C72" s="9"/>
      <c r="D72" s="29"/>
      <c r="E72" s="29"/>
      <c r="F72" s="110"/>
      <c r="G72" s="1"/>
      <c r="H72" s="57">
        <f>+[8]Main!$G10</f>
        <v>10452000</v>
      </c>
      <c r="I72" s="30"/>
      <c r="J72" s="30"/>
      <c r="K72" s="1"/>
    </row>
    <row r="73" spans="1:11" ht="12.75" customHeight="1" x14ac:dyDescent="0.15">
      <c r="A73" s="11"/>
      <c r="B73" s="12"/>
      <c r="C73" s="9"/>
      <c r="D73" s="29"/>
      <c r="E73" s="29"/>
      <c r="F73" s="110"/>
      <c r="G73" s="1"/>
      <c r="H73" s="57">
        <f>SUM(F65:F68)</f>
        <v>10452000</v>
      </c>
      <c r="I73" s="30"/>
      <c r="J73" s="30"/>
      <c r="K73" s="1"/>
    </row>
    <row r="74" spans="1:11" ht="12.75" customHeight="1" x14ac:dyDescent="0.15">
      <c r="A74" s="1"/>
      <c r="B74" s="1"/>
      <c r="C74" s="7"/>
      <c r="D74" s="26"/>
      <c r="E74" s="26"/>
      <c r="F74" s="86">
        <f>+F70+F61</f>
        <v>368447785.92000002</v>
      </c>
      <c r="G74" s="1"/>
      <c r="H74" s="57">
        <f>+H72-H73</f>
        <v>0</v>
      </c>
      <c r="I74" s="30"/>
      <c r="J74" s="30"/>
      <c r="K74" s="1"/>
    </row>
    <row r="75" spans="1:11" ht="12.75" customHeight="1" x14ac:dyDescent="0.15">
      <c r="A75" s="1"/>
      <c r="B75" s="1"/>
      <c r="C75" s="7"/>
      <c r="D75" s="26"/>
      <c r="E75" s="26"/>
      <c r="F75" s="86">
        <f>+[1]Main!$F754</f>
        <v>368447785.92000002</v>
      </c>
      <c r="G75" s="1"/>
      <c r="H75" s="30"/>
      <c r="I75" s="30"/>
      <c r="J75" s="30"/>
      <c r="K75" s="1"/>
    </row>
    <row r="76" spans="1:11" ht="12.75" customHeight="1" x14ac:dyDescent="0.15">
      <c r="A76" s="1"/>
      <c r="B76" s="1"/>
      <c r="C76" s="7"/>
      <c r="D76" s="26"/>
      <c r="E76" s="86">
        <f>+E61+[1]Main!$E754</f>
        <v>0</v>
      </c>
      <c r="F76" s="86">
        <f>+F75-F74</f>
        <v>0</v>
      </c>
      <c r="G76" s="1"/>
      <c r="H76" s="30"/>
      <c r="I76" s="30"/>
      <c r="J76" s="30"/>
      <c r="K76" s="1"/>
    </row>
    <row r="77" spans="1:11" ht="12.75" customHeight="1" x14ac:dyDescent="0.15">
      <c r="A77" s="1"/>
      <c r="B77" s="1"/>
      <c r="C77" s="7"/>
      <c r="D77" s="26"/>
      <c r="E77" s="26"/>
      <c r="F77" s="26"/>
      <c r="G77" s="1"/>
      <c r="H77" s="30"/>
      <c r="I77" s="30"/>
      <c r="J77" s="30"/>
      <c r="K77" s="1"/>
    </row>
    <row r="78" spans="1:11" ht="12.75" customHeight="1" x14ac:dyDescent="0.15">
      <c r="A78" s="1"/>
      <c r="B78" s="1"/>
      <c r="C78" s="7"/>
      <c r="D78" s="26"/>
      <c r="E78" s="26"/>
      <c r="F78" s="26"/>
      <c r="G78" s="1"/>
      <c r="H78" s="30"/>
      <c r="I78" s="30"/>
      <c r="J78" s="30"/>
      <c r="K78" s="1"/>
    </row>
    <row r="79" spans="1:11" ht="12.75" customHeight="1" x14ac:dyDescent="0.15">
      <c r="A79" s="1"/>
      <c r="B79" s="1"/>
      <c r="C79" s="7"/>
      <c r="D79" s="26"/>
      <c r="E79" s="26"/>
      <c r="F79" s="26"/>
      <c r="G79" s="1"/>
      <c r="H79" s="111" t="s">
        <v>55</v>
      </c>
      <c r="I79" s="30"/>
      <c r="J79" s="30"/>
      <c r="K79" s="1"/>
    </row>
  </sheetData>
  <mergeCells count="1">
    <mergeCell ref="D4:E4"/>
  </mergeCells>
  <phoneticPr fontId="0" type="noConversion"/>
  <printOptions horizontalCentered="1" verticalCentered="1"/>
  <pageMargins left="0.5" right="0.25" top="0.5" bottom="0.5" header="0.5" footer="0.5"/>
  <pageSetup scale="89" orientation="portrait" horizontalDpi="1200" verticalDpi="4294967292" r:id="rId1"/>
  <headerFooter alignWithMargins="0">
    <oddHeader>&amp;R&amp;8Current as of: &amp;D</oddHeader>
    <oddFooter>&amp;L&amp;8USOE, Finance and Statistics&amp;R&amp;8&amp;F</oddFooter>
  </headerFooter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87"/>
  <sheetViews>
    <sheetView topLeftCell="A25" workbookViewId="0">
      <selection activeCell="F76" sqref="F76"/>
    </sheetView>
  </sheetViews>
  <sheetFormatPr defaultColWidth="18.28515625" defaultRowHeight="12.75" x14ac:dyDescent="0.2"/>
  <cols>
    <col min="1" max="1" width="27" style="75" customWidth="1"/>
    <col min="2" max="2" width="16.7109375" style="75" customWidth="1"/>
    <col min="3" max="3" width="15.85546875" style="75" customWidth="1"/>
    <col min="4" max="4" width="16.28515625" style="75" customWidth="1"/>
    <col min="5" max="5" width="15.5703125" style="75" customWidth="1"/>
    <col min="6" max="6" width="17.42578125" style="75" customWidth="1"/>
    <col min="7" max="7" width="5.7109375" style="75" customWidth="1"/>
    <col min="8" max="8" width="21.5703125" style="75" customWidth="1"/>
    <col min="9" max="9" width="5" style="75" customWidth="1"/>
    <col min="10" max="10" width="20.85546875" style="75" customWidth="1"/>
    <col min="11" max="16384" width="18.28515625" style="75"/>
  </cols>
  <sheetData>
    <row r="1" spans="1:11" x14ac:dyDescent="0.2">
      <c r="A1" s="8"/>
      <c r="B1" s="8"/>
      <c r="C1" s="8"/>
      <c r="D1" s="8"/>
      <c r="E1" s="8"/>
      <c r="F1" s="8"/>
      <c r="G1" s="8"/>
      <c r="H1" s="8"/>
      <c r="I1" s="8"/>
      <c r="J1" s="8"/>
      <c r="K1" s="8"/>
    </row>
    <row r="2" spans="1:11" x14ac:dyDescent="0.2">
      <c r="A2" s="32" t="s">
        <v>0</v>
      </c>
      <c r="B2" s="33">
        <v>3184</v>
      </c>
      <c r="C2" s="34" t="s">
        <v>1</v>
      </c>
      <c r="D2" s="35"/>
      <c r="E2" s="35"/>
      <c r="F2" s="35"/>
      <c r="G2" s="1"/>
      <c r="H2" s="30"/>
      <c r="I2" s="30"/>
      <c r="J2" s="30"/>
      <c r="K2" s="8"/>
    </row>
    <row r="3" spans="1:11" x14ac:dyDescent="0.2">
      <c r="A3" s="32" t="s">
        <v>61</v>
      </c>
      <c r="B3" s="36">
        <f>+[1]Main!$C528</f>
        <v>1E-3</v>
      </c>
      <c r="C3" s="34" t="s">
        <v>41</v>
      </c>
      <c r="D3" s="35"/>
      <c r="E3" s="35"/>
      <c r="F3" s="35"/>
      <c r="G3" s="1"/>
      <c r="H3" s="30"/>
      <c r="I3" s="30"/>
      <c r="J3" s="30"/>
      <c r="K3" s="8"/>
    </row>
    <row r="4" spans="1:11" x14ac:dyDescent="0.2">
      <c r="A4" s="32" t="s">
        <v>62</v>
      </c>
      <c r="B4" s="36">
        <f>+[1]Main!$C583</f>
        <v>1.5150000000000001E-3</v>
      </c>
      <c r="C4" s="34" t="s">
        <v>95</v>
      </c>
      <c r="D4" s="35"/>
      <c r="E4" s="37"/>
      <c r="F4" s="35"/>
      <c r="G4" s="1"/>
      <c r="H4" s="30"/>
      <c r="I4" s="30"/>
      <c r="J4" s="30"/>
      <c r="K4" s="8"/>
    </row>
    <row r="5" spans="1:11" x14ac:dyDescent="0.2">
      <c r="A5" s="38" t="s">
        <v>32</v>
      </c>
      <c r="B5" s="39">
        <f>[2]Sheet1!E10</f>
        <v>1236174957</v>
      </c>
      <c r="C5" s="21"/>
      <c r="D5" s="31"/>
      <c r="E5" s="31"/>
      <c r="F5" s="23"/>
      <c r="G5" s="1"/>
      <c r="H5" s="30"/>
      <c r="I5" s="30"/>
      <c r="J5" s="30"/>
      <c r="K5" s="8"/>
    </row>
    <row r="6" spans="1:11" x14ac:dyDescent="0.2">
      <c r="A6" s="32" t="s">
        <v>2</v>
      </c>
      <c r="B6" s="40">
        <f>[2]Sheet1!F10</f>
        <v>0.95520000000000005</v>
      </c>
      <c r="C6" s="7"/>
      <c r="D6" s="41" t="s">
        <v>3</v>
      </c>
      <c r="E6" s="42" t="str">
        <f>+[3]main!B11</f>
        <v>Beaver</v>
      </c>
      <c r="F6" s="43">
        <f>+[3]main!A11</f>
        <v>2</v>
      </c>
      <c r="G6" s="1"/>
      <c r="H6" s="30"/>
      <c r="I6" s="30"/>
      <c r="J6" s="30"/>
      <c r="K6" s="8"/>
    </row>
    <row r="7" spans="1:11" x14ac:dyDescent="0.2">
      <c r="A7" s="32" t="s">
        <v>4</v>
      </c>
      <c r="B7" s="44">
        <f>[2]Sheet1!G10</f>
        <v>1.6750000000000001E-3</v>
      </c>
      <c r="C7" s="8"/>
      <c r="D7" s="24"/>
      <c r="E7" s="25"/>
      <c r="F7" s="24"/>
      <c r="G7" s="1"/>
      <c r="H7" s="30"/>
      <c r="I7" s="30"/>
      <c r="J7" s="30"/>
      <c r="K7" s="8"/>
    </row>
    <row r="8" spans="1:11" x14ac:dyDescent="0.2">
      <c r="A8" s="32" t="s">
        <v>5</v>
      </c>
      <c r="B8" s="45">
        <f>[2]Sheet1!C66</f>
        <v>2095646</v>
      </c>
      <c r="C8" s="46"/>
      <c r="D8" s="47" t="s">
        <v>38</v>
      </c>
      <c r="E8" s="48" t="s">
        <v>7</v>
      </c>
      <c r="F8" s="47" t="s">
        <v>6</v>
      </c>
      <c r="G8" s="1"/>
      <c r="H8" s="30"/>
      <c r="I8" s="30"/>
      <c r="J8" s="30"/>
      <c r="K8" s="8"/>
    </row>
    <row r="9" spans="1:11" x14ac:dyDescent="0.2">
      <c r="A9" s="32" t="s">
        <v>8</v>
      </c>
      <c r="B9" s="45">
        <f>+B8</f>
        <v>2095646</v>
      </c>
      <c r="C9" s="49"/>
      <c r="D9" s="50" t="s">
        <v>9</v>
      </c>
      <c r="E9" s="50" t="s">
        <v>37</v>
      </c>
      <c r="F9" s="50" t="s">
        <v>10</v>
      </c>
      <c r="G9" s="1"/>
      <c r="H9" s="30"/>
      <c r="I9" s="30"/>
      <c r="J9" s="30"/>
      <c r="K9" s="8"/>
    </row>
    <row r="10" spans="1:11" x14ac:dyDescent="0.2">
      <c r="A10" s="32" t="s">
        <v>11</v>
      </c>
      <c r="B10" s="45">
        <v>0</v>
      </c>
      <c r="C10" s="51" t="s">
        <v>39</v>
      </c>
      <c r="D10" s="52" t="s">
        <v>12</v>
      </c>
      <c r="E10" s="52" t="s">
        <v>9</v>
      </c>
      <c r="F10" s="52" t="s">
        <v>9</v>
      </c>
      <c r="G10" s="1"/>
      <c r="H10" s="30"/>
      <c r="I10" s="30"/>
      <c r="J10" s="30"/>
      <c r="K10" s="8"/>
    </row>
    <row r="11" spans="1:11" x14ac:dyDescent="0.2">
      <c r="A11" s="32" t="s">
        <v>70</v>
      </c>
      <c r="B11" s="45">
        <f>'[4]LRF FY17'!U8</f>
        <v>7909</v>
      </c>
      <c r="C11" s="53"/>
      <c r="D11" s="54"/>
      <c r="E11" s="54"/>
      <c r="F11" s="54" t="s">
        <v>14</v>
      </c>
      <c r="G11" s="1"/>
      <c r="H11" s="30"/>
      <c r="I11" s="30"/>
      <c r="J11" s="30"/>
      <c r="K11" s="8"/>
    </row>
    <row r="12" spans="1:11" x14ac:dyDescent="0.2">
      <c r="A12" s="55" t="s">
        <v>13</v>
      </c>
      <c r="B12" s="56"/>
      <c r="C12" s="53"/>
      <c r="D12" s="54"/>
      <c r="E12" s="54"/>
      <c r="F12" s="54"/>
      <c r="G12" s="2"/>
      <c r="H12" s="30"/>
      <c r="I12" s="30"/>
      <c r="J12" s="30"/>
      <c r="K12" s="8"/>
    </row>
    <row r="13" spans="1:11" x14ac:dyDescent="0.2">
      <c r="A13" s="55" t="s">
        <v>15</v>
      </c>
      <c r="B13" s="56"/>
      <c r="C13" s="53"/>
      <c r="D13" s="54"/>
      <c r="E13" s="54"/>
      <c r="F13" s="54"/>
      <c r="G13" s="2"/>
      <c r="H13" s="57" t="s">
        <v>43</v>
      </c>
      <c r="I13" s="30"/>
      <c r="J13" s="57" t="s">
        <v>45</v>
      </c>
      <c r="K13" s="8"/>
    </row>
    <row r="14" spans="1:11" x14ac:dyDescent="0.2">
      <c r="A14" s="58" t="s">
        <v>16</v>
      </c>
      <c r="B14" s="59"/>
      <c r="C14" s="60">
        <f>[3]main!C185-[3]main!F127</f>
        <v>1461.0940000000001</v>
      </c>
      <c r="D14" s="61">
        <f>[3]main!E185-[3]main!H127</f>
        <v>4652124.0999999996</v>
      </c>
      <c r="E14" s="62">
        <f>IF(B9&gt;D14,D14,B9)</f>
        <v>2095646</v>
      </c>
      <c r="F14" s="62">
        <f>D14-E14</f>
        <v>2556478.1</v>
      </c>
      <c r="G14" s="1"/>
      <c r="H14" s="57">
        <f>[3]main!H244</f>
        <v>6749472.21</v>
      </c>
      <c r="I14" s="30"/>
      <c r="J14" s="57">
        <f>'[5]Sheet 1'!E68</f>
        <v>8256423.7699999996</v>
      </c>
      <c r="K14" s="8"/>
    </row>
    <row r="15" spans="1:11" x14ac:dyDescent="0.2">
      <c r="A15" s="58" t="s">
        <v>17</v>
      </c>
      <c r="B15" s="59"/>
      <c r="C15" s="53">
        <f>[3]main!F127</f>
        <v>417.75599999999997</v>
      </c>
      <c r="D15" s="54">
        <f>[3]main!H127</f>
        <v>1330134.54</v>
      </c>
      <c r="E15" s="54">
        <f>IF(B8-SUM(E12:E14)&gt;D15,D15,B8-SUM(E12:E14))</f>
        <v>0</v>
      </c>
      <c r="F15" s="54">
        <f>D15-E15</f>
        <v>1330134.54</v>
      </c>
      <c r="G15" s="1"/>
      <c r="H15" s="57">
        <f>SUM(D14:D18)</f>
        <v>6749472.21</v>
      </c>
      <c r="I15" s="30"/>
      <c r="J15" s="57">
        <f>D29</f>
        <v>8256423.7699999996</v>
      </c>
      <c r="K15" s="8"/>
    </row>
    <row r="16" spans="1:11" x14ac:dyDescent="0.2">
      <c r="A16" s="58" t="s">
        <v>18</v>
      </c>
      <c r="B16" s="59"/>
      <c r="C16" s="53">
        <f>[3]main!F185</f>
        <v>169.959</v>
      </c>
      <c r="D16" s="54">
        <f>[3]main!H185</f>
        <v>541149.56999999995</v>
      </c>
      <c r="E16" s="54">
        <f>IF(B9-SUM(E14:E15)&gt;D16,D16,B9-SUM(E14:E15))</f>
        <v>0</v>
      </c>
      <c r="F16" s="54">
        <f>D16-E16</f>
        <v>541149.56999999995</v>
      </c>
      <c r="G16" s="1"/>
      <c r="H16" s="57">
        <f>+H14-H15</f>
        <v>0</v>
      </c>
      <c r="I16" s="30"/>
      <c r="J16" s="57">
        <f>+J14-J15</f>
        <v>0</v>
      </c>
      <c r="K16" s="8"/>
    </row>
    <row r="17" spans="1:11" x14ac:dyDescent="0.2">
      <c r="A17" s="58" t="s">
        <v>19</v>
      </c>
      <c r="B17" s="59"/>
      <c r="C17" s="53">
        <f>[3]main!C244</f>
        <v>70</v>
      </c>
      <c r="D17" s="54">
        <f>[3]main!E244</f>
        <v>222880</v>
      </c>
      <c r="E17" s="54">
        <f>IF(B9-SUM(E14:E16)&gt;D17,D17,B9-SUM(E14:E16))</f>
        <v>0</v>
      </c>
      <c r="F17" s="54">
        <f>D17-E17</f>
        <v>222880</v>
      </c>
      <c r="G17" s="1"/>
      <c r="H17" s="30"/>
      <c r="I17" s="30"/>
      <c r="J17" s="30"/>
      <c r="K17" s="8"/>
    </row>
    <row r="18" spans="1:11" x14ac:dyDescent="0.2">
      <c r="A18" s="58" t="s">
        <v>42</v>
      </c>
      <c r="B18" s="59"/>
      <c r="C18" s="53">
        <f>[3]main!C68</f>
        <v>1</v>
      </c>
      <c r="D18" s="54">
        <f>[3]main!E68</f>
        <v>3184</v>
      </c>
      <c r="E18" s="54">
        <f>IF(B9-SUM(E14:E17)&gt;D18,D18,B9-SUM(E14:E17))</f>
        <v>0</v>
      </c>
      <c r="F18" s="54">
        <f>D18-E18</f>
        <v>3184</v>
      </c>
      <c r="G18" s="1"/>
      <c r="H18" s="30"/>
      <c r="I18" s="30"/>
      <c r="J18" s="30"/>
      <c r="K18" s="8"/>
    </row>
    <row r="19" spans="1:11" x14ac:dyDescent="0.2">
      <c r="A19" s="55" t="s">
        <v>20</v>
      </c>
      <c r="B19" s="56"/>
      <c r="C19" s="63"/>
      <c r="D19" s="64"/>
      <c r="E19" s="64"/>
      <c r="F19" s="64" t="s">
        <v>14</v>
      </c>
      <c r="G19" s="1"/>
      <c r="H19" s="57" t="s">
        <v>44</v>
      </c>
      <c r="I19" s="30"/>
      <c r="J19" s="30"/>
      <c r="K19" s="8"/>
    </row>
    <row r="20" spans="1:11" x14ac:dyDescent="0.2">
      <c r="A20" s="58" t="s">
        <v>21</v>
      </c>
      <c r="B20" s="59"/>
      <c r="C20" s="53">
        <f>'[6]Sheet 1'!C10</f>
        <v>206.11699999999999</v>
      </c>
      <c r="D20" s="54">
        <f>'[6]Sheet 1'!E10</f>
        <v>656275.04</v>
      </c>
      <c r="E20" s="54">
        <f>IF(B9-SUM(E14:E19)&gt;D20,D20,B9-SUM(E14:E19))</f>
        <v>0</v>
      </c>
      <c r="F20" s="54">
        <f t="shared" ref="F20:F28" si="0">D20-E20</f>
        <v>656275.04</v>
      </c>
      <c r="G20" s="1"/>
      <c r="H20" s="57">
        <f>'[6]Sheet 1'!N126</f>
        <v>773640.25</v>
      </c>
      <c r="I20" s="30"/>
      <c r="J20" s="30"/>
      <c r="K20" s="8"/>
    </row>
    <row r="21" spans="1:11" x14ac:dyDescent="0.2">
      <c r="A21" s="59" t="s">
        <v>22</v>
      </c>
      <c r="B21" s="59"/>
      <c r="C21" s="53">
        <f>'[6]Sheet 1'!F10</f>
        <v>16.66</v>
      </c>
      <c r="D21" s="54">
        <f>'[6]Sheet 1'!H10</f>
        <v>53045.440000000002</v>
      </c>
      <c r="E21" s="54">
        <f>IF(B9-SUM(E14:E20)&gt;D21,D21,B9-SUM(E14:E20))</f>
        <v>0</v>
      </c>
      <c r="F21" s="54">
        <f t="shared" si="0"/>
        <v>53045.440000000002</v>
      </c>
      <c r="G21" s="1"/>
      <c r="H21" s="57">
        <f>SUM(D20:D26)</f>
        <v>773640.25</v>
      </c>
      <c r="I21" s="30"/>
      <c r="J21" s="30"/>
      <c r="K21" s="8"/>
    </row>
    <row r="22" spans="1:11" x14ac:dyDescent="0.2">
      <c r="A22" s="59" t="s">
        <v>23</v>
      </c>
      <c r="B22" s="59"/>
      <c r="C22" s="53">
        <f>'[6]Sheet 1'!C68</f>
        <v>13.23</v>
      </c>
      <c r="D22" s="54">
        <f>'[6]Sheet 1'!E68</f>
        <v>42124.32</v>
      </c>
      <c r="E22" s="54">
        <f>IF(B9-SUM(E14:E21)&gt;D22,D22,B9-SUM(E14:E21))</f>
        <v>0</v>
      </c>
      <c r="F22" s="54">
        <f t="shared" si="0"/>
        <v>42124.32</v>
      </c>
      <c r="G22" s="1"/>
      <c r="H22" s="57">
        <f>+H20-H21</f>
        <v>0</v>
      </c>
      <c r="I22" s="30"/>
      <c r="J22" s="30"/>
      <c r="K22" s="8"/>
    </row>
    <row r="23" spans="1:11" x14ac:dyDescent="0.2">
      <c r="A23" s="58" t="s">
        <v>24</v>
      </c>
      <c r="B23" s="59"/>
      <c r="C23" s="53">
        <f>'[6]Sheet 1'!F68</f>
        <v>1.671</v>
      </c>
      <c r="D23" s="54">
        <f>'[6]Sheet 1'!H68</f>
        <v>5319.75</v>
      </c>
      <c r="E23" s="54">
        <f>IF(B9-SUM(E14:E22)&gt;D23,D23,B9-SUM(E14:E22))</f>
        <v>0</v>
      </c>
      <c r="F23" s="54">
        <f t="shared" si="0"/>
        <v>5319.75</v>
      </c>
      <c r="G23" s="1"/>
      <c r="H23" s="30"/>
      <c r="I23" s="30"/>
      <c r="J23" s="30"/>
      <c r="K23" s="8"/>
    </row>
    <row r="24" spans="1:11" x14ac:dyDescent="0.2">
      <c r="A24" s="59" t="s">
        <v>71</v>
      </c>
      <c r="B24" s="59"/>
      <c r="C24" s="53">
        <f>'[6]Sheet 1'!C126</f>
        <v>5.3</v>
      </c>
      <c r="D24" s="54">
        <f>'[6]Sheet 1'!E126</f>
        <v>16875.7</v>
      </c>
      <c r="E24" s="54">
        <f>IF(B9-SUM(E14:E23)&gt;D24,D24,B9-SUM(E14:E23))</f>
        <v>0</v>
      </c>
      <c r="F24" s="54">
        <f t="shared" si="0"/>
        <v>16875.7</v>
      </c>
      <c r="G24" s="1"/>
      <c r="H24" s="30"/>
      <c r="I24" s="30"/>
      <c r="J24" s="30"/>
      <c r="K24" s="8"/>
    </row>
    <row r="25" spans="1:11" x14ac:dyDescent="0.2">
      <c r="A25" s="59" t="s">
        <v>57</v>
      </c>
      <c r="B25" s="59"/>
      <c r="C25" s="53">
        <f>'[6]Sheet 1'!F126</f>
        <v>0</v>
      </c>
      <c r="D25" s="54">
        <f>'[6]Sheet 1'!H126</f>
        <v>0</v>
      </c>
      <c r="E25" s="54">
        <f>IF(B10-SUM(E15:E24)&gt;D25,D25,B10-SUM(E15:E24))</f>
        <v>0</v>
      </c>
      <c r="F25" s="54">
        <f t="shared" si="0"/>
        <v>0</v>
      </c>
      <c r="G25" s="1"/>
      <c r="H25" s="30"/>
      <c r="I25" s="30"/>
      <c r="J25" s="30"/>
      <c r="K25" s="8"/>
    </row>
    <row r="26" spans="1:11" x14ac:dyDescent="0.2">
      <c r="A26" s="59" t="s">
        <v>64</v>
      </c>
      <c r="B26" s="59"/>
      <c r="C26" s="53">
        <f>'[6]Sheet 1'!I126</f>
        <v>0</v>
      </c>
      <c r="D26" s="54">
        <f>'[6]Sheet 1'!K126</f>
        <v>0</v>
      </c>
      <c r="E26" s="54">
        <f>IF(B12-SUM(E16:E25)&gt;D26,D26,B12-SUM(E16:E25))</f>
        <v>0</v>
      </c>
      <c r="F26" s="54">
        <f t="shared" si="0"/>
        <v>0</v>
      </c>
      <c r="G26" s="1"/>
      <c r="H26" s="57" t="s">
        <v>46</v>
      </c>
      <c r="I26" s="30"/>
      <c r="J26" s="30"/>
      <c r="K26" s="8"/>
    </row>
    <row r="27" spans="1:11" x14ac:dyDescent="0.2">
      <c r="A27" s="59" t="s">
        <v>58</v>
      </c>
      <c r="B27" s="59"/>
      <c r="C27" s="53">
        <f>'[6]Sheet 1'!C184</f>
        <v>133.69499999999999</v>
      </c>
      <c r="D27" s="54">
        <f>'[6]Sheet 1'!E184</f>
        <v>425689.29</v>
      </c>
      <c r="E27" s="54">
        <f>IF(B9-SUM(E14:E24)&gt;D27,D27,B9-SUM(E14:E24))</f>
        <v>0</v>
      </c>
      <c r="F27" s="54">
        <f t="shared" si="0"/>
        <v>425689.29</v>
      </c>
      <c r="G27" s="4"/>
      <c r="H27" s="57">
        <f>+'[6]Sheet 1'!E184</f>
        <v>425689.29</v>
      </c>
      <c r="I27" s="30"/>
      <c r="J27" s="30"/>
      <c r="K27" s="8"/>
    </row>
    <row r="28" spans="1:11" x14ac:dyDescent="0.2">
      <c r="A28" s="58" t="s">
        <v>59</v>
      </c>
      <c r="B28" s="59"/>
      <c r="C28" s="53">
        <f>'[5]Sheet 1'!C10</f>
        <v>96.614999999999995</v>
      </c>
      <c r="D28" s="54">
        <f>'[5]Sheet 1'!E10</f>
        <v>307622.02</v>
      </c>
      <c r="E28" s="54">
        <f>IF(B9-SUM(E14:E27)&gt;D28,D28,B9-SUM(E14:E27))</f>
        <v>0</v>
      </c>
      <c r="F28" s="54">
        <f t="shared" si="0"/>
        <v>307622.02</v>
      </c>
      <c r="G28" s="5"/>
      <c r="H28" s="57">
        <f>+D27</f>
        <v>425689.29</v>
      </c>
      <c r="I28" s="30"/>
      <c r="J28" s="30"/>
      <c r="K28" s="8"/>
    </row>
    <row r="29" spans="1:11" x14ac:dyDescent="0.2">
      <c r="A29" s="65" t="s">
        <v>28</v>
      </c>
      <c r="B29" s="56"/>
      <c r="C29" s="66">
        <f>SUM(C14:C28)</f>
        <v>2593.0970000000002</v>
      </c>
      <c r="D29" s="67">
        <f>SUM(D14:D28)</f>
        <v>8256423.7699999996</v>
      </c>
      <c r="E29" s="67">
        <f>SUM(E14:E28)</f>
        <v>2095646</v>
      </c>
      <c r="F29" s="67">
        <f>SUM(F14:F28)</f>
        <v>6160777.7699999996</v>
      </c>
      <c r="G29" s="1"/>
      <c r="H29" s="57">
        <f>+H27-H28</f>
        <v>0</v>
      </c>
      <c r="I29" s="30"/>
      <c r="J29" s="30"/>
      <c r="K29" s="8"/>
    </row>
    <row r="30" spans="1:11" x14ac:dyDescent="0.2">
      <c r="A30" s="68" t="s">
        <v>26</v>
      </c>
      <c r="B30" s="56"/>
      <c r="C30" s="69"/>
      <c r="D30" s="54"/>
      <c r="E30" s="54"/>
      <c r="F30" s="54"/>
      <c r="G30" s="1"/>
      <c r="H30" s="57" t="s">
        <v>47</v>
      </c>
      <c r="I30" s="30"/>
      <c r="J30" s="57" t="s">
        <v>52</v>
      </c>
      <c r="K30" s="16"/>
    </row>
    <row r="31" spans="1:11" x14ac:dyDescent="0.2">
      <c r="A31" s="58" t="s">
        <v>56</v>
      </c>
      <c r="B31" s="59"/>
      <c r="C31" s="20"/>
      <c r="D31" s="70">
        <f>[1]Main!F11</f>
        <v>23921.74</v>
      </c>
      <c r="E31" s="54">
        <f>IF($B9-SUM($E29)&gt;D31,D31,$B9-SUM($E29))</f>
        <v>0</v>
      </c>
      <c r="F31" s="54">
        <f t="shared" ref="F31:F49" si="1">D31-E31</f>
        <v>23921.74</v>
      </c>
      <c r="G31" s="1"/>
      <c r="H31" s="57">
        <f>[1]Main!G11</f>
        <v>220535.25</v>
      </c>
      <c r="I31" s="30"/>
      <c r="J31" s="57">
        <f>+[1]Main!D472</f>
        <v>1439144.84</v>
      </c>
      <c r="K31" s="8"/>
    </row>
    <row r="32" spans="1:11" x14ac:dyDescent="0.2">
      <c r="A32" s="59" t="s">
        <v>25</v>
      </c>
      <c r="B32" s="59"/>
      <c r="C32" s="20"/>
      <c r="D32" s="70">
        <f>[1]Main!C11</f>
        <v>196613.51</v>
      </c>
      <c r="E32" s="54">
        <f>IF($B9-SUM($E29:E31)&gt;D32,D32,B9-SUM($E29:E31))</f>
        <v>0</v>
      </c>
      <c r="F32" s="54">
        <f t="shared" si="1"/>
        <v>196613.51</v>
      </c>
      <c r="G32" s="1"/>
      <c r="H32" s="57">
        <f>SUM(D31:D33)</f>
        <v>220535.25</v>
      </c>
      <c r="I32" s="30"/>
      <c r="J32" s="57">
        <f>SUM(D31:D58)-E44</f>
        <v>1439144.84</v>
      </c>
      <c r="K32" s="8"/>
    </row>
    <row r="33" spans="1:11" x14ac:dyDescent="0.2">
      <c r="A33" s="71" t="s">
        <v>27</v>
      </c>
      <c r="B33" s="59"/>
      <c r="C33" s="20"/>
      <c r="D33" s="70">
        <f>[1]Main!D11</f>
        <v>0</v>
      </c>
      <c r="E33" s="54">
        <f>IF($B9-SUM($E29:E32)&gt;D33,D33,$B9-SUM($E29:E32))</f>
        <v>0</v>
      </c>
      <c r="F33" s="54">
        <f>D33-E33</f>
        <v>0</v>
      </c>
      <c r="G33" s="1"/>
      <c r="H33" s="57">
        <f>+H31-H32</f>
        <v>0</v>
      </c>
      <c r="I33" s="30"/>
      <c r="J33" s="57">
        <f>+J31-J32</f>
        <v>0</v>
      </c>
      <c r="K33" s="16"/>
    </row>
    <row r="34" spans="1:11" x14ac:dyDescent="0.2">
      <c r="A34" s="72" t="s">
        <v>72</v>
      </c>
      <c r="B34" s="59"/>
      <c r="C34" s="20"/>
      <c r="D34" s="70">
        <f>[1]Main!E11</f>
        <v>0</v>
      </c>
      <c r="E34" s="54">
        <f>IF($B10-SUM($E30:E33)&gt;D34,D34,$B10-SUM($E30:E33))</f>
        <v>0</v>
      </c>
      <c r="F34" s="54">
        <f>D34-E34</f>
        <v>0</v>
      </c>
      <c r="G34" s="1"/>
      <c r="H34" s="30"/>
      <c r="I34" s="30"/>
      <c r="J34" s="30"/>
      <c r="K34" s="8"/>
    </row>
    <row r="35" spans="1:11" x14ac:dyDescent="0.2">
      <c r="A35" s="72" t="s">
        <v>73</v>
      </c>
      <c r="B35" s="59"/>
      <c r="C35" s="20"/>
      <c r="D35" s="54">
        <f>+[1]Main!$F127</f>
        <v>7723.05</v>
      </c>
      <c r="E35" s="54">
        <f>IF($B9-SUM($E29:E33)&gt;D35,D35,$B9-SUM($E29:E33))</f>
        <v>0</v>
      </c>
      <c r="F35" s="54">
        <f t="shared" si="1"/>
        <v>7723.05</v>
      </c>
      <c r="G35" s="1"/>
      <c r="H35" s="30"/>
      <c r="I35" s="30"/>
      <c r="J35" s="30"/>
      <c r="K35" s="8"/>
    </row>
    <row r="36" spans="1:11" x14ac:dyDescent="0.2">
      <c r="A36" s="71" t="s">
        <v>74</v>
      </c>
      <c r="B36" s="59"/>
      <c r="C36" s="20"/>
      <c r="D36" s="54">
        <f>+[1]Main!$C69</f>
        <v>59615</v>
      </c>
      <c r="E36" s="54">
        <f>IF($B9-SUM($E29:E35)&gt;D36,D36,$B9-SUM($E29:E35))</f>
        <v>0</v>
      </c>
      <c r="F36" s="54">
        <f t="shared" si="1"/>
        <v>59615</v>
      </c>
      <c r="G36" s="1"/>
      <c r="H36" s="30"/>
      <c r="I36" s="30"/>
      <c r="J36" s="30"/>
      <c r="K36" s="8"/>
    </row>
    <row r="37" spans="1:11" x14ac:dyDescent="0.2">
      <c r="A37" s="71" t="s">
        <v>75</v>
      </c>
      <c r="B37" s="59"/>
      <c r="C37" s="20"/>
      <c r="D37" s="54">
        <f>+[1]Main!$D69</f>
        <v>0</v>
      </c>
      <c r="E37" s="54">
        <f>IF($B9-SUM($E29:E36)&gt;D37,D37,$B9-SUM($E29:E36))</f>
        <v>0</v>
      </c>
      <c r="F37" s="54">
        <f t="shared" si="1"/>
        <v>0</v>
      </c>
      <c r="G37" s="1"/>
      <c r="H37" s="30"/>
      <c r="I37" s="30"/>
      <c r="J37" s="30"/>
      <c r="K37" s="8"/>
    </row>
    <row r="38" spans="1:11" x14ac:dyDescent="0.2">
      <c r="A38" s="71" t="s">
        <v>76</v>
      </c>
      <c r="B38" s="59"/>
      <c r="C38" s="20"/>
      <c r="D38" s="54">
        <f>+[1]Main!$E69</f>
        <v>0</v>
      </c>
      <c r="E38" s="54">
        <f>IF($B9-SUM($E29:E37)&gt;D38,D38,$B9-SUM($E29:E37))</f>
        <v>0</v>
      </c>
      <c r="F38" s="54">
        <f t="shared" si="1"/>
        <v>0</v>
      </c>
      <c r="G38" s="1"/>
      <c r="H38" s="30"/>
      <c r="I38" s="30"/>
      <c r="J38" s="30"/>
      <c r="K38" s="8"/>
    </row>
    <row r="39" spans="1:11" x14ac:dyDescent="0.2">
      <c r="A39" s="71" t="s">
        <v>77</v>
      </c>
      <c r="B39" s="59"/>
      <c r="C39" s="20"/>
      <c r="D39" s="54">
        <f>[1]Main!F69</f>
        <v>185374</v>
      </c>
      <c r="E39" s="54">
        <f>IF($B9-SUM($E29:E38)&gt;D39,D39,$B9-SUM($E29:E38))</f>
        <v>0</v>
      </c>
      <c r="F39" s="54">
        <f t="shared" si="1"/>
        <v>185374</v>
      </c>
      <c r="G39" s="1"/>
      <c r="H39" s="57" t="s">
        <v>48</v>
      </c>
      <c r="I39" s="30"/>
      <c r="J39" s="30"/>
      <c r="K39" s="8"/>
    </row>
    <row r="40" spans="1:11" x14ac:dyDescent="0.2">
      <c r="A40" s="71" t="s">
        <v>79</v>
      </c>
      <c r="B40" s="59"/>
      <c r="C40" s="20"/>
      <c r="D40" s="54">
        <f>[1]Main!G69</f>
        <v>0</v>
      </c>
      <c r="E40" s="54">
        <f>IF($B9-SUM($E29:E39)&gt;D40,D40,$B9-SUM($E29:E39))</f>
        <v>0</v>
      </c>
      <c r="F40" s="54">
        <f t="shared" si="1"/>
        <v>0</v>
      </c>
      <c r="G40" s="1"/>
      <c r="H40" s="57"/>
      <c r="I40" s="30"/>
      <c r="J40" s="30"/>
      <c r="K40" s="8"/>
    </row>
    <row r="41" spans="1:11" x14ac:dyDescent="0.2">
      <c r="A41" s="71" t="s">
        <v>78</v>
      </c>
      <c r="B41" s="59"/>
      <c r="C41" s="20"/>
      <c r="D41" s="54">
        <f>[1]Main!G127</f>
        <v>64983.3</v>
      </c>
      <c r="E41" s="54">
        <f>IF($B9-SUM($E29:E40)&gt;D41,D41,$B9-SUM($E29:E40))</f>
        <v>0</v>
      </c>
      <c r="F41" s="54">
        <f t="shared" si="1"/>
        <v>64983.3</v>
      </c>
      <c r="G41" s="1"/>
      <c r="H41" s="73">
        <f>+[1]Main!D185</f>
        <v>317695.34999999998</v>
      </c>
      <c r="I41" s="30"/>
      <c r="J41" s="30"/>
      <c r="K41" s="16"/>
    </row>
    <row r="42" spans="1:11" x14ac:dyDescent="0.2">
      <c r="A42" s="71" t="s">
        <v>80</v>
      </c>
      <c r="B42" s="59"/>
      <c r="C42" s="20"/>
      <c r="D42" s="54">
        <f>[1]Main!C185</f>
        <v>0</v>
      </c>
      <c r="E42" s="54"/>
      <c r="F42" s="54">
        <f t="shared" si="1"/>
        <v>0</v>
      </c>
      <c r="G42" s="1"/>
      <c r="H42" s="57">
        <f>+SUM(D35:D42)</f>
        <v>317695.34999999998</v>
      </c>
      <c r="I42" s="30"/>
      <c r="J42" s="30"/>
      <c r="K42" s="16"/>
    </row>
    <row r="43" spans="1:11" x14ac:dyDescent="0.2">
      <c r="A43" s="71" t="s">
        <v>81</v>
      </c>
      <c r="B43" s="59"/>
      <c r="C43" s="20"/>
      <c r="D43" s="54">
        <f>[1]Main!C243</f>
        <v>216780</v>
      </c>
      <c r="E43" s="54">
        <v>0</v>
      </c>
      <c r="F43" s="54">
        <f t="shared" si="1"/>
        <v>216780</v>
      </c>
      <c r="G43" s="1"/>
      <c r="H43" s="57">
        <f>+H41-H42</f>
        <v>0</v>
      </c>
      <c r="I43" s="30"/>
      <c r="J43" s="30"/>
      <c r="K43" s="8"/>
    </row>
    <row r="44" spans="1:11" x14ac:dyDescent="0.2">
      <c r="A44" s="71" t="s">
        <v>82</v>
      </c>
      <c r="B44" s="59"/>
      <c r="C44" s="20"/>
      <c r="D44" s="54">
        <f>+[7]Main!I10+[7]Main!J10</f>
        <v>196745.61</v>
      </c>
      <c r="E44" s="74">
        <f>[7]Main!J10</f>
        <v>145615.35</v>
      </c>
      <c r="F44" s="54">
        <f t="shared" si="1"/>
        <v>51130.26</v>
      </c>
      <c r="G44" s="1"/>
      <c r="H44" s="30"/>
      <c r="I44" s="30"/>
      <c r="J44" s="30"/>
      <c r="K44" s="8"/>
    </row>
    <row r="45" spans="1:11" x14ac:dyDescent="0.2">
      <c r="A45" s="71" t="s">
        <v>83</v>
      </c>
      <c r="B45" s="59"/>
      <c r="C45" s="20"/>
      <c r="D45" s="54">
        <f>[1]Main!F243</f>
        <v>46060</v>
      </c>
      <c r="E45" s="54">
        <v>0</v>
      </c>
      <c r="F45" s="54">
        <f t="shared" si="1"/>
        <v>46060</v>
      </c>
      <c r="G45" s="1"/>
      <c r="H45" s="30"/>
      <c r="I45" s="30"/>
      <c r="J45" s="30"/>
      <c r="K45" s="16"/>
    </row>
    <row r="46" spans="1:11" x14ac:dyDescent="0.2">
      <c r="A46" s="71" t="s">
        <v>84</v>
      </c>
      <c r="B46" s="59"/>
      <c r="C46" s="7"/>
      <c r="D46" s="54">
        <f>[1]Main!E243</f>
        <v>5745.59</v>
      </c>
      <c r="E46" s="54">
        <v>0</v>
      </c>
      <c r="F46" s="54">
        <f t="shared" si="1"/>
        <v>5745.59</v>
      </c>
      <c r="G46" s="1"/>
      <c r="H46" s="57" t="s">
        <v>49</v>
      </c>
      <c r="I46" s="30"/>
      <c r="J46" s="30"/>
      <c r="K46" s="8"/>
    </row>
    <row r="47" spans="1:11" x14ac:dyDescent="0.2">
      <c r="A47" s="71" t="s">
        <v>85</v>
      </c>
      <c r="B47" s="59"/>
      <c r="C47" s="7"/>
      <c r="D47" s="54">
        <f>[1]Main!G243</f>
        <v>50030</v>
      </c>
      <c r="E47" s="54">
        <v>0</v>
      </c>
      <c r="F47" s="54">
        <f t="shared" si="1"/>
        <v>50030</v>
      </c>
      <c r="G47" s="1"/>
      <c r="H47" s="57">
        <f>+[1]Main!C472</f>
        <v>871728.34</v>
      </c>
      <c r="I47" s="57"/>
      <c r="J47" s="57"/>
      <c r="K47" s="8"/>
    </row>
    <row r="48" spans="1:11" x14ac:dyDescent="0.2">
      <c r="A48" s="71" t="s">
        <v>86</v>
      </c>
      <c r="B48" s="59"/>
      <c r="C48" s="20"/>
      <c r="D48" s="54">
        <f>[1]Main!C301</f>
        <v>0</v>
      </c>
      <c r="E48" s="54">
        <v>0</v>
      </c>
      <c r="F48" s="54">
        <f t="shared" si="1"/>
        <v>0</v>
      </c>
      <c r="G48" s="1"/>
      <c r="H48" s="57">
        <f>+SUM(D43:D53)-E44</f>
        <v>871728.34</v>
      </c>
      <c r="I48" s="57"/>
      <c r="J48" s="57">
        <f>+H48-H47</f>
        <v>0</v>
      </c>
      <c r="K48" s="8"/>
    </row>
    <row r="49" spans="1:11" x14ac:dyDescent="0.2">
      <c r="A49" s="71" t="s">
        <v>87</v>
      </c>
      <c r="C49" s="8"/>
      <c r="D49" s="76">
        <f>[1]Main!D301</f>
        <v>445642.52</v>
      </c>
      <c r="E49" s="77">
        <v>0</v>
      </c>
      <c r="F49" s="77">
        <f t="shared" si="1"/>
        <v>445642.52</v>
      </c>
      <c r="G49" s="5"/>
      <c r="H49" s="57">
        <f>+H47-H48</f>
        <v>0</v>
      </c>
      <c r="I49" s="57"/>
      <c r="J49" s="57"/>
      <c r="K49" s="8"/>
    </row>
    <row r="50" spans="1:11" x14ac:dyDescent="0.2">
      <c r="A50" s="71" t="s">
        <v>88</v>
      </c>
      <c r="B50" s="59"/>
      <c r="C50" s="20"/>
      <c r="D50" s="54">
        <f>+[1]Main!$E301</f>
        <v>2850.13</v>
      </c>
      <c r="E50" s="54">
        <v>0</v>
      </c>
      <c r="F50" s="54">
        <f>D50-E50</f>
        <v>2850.13</v>
      </c>
      <c r="G50" s="4"/>
      <c r="H50" s="30"/>
      <c r="I50" s="30"/>
      <c r="J50" s="30"/>
      <c r="K50" s="8"/>
    </row>
    <row r="51" spans="1:11" x14ac:dyDescent="0.2">
      <c r="A51" s="71" t="s">
        <v>89</v>
      </c>
      <c r="B51" s="59"/>
      <c r="C51" s="20"/>
      <c r="D51" s="54">
        <f>[1]Main!F301</f>
        <v>8397.49</v>
      </c>
      <c r="E51" s="54">
        <v>0</v>
      </c>
      <c r="F51" s="54">
        <f>D51-E51</f>
        <v>8397.49</v>
      </c>
      <c r="G51" s="4"/>
      <c r="H51" s="30"/>
      <c r="I51" s="30"/>
      <c r="J51" s="30"/>
      <c r="K51" s="17"/>
    </row>
    <row r="52" spans="1:11" x14ac:dyDescent="0.2">
      <c r="A52" s="71" t="s">
        <v>90</v>
      </c>
      <c r="B52" s="59"/>
      <c r="C52" s="20"/>
      <c r="D52" s="54">
        <f>[1]Main!G301</f>
        <v>0</v>
      </c>
      <c r="E52" s="54">
        <v>0</v>
      </c>
      <c r="F52" s="54">
        <f>D52-E52</f>
        <v>0</v>
      </c>
      <c r="G52" s="1"/>
      <c r="H52" s="57" t="s">
        <v>50</v>
      </c>
      <c r="I52" s="30"/>
      <c r="J52" s="30"/>
      <c r="K52" s="17"/>
    </row>
    <row r="53" spans="1:11" x14ac:dyDescent="0.2">
      <c r="A53" s="71" t="s">
        <v>93</v>
      </c>
      <c r="B53" s="59"/>
      <c r="C53" s="20"/>
      <c r="D53" s="54">
        <f>[1]Main!F358</f>
        <v>45092.35</v>
      </c>
      <c r="E53" s="54">
        <v>0</v>
      </c>
      <c r="F53" s="54">
        <f>D53-E53</f>
        <v>45092.35</v>
      </c>
      <c r="G53" s="1"/>
      <c r="H53" s="57"/>
      <c r="I53" s="30"/>
      <c r="J53" s="30"/>
      <c r="K53" s="8"/>
    </row>
    <row r="54" spans="1:11" x14ac:dyDescent="0.2">
      <c r="A54" s="55" t="s">
        <v>30</v>
      </c>
      <c r="B54" s="78"/>
      <c r="C54" s="79"/>
      <c r="D54" s="64"/>
      <c r="E54" s="64"/>
      <c r="F54" s="64"/>
      <c r="G54" s="1"/>
      <c r="H54" s="57"/>
      <c r="I54" s="30"/>
      <c r="J54" s="30"/>
      <c r="K54" s="8"/>
    </row>
    <row r="55" spans="1:11" x14ac:dyDescent="0.2">
      <c r="A55" s="71" t="s">
        <v>60</v>
      </c>
      <c r="B55" s="59"/>
      <c r="C55" s="20"/>
      <c r="D55" s="54">
        <f>[1]Main!C415</f>
        <v>16385.11</v>
      </c>
      <c r="E55" s="54">
        <v>0</v>
      </c>
      <c r="F55" s="54">
        <f>D55-E55</f>
        <v>16385.11</v>
      </c>
      <c r="G55" s="1"/>
      <c r="H55" s="57">
        <f>+[1]Main!G415</f>
        <v>29185.9</v>
      </c>
      <c r="I55" s="30"/>
      <c r="J55" s="30"/>
      <c r="K55" s="8"/>
    </row>
    <row r="56" spans="1:11" x14ac:dyDescent="0.2">
      <c r="A56" s="71" t="s">
        <v>63</v>
      </c>
      <c r="B56" s="59"/>
      <c r="C56" s="20"/>
      <c r="D56" s="54">
        <f>[1]Main!D415</f>
        <v>0</v>
      </c>
      <c r="E56" s="54">
        <v>0</v>
      </c>
      <c r="F56" s="54">
        <f>D56-E56</f>
        <v>0</v>
      </c>
      <c r="G56" s="4"/>
      <c r="H56" s="57">
        <f>SUM(D55:D58)</f>
        <v>29185.9</v>
      </c>
      <c r="I56" s="30"/>
      <c r="J56" s="30"/>
      <c r="K56" s="8"/>
    </row>
    <row r="57" spans="1:11" x14ac:dyDescent="0.2">
      <c r="A57" s="71" t="s">
        <v>91</v>
      </c>
      <c r="B57" s="59"/>
      <c r="C57" s="20"/>
      <c r="D57" s="54">
        <f>[1]Main!E415</f>
        <v>0</v>
      </c>
      <c r="E57" s="54">
        <v>0</v>
      </c>
      <c r="F57" s="54">
        <f>D57-E57</f>
        <v>0</v>
      </c>
      <c r="G57" s="4"/>
      <c r="H57" s="57">
        <f>+H55-H56</f>
        <v>0</v>
      </c>
      <c r="I57" s="30"/>
      <c r="J57" s="30"/>
      <c r="K57" s="8"/>
    </row>
    <row r="58" spans="1:11" x14ac:dyDescent="0.2">
      <c r="A58" s="71" t="s">
        <v>92</v>
      </c>
      <c r="B58" s="59"/>
      <c r="C58" s="20"/>
      <c r="D58" s="54">
        <f>[1]Main!F415</f>
        <v>12800.79</v>
      </c>
      <c r="E58" s="54">
        <v>0</v>
      </c>
      <c r="F58" s="54">
        <f>D58-E58</f>
        <v>12800.79</v>
      </c>
      <c r="G58" s="1"/>
      <c r="H58" s="30"/>
      <c r="I58" s="30"/>
      <c r="J58" s="30"/>
      <c r="K58" s="8"/>
    </row>
    <row r="59" spans="1:11" x14ac:dyDescent="0.2">
      <c r="A59" s="55" t="s">
        <v>31</v>
      </c>
      <c r="B59" s="78"/>
      <c r="C59" s="79"/>
      <c r="D59" s="64"/>
      <c r="E59" s="64"/>
      <c r="F59" s="64"/>
      <c r="G59" s="1"/>
      <c r="H59" s="30"/>
      <c r="I59" s="30"/>
      <c r="J59" s="30"/>
      <c r="K59" s="16"/>
    </row>
    <row r="60" spans="1:11" x14ac:dyDescent="0.2">
      <c r="A60" s="58" t="s">
        <v>69</v>
      </c>
      <c r="B60" s="59"/>
      <c r="C60" s="20"/>
      <c r="D60" s="54">
        <f>+[1]Main!$G528</f>
        <v>1465709.46</v>
      </c>
      <c r="E60" s="54">
        <f>+[1]Main!$D528</f>
        <v>1251131.77</v>
      </c>
      <c r="F60" s="54">
        <f>+D60-E60</f>
        <v>214577.69</v>
      </c>
      <c r="G60" s="1"/>
      <c r="H60" s="30"/>
      <c r="I60" s="30"/>
      <c r="J60" s="30"/>
      <c r="K60" s="8"/>
    </row>
    <row r="61" spans="1:11" x14ac:dyDescent="0.2">
      <c r="A61" s="59" t="s">
        <v>68</v>
      </c>
      <c r="B61" s="59"/>
      <c r="C61" s="20"/>
      <c r="D61" s="54">
        <f>+[1]Main!$G583</f>
        <v>500452.71</v>
      </c>
      <c r="E61" s="54">
        <f>+[1]Main!$D583</f>
        <v>500452.71</v>
      </c>
      <c r="F61" s="54">
        <f>+D61-E61</f>
        <v>0</v>
      </c>
      <c r="G61" s="1"/>
      <c r="H61" s="30"/>
      <c r="I61" s="30"/>
      <c r="J61" s="30"/>
      <c r="K61" s="8"/>
    </row>
    <row r="62" spans="1:11" ht="13.5" thickBot="1" x14ac:dyDescent="0.25">
      <c r="A62" s="80"/>
      <c r="B62" s="81"/>
      <c r="C62" s="82" t="s">
        <v>29</v>
      </c>
      <c r="D62" s="83">
        <f>SUM(D29:D61)</f>
        <v>11807346.130000001</v>
      </c>
      <c r="E62" s="83">
        <f>SUM(E29:E61)</f>
        <v>3992845.83</v>
      </c>
      <c r="F62" s="83">
        <f>SUM(F29:F61)</f>
        <v>7814500.2999999998</v>
      </c>
      <c r="G62" s="1"/>
      <c r="H62" s="30"/>
      <c r="I62" s="30"/>
      <c r="J62" s="30"/>
      <c r="K62" s="8"/>
    </row>
    <row r="63" spans="1:11" ht="13.5" thickTop="1" x14ac:dyDescent="0.2">
      <c r="A63" s="84"/>
      <c r="B63" s="59"/>
      <c r="C63" s="85"/>
      <c r="D63" s="86"/>
      <c r="E63" s="86"/>
      <c r="F63" s="87"/>
      <c r="G63" s="1"/>
      <c r="H63" s="30"/>
      <c r="I63" s="30"/>
      <c r="J63" s="30"/>
      <c r="K63" s="18"/>
    </row>
    <row r="64" spans="1:11" x14ac:dyDescent="0.2">
      <c r="A64" s="88" t="s">
        <v>40</v>
      </c>
      <c r="B64" s="78"/>
      <c r="C64" s="89"/>
      <c r="D64" s="90"/>
      <c r="E64" s="91"/>
      <c r="F64" s="92" t="s">
        <v>36</v>
      </c>
      <c r="G64" s="6"/>
      <c r="H64" s="57" t="s">
        <v>51</v>
      </c>
      <c r="I64" s="30"/>
      <c r="J64" s="57" t="s">
        <v>7</v>
      </c>
      <c r="K64" s="19"/>
    </row>
    <row r="65" spans="1:11" x14ac:dyDescent="0.2">
      <c r="A65" s="93" t="s">
        <v>33</v>
      </c>
      <c r="B65" s="94"/>
      <c r="C65" s="95"/>
      <c r="D65" s="96"/>
      <c r="E65" s="96"/>
      <c r="F65" s="91"/>
      <c r="G65" s="6"/>
      <c r="H65" s="30"/>
      <c r="I65" s="30"/>
      <c r="J65" s="30"/>
      <c r="K65" s="8"/>
    </row>
    <row r="66" spans="1:11" x14ac:dyDescent="0.2">
      <c r="A66" s="59" t="s">
        <v>34</v>
      </c>
      <c r="B66" s="59"/>
      <c r="C66" s="22"/>
      <c r="D66" s="27"/>
      <c r="E66" s="27"/>
      <c r="F66" s="97">
        <f>+[8]Main!$C11</f>
        <v>0</v>
      </c>
      <c r="G66" s="5"/>
      <c r="H66" s="57">
        <f>+[1]Main!G639</f>
        <v>1966162.17</v>
      </c>
      <c r="I66" s="30"/>
      <c r="J66" s="57">
        <f>+[1]Main!E639+[1]Main!F639</f>
        <v>214577.69</v>
      </c>
      <c r="K66" s="8"/>
    </row>
    <row r="67" spans="1:11" x14ac:dyDescent="0.2">
      <c r="A67" s="59" t="s">
        <v>66</v>
      </c>
      <c r="B67" s="59"/>
      <c r="C67" s="22"/>
      <c r="D67" s="27"/>
      <c r="E67" s="27"/>
      <c r="F67" s="97">
        <f>+[8]Main!$D11</f>
        <v>0</v>
      </c>
      <c r="G67" s="5"/>
      <c r="H67" s="57">
        <f>+D60+D61</f>
        <v>1966162.17</v>
      </c>
      <c r="I67" s="30"/>
      <c r="J67" s="57">
        <f>+F60+F61</f>
        <v>214577.69</v>
      </c>
      <c r="K67" s="8"/>
    </row>
    <row r="68" spans="1:11" x14ac:dyDescent="0.2">
      <c r="A68" s="32" t="s">
        <v>65</v>
      </c>
      <c r="B68" s="32"/>
      <c r="C68" s="22"/>
      <c r="D68" s="28"/>
      <c r="E68" s="28"/>
      <c r="F68" s="97">
        <f>+[8]Main!$E11</f>
        <v>0</v>
      </c>
      <c r="G68" s="1"/>
      <c r="H68" s="57">
        <f>+H66-H67</f>
        <v>0</v>
      </c>
      <c r="I68" s="30"/>
      <c r="J68" s="57">
        <f>+J66-J67</f>
        <v>0</v>
      </c>
      <c r="K68" s="8"/>
    </row>
    <row r="69" spans="1:11" x14ac:dyDescent="0.2">
      <c r="A69" s="32" t="s">
        <v>67</v>
      </c>
      <c r="B69" s="32"/>
      <c r="C69" s="22"/>
      <c r="D69" s="28"/>
      <c r="E69" s="28"/>
      <c r="F69" s="97">
        <f>+[8]Main!$F11</f>
        <v>0</v>
      </c>
      <c r="G69" s="1"/>
      <c r="H69" s="30"/>
      <c r="I69" s="30"/>
      <c r="J69" s="30"/>
      <c r="K69" s="8"/>
    </row>
    <row r="70" spans="1:11" x14ac:dyDescent="0.2">
      <c r="A70" s="88" t="s">
        <v>35</v>
      </c>
      <c r="B70" s="78"/>
      <c r="C70" s="89"/>
      <c r="D70" s="90"/>
      <c r="E70" s="91"/>
      <c r="F70" s="54">
        <f>+[8]Main!$C69</f>
        <v>14032</v>
      </c>
      <c r="G70" s="1"/>
      <c r="H70" s="30"/>
      <c r="I70" s="30"/>
      <c r="J70" s="30"/>
      <c r="K70" s="8"/>
    </row>
    <row r="71" spans="1:11" ht="13.5" thickBot="1" x14ac:dyDescent="0.25">
      <c r="A71" s="98"/>
      <c r="B71" s="99"/>
      <c r="C71" s="100" t="s">
        <v>29</v>
      </c>
      <c r="D71" s="101"/>
      <c r="E71" s="102"/>
      <c r="F71" s="103">
        <f>SUM(F66:F70)</f>
        <v>14032</v>
      </c>
      <c r="G71" s="1"/>
      <c r="H71" s="30"/>
      <c r="I71" s="30"/>
      <c r="J71" s="30"/>
      <c r="K71" s="8"/>
    </row>
    <row r="72" spans="1:11" ht="13.5" thickBot="1" x14ac:dyDescent="0.25">
      <c r="A72" s="104"/>
      <c r="B72" s="105"/>
      <c r="C72" s="106" t="s">
        <v>53</v>
      </c>
      <c r="D72" s="107"/>
      <c r="E72" s="108"/>
      <c r="F72" s="109">
        <f>+F71+F62</f>
        <v>7828532.2999999998</v>
      </c>
      <c r="G72" s="1"/>
      <c r="H72" s="57" t="s">
        <v>54</v>
      </c>
      <c r="I72" s="30"/>
      <c r="J72" s="30"/>
      <c r="K72" s="8"/>
    </row>
    <row r="73" spans="1:11" x14ac:dyDescent="0.2">
      <c r="A73" s="11"/>
      <c r="B73" s="12"/>
      <c r="C73" s="9"/>
      <c r="D73" s="29"/>
      <c r="E73" s="29"/>
      <c r="F73" s="110"/>
      <c r="G73" s="1"/>
      <c r="H73" s="57">
        <f>+[8]Main!$G11</f>
        <v>0</v>
      </c>
      <c r="I73" s="30"/>
      <c r="J73" s="30"/>
      <c r="K73" s="8"/>
    </row>
    <row r="74" spans="1:11" x14ac:dyDescent="0.2">
      <c r="A74" s="11"/>
      <c r="B74" s="12"/>
      <c r="C74" s="9"/>
      <c r="D74" s="29"/>
      <c r="E74" s="29"/>
      <c r="F74" s="110"/>
      <c r="G74" s="1"/>
      <c r="H74" s="57">
        <f>SUM(F66:F69)</f>
        <v>0</v>
      </c>
      <c r="I74" s="30"/>
      <c r="J74" s="30"/>
      <c r="K74" s="8"/>
    </row>
    <row r="75" spans="1:11" x14ac:dyDescent="0.2">
      <c r="A75" s="1"/>
      <c r="B75" s="1"/>
      <c r="C75" s="7"/>
      <c r="D75" s="26"/>
      <c r="E75" s="26"/>
      <c r="F75" s="86">
        <f>+F71+F62</f>
        <v>7828532.2999999998</v>
      </c>
      <c r="G75" s="1"/>
      <c r="H75" s="57">
        <f>+H73-H74</f>
        <v>0</v>
      </c>
      <c r="I75" s="30"/>
      <c r="J75" s="30"/>
      <c r="K75" s="8"/>
    </row>
    <row r="76" spans="1:11" x14ac:dyDescent="0.2">
      <c r="A76" s="1"/>
      <c r="B76" s="1"/>
      <c r="C76" s="7"/>
      <c r="D76" s="26"/>
      <c r="E76" s="26"/>
      <c r="F76" s="86">
        <f>+[1]Main!$F755</f>
        <v>7828532.2999999998</v>
      </c>
      <c r="G76" s="1"/>
      <c r="H76" s="30"/>
      <c r="I76" s="30"/>
      <c r="J76" s="30"/>
      <c r="K76" s="8"/>
    </row>
    <row r="77" spans="1:11" x14ac:dyDescent="0.2">
      <c r="A77" s="1"/>
      <c r="B77" s="1"/>
      <c r="C77" s="7"/>
      <c r="D77" s="26"/>
      <c r="E77" s="86">
        <f>+E62+[1]Main!$E755</f>
        <v>0</v>
      </c>
      <c r="F77" s="86">
        <f>+F76-F75</f>
        <v>0</v>
      </c>
      <c r="G77" s="1"/>
      <c r="H77" s="30"/>
      <c r="I77" s="30"/>
      <c r="J77" s="30"/>
      <c r="K77" s="8"/>
    </row>
    <row r="78" spans="1:11" x14ac:dyDescent="0.2">
      <c r="A78" s="1"/>
      <c r="B78" s="1"/>
      <c r="C78" s="7"/>
      <c r="D78" s="26"/>
      <c r="E78" s="26"/>
      <c r="F78" s="26"/>
      <c r="G78" s="1"/>
      <c r="H78" s="30"/>
      <c r="I78" s="30"/>
      <c r="J78" s="30"/>
      <c r="K78" s="8"/>
    </row>
    <row r="79" spans="1:11" x14ac:dyDescent="0.2">
      <c r="A79" s="1"/>
      <c r="B79" s="1"/>
      <c r="C79" s="7"/>
      <c r="D79" s="26"/>
      <c r="E79" s="26"/>
      <c r="F79" s="26"/>
      <c r="G79" s="1"/>
      <c r="H79" s="30"/>
      <c r="I79" s="30"/>
      <c r="J79" s="30"/>
      <c r="K79" s="8"/>
    </row>
    <row r="80" spans="1:11" x14ac:dyDescent="0.2">
      <c r="A80" s="1"/>
      <c r="B80" s="1"/>
      <c r="C80" s="7"/>
      <c r="D80" s="26"/>
      <c r="E80" s="26"/>
      <c r="F80" s="26"/>
      <c r="G80" s="1"/>
      <c r="H80" s="111" t="s">
        <v>55</v>
      </c>
      <c r="I80" s="30"/>
      <c r="J80" s="30"/>
      <c r="K80" s="8"/>
    </row>
    <row r="81" spans="1:11" x14ac:dyDescent="0.2">
      <c r="A81" s="8"/>
      <c r="B81" s="8"/>
      <c r="C81" s="8"/>
      <c r="D81" s="8"/>
      <c r="E81" s="8"/>
      <c r="F81" s="8"/>
      <c r="G81" s="1"/>
      <c r="H81" s="13"/>
      <c r="I81" s="3"/>
      <c r="J81" s="3"/>
      <c r="K81" s="8"/>
    </row>
    <row r="82" spans="1:11" x14ac:dyDescent="0.2">
      <c r="A82" s="8"/>
      <c r="B82" s="8"/>
      <c r="C82" s="8"/>
      <c r="D82" s="8"/>
      <c r="E82" s="8"/>
      <c r="F82" s="8"/>
      <c r="G82" s="1"/>
      <c r="H82" s="3"/>
      <c r="I82" s="3"/>
      <c r="J82" s="3"/>
      <c r="K82" s="8"/>
    </row>
    <row r="83" spans="1:11" x14ac:dyDescent="0.2">
      <c r="A83" s="8"/>
      <c r="B83" s="8"/>
      <c r="C83" s="8"/>
      <c r="D83" s="8"/>
      <c r="E83" s="8"/>
      <c r="F83" s="8"/>
      <c r="G83" s="1"/>
      <c r="H83" s="3"/>
      <c r="I83" s="3"/>
      <c r="J83" s="3"/>
      <c r="K83" s="8"/>
    </row>
    <row r="84" spans="1:11" x14ac:dyDescent="0.2">
      <c r="A84" s="8"/>
      <c r="B84" s="8"/>
      <c r="C84" s="8"/>
      <c r="D84" s="8"/>
      <c r="E84" s="8"/>
      <c r="F84" s="8"/>
      <c r="G84" s="1"/>
      <c r="H84" s="3"/>
      <c r="I84" s="3"/>
      <c r="J84" s="3"/>
      <c r="K84" s="8"/>
    </row>
    <row r="85" spans="1:11" x14ac:dyDescent="0.2">
      <c r="A85" s="8"/>
      <c r="B85" s="8"/>
      <c r="C85" s="8"/>
      <c r="D85" s="8"/>
      <c r="E85" s="8"/>
      <c r="F85" s="8"/>
      <c r="G85" s="1"/>
      <c r="H85" s="3"/>
      <c r="I85" s="3"/>
      <c r="J85" s="3"/>
      <c r="K85" s="8"/>
    </row>
    <row r="86" spans="1:11" x14ac:dyDescent="0.2">
      <c r="A86" s="8"/>
      <c r="B86" s="8"/>
      <c r="C86" s="8"/>
      <c r="D86" s="8"/>
      <c r="E86" s="8"/>
      <c r="F86" s="8"/>
      <c r="G86" s="1"/>
      <c r="H86" s="10"/>
      <c r="I86" s="3"/>
      <c r="J86" s="3"/>
      <c r="K86" s="8"/>
    </row>
    <row r="87" spans="1:11" x14ac:dyDescent="0.2">
      <c r="G87" s="59"/>
      <c r="H87" s="112"/>
      <c r="I87" s="112"/>
      <c r="J87" s="112"/>
    </row>
  </sheetData>
  <mergeCells count="1">
    <mergeCell ref="D5:E5"/>
  </mergeCells>
  <phoneticPr fontId="0" type="noConversion"/>
  <printOptions horizontalCentered="1" verticalCentered="1"/>
  <pageMargins left="0.5" right="0.25" top="0.5" bottom="0.5" header="0.5" footer="0.5"/>
  <pageSetup scale="89" orientation="portrait" horizontalDpi="1200" r:id="rId1"/>
  <headerFooter alignWithMargins="0">
    <oddHeader>&amp;R&amp;8Current as of: &amp;D</oddHeader>
    <oddFooter>&amp;L&amp;8USOE, Finance and Statistics&amp;R&amp;8&amp;F</oddFooter>
  </headerFooter>
  <picture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88"/>
  <sheetViews>
    <sheetView topLeftCell="A22" workbookViewId="0">
      <selection activeCell="J32" sqref="J32"/>
    </sheetView>
  </sheetViews>
  <sheetFormatPr defaultColWidth="18.28515625" defaultRowHeight="12.75" x14ac:dyDescent="0.2"/>
  <cols>
    <col min="1" max="1" width="27" style="75" customWidth="1"/>
    <col min="2" max="2" width="16.7109375" style="75" customWidth="1"/>
    <col min="3" max="3" width="15.85546875" style="75" customWidth="1"/>
    <col min="4" max="4" width="16.28515625" style="75" customWidth="1"/>
    <col min="5" max="5" width="15.5703125" style="75" customWidth="1"/>
    <col min="6" max="6" width="17.42578125" style="75" customWidth="1"/>
    <col min="7" max="7" width="5.7109375" style="75" customWidth="1"/>
    <col min="8" max="8" width="21.5703125" style="75" customWidth="1"/>
    <col min="9" max="9" width="5" style="75" customWidth="1"/>
    <col min="10" max="10" width="20.85546875" style="75" customWidth="1"/>
    <col min="11" max="16384" width="18.28515625" style="75"/>
  </cols>
  <sheetData>
    <row r="1" spans="1:10" x14ac:dyDescent="0.2">
      <c r="A1" s="8"/>
      <c r="B1" s="8"/>
      <c r="C1" s="8"/>
      <c r="D1" s="8"/>
      <c r="E1" s="8"/>
      <c r="F1" s="8"/>
      <c r="G1" s="8"/>
      <c r="H1" s="8"/>
      <c r="I1" s="8"/>
      <c r="J1" s="8"/>
    </row>
    <row r="2" spans="1:10" x14ac:dyDescent="0.2">
      <c r="A2" s="8"/>
      <c r="B2" s="8"/>
      <c r="C2" s="8"/>
      <c r="D2" s="8"/>
      <c r="E2" s="8"/>
      <c r="F2" s="8"/>
      <c r="G2" s="8"/>
      <c r="H2" s="8"/>
      <c r="I2" s="8"/>
      <c r="J2" s="8"/>
    </row>
    <row r="3" spans="1:10" x14ac:dyDescent="0.2">
      <c r="A3" s="32" t="s">
        <v>0</v>
      </c>
      <c r="B3" s="33">
        <v>3184</v>
      </c>
      <c r="C3" s="34" t="s">
        <v>1</v>
      </c>
      <c r="D3" s="35"/>
      <c r="E3" s="35"/>
      <c r="F3" s="35"/>
      <c r="G3" s="1"/>
      <c r="H3" s="30"/>
      <c r="I3" s="30"/>
      <c r="J3" s="30"/>
    </row>
    <row r="4" spans="1:10" x14ac:dyDescent="0.2">
      <c r="A4" s="32" t="s">
        <v>61</v>
      </c>
      <c r="B4" s="36">
        <f>+[1]Main!$C529</f>
        <v>5.8100000000000003E-4</v>
      </c>
      <c r="C4" s="34" t="s">
        <v>41</v>
      </c>
      <c r="D4" s="35"/>
      <c r="E4" s="35"/>
      <c r="F4" s="35"/>
      <c r="G4" s="1"/>
      <c r="H4" s="30"/>
      <c r="I4" s="30"/>
      <c r="J4" s="30"/>
    </row>
    <row r="5" spans="1:10" x14ac:dyDescent="0.2">
      <c r="A5" s="32" t="s">
        <v>62</v>
      </c>
      <c r="B5" s="36">
        <f>+[1]Main!$C584</f>
        <v>2.4160000000000002E-3</v>
      </c>
      <c r="C5" s="34" t="s">
        <v>95</v>
      </c>
      <c r="D5" s="35"/>
      <c r="E5" s="37"/>
      <c r="F5" s="35"/>
      <c r="G5" s="1"/>
      <c r="H5" s="30"/>
      <c r="I5" s="30"/>
      <c r="J5" s="30"/>
    </row>
    <row r="6" spans="1:10" x14ac:dyDescent="0.2">
      <c r="A6" s="38" t="s">
        <v>32</v>
      </c>
      <c r="B6" s="39">
        <f>[2]Sheet1!E11</f>
        <v>3752754103</v>
      </c>
      <c r="C6" s="21"/>
      <c r="D6" s="31"/>
      <c r="E6" s="31"/>
      <c r="F6" s="23"/>
      <c r="G6" s="1"/>
      <c r="H6" s="30"/>
      <c r="I6" s="30"/>
      <c r="J6" s="30"/>
    </row>
    <row r="7" spans="1:10" x14ac:dyDescent="0.2">
      <c r="A7" s="32" t="s">
        <v>2</v>
      </c>
      <c r="B7" s="40">
        <f>[2]Sheet1!F11</f>
        <v>0.96899999999999997</v>
      </c>
      <c r="C7" s="7"/>
      <c r="D7" s="41" t="s">
        <v>3</v>
      </c>
      <c r="E7" s="42" t="str">
        <f>+[3]main!B12</f>
        <v>Box Elder</v>
      </c>
      <c r="F7" s="43">
        <f>+[3]main!A12</f>
        <v>3</v>
      </c>
      <c r="G7" s="1"/>
      <c r="H7" s="30"/>
      <c r="I7" s="30"/>
      <c r="J7" s="30"/>
    </row>
    <row r="8" spans="1:10" x14ac:dyDescent="0.2">
      <c r="A8" s="32" t="s">
        <v>4</v>
      </c>
      <c r="B8" s="44">
        <f>[2]Sheet1!G11</f>
        <v>1.6750000000000001E-3</v>
      </c>
      <c r="C8" s="8"/>
      <c r="D8" s="24"/>
      <c r="E8" s="25"/>
      <c r="F8" s="24"/>
      <c r="G8" s="1"/>
      <c r="H8" s="30"/>
      <c r="I8" s="30"/>
      <c r="J8" s="30"/>
    </row>
    <row r="9" spans="1:10" x14ac:dyDescent="0.2">
      <c r="A9" s="32" t="s">
        <v>5</v>
      </c>
      <c r="B9" s="45">
        <f>[2]Sheet1!$C$67</f>
        <v>6819971</v>
      </c>
      <c r="C9" s="46"/>
      <c r="D9" s="47" t="s">
        <v>38</v>
      </c>
      <c r="E9" s="48" t="s">
        <v>7</v>
      </c>
      <c r="F9" s="47" t="s">
        <v>6</v>
      </c>
      <c r="G9" s="1"/>
      <c r="H9" s="30"/>
      <c r="I9" s="30"/>
      <c r="J9" s="30"/>
    </row>
    <row r="10" spans="1:10" x14ac:dyDescent="0.2">
      <c r="A10" s="32" t="s">
        <v>8</v>
      </c>
      <c r="B10" s="45">
        <f>+B9</f>
        <v>6819971</v>
      </c>
      <c r="C10" s="49"/>
      <c r="D10" s="50" t="s">
        <v>9</v>
      </c>
      <c r="E10" s="50" t="s">
        <v>37</v>
      </c>
      <c r="F10" s="50" t="s">
        <v>10</v>
      </c>
      <c r="G10" s="1"/>
      <c r="H10" s="30"/>
      <c r="I10" s="30"/>
      <c r="J10" s="30"/>
    </row>
    <row r="11" spans="1:10" x14ac:dyDescent="0.2">
      <c r="A11" s="32" t="s">
        <v>11</v>
      </c>
      <c r="B11" s="45">
        <v>0</v>
      </c>
      <c r="C11" s="51" t="s">
        <v>39</v>
      </c>
      <c r="D11" s="52" t="s">
        <v>12</v>
      </c>
      <c r="E11" s="52" t="s">
        <v>9</v>
      </c>
      <c r="F11" s="52" t="s">
        <v>9</v>
      </c>
      <c r="G11" s="1"/>
      <c r="H11" s="30"/>
      <c r="I11" s="30"/>
      <c r="J11" s="30"/>
    </row>
    <row r="12" spans="1:10" x14ac:dyDescent="0.2">
      <c r="A12" s="32" t="s">
        <v>70</v>
      </c>
      <c r="B12" s="45">
        <f>'[4]LRF FY17'!U9</f>
        <v>292220</v>
      </c>
      <c r="C12" s="53"/>
      <c r="D12" s="54"/>
      <c r="E12" s="54"/>
      <c r="F12" s="54" t="s">
        <v>14</v>
      </c>
      <c r="G12" s="1"/>
      <c r="H12" s="30"/>
      <c r="I12" s="30"/>
      <c r="J12" s="30"/>
    </row>
    <row r="13" spans="1:10" x14ac:dyDescent="0.2">
      <c r="A13" s="55" t="s">
        <v>13</v>
      </c>
      <c r="B13" s="56"/>
      <c r="C13" s="53"/>
      <c r="D13" s="54"/>
      <c r="E13" s="54"/>
      <c r="F13" s="54"/>
      <c r="G13" s="2"/>
      <c r="H13" s="30"/>
      <c r="I13" s="30"/>
      <c r="J13" s="30"/>
    </row>
    <row r="14" spans="1:10" x14ac:dyDescent="0.2">
      <c r="A14" s="55" t="s">
        <v>15</v>
      </c>
      <c r="B14" s="56"/>
      <c r="C14" s="53"/>
      <c r="D14" s="54"/>
      <c r="E14" s="54"/>
      <c r="F14" s="54"/>
      <c r="G14" s="2"/>
      <c r="H14" s="57" t="s">
        <v>43</v>
      </c>
      <c r="I14" s="30"/>
      <c r="J14" s="57" t="s">
        <v>45</v>
      </c>
    </row>
    <row r="15" spans="1:10" x14ac:dyDescent="0.2">
      <c r="A15" s="58" t="s">
        <v>16</v>
      </c>
      <c r="B15" s="59"/>
      <c r="C15" s="60">
        <f>[3]main!C186-[3]main!F128</f>
        <v>10798.493</v>
      </c>
      <c r="D15" s="61">
        <f>[3]main!E186-[3]main!H128</f>
        <v>34382400.829999998</v>
      </c>
      <c r="E15" s="62">
        <f>IF(B10&gt;D15,D15,B10)</f>
        <v>6819971</v>
      </c>
      <c r="F15" s="62">
        <f>D15-E15</f>
        <v>27562429.829999998</v>
      </c>
      <c r="G15" s="1"/>
      <c r="H15" s="57">
        <f>[3]main!H245</f>
        <v>38364002.799999997</v>
      </c>
      <c r="I15" s="30"/>
      <c r="J15" s="57">
        <f>'[5]Sheet 1'!E69</f>
        <v>48764269.670000002</v>
      </c>
    </row>
    <row r="16" spans="1:10" x14ac:dyDescent="0.2">
      <c r="A16" s="58" t="s">
        <v>17</v>
      </c>
      <c r="B16" s="59"/>
      <c r="C16" s="53">
        <f>[3]main!F128</f>
        <v>227.07900000000001</v>
      </c>
      <c r="D16" s="54">
        <f>[3]main!H128</f>
        <v>723020.54</v>
      </c>
      <c r="E16" s="54">
        <f>IF(B9-SUM(E13:E15)&gt;D16,D16,B9-SUM(E13:E15))</f>
        <v>0</v>
      </c>
      <c r="F16" s="54">
        <f>D16-E16</f>
        <v>723020.54</v>
      </c>
      <c r="G16" s="1"/>
      <c r="H16" s="57">
        <f>SUM(D15:D19)</f>
        <v>38364002.799999997</v>
      </c>
      <c r="I16" s="30"/>
      <c r="J16" s="57">
        <f>D30</f>
        <v>48764269.670000002</v>
      </c>
    </row>
    <row r="17" spans="1:10" x14ac:dyDescent="0.2">
      <c r="A17" s="58" t="s">
        <v>18</v>
      </c>
      <c r="B17" s="59"/>
      <c r="C17" s="53">
        <f>[3]main!F186</f>
        <v>1019.424</v>
      </c>
      <c r="D17" s="54">
        <f>[3]main!H186</f>
        <v>3245845.43</v>
      </c>
      <c r="E17" s="54">
        <f>IF(B10-SUM(E15:E16)&gt;D17,D17,B10-SUM(E15:E16))</f>
        <v>0</v>
      </c>
      <c r="F17" s="54">
        <f>D17-E17</f>
        <v>3245845.43</v>
      </c>
      <c r="G17" s="1"/>
      <c r="H17" s="57">
        <f>+H15-H16</f>
        <v>0</v>
      </c>
      <c r="I17" s="30"/>
      <c r="J17" s="57">
        <f>+J15-J16</f>
        <v>0</v>
      </c>
    </row>
    <row r="18" spans="1:10" x14ac:dyDescent="0.2">
      <c r="A18" s="58" t="s">
        <v>19</v>
      </c>
      <c r="B18" s="59"/>
      <c r="C18" s="53">
        <f>[3]main!C245</f>
        <v>0</v>
      </c>
      <c r="D18" s="54">
        <f>[3]main!E245</f>
        <v>0</v>
      </c>
      <c r="E18" s="54">
        <f>IF(B10-SUM(E15:E17)&gt;D18,D18,B10-SUM(E15:E17))</f>
        <v>0</v>
      </c>
      <c r="F18" s="54">
        <f>D18-E18</f>
        <v>0</v>
      </c>
      <c r="G18" s="1"/>
      <c r="H18" s="30"/>
      <c r="I18" s="30"/>
      <c r="J18" s="30"/>
    </row>
    <row r="19" spans="1:10" x14ac:dyDescent="0.2">
      <c r="A19" s="58" t="s">
        <v>42</v>
      </c>
      <c r="B19" s="59"/>
      <c r="C19" s="53">
        <f>[3]main!C69</f>
        <v>4</v>
      </c>
      <c r="D19" s="54">
        <f>[3]main!E69</f>
        <v>12736</v>
      </c>
      <c r="E19" s="54">
        <f>IF(B10-SUM(E15:E18)&gt;D19,D19,B10-SUM(E15:E18))</f>
        <v>0</v>
      </c>
      <c r="F19" s="54">
        <f>D19-E19</f>
        <v>12736</v>
      </c>
      <c r="G19" s="1"/>
      <c r="H19" s="30"/>
      <c r="I19" s="30"/>
      <c r="J19" s="30"/>
    </row>
    <row r="20" spans="1:10" x14ac:dyDescent="0.2">
      <c r="A20" s="55" t="s">
        <v>20</v>
      </c>
      <c r="B20" s="56"/>
      <c r="C20" s="63"/>
      <c r="D20" s="64"/>
      <c r="E20" s="64"/>
      <c r="F20" s="64" t="s">
        <v>14</v>
      </c>
      <c r="G20" s="1"/>
      <c r="H20" s="57" t="s">
        <v>44</v>
      </c>
      <c r="I20" s="30"/>
      <c r="J20" s="30"/>
    </row>
    <row r="21" spans="1:10" x14ac:dyDescent="0.2">
      <c r="A21" s="58" t="s">
        <v>21</v>
      </c>
      <c r="B21" s="59"/>
      <c r="C21" s="53">
        <f>'[6]Sheet 1'!C11</f>
        <v>1277.2090000000001</v>
      </c>
      <c r="D21" s="54">
        <f>'[6]Sheet 1'!E11</f>
        <v>4066632.9</v>
      </c>
      <c r="E21" s="54">
        <f>IF(B10-SUM(E15:E20)&gt;D21,D21,B10-SUM(E15:E20))</f>
        <v>0</v>
      </c>
      <c r="F21" s="54">
        <f t="shared" ref="F21:F29" si="0">D21-E21</f>
        <v>4066632.9</v>
      </c>
      <c r="G21" s="1"/>
      <c r="H21" s="57">
        <f>'[6]Sheet 1'!N127</f>
        <v>6104182.79</v>
      </c>
      <c r="I21" s="30"/>
      <c r="J21" s="30"/>
    </row>
    <row r="22" spans="1:10" x14ac:dyDescent="0.2">
      <c r="A22" s="59" t="s">
        <v>22</v>
      </c>
      <c r="B22" s="59"/>
      <c r="C22" s="53">
        <f>'[6]Sheet 1'!F11</f>
        <v>273.19</v>
      </c>
      <c r="D22" s="54">
        <f>'[6]Sheet 1'!H11</f>
        <v>869836.96</v>
      </c>
      <c r="E22" s="54">
        <f>IF(B10-SUM(E15:E21)&gt;D22,D22,B10-SUM(E15:E21))</f>
        <v>0</v>
      </c>
      <c r="F22" s="54">
        <f t="shared" si="0"/>
        <v>869836.96</v>
      </c>
      <c r="G22" s="1"/>
      <c r="H22" s="57">
        <f>SUM(D21:D27)</f>
        <v>6104182.79</v>
      </c>
      <c r="I22" s="30"/>
      <c r="J22" s="30"/>
    </row>
    <row r="23" spans="1:10" x14ac:dyDescent="0.2">
      <c r="A23" s="59" t="s">
        <v>23</v>
      </c>
      <c r="B23" s="59"/>
      <c r="C23" s="53">
        <f>'[6]Sheet 1'!C69</f>
        <v>317.52</v>
      </c>
      <c r="D23" s="54">
        <f>'[6]Sheet 1'!E69</f>
        <v>1010983.68</v>
      </c>
      <c r="E23" s="54">
        <f>IF(B10-SUM(E15:E22)&gt;D23,D23,B10-SUM(E15:E22))</f>
        <v>0</v>
      </c>
      <c r="F23" s="54">
        <f t="shared" si="0"/>
        <v>1010983.68</v>
      </c>
      <c r="G23" s="1"/>
      <c r="H23" s="57">
        <f>+H21-H22</f>
        <v>0</v>
      </c>
      <c r="I23" s="30"/>
      <c r="J23" s="30"/>
    </row>
    <row r="24" spans="1:10" x14ac:dyDescent="0.2">
      <c r="A24" s="58" t="s">
        <v>24</v>
      </c>
      <c r="B24" s="59"/>
      <c r="C24" s="53">
        <f>'[6]Sheet 1'!F69</f>
        <v>7.34</v>
      </c>
      <c r="D24" s="54">
        <f>'[6]Sheet 1'!H69</f>
        <v>23371.360000000001</v>
      </c>
      <c r="E24" s="54">
        <f>IF(B10-SUM(E15:E23)&gt;D24,D24,B10-SUM(E15:E23))</f>
        <v>0</v>
      </c>
      <c r="F24" s="54">
        <f t="shared" si="0"/>
        <v>23371.360000000001</v>
      </c>
      <c r="G24" s="1"/>
      <c r="H24" s="30"/>
      <c r="I24" s="30"/>
      <c r="J24" s="30"/>
    </row>
    <row r="25" spans="1:10" x14ac:dyDescent="0.2">
      <c r="A25" s="59" t="s">
        <v>71</v>
      </c>
      <c r="B25" s="59"/>
      <c r="C25" s="53">
        <f>'[6]Sheet 1'!C127</f>
        <v>36.558999999999997</v>
      </c>
      <c r="D25" s="54">
        <f>'[6]Sheet 1'!E127</f>
        <v>116404.86</v>
      </c>
      <c r="E25" s="54">
        <f>IF(B10-SUM(E15:E24)&gt;D25,D25,B10-SUM(E15:E24))</f>
        <v>0</v>
      </c>
      <c r="F25" s="54">
        <f t="shared" si="0"/>
        <v>116404.86</v>
      </c>
      <c r="G25" s="1"/>
      <c r="H25" s="30"/>
      <c r="I25" s="30"/>
      <c r="J25" s="30"/>
    </row>
    <row r="26" spans="1:10" x14ac:dyDescent="0.2">
      <c r="A26" s="59" t="s">
        <v>57</v>
      </c>
      <c r="B26" s="59"/>
      <c r="C26" s="53">
        <f>'[6]Sheet 1'!F127</f>
        <v>0</v>
      </c>
      <c r="D26" s="54">
        <f>'[6]Sheet 1'!H127</f>
        <v>0</v>
      </c>
      <c r="E26" s="54">
        <f>IF(B11-SUM(E16:E25)&gt;D26,D26,B11-SUM(E16:E25))</f>
        <v>0</v>
      </c>
      <c r="F26" s="54">
        <f t="shared" si="0"/>
        <v>0</v>
      </c>
      <c r="G26" s="1"/>
      <c r="H26" s="30"/>
      <c r="I26" s="30"/>
      <c r="J26" s="30"/>
    </row>
    <row r="27" spans="1:10" x14ac:dyDescent="0.2">
      <c r="A27" s="59" t="s">
        <v>64</v>
      </c>
      <c r="B27" s="59"/>
      <c r="C27" s="53">
        <f>'[6]Sheet 1'!I127</f>
        <v>5.3239999999999998</v>
      </c>
      <c r="D27" s="54">
        <f>'[6]Sheet 1'!K127</f>
        <v>16953.03</v>
      </c>
      <c r="E27" s="54">
        <f>IF(B13-SUM(E17:E26)&gt;D27,D27,B13-SUM(E17:E26))</f>
        <v>0</v>
      </c>
      <c r="F27" s="54">
        <f t="shared" si="0"/>
        <v>16953.03</v>
      </c>
      <c r="G27" s="1"/>
      <c r="H27" s="57" t="s">
        <v>46</v>
      </c>
      <c r="I27" s="30"/>
      <c r="J27" s="30"/>
    </row>
    <row r="28" spans="1:10" x14ac:dyDescent="0.2">
      <c r="A28" s="59" t="s">
        <v>58</v>
      </c>
      <c r="B28" s="59"/>
      <c r="C28" s="53">
        <f>'[6]Sheet 1'!C185</f>
        <v>642.21699999999998</v>
      </c>
      <c r="D28" s="54">
        <f>'[6]Sheet 1'!E185</f>
        <v>2044819.61</v>
      </c>
      <c r="E28" s="54">
        <f>IF(B10-SUM(E15:E25)&gt;D28,D28,B10-SUM(E15:E25))</f>
        <v>0</v>
      </c>
      <c r="F28" s="54">
        <f t="shared" si="0"/>
        <v>2044819.61</v>
      </c>
      <c r="G28" s="4"/>
      <c r="H28" s="57">
        <f>+'[6]Sheet 1'!E185</f>
        <v>2044819.61</v>
      </c>
      <c r="I28" s="30"/>
      <c r="J28" s="30"/>
    </row>
    <row r="29" spans="1:10" x14ac:dyDescent="0.2">
      <c r="A29" s="58" t="s">
        <v>59</v>
      </c>
      <c r="B29" s="59"/>
      <c r="C29" s="53">
        <f>'[5]Sheet 1'!C11</f>
        <v>707.05499999999995</v>
      </c>
      <c r="D29" s="54">
        <f>'[5]Sheet 1'!E11</f>
        <v>2251264.4700000002</v>
      </c>
      <c r="E29" s="54">
        <f>IF(B10-SUM(E15:E28)&gt;D29,D29,B10-SUM(E15:E28))</f>
        <v>0</v>
      </c>
      <c r="F29" s="54">
        <f t="shared" si="0"/>
        <v>2251264.4700000002</v>
      </c>
      <c r="G29" s="5"/>
      <c r="H29" s="57">
        <f>+D28</f>
        <v>2044819.61</v>
      </c>
      <c r="I29" s="30"/>
      <c r="J29" s="30"/>
    </row>
    <row r="30" spans="1:10" x14ac:dyDescent="0.2">
      <c r="A30" s="65" t="s">
        <v>28</v>
      </c>
      <c r="B30" s="56"/>
      <c r="C30" s="66">
        <f>SUM(C15:C29)</f>
        <v>15315.41</v>
      </c>
      <c r="D30" s="67">
        <f>SUM(D15:D29)</f>
        <v>48764269.670000002</v>
      </c>
      <c r="E30" s="67">
        <f>SUM(E15:E29)</f>
        <v>6819971</v>
      </c>
      <c r="F30" s="67">
        <f>SUM(F15:F29)</f>
        <v>41944298.670000002</v>
      </c>
      <c r="G30" s="1"/>
      <c r="H30" s="57">
        <f>+H28-H29</f>
        <v>0</v>
      </c>
      <c r="I30" s="30"/>
      <c r="J30" s="30"/>
    </row>
    <row r="31" spans="1:10" x14ac:dyDescent="0.2">
      <c r="A31" s="68" t="s">
        <v>26</v>
      </c>
      <c r="B31" s="56"/>
      <c r="C31" s="69"/>
      <c r="D31" s="54"/>
      <c r="E31" s="54"/>
      <c r="F31" s="54"/>
      <c r="G31" s="1"/>
      <c r="H31" s="57" t="s">
        <v>47</v>
      </c>
      <c r="I31" s="30"/>
      <c r="J31" s="57" t="s">
        <v>52</v>
      </c>
    </row>
    <row r="32" spans="1:10" x14ac:dyDescent="0.2">
      <c r="A32" s="58" t="s">
        <v>56</v>
      </c>
      <c r="B32" s="59"/>
      <c r="C32" s="20"/>
      <c r="D32" s="70">
        <f>[1]Main!F12</f>
        <v>141304.76</v>
      </c>
      <c r="E32" s="54">
        <f>IF($B10-SUM($E30)&gt;D32,D32,$B10-SUM($E30))</f>
        <v>0</v>
      </c>
      <c r="F32" s="54">
        <f t="shared" ref="F32:F50" si="1">D32-E32</f>
        <v>141304.76</v>
      </c>
      <c r="G32" s="1"/>
      <c r="H32" s="57">
        <f>[1]Main!G12</f>
        <v>3497754.7</v>
      </c>
      <c r="I32" s="30"/>
      <c r="J32" s="57">
        <f>+[1]Main!D473</f>
        <v>9789891.3000000007</v>
      </c>
    </row>
    <row r="33" spans="1:10" x14ac:dyDescent="0.2">
      <c r="A33" s="59" t="s">
        <v>25</v>
      </c>
      <c r="B33" s="59"/>
      <c r="C33" s="20"/>
      <c r="D33" s="70">
        <f>[1]Main!C12</f>
        <v>3356449.94</v>
      </c>
      <c r="E33" s="54">
        <f>IF($B10-SUM($E30:E32)&gt;D33,D33,B10-SUM($E30:E32))</f>
        <v>0</v>
      </c>
      <c r="F33" s="54">
        <f t="shared" si="1"/>
        <v>3356449.94</v>
      </c>
      <c r="G33" s="1"/>
      <c r="H33" s="57">
        <f>SUM(D32:D34)</f>
        <v>3497754.7</v>
      </c>
      <c r="I33" s="30"/>
      <c r="J33" s="57">
        <f>SUM(D32:D59)-E45</f>
        <v>9789891.2899999991</v>
      </c>
    </row>
    <row r="34" spans="1:10" x14ac:dyDescent="0.2">
      <c r="A34" s="71" t="s">
        <v>27</v>
      </c>
      <c r="B34" s="59"/>
      <c r="C34" s="20"/>
      <c r="D34" s="70">
        <f>[1]Main!D12</f>
        <v>0</v>
      </c>
      <c r="E34" s="54">
        <f>IF($B10-SUM($E30:E33)&gt;D34,D34,$B10-SUM($E30:E33))</f>
        <v>0</v>
      </c>
      <c r="F34" s="54">
        <f>D34-E34</f>
        <v>0</v>
      </c>
      <c r="G34" s="1"/>
      <c r="H34" s="57">
        <f>+H32-H33</f>
        <v>0</v>
      </c>
      <c r="I34" s="30"/>
      <c r="J34" s="57">
        <f>+J32-J33</f>
        <v>0.01</v>
      </c>
    </row>
    <row r="35" spans="1:10" x14ac:dyDescent="0.2">
      <c r="A35" s="72" t="s">
        <v>72</v>
      </c>
      <c r="B35" s="59"/>
      <c r="C35" s="20"/>
      <c r="D35" s="70">
        <f>[1]Main!E12</f>
        <v>0</v>
      </c>
      <c r="E35" s="54">
        <f>IF($B11-SUM($E31:E34)&gt;D35,D35,$B11-SUM($E31:E34))</f>
        <v>0</v>
      </c>
      <c r="F35" s="54">
        <f>D35-E35</f>
        <v>0</v>
      </c>
      <c r="G35" s="1"/>
      <c r="H35" s="30"/>
      <c r="I35" s="30"/>
      <c r="J35" s="30"/>
    </row>
    <row r="36" spans="1:10" x14ac:dyDescent="0.2">
      <c r="A36" s="72" t="s">
        <v>73</v>
      </c>
      <c r="B36" s="59"/>
      <c r="C36" s="20"/>
      <c r="D36" s="54">
        <f>+[1]Main!$F128</f>
        <v>69796.33</v>
      </c>
      <c r="E36" s="54">
        <f>IF($B10-SUM($E30:E34)&gt;D36,D36,$B10-SUM($E30:E34))</f>
        <v>0</v>
      </c>
      <c r="F36" s="54">
        <f t="shared" si="1"/>
        <v>69796.33</v>
      </c>
      <c r="G36" s="1"/>
      <c r="H36" s="30"/>
      <c r="I36" s="30"/>
      <c r="J36" s="30"/>
    </row>
    <row r="37" spans="1:10" x14ac:dyDescent="0.2">
      <c r="A37" s="71" t="s">
        <v>74</v>
      </c>
      <c r="B37" s="59"/>
      <c r="C37" s="20"/>
      <c r="D37" s="54">
        <f>+[1]Main!$C70</f>
        <v>418853</v>
      </c>
      <c r="E37" s="54">
        <f>IF($B10-SUM($E30:E36)&gt;D37,D37,$B10-SUM($E30:E36))</f>
        <v>0</v>
      </c>
      <c r="F37" s="54">
        <f t="shared" si="1"/>
        <v>418853</v>
      </c>
      <c r="G37" s="1"/>
      <c r="H37" s="30"/>
      <c r="I37" s="30"/>
      <c r="J37" s="30"/>
    </row>
    <row r="38" spans="1:10" x14ac:dyDescent="0.2">
      <c r="A38" s="71" t="s">
        <v>75</v>
      </c>
      <c r="B38" s="59"/>
      <c r="C38" s="20"/>
      <c r="D38" s="54">
        <f>+[1]Main!$D70</f>
        <v>0</v>
      </c>
      <c r="E38" s="54">
        <f>IF($B10-SUM($E30:E37)&gt;D38,D38,$B10-SUM($E30:E37))</f>
        <v>0</v>
      </c>
      <c r="F38" s="54">
        <f t="shared" si="1"/>
        <v>0</v>
      </c>
      <c r="G38" s="1"/>
      <c r="H38" s="30"/>
      <c r="I38" s="30"/>
      <c r="J38" s="30"/>
    </row>
    <row r="39" spans="1:10" x14ac:dyDescent="0.2">
      <c r="A39" s="71" t="s">
        <v>76</v>
      </c>
      <c r="B39" s="59"/>
      <c r="C39" s="20"/>
      <c r="D39" s="54">
        <f>+[1]Main!$E70</f>
        <v>611568</v>
      </c>
      <c r="E39" s="54">
        <f>IF($B10-SUM($E30:E38)&gt;D39,D39,$B10-SUM($E30:E38))</f>
        <v>0</v>
      </c>
      <c r="F39" s="54">
        <f t="shared" si="1"/>
        <v>611568</v>
      </c>
      <c r="G39" s="1"/>
      <c r="H39" s="30"/>
      <c r="I39" s="30"/>
      <c r="J39" s="30"/>
    </row>
    <row r="40" spans="1:10" x14ac:dyDescent="0.2">
      <c r="A40" s="71" t="s">
        <v>77</v>
      </c>
      <c r="B40" s="59"/>
      <c r="C40" s="20"/>
      <c r="D40" s="54">
        <f>[1]Main!F70</f>
        <v>221067</v>
      </c>
      <c r="E40" s="54">
        <f>IF($B10-SUM($E30:E39)&gt;D40,D40,$B10-SUM($E30:E39))</f>
        <v>0</v>
      </c>
      <c r="F40" s="54">
        <f t="shared" si="1"/>
        <v>221067</v>
      </c>
      <c r="G40" s="1"/>
      <c r="H40" s="57" t="s">
        <v>48</v>
      </c>
      <c r="I40" s="30"/>
      <c r="J40" s="30"/>
    </row>
    <row r="41" spans="1:10" x14ac:dyDescent="0.2">
      <c r="A41" s="71" t="s">
        <v>79</v>
      </c>
      <c r="B41" s="59"/>
      <c r="C41" s="20"/>
      <c r="D41" s="54">
        <f>[1]Main!G70</f>
        <v>0</v>
      </c>
      <c r="E41" s="54">
        <f>IF($B10-SUM($E30:E40)&gt;D41,D41,$B10-SUM($E30:E40))</f>
        <v>0</v>
      </c>
      <c r="F41" s="54">
        <f t="shared" si="1"/>
        <v>0</v>
      </c>
      <c r="G41" s="1"/>
      <c r="H41" s="57"/>
      <c r="I41" s="30"/>
      <c r="J41" s="30"/>
    </row>
    <row r="42" spans="1:10" x14ac:dyDescent="0.2">
      <c r="A42" s="71" t="s">
        <v>78</v>
      </c>
      <c r="B42" s="59"/>
      <c r="C42" s="20"/>
      <c r="D42" s="54">
        <f>[1]Main!G128</f>
        <v>101896.27</v>
      </c>
      <c r="E42" s="54">
        <f>IF($B10-SUM($E30:E41)&gt;D42,D42,$B10-SUM($E30:E41))</f>
        <v>0</v>
      </c>
      <c r="F42" s="54">
        <f t="shared" si="1"/>
        <v>101896.27</v>
      </c>
      <c r="G42" s="1"/>
      <c r="H42" s="73">
        <f>+[1]Main!D186</f>
        <v>1423180.6</v>
      </c>
      <c r="I42" s="30"/>
      <c r="J42" s="30"/>
    </row>
    <row r="43" spans="1:10" x14ac:dyDescent="0.2">
      <c r="A43" s="71" t="s">
        <v>80</v>
      </c>
      <c r="B43" s="59"/>
      <c r="C43" s="20"/>
      <c r="D43" s="54">
        <f>[1]Main!C186</f>
        <v>0</v>
      </c>
      <c r="E43" s="54">
        <v>0</v>
      </c>
      <c r="F43" s="54">
        <f t="shared" si="1"/>
        <v>0</v>
      </c>
      <c r="G43" s="1"/>
      <c r="H43" s="57">
        <f>+SUM(D36:D43)</f>
        <v>1423180.6</v>
      </c>
      <c r="I43" s="30"/>
      <c r="J43" s="30"/>
    </row>
    <row r="44" spans="1:10" x14ac:dyDescent="0.2">
      <c r="A44" s="71" t="s">
        <v>81</v>
      </c>
      <c r="B44" s="59"/>
      <c r="C44" s="20"/>
      <c r="D44" s="54">
        <f>[1]Main!C244</f>
        <v>901004</v>
      </c>
      <c r="E44" s="54"/>
      <c r="F44" s="54">
        <f t="shared" si="1"/>
        <v>901004</v>
      </c>
      <c r="G44" s="1"/>
      <c r="H44" s="57">
        <f>+H42-H43</f>
        <v>0</v>
      </c>
      <c r="I44" s="30"/>
      <c r="J44" s="30"/>
    </row>
    <row r="45" spans="1:10" x14ac:dyDescent="0.2">
      <c r="A45" s="71" t="s">
        <v>82</v>
      </c>
      <c r="B45" s="59"/>
      <c r="C45" s="20"/>
      <c r="D45" s="54">
        <f>+[7]Main!I11+[7]Main!J11</f>
        <v>714241.68</v>
      </c>
      <c r="E45" s="74">
        <f>[7]Main!J11</f>
        <v>441913.72</v>
      </c>
      <c r="F45" s="54">
        <f t="shared" si="1"/>
        <v>272327.96000000002</v>
      </c>
      <c r="G45" s="1"/>
      <c r="H45" s="30"/>
      <c r="I45" s="30"/>
      <c r="J45" s="30"/>
    </row>
    <row r="46" spans="1:10" x14ac:dyDescent="0.2">
      <c r="A46" s="71" t="s">
        <v>83</v>
      </c>
      <c r="B46" s="59"/>
      <c r="C46" s="20"/>
      <c r="D46" s="54">
        <f>[1]Main!F244</f>
        <v>142956</v>
      </c>
      <c r="E46" s="54">
        <v>0</v>
      </c>
      <c r="F46" s="54">
        <f t="shared" si="1"/>
        <v>142956</v>
      </c>
      <c r="G46" s="1"/>
      <c r="H46" s="30"/>
      <c r="I46" s="30"/>
      <c r="J46" s="30"/>
    </row>
    <row r="47" spans="1:10" x14ac:dyDescent="0.2">
      <c r="A47" s="71" t="s">
        <v>84</v>
      </c>
      <c r="B47" s="59"/>
      <c r="C47" s="7"/>
      <c r="D47" s="54">
        <f>[1]Main!E244</f>
        <v>19205.23</v>
      </c>
      <c r="E47" s="54">
        <v>0</v>
      </c>
      <c r="F47" s="54">
        <f t="shared" si="1"/>
        <v>19205.23</v>
      </c>
      <c r="G47" s="1"/>
      <c r="H47" s="57" t="s">
        <v>49</v>
      </c>
      <c r="I47" s="30"/>
      <c r="J47" s="30"/>
    </row>
    <row r="48" spans="1:10" x14ac:dyDescent="0.2">
      <c r="A48" s="71" t="s">
        <v>85</v>
      </c>
      <c r="B48" s="59"/>
      <c r="C48" s="7"/>
      <c r="D48" s="54">
        <f>[1]Main!G244</f>
        <v>47822</v>
      </c>
      <c r="E48" s="54">
        <v>0</v>
      </c>
      <c r="F48" s="54">
        <f t="shared" si="1"/>
        <v>47822</v>
      </c>
      <c r="G48" s="1"/>
      <c r="H48" s="57">
        <f>+[1]Main!C473</f>
        <v>4699813.6399999997</v>
      </c>
      <c r="I48" s="57"/>
      <c r="J48" s="57"/>
    </row>
    <row r="49" spans="1:10" x14ac:dyDescent="0.2">
      <c r="A49" s="71" t="s">
        <v>86</v>
      </c>
      <c r="B49" s="59"/>
      <c r="C49" s="20"/>
      <c r="D49" s="54">
        <f>[1]Main!C302</f>
        <v>35000</v>
      </c>
      <c r="E49" s="54">
        <v>0</v>
      </c>
      <c r="F49" s="54">
        <f t="shared" si="1"/>
        <v>35000</v>
      </c>
      <c r="G49" s="1"/>
      <c r="H49" s="57">
        <f>+SUM(D44:D54)-E45</f>
        <v>4699813.6399999997</v>
      </c>
      <c r="I49" s="57"/>
      <c r="J49" s="57">
        <f>+H49-H48</f>
        <v>0</v>
      </c>
    </row>
    <row r="50" spans="1:10" x14ac:dyDescent="0.2">
      <c r="A50" s="71" t="s">
        <v>87</v>
      </c>
      <c r="C50" s="8"/>
      <c r="D50" s="76">
        <f>[1]Main!D302</f>
        <v>2905590.83</v>
      </c>
      <c r="E50" s="77">
        <v>0</v>
      </c>
      <c r="F50" s="77">
        <f t="shared" si="1"/>
        <v>2905590.83</v>
      </c>
      <c r="G50" s="5"/>
      <c r="H50" s="57">
        <f>+H48-H49</f>
        <v>0</v>
      </c>
      <c r="I50" s="57"/>
      <c r="J50" s="57"/>
    </row>
    <row r="51" spans="1:10" x14ac:dyDescent="0.2">
      <c r="A51" s="71" t="s">
        <v>88</v>
      </c>
      <c r="B51" s="59"/>
      <c r="C51" s="20"/>
      <c r="D51" s="54">
        <f>+[1]Main!$E302</f>
        <v>16741.63</v>
      </c>
      <c r="E51" s="54">
        <v>0</v>
      </c>
      <c r="F51" s="54">
        <f>D51-E51</f>
        <v>16741.63</v>
      </c>
      <c r="G51" s="4"/>
      <c r="H51" s="30"/>
      <c r="I51" s="30"/>
      <c r="J51" s="30"/>
    </row>
    <row r="52" spans="1:10" x14ac:dyDescent="0.2">
      <c r="A52" s="71" t="s">
        <v>89</v>
      </c>
      <c r="B52" s="59"/>
      <c r="C52" s="20"/>
      <c r="D52" s="54">
        <f>[1]Main!F302</f>
        <v>117364.02</v>
      </c>
      <c r="E52" s="54">
        <v>0</v>
      </c>
      <c r="F52" s="54">
        <f>D52-E52</f>
        <v>117364.02</v>
      </c>
      <c r="G52" s="4"/>
      <c r="H52" s="30"/>
      <c r="I52" s="30"/>
      <c r="J52" s="30"/>
    </row>
    <row r="53" spans="1:10" x14ac:dyDescent="0.2">
      <c r="A53" s="71" t="s">
        <v>90</v>
      </c>
      <c r="B53" s="59"/>
      <c r="C53" s="20"/>
      <c r="D53" s="54">
        <f>[1]Main!G302</f>
        <v>55776</v>
      </c>
      <c r="E53" s="54">
        <v>0</v>
      </c>
      <c r="F53" s="54">
        <f>D53-E53</f>
        <v>55776</v>
      </c>
      <c r="G53" s="1"/>
      <c r="H53" s="57" t="s">
        <v>50</v>
      </c>
      <c r="I53" s="30"/>
      <c r="J53" s="30"/>
    </row>
    <row r="54" spans="1:10" x14ac:dyDescent="0.2">
      <c r="A54" s="71" t="s">
        <v>93</v>
      </c>
      <c r="B54" s="59"/>
      <c r="C54" s="20"/>
      <c r="D54" s="54">
        <f>[1]Main!F359</f>
        <v>186025.97</v>
      </c>
      <c r="E54" s="54">
        <v>0</v>
      </c>
      <c r="F54" s="54">
        <f>D54-E54</f>
        <v>186025.97</v>
      </c>
      <c r="G54" s="1"/>
      <c r="H54" s="57"/>
      <c r="I54" s="30"/>
      <c r="J54" s="30"/>
    </row>
    <row r="55" spans="1:10" x14ac:dyDescent="0.2">
      <c r="A55" s="55" t="s">
        <v>30</v>
      </c>
      <c r="B55" s="78"/>
      <c r="C55" s="79"/>
      <c r="D55" s="64"/>
      <c r="E55" s="64"/>
      <c r="F55" s="64"/>
      <c r="G55" s="1"/>
      <c r="H55" s="57"/>
      <c r="I55" s="30"/>
      <c r="J55" s="30"/>
    </row>
    <row r="56" spans="1:10" x14ac:dyDescent="0.2">
      <c r="A56" s="71" t="s">
        <v>60</v>
      </c>
      <c r="B56" s="59"/>
      <c r="C56" s="20"/>
      <c r="D56" s="54">
        <f>[1]Main!C416</f>
        <v>102965.74</v>
      </c>
      <c r="E56" s="54">
        <v>0</v>
      </c>
      <c r="F56" s="54">
        <f>D56-E56</f>
        <v>102965.74</v>
      </c>
      <c r="G56" s="1"/>
      <c r="H56" s="57">
        <f>+[1]Main!G416</f>
        <v>169142.35</v>
      </c>
      <c r="I56" s="30"/>
      <c r="J56" s="30"/>
    </row>
    <row r="57" spans="1:10" x14ac:dyDescent="0.2">
      <c r="A57" s="71" t="s">
        <v>63</v>
      </c>
      <c r="B57" s="59"/>
      <c r="C57" s="20"/>
      <c r="D57" s="54">
        <f>[1]Main!D416</f>
        <v>13412.21</v>
      </c>
      <c r="E57" s="54">
        <v>0</v>
      </c>
      <c r="F57" s="54">
        <f>D57-E57</f>
        <v>13412.21</v>
      </c>
      <c r="G57" s="4"/>
      <c r="H57" s="57">
        <f>SUM(D56:D59)</f>
        <v>169142.35</v>
      </c>
      <c r="I57" s="30"/>
      <c r="J57" s="30"/>
    </row>
    <row r="58" spans="1:10" x14ac:dyDescent="0.2">
      <c r="A58" s="71" t="s">
        <v>91</v>
      </c>
      <c r="B58" s="59"/>
      <c r="C58" s="20"/>
      <c r="D58" s="54">
        <f>[1]Main!E416</f>
        <v>0</v>
      </c>
      <c r="E58" s="54">
        <v>0</v>
      </c>
      <c r="F58" s="54">
        <f>D58-E58</f>
        <v>0</v>
      </c>
      <c r="G58" s="4"/>
      <c r="H58" s="57">
        <f>+H56-H57</f>
        <v>0</v>
      </c>
      <c r="I58" s="30"/>
      <c r="J58" s="30"/>
    </row>
    <row r="59" spans="1:10" x14ac:dyDescent="0.2">
      <c r="A59" s="71" t="s">
        <v>92</v>
      </c>
      <c r="B59" s="59"/>
      <c r="C59" s="20"/>
      <c r="D59" s="54">
        <f>[1]Main!F416</f>
        <v>52764.4</v>
      </c>
      <c r="E59" s="54">
        <v>0</v>
      </c>
      <c r="F59" s="54">
        <f>D59-E59</f>
        <v>52764.4</v>
      </c>
      <c r="G59" s="1"/>
      <c r="H59" s="30"/>
      <c r="I59" s="30"/>
      <c r="J59" s="30"/>
    </row>
    <row r="60" spans="1:10" x14ac:dyDescent="0.2">
      <c r="A60" s="55" t="s">
        <v>31</v>
      </c>
      <c r="B60" s="78"/>
      <c r="C60" s="79"/>
      <c r="D60" s="64"/>
      <c r="E60" s="64"/>
      <c r="F60" s="64"/>
      <c r="G60" s="1"/>
      <c r="H60" s="30"/>
      <c r="I60" s="30"/>
      <c r="J60" s="30"/>
    </row>
    <row r="61" spans="1:10" x14ac:dyDescent="0.2">
      <c r="A61" s="58" t="s">
        <v>69</v>
      </c>
      <c r="B61" s="59"/>
      <c r="C61" s="20"/>
      <c r="D61" s="54">
        <f>+[1]Main!$G529</f>
        <v>3541058.29</v>
      </c>
      <c r="E61" s="54">
        <f>+[1]Main!$D529</f>
        <v>2365613.9300000002</v>
      </c>
      <c r="F61" s="54">
        <f>+D61-E61</f>
        <v>1175444.3600000001</v>
      </c>
      <c r="G61" s="1"/>
      <c r="H61" s="30"/>
      <c r="I61" s="30"/>
      <c r="J61" s="30"/>
    </row>
    <row r="62" spans="1:10" x14ac:dyDescent="0.2">
      <c r="A62" s="59" t="s">
        <v>68</v>
      </c>
      <c r="B62" s="59"/>
      <c r="C62" s="20"/>
      <c r="D62" s="54">
        <f>+[1]Main!$G584</f>
        <v>2360705.5299999998</v>
      </c>
      <c r="E62" s="54">
        <f>+[1]Main!$D584</f>
        <v>1628649.86</v>
      </c>
      <c r="F62" s="54">
        <f>+D62-E62</f>
        <v>732055.67</v>
      </c>
      <c r="G62" s="1"/>
      <c r="H62" s="30"/>
      <c r="I62" s="30"/>
      <c r="J62" s="30"/>
    </row>
    <row r="63" spans="1:10" ht="13.5" thickBot="1" x14ac:dyDescent="0.25">
      <c r="A63" s="80"/>
      <c r="B63" s="81"/>
      <c r="C63" s="82" t="s">
        <v>29</v>
      </c>
      <c r="D63" s="83">
        <f>SUM(D30:D62)</f>
        <v>64897838.5</v>
      </c>
      <c r="E63" s="83">
        <f>SUM(E30:E62)</f>
        <v>11256148.51</v>
      </c>
      <c r="F63" s="83">
        <f>SUM(F30:F62)</f>
        <v>53641689.990000002</v>
      </c>
      <c r="G63" s="1"/>
      <c r="H63" s="30"/>
      <c r="I63" s="30"/>
      <c r="J63" s="30"/>
    </row>
    <row r="64" spans="1:10" ht="13.5" thickTop="1" x14ac:dyDescent="0.2">
      <c r="A64" s="84"/>
      <c r="B64" s="59"/>
      <c r="C64" s="85"/>
      <c r="D64" s="86"/>
      <c r="E64" s="86"/>
      <c r="F64" s="87"/>
      <c r="G64" s="1"/>
      <c r="H64" s="30"/>
      <c r="I64" s="30"/>
      <c r="J64" s="30"/>
    </row>
    <row r="65" spans="1:10" x14ac:dyDescent="0.2">
      <c r="A65" s="88" t="s">
        <v>40</v>
      </c>
      <c r="B65" s="78"/>
      <c r="C65" s="89"/>
      <c r="D65" s="90"/>
      <c r="E65" s="91"/>
      <c r="F65" s="92" t="s">
        <v>36</v>
      </c>
      <c r="G65" s="6"/>
      <c r="H65" s="57" t="s">
        <v>51</v>
      </c>
      <c r="I65" s="30"/>
      <c r="J65" s="57" t="s">
        <v>7</v>
      </c>
    </row>
    <row r="66" spans="1:10" x14ac:dyDescent="0.2">
      <c r="A66" s="93" t="s">
        <v>33</v>
      </c>
      <c r="B66" s="94"/>
      <c r="C66" s="95"/>
      <c r="D66" s="96"/>
      <c r="E66" s="96"/>
      <c r="F66" s="91"/>
      <c r="G66" s="6"/>
      <c r="H66" s="30"/>
      <c r="I66" s="30"/>
      <c r="J66" s="30"/>
    </row>
    <row r="67" spans="1:10" x14ac:dyDescent="0.2">
      <c r="A67" s="59" t="s">
        <v>34</v>
      </c>
      <c r="B67" s="59"/>
      <c r="C67" s="22"/>
      <c r="D67" s="27"/>
      <c r="E67" s="27"/>
      <c r="F67" s="97">
        <f>+[8]Main!$C12</f>
        <v>0</v>
      </c>
      <c r="G67" s="5"/>
      <c r="H67" s="57">
        <f>+[1]Main!G640</f>
        <v>5901763.8200000003</v>
      </c>
      <c r="I67" s="30"/>
      <c r="J67" s="57">
        <f>+[1]Main!E640+[1]Main!F640</f>
        <v>1907500.03</v>
      </c>
    </row>
    <row r="68" spans="1:10" x14ac:dyDescent="0.2">
      <c r="A68" s="59" t="s">
        <v>66</v>
      </c>
      <c r="B68" s="59"/>
      <c r="C68" s="22"/>
      <c r="D68" s="27"/>
      <c r="E68" s="27"/>
      <c r="F68" s="97">
        <f>+[8]Main!$D12</f>
        <v>0</v>
      </c>
      <c r="G68" s="5"/>
      <c r="H68" s="57">
        <f>+D61+D62</f>
        <v>5901763.8200000003</v>
      </c>
      <c r="I68" s="30"/>
      <c r="J68" s="57">
        <f>+F61+F62</f>
        <v>1907500.03</v>
      </c>
    </row>
    <row r="69" spans="1:10" x14ac:dyDescent="0.2">
      <c r="A69" s="32" t="s">
        <v>65</v>
      </c>
      <c r="B69" s="32"/>
      <c r="C69" s="22"/>
      <c r="D69" s="28"/>
      <c r="E69" s="28"/>
      <c r="F69" s="97">
        <f>+[8]Main!$E12</f>
        <v>37993</v>
      </c>
      <c r="G69" s="1"/>
      <c r="H69" s="57">
        <f>+H67-H68</f>
        <v>0</v>
      </c>
      <c r="I69" s="30"/>
      <c r="J69" s="57">
        <f>+J67-J68</f>
        <v>0</v>
      </c>
    </row>
    <row r="70" spans="1:10" x14ac:dyDescent="0.2">
      <c r="A70" s="32" t="s">
        <v>67</v>
      </c>
      <c r="B70" s="32"/>
      <c r="C70" s="22"/>
      <c r="D70" s="28"/>
      <c r="E70" s="28"/>
      <c r="F70" s="97">
        <f>+[8]Main!$F12</f>
        <v>75430</v>
      </c>
      <c r="G70" s="1"/>
      <c r="H70" s="30"/>
      <c r="I70" s="30"/>
      <c r="J70" s="30"/>
    </row>
    <row r="71" spans="1:10" x14ac:dyDescent="0.2">
      <c r="A71" s="88" t="s">
        <v>35</v>
      </c>
      <c r="B71" s="78"/>
      <c r="C71" s="89"/>
      <c r="D71" s="90"/>
      <c r="E71" s="91"/>
      <c r="F71" s="54">
        <f>+[8]Main!$C70</f>
        <v>34787.360000000001</v>
      </c>
      <c r="G71" s="1"/>
      <c r="H71" s="30"/>
      <c r="I71" s="30"/>
      <c r="J71" s="30"/>
    </row>
    <row r="72" spans="1:10" ht="13.5" thickBot="1" x14ac:dyDescent="0.25">
      <c r="A72" s="98"/>
      <c r="B72" s="99"/>
      <c r="C72" s="100" t="s">
        <v>29</v>
      </c>
      <c r="D72" s="101"/>
      <c r="E72" s="102"/>
      <c r="F72" s="103">
        <f>SUM(F67:F71)</f>
        <v>148210.35999999999</v>
      </c>
      <c r="G72" s="1"/>
      <c r="H72" s="30"/>
      <c r="I72" s="30"/>
      <c r="J72" s="30"/>
    </row>
    <row r="73" spans="1:10" ht="13.5" thickBot="1" x14ac:dyDescent="0.25">
      <c r="A73" s="104"/>
      <c r="B73" s="105"/>
      <c r="C73" s="106" t="s">
        <v>53</v>
      </c>
      <c r="D73" s="107"/>
      <c r="E73" s="108"/>
      <c r="F73" s="109">
        <f>+F72+F63</f>
        <v>53789900.350000001</v>
      </c>
      <c r="G73" s="1"/>
      <c r="H73" s="57" t="s">
        <v>54</v>
      </c>
      <c r="I73" s="30"/>
      <c r="J73" s="30"/>
    </row>
    <row r="74" spans="1:10" x14ac:dyDescent="0.2">
      <c r="A74" s="11"/>
      <c r="B74" s="12"/>
      <c r="C74" s="9"/>
      <c r="D74" s="29"/>
      <c r="E74" s="29"/>
      <c r="F74" s="110"/>
      <c r="G74" s="1"/>
      <c r="H74" s="57">
        <f>+[8]Main!$G12</f>
        <v>113423</v>
      </c>
      <c r="I74" s="30"/>
      <c r="J74" s="30"/>
    </row>
    <row r="75" spans="1:10" x14ac:dyDescent="0.2">
      <c r="A75" s="11"/>
      <c r="B75" s="12"/>
      <c r="C75" s="9"/>
      <c r="D75" s="29"/>
      <c r="E75" s="29"/>
      <c r="F75" s="110"/>
      <c r="G75" s="1"/>
      <c r="H75" s="57">
        <f>SUM(F67:F70)</f>
        <v>113423</v>
      </c>
      <c r="I75" s="30"/>
      <c r="J75" s="30"/>
    </row>
    <row r="76" spans="1:10" x14ac:dyDescent="0.2">
      <c r="A76" s="1"/>
      <c r="B76" s="1"/>
      <c r="C76" s="7"/>
      <c r="D76" s="26"/>
      <c r="E76" s="26"/>
      <c r="F76" s="86">
        <f>+F72+F63</f>
        <v>53789900.350000001</v>
      </c>
      <c r="G76" s="1"/>
      <c r="H76" s="57">
        <f>+H74-H75</f>
        <v>0</v>
      </c>
      <c r="I76" s="30"/>
      <c r="J76" s="30"/>
    </row>
    <row r="77" spans="1:10" x14ac:dyDescent="0.2">
      <c r="A77" s="1"/>
      <c r="B77" s="1"/>
      <c r="C77" s="7"/>
      <c r="D77" s="26"/>
      <c r="E77" s="26"/>
      <c r="F77" s="86">
        <f>+[1]Main!$F756</f>
        <v>53789900.359999999</v>
      </c>
      <c r="G77" s="1"/>
      <c r="H77" s="30"/>
      <c r="I77" s="30"/>
      <c r="J77" s="30"/>
    </row>
    <row r="78" spans="1:10" x14ac:dyDescent="0.2">
      <c r="A78" s="1"/>
      <c r="B78" s="1"/>
      <c r="C78" s="7"/>
      <c r="D78" s="26"/>
      <c r="E78" s="86">
        <f>+E63+[1]Main!$E756</f>
        <v>0</v>
      </c>
      <c r="F78" s="86">
        <f>+F77-F76</f>
        <v>0.01</v>
      </c>
      <c r="G78" s="1"/>
      <c r="H78" s="30"/>
      <c r="I78" s="30"/>
      <c r="J78" s="30"/>
    </row>
    <row r="79" spans="1:10" x14ac:dyDescent="0.2">
      <c r="A79" s="1"/>
      <c r="B79" s="1"/>
      <c r="C79" s="7"/>
      <c r="D79" s="26"/>
      <c r="E79" s="26"/>
      <c r="F79" s="26"/>
      <c r="G79" s="1"/>
      <c r="H79" s="30"/>
      <c r="I79" s="30"/>
      <c r="J79" s="30"/>
    </row>
    <row r="80" spans="1:10" x14ac:dyDescent="0.2">
      <c r="A80" s="1"/>
      <c r="B80" s="1"/>
      <c r="C80" s="7"/>
      <c r="D80" s="26"/>
      <c r="E80" s="26"/>
      <c r="F80" s="26"/>
      <c r="G80" s="1"/>
      <c r="H80" s="30"/>
      <c r="I80" s="30"/>
      <c r="J80" s="30"/>
    </row>
    <row r="81" spans="1:10" x14ac:dyDescent="0.2">
      <c r="A81" s="1"/>
      <c r="B81" s="1"/>
      <c r="C81" s="7"/>
      <c r="D81" s="26"/>
      <c r="E81" s="26"/>
      <c r="F81" s="26"/>
      <c r="G81" s="1"/>
      <c r="H81" s="111" t="s">
        <v>55</v>
      </c>
      <c r="I81" s="30"/>
      <c r="J81" s="30"/>
    </row>
    <row r="82" spans="1:10" x14ac:dyDescent="0.2">
      <c r="A82" s="8"/>
      <c r="B82" s="8"/>
      <c r="C82" s="8"/>
      <c r="D82" s="8"/>
      <c r="E82" s="8"/>
      <c r="F82" s="8"/>
      <c r="G82" s="1"/>
      <c r="H82" s="13"/>
      <c r="I82" s="3"/>
      <c r="J82" s="3"/>
    </row>
    <row r="83" spans="1:10" x14ac:dyDescent="0.2">
      <c r="A83" s="8"/>
      <c r="B83" s="8"/>
      <c r="C83" s="8"/>
      <c r="D83" s="8"/>
      <c r="E83" s="8"/>
      <c r="F83" s="8"/>
      <c r="G83" s="1"/>
      <c r="H83" s="3"/>
      <c r="I83" s="3"/>
      <c r="J83" s="3"/>
    </row>
    <row r="84" spans="1:10" x14ac:dyDescent="0.2">
      <c r="A84" s="8"/>
      <c r="B84" s="8"/>
      <c r="C84" s="8"/>
      <c r="D84" s="8"/>
      <c r="E84" s="8"/>
      <c r="F84" s="8"/>
      <c r="G84" s="1"/>
      <c r="H84" s="3"/>
      <c r="I84" s="3"/>
      <c r="J84" s="3"/>
    </row>
    <row r="85" spans="1:10" x14ac:dyDescent="0.2">
      <c r="A85" s="8"/>
      <c r="B85" s="8"/>
      <c r="C85" s="8"/>
      <c r="D85" s="8"/>
      <c r="E85" s="8"/>
      <c r="F85" s="8"/>
      <c r="G85" s="1"/>
      <c r="H85" s="3"/>
      <c r="I85" s="3"/>
      <c r="J85" s="3"/>
    </row>
    <row r="86" spans="1:10" x14ac:dyDescent="0.2">
      <c r="A86" s="8"/>
      <c r="B86" s="8"/>
      <c r="C86" s="8"/>
      <c r="D86" s="8"/>
      <c r="E86" s="8"/>
      <c r="F86" s="8"/>
      <c r="G86" s="1"/>
      <c r="H86" s="3"/>
      <c r="I86" s="3"/>
      <c r="J86" s="3"/>
    </row>
    <row r="87" spans="1:10" x14ac:dyDescent="0.2">
      <c r="G87" s="59"/>
      <c r="H87" s="71"/>
      <c r="I87" s="112"/>
      <c r="J87" s="112"/>
    </row>
    <row r="88" spans="1:10" x14ac:dyDescent="0.2">
      <c r="G88" s="59"/>
      <c r="H88" s="112"/>
      <c r="I88" s="112"/>
      <c r="J88" s="112"/>
    </row>
  </sheetData>
  <mergeCells count="1">
    <mergeCell ref="D6:E6"/>
  </mergeCells>
  <phoneticPr fontId="0" type="noConversion"/>
  <printOptions horizontalCentered="1" verticalCentered="1"/>
  <pageMargins left="0.5" right="0.25" top="0.5" bottom="0.5" header="0.5" footer="0.5"/>
  <pageSetup scale="89" orientation="portrait" horizontalDpi="1200" r:id="rId1"/>
  <headerFooter alignWithMargins="0">
    <oddHeader>&amp;R&amp;8Current as of: &amp;D</oddHeader>
    <oddFooter>&amp;L&amp;8USOE, Finance and Statistics&amp;R&amp;8&amp;F</oddFooter>
  </headerFooter>
  <picture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89"/>
  <sheetViews>
    <sheetView topLeftCell="A34" workbookViewId="0">
      <selection activeCell="B11" sqref="B11"/>
    </sheetView>
  </sheetViews>
  <sheetFormatPr defaultColWidth="18.28515625" defaultRowHeight="12.75" x14ac:dyDescent="0.2"/>
  <cols>
    <col min="1" max="1" width="27" style="75" customWidth="1"/>
    <col min="2" max="2" width="16.7109375" style="75" customWidth="1"/>
    <col min="3" max="3" width="15.85546875" style="75" customWidth="1"/>
    <col min="4" max="4" width="16.28515625" style="75" customWidth="1"/>
    <col min="5" max="5" width="15.5703125" style="75" customWidth="1"/>
    <col min="6" max="6" width="17.42578125" style="75" customWidth="1"/>
    <col min="7" max="7" width="5.7109375" style="75" customWidth="1"/>
    <col min="8" max="8" width="21.5703125" style="75" customWidth="1"/>
    <col min="9" max="9" width="5" style="75" customWidth="1"/>
    <col min="10" max="10" width="20.85546875" style="75" customWidth="1"/>
    <col min="11" max="16384" width="18.28515625" style="75"/>
  </cols>
  <sheetData>
    <row r="1" spans="1:10" x14ac:dyDescent="0.2">
      <c r="A1" s="8"/>
      <c r="B1" s="8"/>
      <c r="C1" s="8"/>
      <c r="D1" s="8"/>
      <c r="E1" s="8"/>
      <c r="F1" s="8"/>
      <c r="G1" s="8"/>
      <c r="H1" s="8"/>
      <c r="I1" s="8"/>
      <c r="J1" s="8"/>
    </row>
    <row r="2" spans="1:10" x14ac:dyDescent="0.2">
      <c r="A2" s="8"/>
      <c r="B2" s="8"/>
      <c r="C2" s="8"/>
      <c r="D2" s="8"/>
      <c r="E2" s="8"/>
      <c r="F2" s="8"/>
      <c r="G2" s="8"/>
      <c r="H2" s="8"/>
      <c r="I2" s="8"/>
      <c r="J2" s="8"/>
    </row>
    <row r="3" spans="1:10" x14ac:dyDescent="0.2">
      <c r="A3" s="8"/>
      <c r="B3" s="8"/>
      <c r="C3" s="8"/>
      <c r="D3" s="8"/>
      <c r="E3" s="8"/>
      <c r="F3" s="8"/>
      <c r="G3" s="8"/>
      <c r="H3" s="8"/>
      <c r="I3" s="8"/>
      <c r="J3" s="8"/>
    </row>
    <row r="4" spans="1:10" x14ac:dyDescent="0.2">
      <c r="A4" s="32" t="s">
        <v>0</v>
      </c>
      <c r="B4" s="33">
        <v>3184</v>
      </c>
      <c r="C4" s="34" t="s">
        <v>1</v>
      </c>
      <c r="D4" s="35"/>
      <c r="E4" s="35"/>
      <c r="F4" s="35"/>
      <c r="G4" s="1"/>
      <c r="H4" s="30"/>
      <c r="I4" s="30"/>
      <c r="J4" s="30"/>
    </row>
    <row r="5" spans="1:10" x14ac:dyDescent="0.2">
      <c r="A5" s="32" t="s">
        <v>61</v>
      </c>
      <c r="B5" s="36">
        <f>+[1]Main!$C530</f>
        <v>1.524E-3</v>
      </c>
      <c r="C5" s="34" t="s">
        <v>41</v>
      </c>
      <c r="D5" s="35"/>
      <c r="E5" s="35"/>
      <c r="F5" s="35"/>
      <c r="G5" s="1"/>
      <c r="H5" s="30"/>
      <c r="I5" s="30"/>
      <c r="J5" s="30"/>
    </row>
    <row r="6" spans="1:10" x14ac:dyDescent="0.2">
      <c r="A6" s="32" t="s">
        <v>62</v>
      </c>
      <c r="B6" s="36">
        <f>+[1]Main!$C585</f>
        <v>1.1800000000000001E-3</v>
      </c>
      <c r="C6" s="34" t="s">
        <v>95</v>
      </c>
      <c r="D6" s="35"/>
      <c r="E6" s="37"/>
      <c r="F6" s="35"/>
      <c r="G6" s="1"/>
      <c r="H6" s="30"/>
      <c r="I6" s="30"/>
      <c r="J6" s="30"/>
    </row>
    <row r="7" spans="1:10" x14ac:dyDescent="0.2">
      <c r="A7" s="38" t="s">
        <v>32</v>
      </c>
      <c r="B7" s="39">
        <f>[2]Sheet1!E12</f>
        <v>4073761016</v>
      </c>
      <c r="C7" s="21"/>
      <c r="D7" s="31"/>
      <c r="E7" s="31"/>
      <c r="F7" s="23"/>
      <c r="G7" s="1"/>
      <c r="H7" s="30"/>
      <c r="I7" s="30"/>
      <c r="J7" s="30"/>
    </row>
    <row r="8" spans="1:10" x14ac:dyDescent="0.2">
      <c r="A8" s="32" t="s">
        <v>2</v>
      </c>
      <c r="B8" s="40">
        <f>[2]Sheet1!F12</f>
        <v>0.95760000000000001</v>
      </c>
      <c r="C8" s="7"/>
      <c r="D8" s="41" t="s">
        <v>3</v>
      </c>
      <c r="E8" s="42" t="str">
        <f>+[3]main!B13</f>
        <v>Cache</v>
      </c>
      <c r="F8" s="43">
        <f>+[3]main!A13</f>
        <v>4</v>
      </c>
      <c r="G8" s="1"/>
      <c r="H8" s="30"/>
      <c r="I8" s="30"/>
      <c r="J8" s="30"/>
    </row>
    <row r="9" spans="1:10" x14ac:dyDescent="0.2">
      <c r="A9" s="32" t="s">
        <v>4</v>
      </c>
      <c r="B9" s="44">
        <f>[2]Sheet1!G12</f>
        <v>1.6750000000000001E-3</v>
      </c>
      <c r="C9" s="8"/>
      <c r="D9" s="24"/>
      <c r="E9" s="25"/>
      <c r="F9" s="24"/>
      <c r="G9" s="1"/>
      <c r="H9" s="30"/>
      <c r="I9" s="30"/>
      <c r="J9" s="30"/>
    </row>
    <row r="10" spans="1:10" x14ac:dyDescent="0.2">
      <c r="A10" s="32" t="s">
        <v>5</v>
      </c>
      <c r="B10" s="45">
        <f>[2]Sheet1!$C$68</f>
        <v>7493118</v>
      </c>
      <c r="C10" s="46"/>
      <c r="D10" s="47" t="s">
        <v>38</v>
      </c>
      <c r="E10" s="48" t="s">
        <v>7</v>
      </c>
      <c r="F10" s="47" t="s">
        <v>6</v>
      </c>
      <c r="G10" s="1"/>
      <c r="H10" s="30"/>
      <c r="I10" s="30"/>
      <c r="J10" s="30"/>
    </row>
    <row r="11" spans="1:10" x14ac:dyDescent="0.2">
      <c r="A11" s="32" t="s">
        <v>8</v>
      </c>
      <c r="B11" s="45">
        <f>+B10</f>
        <v>7493118</v>
      </c>
      <c r="C11" s="49"/>
      <c r="D11" s="50" t="s">
        <v>9</v>
      </c>
      <c r="E11" s="50" t="s">
        <v>37</v>
      </c>
      <c r="F11" s="50" t="s">
        <v>10</v>
      </c>
      <c r="G11" s="1"/>
      <c r="H11" s="30"/>
      <c r="I11" s="30"/>
      <c r="J11" s="30"/>
    </row>
    <row r="12" spans="1:10" x14ac:dyDescent="0.2">
      <c r="A12" s="32" t="s">
        <v>11</v>
      </c>
      <c r="B12" s="45">
        <v>0</v>
      </c>
      <c r="C12" s="51" t="s">
        <v>39</v>
      </c>
      <c r="D12" s="52" t="s">
        <v>12</v>
      </c>
      <c r="E12" s="52" t="s">
        <v>9</v>
      </c>
      <c r="F12" s="52" t="s">
        <v>9</v>
      </c>
      <c r="G12" s="1"/>
      <c r="H12" s="30"/>
      <c r="I12" s="30"/>
      <c r="J12" s="30"/>
    </row>
    <row r="13" spans="1:10" x14ac:dyDescent="0.2">
      <c r="A13" s="32" t="s">
        <v>70</v>
      </c>
      <c r="B13" s="45">
        <f>'[4]LRF FY17'!U10</f>
        <v>230845</v>
      </c>
      <c r="C13" s="53"/>
      <c r="D13" s="54"/>
      <c r="E13" s="54"/>
      <c r="F13" s="54" t="s">
        <v>14</v>
      </c>
      <c r="G13" s="1"/>
      <c r="H13" s="30"/>
      <c r="I13" s="30"/>
      <c r="J13" s="30"/>
    </row>
    <row r="14" spans="1:10" x14ac:dyDescent="0.2">
      <c r="A14" s="55" t="s">
        <v>13</v>
      </c>
      <c r="B14" s="56"/>
      <c r="C14" s="53"/>
      <c r="D14" s="54"/>
      <c r="E14" s="54"/>
      <c r="F14" s="54"/>
      <c r="G14" s="2"/>
      <c r="H14" s="30"/>
      <c r="I14" s="30"/>
      <c r="J14" s="30"/>
    </row>
    <row r="15" spans="1:10" x14ac:dyDescent="0.2">
      <c r="A15" s="55" t="s">
        <v>15</v>
      </c>
      <c r="B15" s="56"/>
      <c r="C15" s="53"/>
      <c r="D15" s="54"/>
      <c r="E15" s="54"/>
      <c r="F15" s="54"/>
      <c r="G15" s="2"/>
      <c r="H15" s="57" t="s">
        <v>43</v>
      </c>
      <c r="I15" s="30"/>
      <c r="J15" s="57" t="s">
        <v>45</v>
      </c>
    </row>
    <row r="16" spans="1:10" x14ac:dyDescent="0.2">
      <c r="A16" s="58" t="s">
        <v>16</v>
      </c>
      <c r="B16" s="59"/>
      <c r="C16" s="60">
        <f>[3]main!C187-[3]main!F129</f>
        <v>16420.138999999999</v>
      </c>
      <c r="D16" s="61">
        <f>[3]main!E187-[3]main!H129</f>
        <v>52281721.759999998</v>
      </c>
      <c r="E16" s="62">
        <f>IF(B11&gt;D16,D16,B11)</f>
        <v>7493118</v>
      </c>
      <c r="F16" s="62">
        <f>D16-E16</f>
        <v>44788603.759999998</v>
      </c>
      <c r="G16" s="1"/>
      <c r="H16" s="57">
        <f>[3]main!H246</f>
        <v>57116966.140000001</v>
      </c>
      <c r="I16" s="30"/>
      <c r="J16" s="57">
        <f>'[5]Sheet 1'!E70</f>
        <v>72341663.780000001</v>
      </c>
    </row>
    <row r="17" spans="1:10" x14ac:dyDescent="0.2">
      <c r="A17" s="58" t="s">
        <v>17</v>
      </c>
      <c r="B17" s="59"/>
      <c r="C17" s="53">
        <f>[3]main!F129</f>
        <v>0</v>
      </c>
      <c r="D17" s="54">
        <f>[3]main!H129</f>
        <v>0</v>
      </c>
      <c r="E17" s="54">
        <f>IF(B10-SUM(E14:E16)&gt;D17,D17,B10-SUM(E14:E16))</f>
        <v>0</v>
      </c>
      <c r="F17" s="54">
        <f>D17-E17</f>
        <v>0</v>
      </c>
      <c r="G17" s="1"/>
      <c r="H17" s="57">
        <f>SUM(D16:D20)</f>
        <v>57116966.140000001</v>
      </c>
      <c r="I17" s="30"/>
      <c r="J17" s="57">
        <f>D31</f>
        <v>72341663.780000001</v>
      </c>
    </row>
    <row r="18" spans="1:10" x14ac:dyDescent="0.2">
      <c r="A18" s="58" t="s">
        <v>18</v>
      </c>
      <c r="B18" s="59"/>
      <c r="C18" s="53">
        <f>[3]main!F187</f>
        <v>1506.607</v>
      </c>
      <c r="D18" s="54">
        <f>[3]main!H187</f>
        <v>4797036.38</v>
      </c>
      <c r="E18" s="54">
        <f>IF(B11-SUM(E16:E17)&gt;D18,D18,B11-SUM(E16:E17))</f>
        <v>0</v>
      </c>
      <c r="F18" s="54">
        <f>D18-E18</f>
        <v>4797036.38</v>
      </c>
      <c r="G18" s="1"/>
      <c r="H18" s="57">
        <f>+H16-H17</f>
        <v>0</v>
      </c>
      <c r="I18" s="30"/>
      <c r="J18" s="57">
        <f>+J16-J17</f>
        <v>0</v>
      </c>
    </row>
    <row r="19" spans="1:10" x14ac:dyDescent="0.2">
      <c r="A19" s="58" t="s">
        <v>19</v>
      </c>
      <c r="B19" s="59"/>
      <c r="C19" s="53">
        <f>[3]main!C246</f>
        <v>0</v>
      </c>
      <c r="D19" s="54">
        <f>[3]main!E246</f>
        <v>0</v>
      </c>
      <c r="E19" s="54">
        <f>IF(B11-SUM(E16:E18)&gt;D19,D19,B11-SUM(E16:E18))</f>
        <v>0</v>
      </c>
      <c r="F19" s="54">
        <f>D19-E19</f>
        <v>0</v>
      </c>
      <c r="G19" s="1"/>
      <c r="H19" s="30"/>
      <c r="I19" s="30"/>
      <c r="J19" s="30"/>
    </row>
    <row r="20" spans="1:10" x14ac:dyDescent="0.2">
      <c r="A20" s="58" t="s">
        <v>42</v>
      </c>
      <c r="B20" s="59"/>
      <c r="C20" s="53">
        <f>[3]main!C70</f>
        <v>12</v>
      </c>
      <c r="D20" s="54">
        <f>[3]main!E70</f>
        <v>38208</v>
      </c>
      <c r="E20" s="54">
        <f>IF(B11-SUM(E16:E19)&gt;D20,D20,B11-SUM(E16:E19))</f>
        <v>0</v>
      </c>
      <c r="F20" s="54">
        <f>D20-E20</f>
        <v>38208</v>
      </c>
      <c r="G20" s="1"/>
      <c r="H20" s="30"/>
      <c r="I20" s="30"/>
      <c r="J20" s="30"/>
    </row>
    <row r="21" spans="1:10" x14ac:dyDescent="0.2">
      <c r="A21" s="55" t="s">
        <v>20</v>
      </c>
      <c r="B21" s="56"/>
      <c r="C21" s="63"/>
      <c r="D21" s="64"/>
      <c r="E21" s="64"/>
      <c r="F21" s="64" t="s">
        <v>14</v>
      </c>
      <c r="G21" s="1"/>
      <c r="H21" s="57" t="s">
        <v>44</v>
      </c>
      <c r="I21" s="30"/>
      <c r="J21" s="30"/>
    </row>
    <row r="22" spans="1:10" x14ac:dyDescent="0.2">
      <c r="A22" s="58" t="s">
        <v>21</v>
      </c>
      <c r="B22" s="59"/>
      <c r="C22" s="53">
        <f>'[6]Sheet 1'!C12</f>
        <v>1924.723</v>
      </c>
      <c r="D22" s="54">
        <f>'[6]Sheet 1'!E12</f>
        <v>6128316.8600000003</v>
      </c>
      <c r="E22" s="54">
        <f>IF(B11-SUM(E16:E21)&gt;D22,D22,B11-SUM(E16:E21))</f>
        <v>0</v>
      </c>
      <c r="F22" s="54">
        <f t="shared" ref="F22:F30" si="0">D22-E22</f>
        <v>6128316.8600000003</v>
      </c>
      <c r="G22" s="1"/>
      <c r="H22" s="57">
        <f>'[6]Sheet 1'!N128</f>
        <v>8991138.0600000005</v>
      </c>
      <c r="I22" s="30"/>
      <c r="J22" s="30"/>
    </row>
    <row r="23" spans="1:10" x14ac:dyDescent="0.2">
      <c r="A23" s="59" t="s">
        <v>22</v>
      </c>
      <c r="B23" s="59"/>
      <c r="C23" s="53">
        <f>'[6]Sheet 1'!F12</f>
        <v>349.98</v>
      </c>
      <c r="D23" s="54">
        <f>'[6]Sheet 1'!H12</f>
        <v>1114336.32</v>
      </c>
      <c r="E23" s="54">
        <f>IF(B11-SUM(E16:E22)&gt;D23,D23,B11-SUM(E16:E22))</f>
        <v>0</v>
      </c>
      <c r="F23" s="54">
        <f t="shared" si="0"/>
        <v>1114336.32</v>
      </c>
      <c r="G23" s="1"/>
      <c r="H23" s="57">
        <f>SUM(D22:D28)</f>
        <v>8991138.0600000005</v>
      </c>
      <c r="I23" s="30"/>
      <c r="J23" s="30"/>
    </row>
    <row r="24" spans="1:10" x14ac:dyDescent="0.2">
      <c r="A24" s="59" t="s">
        <v>23</v>
      </c>
      <c r="B24" s="59"/>
      <c r="C24" s="53">
        <f>'[6]Sheet 1'!C70</f>
        <v>480.69</v>
      </c>
      <c r="D24" s="54">
        <f>'[6]Sheet 1'!E70</f>
        <v>1530516.96</v>
      </c>
      <c r="E24" s="54">
        <f>IF(B11-SUM(E16:E23)&gt;D24,D24,B11-SUM(E16:E23))</f>
        <v>0</v>
      </c>
      <c r="F24" s="54">
        <f t="shared" si="0"/>
        <v>1530516.96</v>
      </c>
      <c r="G24" s="1"/>
      <c r="H24" s="57">
        <f>+H22-H23</f>
        <v>0</v>
      </c>
      <c r="I24" s="30"/>
      <c r="J24" s="30"/>
    </row>
    <row r="25" spans="1:10" x14ac:dyDescent="0.2">
      <c r="A25" s="58" t="s">
        <v>24</v>
      </c>
      <c r="B25" s="59"/>
      <c r="C25" s="53">
        <f>'[6]Sheet 1'!F70</f>
        <v>11.023</v>
      </c>
      <c r="D25" s="54">
        <f>'[6]Sheet 1'!H70</f>
        <v>35097.42</v>
      </c>
      <c r="E25" s="54">
        <f>IF(B11-SUM(E16:E24)&gt;D25,D25,B11-SUM(E16:E24))</f>
        <v>0</v>
      </c>
      <c r="F25" s="54">
        <f t="shared" si="0"/>
        <v>35097.42</v>
      </c>
      <c r="G25" s="1"/>
      <c r="H25" s="30"/>
      <c r="I25" s="30"/>
      <c r="J25" s="30"/>
    </row>
    <row r="26" spans="1:10" x14ac:dyDescent="0.2">
      <c r="A26" s="59" t="s">
        <v>71</v>
      </c>
      <c r="B26" s="59"/>
      <c r="C26" s="53">
        <f>'[6]Sheet 1'!C128</f>
        <v>56.865000000000002</v>
      </c>
      <c r="D26" s="54">
        <f>'[6]Sheet 1'!E128</f>
        <v>181057.56</v>
      </c>
      <c r="E26" s="54">
        <f>IF(B11-SUM(E16:E25)&gt;D26,D26,B11-SUM(E16:E25))</f>
        <v>0</v>
      </c>
      <c r="F26" s="54">
        <f t="shared" si="0"/>
        <v>181057.56</v>
      </c>
      <c r="G26" s="1"/>
      <c r="H26" s="30"/>
      <c r="I26" s="30"/>
      <c r="J26" s="30"/>
    </row>
    <row r="27" spans="1:10" x14ac:dyDescent="0.2">
      <c r="A27" s="59" t="s">
        <v>57</v>
      </c>
      <c r="B27" s="59"/>
      <c r="C27" s="53">
        <f>'[6]Sheet 1'!F128</f>
        <v>0</v>
      </c>
      <c r="D27" s="54">
        <f>'[6]Sheet 1'!H128</f>
        <v>0</v>
      </c>
      <c r="E27" s="54">
        <f>IF(B12-SUM(E17:E26)&gt;D27,D27,B12-SUM(E17:E26))</f>
        <v>0</v>
      </c>
      <c r="F27" s="54">
        <f t="shared" si="0"/>
        <v>0</v>
      </c>
      <c r="G27" s="1"/>
      <c r="H27" s="30"/>
      <c r="I27" s="30"/>
      <c r="J27" s="30"/>
    </row>
    <row r="28" spans="1:10" x14ac:dyDescent="0.2">
      <c r="A28" s="59" t="s">
        <v>64</v>
      </c>
      <c r="B28" s="59"/>
      <c r="C28" s="53">
        <f>'[6]Sheet 1'!I128</f>
        <v>0.56899999999999995</v>
      </c>
      <c r="D28" s="54">
        <f>'[6]Sheet 1'!K128</f>
        <v>1812.94</v>
      </c>
      <c r="E28" s="54">
        <f>IF(B14-SUM(E18:E27)&gt;D28,D28,B14-SUM(E18:E27))</f>
        <v>0</v>
      </c>
      <c r="F28" s="54">
        <f t="shared" si="0"/>
        <v>1812.94</v>
      </c>
      <c r="G28" s="1"/>
      <c r="H28" s="57" t="s">
        <v>46</v>
      </c>
      <c r="I28" s="30"/>
      <c r="J28" s="30"/>
    </row>
    <row r="29" spans="1:10" x14ac:dyDescent="0.2">
      <c r="A29" s="59" t="s">
        <v>58</v>
      </c>
      <c r="B29" s="59"/>
      <c r="C29" s="53">
        <f>'[6]Sheet 1'!C186</f>
        <v>890.49599999999998</v>
      </c>
      <c r="D29" s="54">
        <f>'[6]Sheet 1'!E186</f>
        <v>2835337.11</v>
      </c>
      <c r="E29" s="54">
        <f>IF(B11-SUM(E16:E26)&gt;D29,D29,B11-SUM(E16:E26))</f>
        <v>0</v>
      </c>
      <c r="F29" s="54">
        <f t="shared" si="0"/>
        <v>2835337.11</v>
      </c>
      <c r="G29" s="4"/>
      <c r="H29" s="57">
        <f>+'[6]Sheet 1'!E186</f>
        <v>2835337.11</v>
      </c>
      <c r="I29" s="30"/>
      <c r="J29" s="30"/>
    </row>
    <row r="30" spans="1:10" x14ac:dyDescent="0.2">
      <c r="A30" s="58" t="s">
        <v>59</v>
      </c>
      <c r="B30" s="59"/>
      <c r="C30" s="53">
        <f>'[5]Sheet 1'!C12</f>
        <v>1067.2809999999999</v>
      </c>
      <c r="D30" s="54">
        <f>'[5]Sheet 1'!E12</f>
        <v>3398222.47</v>
      </c>
      <c r="E30" s="54">
        <f>IF(B11-SUM(E16:E29)&gt;D30,D30,B11-SUM(E16:E29))</f>
        <v>0</v>
      </c>
      <c r="F30" s="54">
        <f t="shared" si="0"/>
        <v>3398222.47</v>
      </c>
      <c r="G30" s="5"/>
      <c r="H30" s="57">
        <f>+D29</f>
        <v>2835337.11</v>
      </c>
      <c r="I30" s="30"/>
      <c r="J30" s="30"/>
    </row>
    <row r="31" spans="1:10" x14ac:dyDescent="0.2">
      <c r="A31" s="65" t="s">
        <v>28</v>
      </c>
      <c r="B31" s="56"/>
      <c r="C31" s="66">
        <f>SUM(C16:C30)</f>
        <v>22720.373</v>
      </c>
      <c r="D31" s="67">
        <f>SUM(D16:D30)</f>
        <v>72341663.780000001</v>
      </c>
      <c r="E31" s="67">
        <f>SUM(E16:E30)</f>
        <v>7493118</v>
      </c>
      <c r="F31" s="67">
        <f>SUM(F16:F30)</f>
        <v>64848545.780000001</v>
      </c>
      <c r="G31" s="1"/>
      <c r="H31" s="57">
        <f>+H29-H30</f>
        <v>0</v>
      </c>
      <c r="I31" s="30"/>
      <c r="J31" s="30"/>
    </row>
    <row r="32" spans="1:10" x14ac:dyDescent="0.2">
      <c r="A32" s="68" t="s">
        <v>26</v>
      </c>
      <c r="B32" s="56"/>
      <c r="C32" s="69"/>
      <c r="D32" s="54"/>
      <c r="E32" s="54"/>
      <c r="F32" s="54"/>
      <c r="G32" s="1"/>
      <c r="H32" s="57" t="s">
        <v>47</v>
      </c>
      <c r="I32" s="30"/>
      <c r="J32" s="57" t="s">
        <v>52</v>
      </c>
    </row>
    <row r="33" spans="1:10" x14ac:dyDescent="0.2">
      <c r="A33" s="58" t="s">
        <v>56</v>
      </c>
      <c r="B33" s="59"/>
      <c r="C33" s="20"/>
      <c r="D33" s="70">
        <f>[1]Main!F13</f>
        <v>209569.26</v>
      </c>
      <c r="E33" s="54">
        <f>IF($B11-SUM($E31)&gt;D33,D33,$B11-SUM($E31))</f>
        <v>0</v>
      </c>
      <c r="F33" s="54">
        <f t="shared" ref="F33:F51" si="1">D33-E33</f>
        <v>209569.26</v>
      </c>
      <c r="G33" s="1"/>
      <c r="H33" s="57">
        <f>[1]Main!G13</f>
        <v>4599749.5199999996</v>
      </c>
      <c r="I33" s="30"/>
      <c r="J33" s="57">
        <f>+[1]Main!D474</f>
        <v>13676386.779999999</v>
      </c>
    </row>
    <row r="34" spans="1:10" x14ac:dyDescent="0.2">
      <c r="A34" s="59" t="s">
        <v>25</v>
      </c>
      <c r="B34" s="59"/>
      <c r="C34" s="20"/>
      <c r="D34" s="70">
        <f>[1]Main!C13</f>
        <v>4390180.26</v>
      </c>
      <c r="E34" s="54">
        <f>IF($B11-SUM($E31:E33)&gt;D34,D34,B11-SUM($E31:E33))</f>
        <v>0</v>
      </c>
      <c r="F34" s="54">
        <f t="shared" si="1"/>
        <v>4390180.26</v>
      </c>
      <c r="G34" s="1"/>
      <c r="H34" s="57">
        <f>SUM(D33:D35)</f>
        <v>4599749.5199999996</v>
      </c>
      <c r="I34" s="30"/>
      <c r="J34" s="57">
        <f>SUM(D33:D60)-E46</f>
        <v>13676386.779999999</v>
      </c>
    </row>
    <row r="35" spans="1:10" x14ac:dyDescent="0.2">
      <c r="A35" s="71" t="s">
        <v>27</v>
      </c>
      <c r="B35" s="59"/>
      <c r="C35" s="20"/>
      <c r="D35" s="70">
        <f>[1]Main!D13</f>
        <v>0</v>
      </c>
      <c r="E35" s="54">
        <f>IF($B11-SUM($E31:E34)&gt;D35,D35,$B11-SUM($E31:E34))</f>
        <v>0</v>
      </c>
      <c r="F35" s="54">
        <f>D35-E35</f>
        <v>0</v>
      </c>
      <c r="G35" s="1"/>
      <c r="H35" s="57">
        <f>+H33-H34</f>
        <v>0</v>
      </c>
      <c r="I35" s="30"/>
      <c r="J35" s="57">
        <f>+J33-J34</f>
        <v>0</v>
      </c>
    </row>
    <row r="36" spans="1:10" x14ac:dyDescent="0.2">
      <c r="A36" s="72" t="s">
        <v>72</v>
      </c>
      <c r="B36" s="59"/>
      <c r="C36" s="20"/>
      <c r="D36" s="70">
        <f>[1]Main!E13</f>
        <v>0</v>
      </c>
      <c r="E36" s="54">
        <f>IF($B12-SUM($E32:E35)&gt;D36,D36,$B12-SUM($E32:E35))</f>
        <v>0</v>
      </c>
      <c r="F36" s="54">
        <f>D36-E36</f>
        <v>0</v>
      </c>
      <c r="G36" s="1"/>
      <c r="H36" s="30"/>
      <c r="I36" s="30"/>
      <c r="J36" s="30"/>
    </row>
    <row r="37" spans="1:10" x14ac:dyDescent="0.2">
      <c r="A37" s="72" t="s">
        <v>73</v>
      </c>
      <c r="B37" s="59"/>
      <c r="C37" s="20"/>
      <c r="D37" s="54">
        <f>+[1]Main!$F129</f>
        <v>104245.08</v>
      </c>
      <c r="E37" s="54">
        <f>IF($B11-SUM($E31:E35)&gt;D37,D37,$B11-SUM($E31:E35))</f>
        <v>0</v>
      </c>
      <c r="F37" s="54">
        <f t="shared" si="1"/>
        <v>104245.08</v>
      </c>
      <c r="G37" s="1"/>
      <c r="H37" s="30"/>
      <c r="I37" s="30"/>
      <c r="J37" s="30"/>
    </row>
    <row r="38" spans="1:10" x14ac:dyDescent="0.2">
      <c r="A38" s="71" t="s">
        <v>74</v>
      </c>
      <c r="B38" s="59"/>
      <c r="C38" s="20"/>
      <c r="D38" s="54">
        <f>+[1]Main!$C71</f>
        <v>466494</v>
      </c>
      <c r="E38" s="54">
        <f>IF($B11-SUM($E31:E37)&gt;D38,D38,$B11-SUM($E31:E37))</f>
        <v>0</v>
      </c>
      <c r="F38" s="54">
        <f t="shared" si="1"/>
        <v>466494</v>
      </c>
      <c r="G38" s="1"/>
      <c r="H38" s="30"/>
      <c r="I38" s="30"/>
      <c r="J38" s="30"/>
    </row>
    <row r="39" spans="1:10" x14ac:dyDescent="0.2">
      <c r="A39" s="71" t="s">
        <v>75</v>
      </c>
      <c r="B39" s="59"/>
      <c r="C39" s="20"/>
      <c r="D39" s="54">
        <f>+[1]Main!$D71</f>
        <v>4000</v>
      </c>
      <c r="E39" s="54">
        <f>IF($B11-SUM($E31:E38)&gt;D39,D39,$B11-SUM($E31:E38))</f>
        <v>0</v>
      </c>
      <c r="F39" s="54">
        <f t="shared" si="1"/>
        <v>4000</v>
      </c>
      <c r="G39" s="1"/>
      <c r="H39" s="30"/>
      <c r="I39" s="30"/>
      <c r="J39" s="30"/>
    </row>
    <row r="40" spans="1:10" x14ac:dyDescent="0.2">
      <c r="A40" s="71" t="s">
        <v>76</v>
      </c>
      <c r="B40" s="59"/>
      <c r="C40" s="20"/>
      <c r="D40" s="54">
        <f>+[1]Main!$E71</f>
        <v>641745</v>
      </c>
      <c r="E40" s="54">
        <f>IF($B11-SUM($E31:E39)&gt;D40,D40,$B11-SUM($E31:E39))</f>
        <v>0</v>
      </c>
      <c r="F40" s="54">
        <f t="shared" si="1"/>
        <v>641745</v>
      </c>
      <c r="G40" s="1"/>
      <c r="H40" s="30"/>
      <c r="I40" s="30"/>
      <c r="J40" s="30"/>
    </row>
    <row r="41" spans="1:10" x14ac:dyDescent="0.2">
      <c r="A41" s="71" t="s">
        <v>77</v>
      </c>
      <c r="B41" s="59"/>
      <c r="C41" s="20"/>
      <c r="D41" s="54">
        <f>[1]Main!F71</f>
        <v>63680</v>
      </c>
      <c r="E41" s="54">
        <f>IF($B11-SUM($E31:E40)&gt;D41,D41,$B11-SUM($E31:E40))</f>
        <v>0</v>
      </c>
      <c r="F41" s="54">
        <f t="shared" si="1"/>
        <v>63680</v>
      </c>
      <c r="G41" s="1"/>
      <c r="H41" s="57" t="s">
        <v>48</v>
      </c>
      <c r="I41" s="30"/>
      <c r="J41" s="30"/>
    </row>
    <row r="42" spans="1:10" x14ac:dyDescent="0.2">
      <c r="A42" s="71" t="s">
        <v>79</v>
      </c>
      <c r="B42" s="59"/>
      <c r="C42" s="20"/>
      <c r="D42" s="54">
        <f>[1]Main!G71</f>
        <v>0</v>
      </c>
      <c r="E42" s="54">
        <f>IF($B11-SUM($E31:E41)&gt;D42,D42,$B11-SUM($E31:E41))</f>
        <v>0</v>
      </c>
      <c r="F42" s="54">
        <f t="shared" si="1"/>
        <v>0</v>
      </c>
      <c r="G42" s="1"/>
      <c r="H42" s="57"/>
      <c r="I42" s="30"/>
      <c r="J42" s="30"/>
    </row>
    <row r="43" spans="1:10" x14ac:dyDescent="0.2">
      <c r="A43" s="71" t="s">
        <v>78</v>
      </c>
      <c r="B43" s="59"/>
      <c r="C43" s="20"/>
      <c r="D43" s="54">
        <f>[1]Main!G129</f>
        <v>290621.14</v>
      </c>
      <c r="E43" s="54">
        <f>IF($B11-SUM($E31:E42)&gt;D43,D43,$B11-SUM($E31:E42))</f>
        <v>0</v>
      </c>
      <c r="F43" s="54">
        <f t="shared" si="1"/>
        <v>290621.14</v>
      </c>
      <c r="G43" s="1"/>
      <c r="H43" s="73">
        <f>+[1]Main!D187</f>
        <v>1570785.22</v>
      </c>
      <c r="I43" s="30"/>
      <c r="J43" s="30"/>
    </row>
    <row r="44" spans="1:10" x14ac:dyDescent="0.2">
      <c r="A44" s="71" t="s">
        <v>80</v>
      </c>
      <c r="B44" s="59"/>
      <c r="C44" s="20"/>
      <c r="D44" s="54">
        <f>[1]Main!C187</f>
        <v>0</v>
      </c>
      <c r="E44" s="54"/>
      <c r="F44" s="54">
        <f t="shared" si="1"/>
        <v>0</v>
      </c>
      <c r="G44" s="1"/>
      <c r="H44" s="57">
        <f>+SUM(D37:D44)</f>
        <v>1570785.22</v>
      </c>
      <c r="I44" s="30"/>
      <c r="J44" s="30"/>
    </row>
    <row r="45" spans="1:10" x14ac:dyDescent="0.2">
      <c r="A45" s="71" t="s">
        <v>81</v>
      </c>
      <c r="B45" s="59"/>
      <c r="C45" s="20"/>
      <c r="D45" s="54">
        <f>[1]Main!C245</f>
        <v>1295319</v>
      </c>
      <c r="E45" s="54">
        <v>0</v>
      </c>
      <c r="F45" s="54">
        <f t="shared" si="1"/>
        <v>1295319</v>
      </c>
      <c r="G45" s="1"/>
      <c r="H45" s="57">
        <f>+H43-H44</f>
        <v>0</v>
      </c>
      <c r="I45" s="30"/>
      <c r="J45" s="30"/>
    </row>
    <row r="46" spans="1:10" x14ac:dyDescent="0.2">
      <c r="A46" s="71" t="s">
        <v>82</v>
      </c>
      <c r="B46" s="59"/>
      <c r="C46" s="20"/>
      <c r="D46" s="54">
        <f>+[7]Main!I12+[7]Main!J12</f>
        <v>913818.89</v>
      </c>
      <c r="E46" s="74">
        <f>[7]Main!J12</f>
        <v>461301.07</v>
      </c>
      <c r="F46" s="54">
        <f t="shared" si="1"/>
        <v>452517.82</v>
      </c>
      <c r="G46" s="1"/>
      <c r="H46" s="30"/>
      <c r="I46" s="30"/>
      <c r="J46" s="30"/>
    </row>
    <row r="47" spans="1:10" x14ac:dyDescent="0.2">
      <c r="A47" s="71" t="s">
        <v>83</v>
      </c>
      <c r="B47" s="59"/>
      <c r="C47" s="20"/>
      <c r="D47" s="54">
        <f>[1]Main!F245</f>
        <v>178254</v>
      </c>
      <c r="E47" s="54">
        <v>0</v>
      </c>
      <c r="F47" s="54">
        <f t="shared" si="1"/>
        <v>178254</v>
      </c>
      <c r="G47" s="1"/>
      <c r="H47" s="30"/>
      <c r="I47" s="30"/>
      <c r="J47" s="30"/>
    </row>
    <row r="48" spans="1:10" x14ac:dyDescent="0.2">
      <c r="A48" s="71" t="s">
        <v>84</v>
      </c>
      <c r="B48" s="59"/>
      <c r="C48" s="7"/>
      <c r="D48" s="54">
        <f>[1]Main!E245</f>
        <v>27190.23</v>
      </c>
      <c r="E48" s="54">
        <v>0</v>
      </c>
      <c r="F48" s="54">
        <f t="shared" si="1"/>
        <v>27190.23</v>
      </c>
      <c r="G48" s="1"/>
      <c r="H48" s="57" t="s">
        <v>49</v>
      </c>
      <c r="I48" s="30"/>
      <c r="J48" s="30"/>
    </row>
    <row r="49" spans="1:10" x14ac:dyDescent="0.2">
      <c r="A49" s="71" t="s">
        <v>85</v>
      </c>
      <c r="B49" s="59"/>
      <c r="C49" s="7"/>
      <c r="D49" s="54">
        <f>[1]Main!G245</f>
        <v>291356</v>
      </c>
      <c r="E49" s="54">
        <v>0</v>
      </c>
      <c r="F49" s="54">
        <f t="shared" si="1"/>
        <v>291356</v>
      </c>
      <c r="G49" s="1"/>
      <c r="H49" s="57">
        <f>+[1]Main!C474</f>
        <v>7280186.79</v>
      </c>
      <c r="I49" s="57"/>
      <c r="J49" s="57"/>
    </row>
    <row r="50" spans="1:10" x14ac:dyDescent="0.2">
      <c r="A50" s="71" t="s">
        <v>86</v>
      </c>
      <c r="B50" s="59"/>
      <c r="C50" s="20"/>
      <c r="D50" s="54">
        <f>[1]Main!C303</f>
        <v>140000</v>
      </c>
      <c r="E50" s="54">
        <v>0</v>
      </c>
      <c r="F50" s="54">
        <f t="shared" si="1"/>
        <v>140000</v>
      </c>
      <c r="G50" s="1"/>
      <c r="H50" s="57">
        <f>+SUM(D45:D55)-E46</f>
        <v>7280186.79</v>
      </c>
      <c r="I50" s="57"/>
      <c r="J50" s="57">
        <f>+H50-H49</f>
        <v>0</v>
      </c>
    </row>
    <row r="51" spans="1:10" x14ac:dyDescent="0.2">
      <c r="A51" s="71" t="s">
        <v>87</v>
      </c>
      <c r="C51" s="8"/>
      <c r="D51" s="76">
        <f>[1]Main!D303</f>
        <v>4271007.4000000004</v>
      </c>
      <c r="E51" s="77">
        <v>0</v>
      </c>
      <c r="F51" s="77">
        <f t="shared" si="1"/>
        <v>4271007.4000000004</v>
      </c>
      <c r="G51" s="5"/>
      <c r="H51" s="57">
        <f>+H49-H50</f>
        <v>0</v>
      </c>
      <c r="I51" s="57"/>
      <c r="J51" s="57"/>
    </row>
    <row r="52" spans="1:10" x14ac:dyDescent="0.2">
      <c r="A52" s="71" t="s">
        <v>88</v>
      </c>
      <c r="B52" s="59"/>
      <c r="C52" s="20"/>
      <c r="D52" s="54">
        <f>+[1]Main!$E303</f>
        <v>22400</v>
      </c>
      <c r="E52" s="54">
        <v>0</v>
      </c>
      <c r="F52" s="54">
        <f>D52-E52</f>
        <v>22400</v>
      </c>
      <c r="G52" s="4"/>
      <c r="H52" s="30"/>
      <c r="I52" s="30"/>
      <c r="J52" s="30"/>
    </row>
    <row r="53" spans="1:10" x14ac:dyDescent="0.2">
      <c r="A53" s="71" t="s">
        <v>89</v>
      </c>
      <c r="B53" s="59"/>
      <c r="C53" s="20"/>
      <c r="D53" s="54">
        <f>[1]Main!F303</f>
        <v>156370.21</v>
      </c>
      <c r="E53" s="54">
        <v>0</v>
      </c>
      <c r="F53" s="54">
        <f>D53-E53</f>
        <v>156370.21</v>
      </c>
      <c r="G53" s="4"/>
      <c r="H53" s="30"/>
      <c r="I53" s="30"/>
      <c r="J53" s="30"/>
    </row>
    <row r="54" spans="1:10" x14ac:dyDescent="0.2">
      <c r="A54" s="71" t="s">
        <v>90</v>
      </c>
      <c r="B54" s="59"/>
      <c r="C54" s="20"/>
      <c r="D54" s="54">
        <f>[1]Main!G303</f>
        <v>178527</v>
      </c>
      <c r="E54" s="54">
        <v>0</v>
      </c>
      <c r="F54" s="54">
        <f>D54-E54</f>
        <v>178527</v>
      </c>
      <c r="G54" s="1"/>
      <c r="H54" s="57" t="s">
        <v>50</v>
      </c>
      <c r="I54" s="30"/>
      <c r="J54" s="30"/>
    </row>
    <row r="55" spans="1:10" x14ac:dyDescent="0.2">
      <c r="A55" s="71" t="s">
        <v>93</v>
      </c>
      <c r="B55" s="59"/>
      <c r="C55" s="20"/>
      <c r="D55" s="54">
        <f>[1]Main!F360</f>
        <v>267245.13</v>
      </c>
      <c r="E55" s="54">
        <v>0</v>
      </c>
      <c r="F55" s="54">
        <f>D55-E55</f>
        <v>267245.13</v>
      </c>
      <c r="G55" s="1"/>
      <c r="H55" s="57"/>
      <c r="I55" s="30"/>
      <c r="J55" s="30"/>
    </row>
    <row r="56" spans="1:10" x14ac:dyDescent="0.2">
      <c r="A56" s="55" t="s">
        <v>30</v>
      </c>
      <c r="B56" s="78"/>
      <c r="C56" s="79"/>
      <c r="D56" s="64"/>
      <c r="E56" s="64"/>
      <c r="F56" s="64"/>
      <c r="G56" s="1"/>
      <c r="H56" s="57"/>
      <c r="I56" s="30"/>
      <c r="J56" s="30"/>
    </row>
    <row r="57" spans="1:10" x14ac:dyDescent="0.2">
      <c r="A57" s="71" t="s">
        <v>60</v>
      </c>
      <c r="B57" s="59"/>
      <c r="C57" s="20"/>
      <c r="D57" s="54">
        <f>[1]Main!C417</f>
        <v>148435.78</v>
      </c>
      <c r="E57" s="54">
        <v>0</v>
      </c>
      <c r="F57" s="54">
        <f>D57-E57</f>
        <v>148435.78</v>
      </c>
      <c r="G57" s="1"/>
      <c r="H57" s="57">
        <f>+[1]Main!G417</f>
        <v>225665.25</v>
      </c>
      <c r="I57" s="30"/>
      <c r="J57" s="30"/>
    </row>
    <row r="58" spans="1:10" x14ac:dyDescent="0.2">
      <c r="A58" s="71" t="s">
        <v>63</v>
      </c>
      <c r="B58" s="59"/>
      <c r="C58" s="20"/>
      <c r="D58" s="54">
        <f>[1]Main!D417</f>
        <v>1434.28</v>
      </c>
      <c r="E58" s="54">
        <v>0</v>
      </c>
      <c r="F58" s="54">
        <f>D58-E58</f>
        <v>1434.28</v>
      </c>
      <c r="G58" s="4"/>
      <c r="H58" s="57">
        <f>SUM(D57:D60)</f>
        <v>225665.25</v>
      </c>
      <c r="I58" s="30"/>
      <c r="J58" s="30"/>
    </row>
    <row r="59" spans="1:10" x14ac:dyDescent="0.2">
      <c r="A59" s="71" t="s">
        <v>91</v>
      </c>
      <c r="B59" s="59"/>
      <c r="C59" s="20"/>
      <c r="D59" s="54">
        <f>[1]Main!E417</f>
        <v>0</v>
      </c>
      <c r="E59" s="54">
        <v>0</v>
      </c>
      <c r="F59" s="54">
        <f>D59-E59</f>
        <v>0</v>
      </c>
      <c r="G59" s="4"/>
      <c r="H59" s="57">
        <f>+H57-H58</f>
        <v>0</v>
      </c>
      <c r="I59" s="30"/>
      <c r="J59" s="30"/>
    </row>
    <row r="60" spans="1:10" x14ac:dyDescent="0.2">
      <c r="A60" s="71" t="s">
        <v>92</v>
      </c>
      <c r="B60" s="59"/>
      <c r="C60" s="20"/>
      <c r="D60" s="54">
        <f>[1]Main!F417</f>
        <v>75795.19</v>
      </c>
      <c r="E60" s="54">
        <v>0</v>
      </c>
      <c r="F60" s="54">
        <f>D60-E60</f>
        <v>75795.19</v>
      </c>
      <c r="G60" s="1"/>
      <c r="H60" s="30"/>
      <c r="I60" s="30"/>
      <c r="J60" s="30"/>
    </row>
    <row r="61" spans="1:10" x14ac:dyDescent="0.2">
      <c r="A61" s="55" t="s">
        <v>31</v>
      </c>
      <c r="B61" s="78"/>
      <c r="C61" s="79"/>
      <c r="D61" s="64"/>
      <c r="E61" s="64"/>
      <c r="F61" s="64"/>
      <c r="G61" s="1"/>
      <c r="H61" s="30"/>
      <c r="I61" s="30"/>
      <c r="J61" s="30"/>
    </row>
    <row r="62" spans="1:10" x14ac:dyDescent="0.2">
      <c r="A62" s="58" t="s">
        <v>69</v>
      </c>
      <c r="B62" s="59"/>
      <c r="C62" s="20"/>
      <c r="D62" s="54">
        <f>+[1]Main!$G530</f>
        <v>14004660.960000001</v>
      </c>
      <c r="E62" s="54">
        <f>+[1]Main!$D530</f>
        <v>6817619.1100000003</v>
      </c>
      <c r="F62" s="54">
        <f>+D62-E62</f>
        <v>7187041.8499999996</v>
      </c>
      <c r="G62" s="1"/>
      <c r="H62" s="30"/>
      <c r="I62" s="30"/>
      <c r="J62" s="30"/>
    </row>
    <row r="63" spans="1:10" x14ac:dyDescent="0.2">
      <c r="A63" s="59" t="s">
        <v>68</v>
      </c>
      <c r="B63" s="59"/>
      <c r="C63" s="20"/>
      <c r="D63" s="54">
        <f>+[1]Main!$G585</f>
        <v>3501165.24</v>
      </c>
      <c r="E63" s="54">
        <f>+[1]Main!$D585</f>
        <v>1789401.34</v>
      </c>
      <c r="F63" s="54">
        <f>+D63-E63</f>
        <v>1711763.9</v>
      </c>
      <c r="G63" s="1"/>
      <c r="H63" s="30"/>
      <c r="I63" s="30"/>
      <c r="J63" s="30"/>
    </row>
    <row r="64" spans="1:10" ht="13.5" thickBot="1" x14ac:dyDescent="0.25">
      <c r="A64" s="80"/>
      <c r="B64" s="81"/>
      <c r="C64" s="82" t="s">
        <v>29</v>
      </c>
      <c r="D64" s="83">
        <f>SUM(D31:D63)</f>
        <v>103985177.83</v>
      </c>
      <c r="E64" s="83">
        <f>SUM(E31:E63)</f>
        <v>16561439.52</v>
      </c>
      <c r="F64" s="83">
        <f>SUM(F31:F63)</f>
        <v>87423738.310000002</v>
      </c>
      <c r="G64" s="1"/>
      <c r="H64" s="30"/>
      <c r="I64" s="30"/>
      <c r="J64" s="30"/>
    </row>
    <row r="65" spans="1:10" ht="13.5" thickTop="1" x14ac:dyDescent="0.2">
      <c r="A65" s="84"/>
      <c r="B65" s="59"/>
      <c r="C65" s="85"/>
      <c r="D65" s="86"/>
      <c r="E65" s="86"/>
      <c r="F65" s="87"/>
      <c r="G65" s="1"/>
      <c r="H65" s="30"/>
      <c r="I65" s="30"/>
      <c r="J65" s="30"/>
    </row>
    <row r="66" spans="1:10" x14ac:dyDescent="0.2">
      <c r="A66" s="88" t="s">
        <v>40</v>
      </c>
      <c r="B66" s="78"/>
      <c r="C66" s="89"/>
      <c r="D66" s="90"/>
      <c r="E66" s="91"/>
      <c r="F66" s="92" t="s">
        <v>36</v>
      </c>
      <c r="G66" s="6"/>
      <c r="H66" s="57" t="s">
        <v>51</v>
      </c>
      <c r="I66" s="30"/>
      <c r="J66" s="57" t="s">
        <v>7</v>
      </c>
    </row>
    <row r="67" spans="1:10" x14ac:dyDescent="0.2">
      <c r="A67" s="93" t="s">
        <v>33</v>
      </c>
      <c r="B67" s="94"/>
      <c r="C67" s="95"/>
      <c r="D67" s="96"/>
      <c r="E67" s="96"/>
      <c r="F67" s="91"/>
      <c r="G67" s="6"/>
      <c r="H67" s="30"/>
      <c r="I67" s="30"/>
      <c r="J67" s="30"/>
    </row>
    <row r="68" spans="1:10" x14ac:dyDescent="0.2">
      <c r="A68" s="59" t="s">
        <v>34</v>
      </c>
      <c r="B68" s="59"/>
      <c r="C68" s="22"/>
      <c r="D68" s="27"/>
      <c r="E68" s="27"/>
      <c r="F68" s="97">
        <f>+[8]Main!$C13</f>
        <v>1090334</v>
      </c>
      <c r="G68" s="5"/>
      <c r="H68" s="57">
        <f>+[1]Main!G641</f>
        <v>17505826.199999999</v>
      </c>
      <c r="I68" s="30"/>
      <c r="J68" s="57">
        <f>+[1]Main!E641+[1]Main!F641</f>
        <v>8898805.75</v>
      </c>
    </row>
    <row r="69" spans="1:10" x14ac:dyDescent="0.2">
      <c r="A69" s="59" t="s">
        <v>66</v>
      </c>
      <c r="B69" s="59"/>
      <c r="C69" s="22"/>
      <c r="D69" s="27"/>
      <c r="E69" s="27"/>
      <c r="F69" s="97">
        <f>+[8]Main!$D13</f>
        <v>1192430</v>
      </c>
      <c r="G69" s="5"/>
      <c r="H69" s="57">
        <f>+D62+D63</f>
        <v>17505826.199999999</v>
      </c>
      <c r="I69" s="30"/>
      <c r="J69" s="57">
        <f>+F62+F63</f>
        <v>8898805.75</v>
      </c>
    </row>
    <row r="70" spans="1:10" x14ac:dyDescent="0.2">
      <c r="A70" s="32" t="s">
        <v>65</v>
      </c>
      <c r="B70" s="32"/>
      <c r="C70" s="22"/>
      <c r="D70" s="28"/>
      <c r="E70" s="28"/>
      <c r="F70" s="97">
        <f>+[8]Main!$E13</f>
        <v>121353</v>
      </c>
      <c r="G70" s="1"/>
      <c r="H70" s="57">
        <f>+H68-H69</f>
        <v>0</v>
      </c>
      <c r="I70" s="30"/>
      <c r="J70" s="57">
        <f>+J68-J69</f>
        <v>0</v>
      </c>
    </row>
    <row r="71" spans="1:10" x14ac:dyDescent="0.2">
      <c r="A71" s="32" t="s">
        <v>67</v>
      </c>
      <c r="B71" s="32"/>
      <c r="C71" s="22"/>
      <c r="D71" s="28"/>
      <c r="E71" s="28"/>
      <c r="F71" s="97">
        <f>+[8]Main!$F13</f>
        <v>240934</v>
      </c>
      <c r="G71" s="1"/>
      <c r="H71" s="30"/>
      <c r="I71" s="30"/>
      <c r="J71" s="30"/>
    </row>
    <row r="72" spans="1:10" x14ac:dyDescent="0.2">
      <c r="A72" s="88" t="s">
        <v>35</v>
      </c>
      <c r="B72" s="78"/>
      <c r="C72" s="89"/>
      <c r="D72" s="90"/>
      <c r="E72" s="91"/>
      <c r="F72" s="54">
        <f>+[8]Main!$C71</f>
        <v>46748.54</v>
      </c>
      <c r="G72" s="1"/>
      <c r="H72" s="30"/>
      <c r="I72" s="30"/>
      <c r="J72" s="30"/>
    </row>
    <row r="73" spans="1:10" ht="13.5" thickBot="1" x14ac:dyDescent="0.25">
      <c r="A73" s="98"/>
      <c r="B73" s="99"/>
      <c r="C73" s="100" t="s">
        <v>29</v>
      </c>
      <c r="D73" s="101"/>
      <c r="E73" s="102"/>
      <c r="F73" s="103">
        <f>SUM(F68:F72)</f>
        <v>2691799.54</v>
      </c>
      <c r="G73" s="1"/>
      <c r="H73" s="30"/>
      <c r="I73" s="30"/>
      <c r="J73" s="30"/>
    </row>
    <row r="74" spans="1:10" ht="13.5" thickBot="1" x14ac:dyDescent="0.25">
      <c r="A74" s="104"/>
      <c r="B74" s="105"/>
      <c r="C74" s="106" t="s">
        <v>53</v>
      </c>
      <c r="D74" s="107"/>
      <c r="E74" s="108"/>
      <c r="F74" s="109">
        <f>+F73+F64</f>
        <v>90115537.849999994</v>
      </c>
      <c r="G74" s="1"/>
      <c r="H74" s="57" t="s">
        <v>54</v>
      </c>
      <c r="I74" s="30"/>
      <c r="J74" s="30"/>
    </row>
    <row r="75" spans="1:10" x14ac:dyDescent="0.2">
      <c r="A75" s="11"/>
      <c r="B75" s="12"/>
      <c r="C75" s="9"/>
      <c r="D75" s="29"/>
      <c r="E75" s="29"/>
      <c r="F75" s="110"/>
      <c r="G75" s="1"/>
      <c r="H75" s="57">
        <f>+[8]Main!$G13</f>
        <v>2645051</v>
      </c>
      <c r="I75" s="30"/>
      <c r="J75" s="30"/>
    </row>
    <row r="76" spans="1:10" x14ac:dyDescent="0.2">
      <c r="A76" s="11"/>
      <c r="B76" s="12"/>
      <c r="C76" s="9"/>
      <c r="D76" s="29"/>
      <c r="E76" s="29"/>
      <c r="F76" s="110"/>
      <c r="G76" s="1"/>
      <c r="H76" s="57">
        <f>SUM(F68:F71)</f>
        <v>2645051</v>
      </c>
      <c r="I76" s="30"/>
      <c r="J76" s="30"/>
    </row>
    <row r="77" spans="1:10" x14ac:dyDescent="0.2">
      <c r="A77" s="1"/>
      <c r="B77" s="1"/>
      <c r="C77" s="7"/>
      <c r="D77" s="26"/>
      <c r="E77" s="26"/>
      <c r="F77" s="86">
        <f>+F73+F64</f>
        <v>90115537.849999994</v>
      </c>
      <c r="G77" s="1"/>
      <c r="H77" s="57">
        <f>+H75-H76</f>
        <v>0</v>
      </c>
      <c r="I77" s="30"/>
      <c r="J77" s="30"/>
    </row>
    <row r="78" spans="1:10" x14ac:dyDescent="0.2">
      <c r="A78" s="1"/>
      <c r="B78" s="1"/>
      <c r="C78" s="7"/>
      <c r="D78" s="26"/>
      <c r="E78" s="26"/>
      <c r="F78" s="86">
        <f>+[1]Main!$F757</f>
        <v>90115537.849999994</v>
      </c>
      <c r="G78" s="1"/>
      <c r="H78" s="30"/>
      <c r="I78" s="30"/>
      <c r="J78" s="30"/>
    </row>
    <row r="79" spans="1:10" x14ac:dyDescent="0.2">
      <c r="A79" s="1"/>
      <c r="B79" s="1"/>
      <c r="C79" s="7"/>
      <c r="D79" s="26"/>
      <c r="E79" s="86">
        <f>+E64+[1]Main!$E757</f>
        <v>0</v>
      </c>
      <c r="F79" s="86">
        <f>+F78-F77</f>
        <v>0</v>
      </c>
      <c r="G79" s="1"/>
      <c r="H79" s="30"/>
      <c r="I79" s="30"/>
      <c r="J79" s="30"/>
    </row>
    <row r="80" spans="1:10" x14ac:dyDescent="0.2">
      <c r="A80" s="1"/>
      <c r="B80" s="1"/>
      <c r="C80" s="7"/>
      <c r="D80" s="26"/>
      <c r="E80" s="26"/>
      <c r="F80" s="26"/>
      <c r="G80" s="1"/>
      <c r="H80" s="30"/>
      <c r="I80" s="30"/>
      <c r="J80" s="30"/>
    </row>
    <row r="81" spans="1:10" x14ac:dyDescent="0.2">
      <c r="A81" s="1"/>
      <c r="B81" s="1"/>
      <c r="C81" s="7"/>
      <c r="D81" s="26"/>
      <c r="E81" s="26"/>
      <c r="F81" s="26"/>
      <c r="G81" s="1"/>
      <c r="H81" s="30"/>
      <c r="I81" s="30"/>
      <c r="J81" s="30"/>
    </row>
    <row r="82" spans="1:10" x14ac:dyDescent="0.2">
      <c r="A82" s="1"/>
      <c r="B82" s="1"/>
      <c r="C82" s="7"/>
      <c r="D82" s="26"/>
      <c r="E82" s="26"/>
      <c r="F82" s="26"/>
      <c r="G82" s="1"/>
      <c r="H82" s="111" t="s">
        <v>55</v>
      </c>
      <c r="I82" s="30"/>
      <c r="J82" s="30"/>
    </row>
    <row r="83" spans="1:10" x14ac:dyDescent="0.2">
      <c r="A83" s="8"/>
      <c r="B83" s="8"/>
      <c r="C83" s="8"/>
      <c r="D83" s="8"/>
      <c r="E83" s="8"/>
      <c r="F83" s="8"/>
      <c r="G83" s="1"/>
      <c r="H83" s="13"/>
      <c r="I83" s="3"/>
      <c r="J83" s="3"/>
    </row>
    <row r="84" spans="1:10" x14ac:dyDescent="0.2">
      <c r="A84" s="8"/>
      <c r="B84" s="8"/>
      <c r="C84" s="8"/>
      <c r="D84" s="8"/>
      <c r="E84" s="8"/>
      <c r="F84" s="8"/>
      <c r="G84" s="1"/>
      <c r="H84" s="3"/>
      <c r="I84" s="3"/>
      <c r="J84" s="3"/>
    </row>
    <row r="85" spans="1:10" x14ac:dyDescent="0.2">
      <c r="A85" s="8"/>
      <c r="B85" s="8"/>
      <c r="C85" s="8"/>
      <c r="D85" s="8"/>
      <c r="E85" s="8"/>
      <c r="F85" s="8"/>
      <c r="G85" s="1"/>
      <c r="H85" s="3"/>
      <c r="I85" s="3"/>
      <c r="J85" s="3"/>
    </row>
    <row r="86" spans="1:10" x14ac:dyDescent="0.2">
      <c r="A86" s="8"/>
      <c r="B86" s="8"/>
      <c r="C86" s="8"/>
      <c r="D86" s="8"/>
      <c r="E86" s="8"/>
      <c r="F86" s="8"/>
      <c r="G86" s="1"/>
      <c r="H86" s="3"/>
      <c r="I86" s="3"/>
      <c r="J86" s="3"/>
    </row>
    <row r="87" spans="1:10" x14ac:dyDescent="0.2">
      <c r="G87" s="59"/>
      <c r="H87" s="112"/>
      <c r="I87" s="112"/>
      <c r="J87" s="112"/>
    </row>
    <row r="88" spans="1:10" x14ac:dyDescent="0.2">
      <c r="G88" s="59"/>
      <c r="H88" s="71"/>
      <c r="I88" s="112"/>
      <c r="J88" s="112"/>
    </row>
    <row r="89" spans="1:10" x14ac:dyDescent="0.2">
      <c r="G89" s="59"/>
      <c r="H89" s="112"/>
      <c r="I89" s="112"/>
      <c r="J89" s="112"/>
    </row>
  </sheetData>
  <mergeCells count="1">
    <mergeCell ref="D7:E7"/>
  </mergeCells>
  <phoneticPr fontId="0" type="noConversion"/>
  <printOptions horizontalCentered="1" verticalCentered="1"/>
  <pageMargins left="0.5" right="0.25" top="0.5" bottom="0.5" header="0.5" footer="0.5"/>
  <pageSetup scale="89" orientation="portrait" horizontalDpi="1200" r:id="rId1"/>
  <headerFooter alignWithMargins="0">
    <oddHeader>&amp;R&amp;8Current as of: &amp;D</oddHeader>
    <oddFooter>&amp;L&amp;8USOE, Finance and Statistics&amp;R&amp;8&amp;F</oddFooter>
  </headerFooter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89"/>
  <sheetViews>
    <sheetView topLeftCell="A25" workbookViewId="0">
      <selection activeCell="B12" sqref="B12"/>
    </sheetView>
  </sheetViews>
  <sheetFormatPr defaultColWidth="18.28515625" defaultRowHeight="12.75" x14ac:dyDescent="0.2"/>
  <cols>
    <col min="1" max="1" width="27" style="75" customWidth="1"/>
    <col min="2" max="2" width="16.7109375" style="75" customWidth="1"/>
    <col min="3" max="3" width="15.85546875" style="75" customWidth="1"/>
    <col min="4" max="4" width="16.28515625" style="75" customWidth="1"/>
    <col min="5" max="5" width="15.5703125" style="75" customWidth="1"/>
    <col min="6" max="6" width="17.42578125" style="75" customWidth="1"/>
    <col min="7" max="7" width="5.7109375" style="75" customWidth="1"/>
    <col min="8" max="8" width="21.5703125" style="75" customWidth="1"/>
    <col min="9" max="9" width="5" style="75" customWidth="1"/>
    <col min="10" max="10" width="20.85546875" style="75" customWidth="1"/>
    <col min="11" max="16384" width="18.28515625" style="75"/>
  </cols>
  <sheetData>
    <row r="1" spans="1:10" x14ac:dyDescent="0.2">
      <c r="A1" s="8"/>
      <c r="B1" s="8"/>
      <c r="C1" s="8"/>
      <c r="D1" s="8"/>
      <c r="E1" s="8"/>
      <c r="F1" s="8"/>
      <c r="G1" s="8"/>
      <c r="H1" s="8"/>
      <c r="I1" s="8"/>
      <c r="J1" s="8"/>
    </row>
    <row r="2" spans="1:10" x14ac:dyDescent="0.2">
      <c r="A2" s="8"/>
      <c r="B2" s="8"/>
      <c r="C2" s="8"/>
      <c r="D2" s="8"/>
      <c r="E2" s="8"/>
      <c r="F2" s="8"/>
      <c r="G2" s="8"/>
      <c r="H2" s="8"/>
      <c r="I2" s="8"/>
      <c r="J2" s="8"/>
    </row>
    <row r="3" spans="1:10" x14ac:dyDescent="0.2">
      <c r="A3" s="8"/>
      <c r="B3" s="8"/>
      <c r="C3" s="8"/>
      <c r="D3" s="8"/>
      <c r="E3" s="8"/>
      <c r="F3" s="8"/>
      <c r="G3" s="8"/>
      <c r="H3" s="8"/>
      <c r="I3" s="8"/>
      <c r="J3" s="8"/>
    </row>
    <row r="4" spans="1:10" x14ac:dyDescent="0.2">
      <c r="A4" s="8"/>
      <c r="B4" s="8"/>
      <c r="C4" s="8"/>
      <c r="D4" s="8"/>
      <c r="E4" s="8"/>
      <c r="F4" s="8"/>
      <c r="G4" s="8"/>
      <c r="H4" s="8"/>
      <c r="I4" s="8"/>
      <c r="J4" s="8"/>
    </row>
    <row r="5" spans="1:10" x14ac:dyDescent="0.2">
      <c r="A5" s="32" t="s">
        <v>0</v>
      </c>
      <c r="B5" s="33">
        <v>3184</v>
      </c>
      <c r="C5" s="34" t="s">
        <v>1</v>
      </c>
      <c r="D5" s="35"/>
      <c r="E5" s="35"/>
      <c r="F5" s="35"/>
      <c r="G5" s="1"/>
      <c r="H5" s="30"/>
      <c r="I5" s="30"/>
      <c r="J5" s="30"/>
    </row>
    <row r="6" spans="1:10" x14ac:dyDescent="0.2">
      <c r="A6" s="32" t="s">
        <v>61</v>
      </c>
      <c r="B6" s="36">
        <f>+[1]Main!$C531</f>
        <v>1.207E-3</v>
      </c>
      <c r="C6" s="34" t="s">
        <v>41</v>
      </c>
      <c r="D6" s="35"/>
      <c r="E6" s="35"/>
      <c r="F6" s="35"/>
      <c r="G6" s="1"/>
      <c r="H6" s="30"/>
      <c r="I6" s="30"/>
      <c r="J6" s="30"/>
    </row>
    <row r="7" spans="1:10" x14ac:dyDescent="0.2">
      <c r="A7" s="32" t="s">
        <v>62</v>
      </c>
      <c r="B7" s="36">
        <f>+[1]Main!$C586</f>
        <v>2.696E-3</v>
      </c>
      <c r="C7" s="34" t="s">
        <v>95</v>
      </c>
      <c r="D7" s="35"/>
      <c r="E7" s="37"/>
      <c r="F7" s="35"/>
      <c r="G7" s="1"/>
      <c r="H7" s="30"/>
      <c r="I7" s="30"/>
      <c r="J7" s="30"/>
    </row>
    <row r="8" spans="1:10" x14ac:dyDescent="0.2">
      <c r="A8" s="38" t="s">
        <v>32</v>
      </c>
      <c r="B8" s="39">
        <f>[2]Sheet1!E13</f>
        <v>1740838001</v>
      </c>
      <c r="C8" s="21"/>
      <c r="D8" s="31"/>
      <c r="E8" s="31"/>
      <c r="F8" s="23"/>
      <c r="G8" s="1"/>
      <c r="H8" s="30"/>
      <c r="I8" s="30"/>
      <c r="J8" s="30"/>
    </row>
    <row r="9" spans="1:10" x14ac:dyDescent="0.2">
      <c r="A9" s="32" t="s">
        <v>2</v>
      </c>
      <c r="B9" s="40">
        <f>[2]Sheet1!F13</f>
        <v>0.95420000000000005</v>
      </c>
      <c r="C9" s="7"/>
      <c r="D9" s="41" t="s">
        <v>3</v>
      </c>
      <c r="E9" s="42" t="str">
        <f>+[3]main!B14</f>
        <v>Carbon</v>
      </c>
      <c r="F9" s="43">
        <f>+[3]main!A14</f>
        <v>5</v>
      </c>
      <c r="G9" s="1"/>
      <c r="H9" s="30"/>
      <c r="I9" s="30"/>
      <c r="J9" s="30"/>
    </row>
    <row r="10" spans="1:10" x14ac:dyDescent="0.2">
      <c r="A10" s="32" t="s">
        <v>4</v>
      </c>
      <c r="B10" s="44">
        <f>[2]Sheet1!G13</f>
        <v>1.6750000000000001E-3</v>
      </c>
      <c r="C10" s="8"/>
      <c r="D10" s="24"/>
      <c r="E10" s="25"/>
      <c r="F10" s="24"/>
      <c r="G10" s="1"/>
      <c r="H10" s="30"/>
      <c r="I10" s="30"/>
      <c r="J10" s="30"/>
    </row>
    <row r="11" spans="1:10" x14ac:dyDescent="0.2">
      <c r="A11" s="32" t="s">
        <v>5</v>
      </c>
      <c r="B11" s="45">
        <f>[2]Sheet1!$C$69</f>
        <v>3036347</v>
      </c>
      <c r="C11" s="46"/>
      <c r="D11" s="47" t="s">
        <v>38</v>
      </c>
      <c r="E11" s="48" t="s">
        <v>7</v>
      </c>
      <c r="F11" s="47" t="s">
        <v>6</v>
      </c>
      <c r="G11" s="1"/>
      <c r="H11" s="30"/>
      <c r="I11" s="30"/>
      <c r="J11" s="30"/>
    </row>
    <row r="12" spans="1:10" x14ac:dyDescent="0.2">
      <c r="A12" s="32" t="s">
        <v>8</v>
      </c>
      <c r="B12" s="45">
        <f>+B11</f>
        <v>3036347</v>
      </c>
      <c r="C12" s="49"/>
      <c r="D12" s="50" t="s">
        <v>9</v>
      </c>
      <c r="E12" s="50" t="s">
        <v>37</v>
      </c>
      <c r="F12" s="50" t="s">
        <v>10</v>
      </c>
      <c r="G12" s="1"/>
      <c r="H12" s="30"/>
      <c r="I12" s="30"/>
      <c r="J12" s="30"/>
    </row>
    <row r="13" spans="1:10" x14ac:dyDescent="0.2">
      <c r="A13" s="32" t="s">
        <v>11</v>
      </c>
      <c r="B13" s="45">
        <v>0</v>
      </c>
      <c r="C13" s="51" t="s">
        <v>39</v>
      </c>
      <c r="D13" s="52" t="s">
        <v>12</v>
      </c>
      <c r="E13" s="52" t="s">
        <v>9</v>
      </c>
      <c r="F13" s="52" t="s">
        <v>9</v>
      </c>
      <c r="G13" s="1"/>
      <c r="H13" s="30"/>
      <c r="I13" s="30"/>
      <c r="J13" s="30"/>
    </row>
    <row r="14" spans="1:10" x14ac:dyDescent="0.2">
      <c r="A14" s="32" t="s">
        <v>70</v>
      </c>
      <c r="B14" s="45">
        <f>'[4]LRF FY17'!U11</f>
        <v>284507</v>
      </c>
      <c r="C14" s="53"/>
      <c r="D14" s="54"/>
      <c r="E14" s="54"/>
      <c r="F14" s="54" t="s">
        <v>14</v>
      </c>
      <c r="G14" s="1"/>
      <c r="H14" s="30"/>
      <c r="I14" s="30"/>
      <c r="J14" s="30"/>
    </row>
    <row r="15" spans="1:10" x14ac:dyDescent="0.2">
      <c r="A15" s="55" t="s">
        <v>13</v>
      </c>
      <c r="B15" s="56"/>
      <c r="C15" s="53"/>
      <c r="D15" s="54"/>
      <c r="E15" s="54"/>
      <c r="F15" s="54"/>
      <c r="G15" s="2"/>
      <c r="H15" s="30"/>
      <c r="I15" s="30"/>
      <c r="J15" s="30"/>
    </row>
    <row r="16" spans="1:10" x14ac:dyDescent="0.2">
      <c r="A16" s="55" t="s">
        <v>15</v>
      </c>
      <c r="B16" s="56"/>
      <c r="C16" s="53"/>
      <c r="D16" s="54"/>
      <c r="E16" s="54"/>
      <c r="F16" s="54"/>
      <c r="G16" s="2"/>
      <c r="H16" s="57" t="s">
        <v>43</v>
      </c>
      <c r="I16" s="30"/>
      <c r="J16" s="57" t="s">
        <v>45</v>
      </c>
    </row>
    <row r="17" spans="1:10" x14ac:dyDescent="0.2">
      <c r="A17" s="58" t="s">
        <v>16</v>
      </c>
      <c r="B17" s="59"/>
      <c r="C17" s="60">
        <f>[3]main!C188-[3]main!F130</f>
        <v>3155.723</v>
      </c>
      <c r="D17" s="61">
        <f>[3]main!E188-[3]main!H130</f>
        <v>10047821.539999999</v>
      </c>
      <c r="E17" s="62">
        <f>IF(B12&gt;D17,D17,B12)</f>
        <v>3036347</v>
      </c>
      <c r="F17" s="62">
        <f>D17-E17</f>
        <v>7011474.54</v>
      </c>
      <c r="G17" s="1"/>
      <c r="H17" s="57">
        <f>[3]main!H247</f>
        <v>11640958.25</v>
      </c>
      <c r="I17" s="30"/>
      <c r="J17" s="57">
        <f>'[5]Sheet 1'!E71</f>
        <v>15712854.369999999</v>
      </c>
    </row>
    <row r="18" spans="1:10" x14ac:dyDescent="0.2">
      <c r="A18" s="58" t="s">
        <v>17</v>
      </c>
      <c r="B18" s="59"/>
      <c r="C18" s="53">
        <f>[3]main!F130</f>
        <v>143.21</v>
      </c>
      <c r="D18" s="54">
        <f>[3]main!H130</f>
        <v>455981.45</v>
      </c>
      <c r="E18" s="54">
        <f>IF(B11-SUM(E15:E17)&gt;D18,D18,B11-SUM(E15:E17))</f>
        <v>0</v>
      </c>
      <c r="F18" s="54">
        <f>D18-E18</f>
        <v>455981.45</v>
      </c>
      <c r="G18" s="1"/>
      <c r="H18" s="57">
        <f>SUM(D17:D21)</f>
        <v>11640958.25</v>
      </c>
      <c r="I18" s="30"/>
      <c r="J18" s="57">
        <f>D32</f>
        <v>15712854.369999999</v>
      </c>
    </row>
    <row r="19" spans="1:10" x14ac:dyDescent="0.2">
      <c r="A19" s="58" t="s">
        <v>18</v>
      </c>
      <c r="B19" s="59"/>
      <c r="C19" s="53">
        <f>[3]main!F188</f>
        <v>289.14699999999999</v>
      </c>
      <c r="D19" s="54">
        <f>[3]main!H188</f>
        <v>920643.26</v>
      </c>
      <c r="E19" s="54">
        <f>IF(B12-SUM(E17:E18)&gt;D19,D19,B12-SUM(E17:E18))</f>
        <v>0</v>
      </c>
      <c r="F19" s="54">
        <f>D19-E19</f>
        <v>920643.26</v>
      </c>
      <c r="G19" s="1"/>
      <c r="H19" s="57">
        <f>+H17-H18</f>
        <v>0</v>
      </c>
      <c r="I19" s="30"/>
      <c r="J19" s="57">
        <f>+J17-J18</f>
        <v>0</v>
      </c>
    </row>
    <row r="20" spans="1:10" x14ac:dyDescent="0.2">
      <c r="A20" s="58" t="s">
        <v>19</v>
      </c>
      <c r="B20" s="59"/>
      <c r="C20" s="53">
        <f>[3]main!C247</f>
        <v>60</v>
      </c>
      <c r="D20" s="54">
        <f>[3]main!E247</f>
        <v>191040</v>
      </c>
      <c r="E20" s="54">
        <f>IF(B12-SUM(E17:E19)&gt;D20,D20,B12-SUM(E17:E19))</f>
        <v>0</v>
      </c>
      <c r="F20" s="54">
        <f>D20-E20</f>
        <v>191040</v>
      </c>
      <c r="G20" s="1"/>
      <c r="H20" s="30"/>
      <c r="I20" s="30"/>
      <c r="J20" s="30"/>
    </row>
    <row r="21" spans="1:10" x14ac:dyDescent="0.2">
      <c r="A21" s="58" t="s">
        <v>42</v>
      </c>
      <c r="B21" s="59"/>
      <c r="C21" s="53">
        <f>[3]main!C71</f>
        <v>8</v>
      </c>
      <c r="D21" s="54">
        <f>[3]main!E71</f>
        <v>25472</v>
      </c>
      <c r="E21" s="54">
        <f>IF(B12-SUM(E17:E20)&gt;D21,D21,B12-SUM(E17:E20))</f>
        <v>0</v>
      </c>
      <c r="F21" s="54">
        <f>D21-E21</f>
        <v>25472</v>
      </c>
      <c r="G21" s="1"/>
      <c r="H21" s="30"/>
      <c r="I21" s="30"/>
      <c r="J21" s="30"/>
    </row>
    <row r="22" spans="1:10" x14ac:dyDescent="0.2">
      <c r="A22" s="55" t="s">
        <v>20</v>
      </c>
      <c r="B22" s="56"/>
      <c r="C22" s="63"/>
      <c r="D22" s="64"/>
      <c r="E22" s="64"/>
      <c r="F22" s="64" t="s">
        <v>14</v>
      </c>
      <c r="G22" s="1"/>
      <c r="H22" s="57" t="s">
        <v>44</v>
      </c>
      <c r="I22" s="30"/>
      <c r="J22" s="30"/>
    </row>
    <row r="23" spans="1:10" x14ac:dyDescent="0.2">
      <c r="A23" s="58" t="s">
        <v>21</v>
      </c>
      <c r="B23" s="59"/>
      <c r="C23" s="53">
        <f>'[6]Sheet 1'!C13</f>
        <v>603.72400000000005</v>
      </c>
      <c r="D23" s="54">
        <f>'[6]Sheet 1'!E13</f>
        <v>1922255.99</v>
      </c>
      <c r="E23" s="54">
        <f>IF(B12-SUM(E17:E22)&gt;D23,D23,B12-SUM(E17:E22))</f>
        <v>0</v>
      </c>
      <c r="F23" s="54">
        <f t="shared" ref="F23:F31" si="0">D23-E23</f>
        <v>1922255.99</v>
      </c>
      <c r="G23" s="1"/>
      <c r="H23" s="57">
        <f>'[6]Sheet 1'!N129</f>
        <v>2743183.43</v>
      </c>
      <c r="I23" s="30"/>
      <c r="J23" s="30"/>
    </row>
    <row r="24" spans="1:10" x14ac:dyDescent="0.2">
      <c r="A24" s="59" t="s">
        <v>22</v>
      </c>
      <c r="B24" s="59"/>
      <c r="C24" s="53">
        <f>'[6]Sheet 1'!F13</f>
        <v>89.23</v>
      </c>
      <c r="D24" s="54">
        <f>'[6]Sheet 1'!H13</f>
        <v>284108.32</v>
      </c>
      <c r="E24" s="54">
        <f>IF(B12-SUM(E17:E23)&gt;D24,D24,B12-SUM(E17:E23))</f>
        <v>0</v>
      </c>
      <c r="F24" s="54">
        <f t="shared" si="0"/>
        <v>284108.32</v>
      </c>
      <c r="G24" s="1"/>
      <c r="H24" s="57">
        <f>SUM(D23:D29)</f>
        <v>2743183.43</v>
      </c>
      <c r="I24" s="30"/>
      <c r="J24" s="30"/>
    </row>
    <row r="25" spans="1:10" x14ac:dyDescent="0.2">
      <c r="A25" s="59" t="s">
        <v>23</v>
      </c>
      <c r="B25" s="59"/>
      <c r="C25" s="53">
        <f>'[6]Sheet 1'!C71</f>
        <v>149.94</v>
      </c>
      <c r="D25" s="54">
        <f>'[6]Sheet 1'!E71</f>
        <v>477408.96</v>
      </c>
      <c r="E25" s="54">
        <f>IF(B12-SUM(E17:E24)&gt;D25,D25,B12-SUM(E17:E24))</f>
        <v>0</v>
      </c>
      <c r="F25" s="54">
        <f t="shared" si="0"/>
        <v>477408.96</v>
      </c>
      <c r="G25" s="1"/>
      <c r="H25" s="57">
        <f>+H23-H24</f>
        <v>0</v>
      </c>
      <c r="I25" s="30"/>
      <c r="J25" s="30"/>
    </row>
    <row r="26" spans="1:10" x14ac:dyDescent="0.2">
      <c r="A26" s="58" t="s">
        <v>24</v>
      </c>
      <c r="B26" s="59"/>
      <c r="C26" s="53">
        <f>'[6]Sheet 1'!F71</f>
        <v>3.4649999999999999</v>
      </c>
      <c r="D26" s="54">
        <f>'[6]Sheet 1'!H71</f>
        <v>11033.14</v>
      </c>
      <c r="E26" s="54">
        <f>IF(B12-SUM(E17:E25)&gt;D26,D26,B12-SUM(E17:E25))</f>
        <v>0</v>
      </c>
      <c r="F26" s="54">
        <f t="shared" si="0"/>
        <v>11033.14</v>
      </c>
      <c r="G26" s="1"/>
      <c r="H26" s="30"/>
      <c r="I26" s="30"/>
      <c r="J26" s="30"/>
    </row>
    <row r="27" spans="1:10" x14ac:dyDescent="0.2">
      <c r="A27" s="59" t="s">
        <v>71</v>
      </c>
      <c r="B27" s="59"/>
      <c r="C27" s="53">
        <f>'[6]Sheet 1'!C129</f>
        <v>15.194000000000001</v>
      </c>
      <c r="D27" s="54">
        <f>'[6]Sheet 1'!E129</f>
        <v>48377.02</v>
      </c>
      <c r="E27" s="54">
        <f>IF(B12-SUM(E17:E26)&gt;D27,D27,B12-SUM(E17:E26))</f>
        <v>0</v>
      </c>
      <c r="F27" s="54">
        <f t="shared" si="0"/>
        <v>48377.02</v>
      </c>
      <c r="G27" s="1"/>
      <c r="H27" s="30"/>
      <c r="I27" s="30"/>
      <c r="J27" s="30"/>
    </row>
    <row r="28" spans="1:10" x14ac:dyDescent="0.2">
      <c r="A28" s="59" t="s">
        <v>57</v>
      </c>
      <c r="B28" s="59"/>
      <c r="C28" s="53">
        <f>'[6]Sheet 1'!F129</f>
        <v>0</v>
      </c>
      <c r="D28" s="54">
        <f>'[6]Sheet 1'!H129</f>
        <v>0</v>
      </c>
      <c r="E28" s="54">
        <f>IF(B13-SUM(E18:E27)&gt;D28,D28,B13-SUM(E18:E27))</f>
        <v>0</v>
      </c>
      <c r="F28" s="54">
        <f t="shared" si="0"/>
        <v>0</v>
      </c>
      <c r="G28" s="1"/>
      <c r="H28" s="30"/>
      <c r="I28" s="30"/>
      <c r="J28" s="30"/>
    </row>
    <row r="29" spans="1:10" x14ac:dyDescent="0.2">
      <c r="A29" s="59" t="s">
        <v>64</v>
      </c>
      <c r="B29" s="59"/>
      <c r="C29" s="53">
        <f>'[6]Sheet 1'!I129</f>
        <v>0</v>
      </c>
      <c r="D29" s="54">
        <f>'[6]Sheet 1'!K129</f>
        <v>0</v>
      </c>
      <c r="E29" s="54">
        <f>IF(B15-SUM(E19:E28)&gt;D29,D29,B15-SUM(E19:E28))</f>
        <v>0</v>
      </c>
      <c r="F29" s="54">
        <f t="shared" si="0"/>
        <v>0</v>
      </c>
      <c r="G29" s="1"/>
      <c r="H29" s="57" t="s">
        <v>46</v>
      </c>
      <c r="I29" s="30"/>
      <c r="J29" s="30"/>
    </row>
    <row r="30" spans="1:10" x14ac:dyDescent="0.2">
      <c r="A30" s="59" t="s">
        <v>58</v>
      </c>
      <c r="B30" s="59"/>
      <c r="C30" s="53">
        <f>'[6]Sheet 1'!C187</f>
        <v>206.96</v>
      </c>
      <c r="D30" s="54">
        <f>'[6]Sheet 1'!E187</f>
        <v>658962.85</v>
      </c>
      <c r="E30" s="54">
        <f>IF(B12-SUM(E17:E27)&gt;D30,D30,B12-SUM(E17:E27))</f>
        <v>0</v>
      </c>
      <c r="F30" s="54">
        <f t="shared" si="0"/>
        <v>658962.85</v>
      </c>
      <c r="G30" s="4"/>
      <c r="H30" s="57">
        <f>+'[6]Sheet 1'!E187</f>
        <v>658962.85</v>
      </c>
      <c r="I30" s="30"/>
      <c r="J30" s="30"/>
    </row>
    <row r="31" spans="1:10" x14ac:dyDescent="0.2">
      <c r="A31" s="58" t="s">
        <v>59</v>
      </c>
      <c r="B31" s="59"/>
      <c r="C31" s="53">
        <f>'[5]Sheet 1'!C13</f>
        <v>210.34899999999999</v>
      </c>
      <c r="D31" s="54">
        <f>'[5]Sheet 1'!E13</f>
        <v>669749.84</v>
      </c>
      <c r="E31" s="54">
        <f>IF(B12-SUM(E17:E30)&gt;D31,D31,B12-SUM(E17:E30))</f>
        <v>0</v>
      </c>
      <c r="F31" s="54">
        <f t="shared" si="0"/>
        <v>669749.84</v>
      </c>
      <c r="G31" s="5"/>
      <c r="H31" s="57">
        <f>+D30</f>
        <v>658962.85</v>
      </c>
      <c r="I31" s="30"/>
      <c r="J31" s="30"/>
    </row>
    <row r="32" spans="1:10" x14ac:dyDescent="0.2">
      <c r="A32" s="65" t="s">
        <v>28</v>
      </c>
      <c r="B32" s="56"/>
      <c r="C32" s="66">
        <f>SUM(C17:C31)</f>
        <v>4934.942</v>
      </c>
      <c r="D32" s="67">
        <f>SUM(D17:D31)</f>
        <v>15712854.369999999</v>
      </c>
      <c r="E32" s="67">
        <f>SUM(E17:E31)</f>
        <v>3036347</v>
      </c>
      <c r="F32" s="67">
        <f>SUM(F17:F31)</f>
        <v>12676507.369999999</v>
      </c>
      <c r="G32" s="1"/>
      <c r="H32" s="57">
        <f>+H30-H31</f>
        <v>0</v>
      </c>
      <c r="I32" s="30"/>
      <c r="J32" s="30"/>
    </row>
    <row r="33" spans="1:10" x14ac:dyDescent="0.2">
      <c r="A33" s="68" t="s">
        <v>26</v>
      </c>
      <c r="B33" s="56"/>
      <c r="C33" s="69"/>
      <c r="D33" s="54"/>
      <c r="E33" s="54"/>
      <c r="F33" s="54"/>
      <c r="G33" s="1"/>
      <c r="H33" s="57" t="s">
        <v>47</v>
      </c>
      <c r="I33" s="30"/>
      <c r="J33" s="57" t="s">
        <v>52</v>
      </c>
    </row>
    <row r="34" spans="1:10" x14ac:dyDescent="0.2">
      <c r="A34" s="58" t="s">
        <v>56</v>
      </c>
      <c r="B34" s="59"/>
      <c r="C34" s="20"/>
      <c r="D34" s="70">
        <f>[1]Main!F14</f>
        <v>45469.37</v>
      </c>
      <c r="E34" s="54">
        <f>IF($B12-SUM($E32)&gt;D34,D34,$B12-SUM($E32))</f>
        <v>0</v>
      </c>
      <c r="F34" s="54">
        <f t="shared" ref="F34:F52" si="1">D34-E34</f>
        <v>45469.37</v>
      </c>
      <c r="G34" s="1"/>
      <c r="H34" s="57">
        <f>[1]Main!G14</f>
        <v>854194.59</v>
      </c>
      <c r="I34" s="30"/>
      <c r="J34" s="57">
        <f>+[1]Main!D475</f>
        <v>3338750.64</v>
      </c>
    </row>
    <row r="35" spans="1:10" x14ac:dyDescent="0.2">
      <c r="A35" s="59" t="s">
        <v>25</v>
      </c>
      <c r="B35" s="59"/>
      <c r="C35" s="20"/>
      <c r="D35" s="70">
        <f>[1]Main!C14</f>
        <v>808725.22</v>
      </c>
      <c r="E35" s="54">
        <f>IF($B12-SUM($E32:E34)&gt;D35,D35,B12-SUM($E32:E34))</f>
        <v>0</v>
      </c>
      <c r="F35" s="54">
        <f t="shared" si="1"/>
        <v>808725.22</v>
      </c>
      <c r="G35" s="1"/>
      <c r="H35" s="57">
        <f>SUM(D34:D36)</f>
        <v>854194.59</v>
      </c>
      <c r="I35" s="30"/>
      <c r="J35" s="57">
        <f>SUM(D34:D61)-E47</f>
        <v>3338750.64</v>
      </c>
    </row>
    <row r="36" spans="1:10" x14ac:dyDescent="0.2">
      <c r="A36" s="71" t="s">
        <v>27</v>
      </c>
      <c r="B36" s="59"/>
      <c r="C36" s="20"/>
      <c r="D36" s="70">
        <f>[1]Main!D14</f>
        <v>0</v>
      </c>
      <c r="E36" s="54">
        <f>IF($B12-SUM($E32:E35)&gt;D36,D36,$B12-SUM($E32:E35))</f>
        <v>0</v>
      </c>
      <c r="F36" s="54">
        <f>D36-E36</f>
        <v>0</v>
      </c>
      <c r="G36" s="1"/>
      <c r="H36" s="57">
        <f>+H34-H35</f>
        <v>0</v>
      </c>
      <c r="I36" s="30"/>
      <c r="J36" s="57">
        <f>+J34-J35</f>
        <v>0</v>
      </c>
    </row>
    <row r="37" spans="1:10" x14ac:dyDescent="0.2">
      <c r="A37" s="72" t="s">
        <v>72</v>
      </c>
      <c r="B37" s="59"/>
      <c r="C37" s="20"/>
      <c r="D37" s="70">
        <f>[1]Main!E14</f>
        <v>0</v>
      </c>
      <c r="E37" s="54">
        <f>IF($B13-SUM($E33:E36)&gt;D37,D37,$B13-SUM($E33:E36))</f>
        <v>0</v>
      </c>
      <c r="F37" s="54">
        <f>D37-E37</f>
        <v>0</v>
      </c>
      <c r="G37" s="1"/>
      <c r="H37" s="30"/>
      <c r="I37" s="30"/>
      <c r="J37" s="30"/>
    </row>
    <row r="38" spans="1:10" x14ac:dyDescent="0.2">
      <c r="A38" s="72" t="s">
        <v>73</v>
      </c>
      <c r="B38" s="59"/>
      <c r="C38" s="20"/>
      <c r="D38" s="54">
        <f>+[1]Main!$F130</f>
        <v>18780.75</v>
      </c>
      <c r="E38" s="54">
        <f>IF($B12-SUM($E32:E36)&gt;D38,D38,$B12-SUM($E32:E36))</f>
        <v>0</v>
      </c>
      <c r="F38" s="54">
        <f t="shared" si="1"/>
        <v>18780.75</v>
      </c>
      <c r="G38" s="1"/>
      <c r="H38" s="30"/>
      <c r="I38" s="30"/>
      <c r="J38" s="30"/>
    </row>
    <row r="39" spans="1:10" x14ac:dyDescent="0.2">
      <c r="A39" s="71" t="s">
        <v>74</v>
      </c>
      <c r="B39" s="59"/>
      <c r="C39" s="20"/>
      <c r="D39" s="54">
        <f>+[1]Main!$C72</f>
        <v>178662</v>
      </c>
      <c r="E39" s="54">
        <f>IF($B12-SUM($E32:E38)&gt;D39,D39,$B12-SUM($E32:E38))</f>
        <v>0</v>
      </c>
      <c r="F39" s="54">
        <f t="shared" si="1"/>
        <v>178662</v>
      </c>
      <c r="G39" s="1"/>
      <c r="H39" s="30"/>
      <c r="I39" s="30"/>
      <c r="J39" s="30"/>
    </row>
    <row r="40" spans="1:10" x14ac:dyDescent="0.2">
      <c r="A40" s="71" t="s">
        <v>75</v>
      </c>
      <c r="B40" s="59"/>
      <c r="C40" s="20"/>
      <c r="D40" s="54">
        <f>+[1]Main!$D72</f>
        <v>0</v>
      </c>
      <c r="E40" s="54">
        <f>IF($B12-SUM($E32:E39)&gt;D40,D40,$B12-SUM($E32:E39))</f>
        <v>0</v>
      </c>
      <c r="F40" s="54">
        <f t="shared" si="1"/>
        <v>0</v>
      </c>
      <c r="G40" s="1"/>
      <c r="H40" s="30"/>
      <c r="I40" s="30"/>
      <c r="J40" s="30"/>
    </row>
    <row r="41" spans="1:10" x14ac:dyDescent="0.2">
      <c r="A41" s="71" t="s">
        <v>76</v>
      </c>
      <c r="B41" s="59"/>
      <c r="C41" s="20"/>
      <c r="D41" s="54">
        <f>+[1]Main!$E72</f>
        <v>298200</v>
      </c>
      <c r="E41" s="54">
        <f>IF($B12-SUM($E32:E40)&gt;D41,D41,$B12-SUM($E32:E40))</f>
        <v>0</v>
      </c>
      <c r="F41" s="54">
        <f t="shared" si="1"/>
        <v>298200</v>
      </c>
      <c r="G41" s="1"/>
      <c r="H41" s="30"/>
      <c r="I41" s="30"/>
      <c r="J41" s="30"/>
    </row>
    <row r="42" spans="1:10" x14ac:dyDescent="0.2">
      <c r="A42" s="71" t="s">
        <v>77</v>
      </c>
      <c r="B42" s="59"/>
      <c r="C42" s="20"/>
      <c r="D42" s="54">
        <f>[1]Main!F72</f>
        <v>70697</v>
      </c>
      <c r="E42" s="54">
        <f>IF($B12-SUM($E32:E41)&gt;D42,D42,$B12-SUM($E32:E41))</f>
        <v>0</v>
      </c>
      <c r="F42" s="54">
        <f t="shared" si="1"/>
        <v>70697</v>
      </c>
      <c r="G42" s="1"/>
      <c r="H42" s="57" t="s">
        <v>48</v>
      </c>
      <c r="I42" s="30"/>
      <c r="J42" s="30"/>
    </row>
    <row r="43" spans="1:10" x14ac:dyDescent="0.2">
      <c r="A43" s="71" t="s">
        <v>79</v>
      </c>
      <c r="B43" s="59"/>
      <c r="C43" s="20"/>
      <c r="D43" s="54">
        <f>[1]Main!G72</f>
        <v>0</v>
      </c>
      <c r="E43" s="54">
        <f>IF($B12-SUM($E32:E42)&gt;D43,D43,$B12-SUM($E32:E42))</f>
        <v>0</v>
      </c>
      <c r="F43" s="54">
        <f t="shared" si="1"/>
        <v>0</v>
      </c>
      <c r="G43" s="1"/>
      <c r="H43" s="57"/>
      <c r="I43" s="30"/>
      <c r="J43" s="30"/>
    </row>
    <row r="44" spans="1:10" x14ac:dyDescent="0.2">
      <c r="A44" s="71" t="s">
        <v>78</v>
      </c>
      <c r="B44" s="59"/>
      <c r="C44" s="20"/>
      <c r="D44" s="54">
        <f>[1]Main!G130</f>
        <v>65345.7</v>
      </c>
      <c r="E44" s="54">
        <f>IF($B12-SUM($E32:E43)&gt;D44,D44,$B12-SUM($E32:E43))</f>
        <v>0</v>
      </c>
      <c r="F44" s="54">
        <f t="shared" si="1"/>
        <v>65345.7</v>
      </c>
      <c r="G44" s="1"/>
      <c r="H44" s="73">
        <f>+[1]Main!D188</f>
        <v>631685.44999999995</v>
      </c>
      <c r="I44" s="30"/>
      <c r="J44" s="30"/>
    </row>
    <row r="45" spans="1:10" x14ac:dyDescent="0.2">
      <c r="A45" s="71" t="s">
        <v>80</v>
      </c>
      <c r="B45" s="59"/>
      <c r="C45" s="20"/>
      <c r="D45" s="54">
        <f>[1]Main!C188</f>
        <v>0</v>
      </c>
      <c r="E45" s="54"/>
      <c r="F45" s="54">
        <f t="shared" si="1"/>
        <v>0</v>
      </c>
      <c r="G45" s="1"/>
      <c r="H45" s="57">
        <f>+SUM(D38:D45)</f>
        <v>631685.44999999995</v>
      </c>
      <c r="I45" s="30"/>
      <c r="J45" s="30"/>
    </row>
    <row r="46" spans="1:10" x14ac:dyDescent="0.2">
      <c r="A46" s="71" t="s">
        <v>81</v>
      </c>
      <c r="B46" s="59"/>
      <c r="C46" s="20"/>
      <c r="D46" s="54">
        <f>[1]Main!C246</f>
        <v>344136</v>
      </c>
      <c r="E46" s="54">
        <v>0</v>
      </c>
      <c r="F46" s="54">
        <f t="shared" si="1"/>
        <v>344136</v>
      </c>
      <c r="G46" s="1"/>
      <c r="H46" s="57">
        <f>+H44-H45</f>
        <v>0</v>
      </c>
      <c r="I46" s="30"/>
      <c r="J46" s="30"/>
    </row>
    <row r="47" spans="1:10" x14ac:dyDescent="0.2">
      <c r="A47" s="71" t="s">
        <v>82</v>
      </c>
      <c r="B47" s="59"/>
      <c r="C47" s="20"/>
      <c r="D47" s="54">
        <f>+[7]Main!I13+[7]Main!J13</f>
        <v>320249.90000000002</v>
      </c>
      <c r="E47" s="74">
        <f>[7]Main!J13</f>
        <v>242335.77</v>
      </c>
      <c r="F47" s="54">
        <f t="shared" si="1"/>
        <v>77914.13</v>
      </c>
      <c r="G47" s="1"/>
      <c r="H47" s="30"/>
      <c r="I47" s="30"/>
      <c r="J47" s="30"/>
    </row>
    <row r="48" spans="1:10" x14ac:dyDescent="0.2">
      <c r="A48" s="71" t="s">
        <v>83</v>
      </c>
      <c r="B48" s="59"/>
      <c r="C48" s="20"/>
      <c r="D48" s="54">
        <f>[1]Main!F246</f>
        <v>68506</v>
      </c>
      <c r="E48" s="54">
        <v>0</v>
      </c>
      <c r="F48" s="54">
        <f t="shared" si="1"/>
        <v>68506</v>
      </c>
      <c r="G48" s="1"/>
      <c r="H48" s="30"/>
      <c r="I48" s="30"/>
      <c r="J48" s="30"/>
    </row>
    <row r="49" spans="1:10" x14ac:dyDescent="0.2">
      <c r="A49" s="71" t="s">
        <v>84</v>
      </c>
      <c r="B49" s="59"/>
      <c r="C49" s="7"/>
      <c r="D49" s="54">
        <f>[1]Main!E246</f>
        <v>8194.3799999999992</v>
      </c>
      <c r="E49" s="54">
        <v>0</v>
      </c>
      <c r="F49" s="54">
        <f t="shared" si="1"/>
        <v>8194.3799999999992</v>
      </c>
      <c r="G49" s="1"/>
      <c r="H49" s="57" t="s">
        <v>49</v>
      </c>
      <c r="I49" s="30"/>
      <c r="J49" s="30"/>
    </row>
    <row r="50" spans="1:10" x14ac:dyDescent="0.2">
      <c r="A50" s="71" t="s">
        <v>85</v>
      </c>
      <c r="B50" s="59"/>
      <c r="C50" s="7"/>
      <c r="D50" s="54">
        <f>[1]Main!G246</f>
        <v>38684</v>
      </c>
      <c r="E50" s="54">
        <v>0</v>
      </c>
      <c r="F50" s="54">
        <f t="shared" si="1"/>
        <v>38684</v>
      </c>
      <c r="G50" s="1"/>
      <c r="H50" s="57">
        <f>+[1]Main!C475</f>
        <v>1793793.1</v>
      </c>
      <c r="I50" s="57"/>
      <c r="J50" s="57"/>
    </row>
    <row r="51" spans="1:10" x14ac:dyDescent="0.2">
      <c r="A51" s="71" t="s">
        <v>86</v>
      </c>
      <c r="B51" s="59"/>
      <c r="C51" s="20"/>
      <c r="D51" s="54">
        <f>[1]Main!C304</f>
        <v>0</v>
      </c>
      <c r="E51" s="54">
        <v>0</v>
      </c>
      <c r="F51" s="54">
        <f t="shared" si="1"/>
        <v>0</v>
      </c>
      <c r="G51" s="1"/>
      <c r="H51" s="57">
        <f>+SUM(D46:D56)-E47</f>
        <v>1793793.1</v>
      </c>
      <c r="I51" s="57"/>
      <c r="J51" s="57">
        <f>+H51-H50</f>
        <v>0</v>
      </c>
    </row>
    <row r="52" spans="1:10" x14ac:dyDescent="0.2">
      <c r="A52" s="71" t="s">
        <v>87</v>
      </c>
      <c r="C52" s="8"/>
      <c r="D52" s="76">
        <f>[1]Main!D304</f>
        <v>1083833.8600000001</v>
      </c>
      <c r="E52" s="77">
        <v>0</v>
      </c>
      <c r="F52" s="77">
        <f t="shared" si="1"/>
        <v>1083833.8600000001</v>
      </c>
      <c r="G52" s="5"/>
      <c r="H52" s="57">
        <f>+H50-H51</f>
        <v>0</v>
      </c>
      <c r="I52" s="57"/>
      <c r="J52" s="57"/>
    </row>
    <row r="53" spans="1:10" x14ac:dyDescent="0.2">
      <c r="A53" s="71" t="s">
        <v>88</v>
      </c>
      <c r="B53" s="59"/>
      <c r="C53" s="20"/>
      <c r="D53" s="54">
        <f>+[1]Main!$E304</f>
        <v>5541.14</v>
      </c>
      <c r="E53" s="54">
        <v>0</v>
      </c>
      <c r="F53" s="54">
        <f>D53-E53</f>
        <v>5541.14</v>
      </c>
      <c r="G53" s="4"/>
      <c r="H53" s="30"/>
      <c r="I53" s="30"/>
      <c r="J53" s="30"/>
    </row>
    <row r="54" spans="1:10" x14ac:dyDescent="0.2">
      <c r="A54" s="71" t="s">
        <v>89</v>
      </c>
      <c r="B54" s="59"/>
      <c r="C54" s="20"/>
      <c r="D54" s="54">
        <f>[1]Main!F304</f>
        <v>21670.959999999999</v>
      </c>
      <c r="E54" s="54">
        <v>0</v>
      </c>
      <c r="F54" s="54">
        <f>D54-E54</f>
        <v>21670.959999999999</v>
      </c>
      <c r="G54" s="4"/>
      <c r="H54" s="30"/>
      <c r="I54" s="30"/>
      <c r="J54" s="30"/>
    </row>
    <row r="55" spans="1:10" x14ac:dyDescent="0.2">
      <c r="A55" s="71" t="s">
        <v>90</v>
      </c>
      <c r="B55" s="59"/>
      <c r="C55" s="20"/>
      <c r="D55" s="54">
        <f>[1]Main!G304</f>
        <v>73988</v>
      </c>
      <c r="E55" s="54">
        <v>0</v>
      </c>
      <c r="F55" s="54">
        <f>D55-E55</f>
        <v>73988</v>
      </c>
      <c r="G55" s="1"/>
      <c r="H55" s="57" t="s">
        <v>50</v>
      </c>
      <c r="I55" s="30"/>
      <c r="J55" s="30"/>
    </row>
    <row r="56" spans="1:10" x14ac:dyDescent="0.2">
      <c r="A56" s="71" t="s">
        <v>93</v>
      </c>
      <c r="B56" s="59"/>
      <c r="C56" s="20"/>
      <c r="D56" s="54">
        <f>[1]Main!F361</f>
        <v>71324.63</v>
      </c>
      <c r="E56" s="54">
        <v>0</v>
      </c>
      <c r="F56" s="54">
        <f>D56-E56</f>
        <v>71324.63</v>
      </c>
      <c r="G56" s="1"/>
      <c r="H56" s="57"/>
      <c r="I56" s="30"/>
      <c r="J56" s="30"/>
    </row>
    <row r="57" spans="1:10" x14ac:dyDescent="0.2">
      <c r="A57" s="55" t="s">
        <v>30</v>
      </c>
      <c r="B57" s="78"/>
      <c r="C57" s="79"/>
      <c r="D57" s="64"/>
      <c r="E57" s="64"/>
      <c r="F57" s="64"/>
      <c r="G57" s="1"/>
      <c r="H57" s="57"/>
      <c r="I57" s="30"/>
      <c r="J57" s="30"/>
    </row>
    <row r="58" spans="1:10" x14ac:dyDescent="0.2">
      <c r="A58" s="71" t="s">
        <v>60</v>
      </c>
      <c r="B58" s="59"/>
      <c r="C58" s="20"/>
      <c r="D58" s="54">
        <f>[1]Main!C418</f>
        <v>38838.199999999997</v>
      </c>
      <c r="E58" s="54">
        <v>0</v>
      </c>
      <c r="F58" s="54">
        <f>D58-E58</f>
        <v>38838.199999999997</v>
      </c>
      <c r="G58" s="1"/>
      <c r="H58" s="57">
        <f>+[1]Main!G418</f>
        <v>59077.5</v>
      </c>
      <c r="I58" s="30"/>
      <c r="J58" s="30"/>
    </row>
    <row r="59" spans="1:10" x14ac:dyDescent="0.2">
      <c r="A59" s="71" t="s">
        <v>63</v>
      </c>
      <c r="B59" s="59"/>
      <c r="C59" s="20"/>
      <c r="D59" s="54">
        <f>[1]Main!D418</f>
        <v>0</v>
      </c>
      <c r="E59" s="54">
        <v>0</v>
      </c>
      <c r="F59" s="54">
        <f>D59-E59</f>
        <v>0</v>
      </c>
      <c r="G59" s="4"/>
      <c r="H59" s="57">
        <f>SUM(D58:D61)</f>
        <v>59077.5</v>
      </c>
      <c r="I59" s="30"/>
      <c r="J59" s="30"/>
    </row>
    <row r="60" spans="1:10" x14ac:dyDescent="0.2">
      <c r="A60" s="71" t="s">
        <v>91</v>
      </c>
      <c r="B60" s="59"/>
      <c r="C60" s="20"/>
      <c r="D60" s="54">
        <f>[1]Main!E418</f>
        <v>0</v>
      </c>
      <c r="E60" s="54">
        <v>0</v>
      </c>
      <c r="F60" s="54">
        <f>D60-E60</f>
        <v>0</v>
      </c>
      <c r="G60" s="4"/>
      <c r="H60" s="57">
        <f>+H58-H59</f>
        <v>0</v>
      </c>
      <c r="I60" s="30"/>
      <c r="J60" s="30"/>
    </row>
    <row r="61" spans="1:10" x14ac:dyDescent="0.2">
      <c r="A61" s="71" t="s">
        <v>92</v>
      </c>
      <c r="B61" s="59"/>
      <c r="C61" s="20"/>
      <c r="D61" s="54">
        <f>[1]Main!F418</f>
        <v>20239.3</v>
      </c>
      <c r="E61" s="54">
        <v>0</v>
      </c>
      <c r="F61" s="54">
        <f>D61-E61</f>
        <v>20239.3</v>
      </c>
      <c r="G61" s="1"/>
      <c r="H61" s="30"/>
      <c r="I61" s="30"/>
      <c r="J61" s="30"/>
    </row>
    <row r="62" spans="1:10" x14ac:dyDescent="0.2">
      <c r="A62" s="55" t="s">
        <v>31</v>
      </c>
      <c r="B62" s="78"/>
      <c r="C62" s="79"/>
      <c r="D62" s="64"/>
      <c r="E62" s="64"/>
      <c r="F62" s="64"/>
      <c r="G62" s="1"/>
      <c r="H62" s="30"/>
      <c r="I62" s="30"/>
      <c r="J62" s="30"/>
    </row>
    <row r="63" spans="1:10" x14ac:dyDescent="0.2">
      <c r="A63" s="58" t="s">
        <v>69</v>
      </c>
      <c r="B63" s="59"/>
      <c r="C63" s="20"/>
      <c r="D63" s="54">
        <f>+[1]Main!$G531</f>
        <v>2292193.31</v>
      </c>
      <c r="E63" s="54">
        <f>+[1]Main!$D531</f>
        <v>2187982.4</v>
      </c>
      <c r="F63" s="54">
        <f>+D63-E63</f>
        <v>104210.91</v>
      </c>
      <c r="G63" s="1"/>
      <c r="H63" s="30"/>
      <c r="I63" s="30"/>
      <c r="J63" s="30"/>
    </row>
    <row r="64" spans="1:10" x14ac:dyDescent="0.2">
      <c r="A64" s="59" t="s">
        <v>68</v>
      </c>
      <c r="B64" s="59"/>
      <c r="C64" s="20"/>
      <c r="D64" s="54">
        <f>+[1]Main!$G586</f>
        <v>759633.24</v>
      </c>
      <c r="E64" s="54">
        <f>+[1]Main!$D586</f>
        <v>725097.73</v>
      </c>
      <c r="F64" s="54">
        <f>+D64-E64</f>
        <v>34535.51</v>
      </c>
      <c r="G64" s="1"/>
      <c r="H64" s="30"/>
      <c r="I64" s="30"/>
      <c r="J64" s="30"/>
    </row>
    <row r="65" spans="1:10" ht="13.5" thickBot="1" x14ac:dyDescent="0.25">
      <c r="A65" s="80"/>
      <c r="B65" s="81"/>
      <c r="C65" s="82" t="s">
        <v>29</v>
      </c>
      <c r="D65" s="83">
        <f>SUM(D32:D64)</f>
        <v>22345767.329999998</v>
      </c>
      <c r="E65" s="83">
        <f>SUM(E32:E64)</f>
        <v>6191762.9000000004</v>
      </c>
      <c r="F65" s="83">
        <f>SUM(F32:F64)</f>
        <v>16154004.43</v>
      </c>
      <c r="G65" s="1"/>
      <c r="H65" s="30"/>
      <c r="I65" s="30"/>
      <c r="J65" s="30"/>
    </row>
    <row r="66" spans="1:10" ht="13.5" thickTop="1" x14ac:dyDescent="0.2">
      <c r="A66" s="84"/>
      <c r="B66" s="59"/>
      <c r="C66" s="85"/>
      <c r="D66" s="86"/>
      <c r="E66" s="86"/>
      <c r="F66" s="87"/>
      <c r="G66" s="1"/>
      <c r="H66" s="30"/>
      <c r="I66" s="30"/>
      <c r="J66" s="30"/>
    </row>
    <row r="67" spans="1:10" x14ac:dyDescent="0.2">
      <c r="A67" s="88" t="s">
        <v>40</v>
      </c>
      <c r="B67" s="78"/>
      <c r="C67" s="89"/>
      <c r="D67" s="90"/>
      <c r="E67" s="91"/>
      <c r="F67" s="92" t="s">
        <v>36</v>
      </c>
      <c r="G67" s="6"/>
      <c r="H67" s="57" t="s">
        <v>51</v>
      </c>
      <c r="I67" s="30"/>
      <c r="J67" s="57" t="s">
        <v>7</v>
      </c>
    </row>
    <row r="68" spans="1:10" x14ac:dyDescent="0.2">
      <c r="A68" s="93" t="s">
        <v>33</v>
      </c>
      <c r="B68" s="94"/>
      <c r="C68" s="95"/>
      <c r="D68" s="96"/>
      <c r="E68" s="96"/>
      <c r="F68" s="91"/>
      <c r="G68" s="6"/>
      <c r="H68" s="30"/>
      <c r="I68" s="30"/>
      <c r="J68" s="30"/>
    </row>
    <row r="69" spans="1:10" x14ac:dyDescent="0.2">
      <c r="A69" s="59" t="s">
        <v>34</v>
      </c>
      <c r="B69" s="59"/>
      <c r="C69" s="22"/>
      <c r="D69" s="27"/>
      <c r="E69" s="27"/>
      <c r="F69" s="97">
        <f>+[8]Main!$C14</f>
        <v>0</v>
      </c>
      <c r="G69" s="5"/>
      <c r="H69" s="57">
        <f>+[1]Main!G642</f>
        <v>3051826.55</v>
      </c>
      <c r="I69" s="30"/>
      <c r="J69" s="57">
        <f>+[1]Main!E642+[1]Main!F642</f>
        <v>138746.42000000001</v>
      </c>
    </row>
    <row r="70" spans="1:10" x14ac:dyDescent="0.2">
      <c r="A70" s="59" t="s">
        <v>66</v>
      </c>
      <c r="B70" s="59"/>
      <c r="C70" s="22"/>
      <c r="D70" s="27"/>
      <c r="E70" s="27"/>
      <c r="F70" s="97">
        <f>+[8]Main!$D14</f>
        <v>0</v>
      </c>
      <c r="G70" s="5"/>
      <c r="H70" s="57">
        <f>+D63+D64</f>
        <v>3051826.55</v>
      </c>
      <c r="I70" s="30"/>
      <c r="J70" s="57">
        <f>+F63+F64</f>
        <v>138746.42000000001</v>
      </c>
    </row>
    <row r="71" spans="1:10" x14ac:dyDescent="0.2">
      <c r="A71" s="32" t="s">
        <v>65</v>
      </c>
      <c r="B71" s="32"/>
      <c r="C71" s="22"/>
      <c r="D71" s="28"/>
      <c r="E71" s="28"/>
      <c r="F71" s="97">
        <f>+[8]Main!$E14</f>
        <v>0</v>
      </c>
      <c r="G71" s="1"/>
      <c r="H71" s="57">
        <f>+H69-H70</f>
        <v>0</v>
      </c>
      <c r="I71" s="30"/>
      <c r="J71" s="57">
        <f>+J69-J70</f>
        <v>0</v>
      </c>
    </row>
    <row r="72" spans="1:10" x14ac:dyDescent="0.2">
      <c r="A72" s="32" t="s">
        <v>67</v>
      </c>
      <c r="B72" s="32"/>
      <c r="C72" s="22"/>
      <c r="D72" s="28"/>
      <c r="E72" s="28"/>
      <c r="F72" s="97">
        <f>+[8]Main!$F14</f>
        <v>0</v>
      </c>
      <c r="G72" s="1"/>
      <c r="H72" s="30"/>
      <c r="I72" s="30"/>
      <c r="J72" s="30"/>
    </row>
    <row r="73" spans="1:10" x14ac:dyDescent="0.2">
      <c r="A73" s="88" t="s">
        <v>35</v>
      </c>
      <c r="B73" s="78"/>
      <c r="C73" s="89"/>
      <c r="D73" s="90"/>
      <c r="E73" s="91"/>
      <c r="F73" s="54">
        <f>+[8]Main!$C72</f>
        <v>17895.240000000002</v>
      </c>
      <c r="G73" s="1"/>
      <c r="H73" s="30"/>
      <c r="I73" s="30"/>
      <c r="J73" s="30"/>
    </row>
    <row r="74" spans="1:10" ht="13.5" thickBot="1" x14ac:dyDescent="0.25">
      <c r="A74" s="98"/>
      <c r="B74" s="99"/>
      <c r="C74" s="100" t="s">
        <v>29</v>
      </c>
      <c r="D74" s="101"/>
      <c r="E74" s="102"/>
      <c r="F74" s="103">
        <f>SUM(F69:F73)</f>
        <v>17895.240000000002</v>
      </c>
      <c r="G74" s="1"/>
      <c r="H74" s="30"/>
      <c r="I74" s="30"/>
      <c r="J74" s="30"/>
    </row>
    <row r="75" spans="1:10" ht="13.5" thickBot="1" x14ac:dyDescent="0.25">
      <c r="A75" s="104"/>
      <c r="B75" s="105"/>
      <c r="C75" s="106" t="s">
        <v>53</v>
      </c>
      <c r="D75" s="107"/>
      <c r="E75" s="108"/>
      <c r="F75" s="109">
        <f>+F74+F65</f>
        <v>16171899.67</v>
      </c>
      <c r="G75" s="1"/>
      <c r="H75" s="57" t="s">
        <v>54</v>
      </c>
      <c r="I75" s="30"/>
      <c r="J75" s="30"/>
    </row>
    <row r="76" spans="1:10" x14ac:dyDescent="0.2">
      <c r="A76" s="11"/>
      <c r="B76" s="12"/>
      <c r="C76" s="9"/>
      <c r="D76" s="29"/>
      <c r="E76" s="29"/>
      <c r="F76" s="110"/>
      <c r="G76" s="1"/>
      <c r="H76" s="57">
        <f>+[8]Main!$G14</f>
        <v>0</v>
      </c>
      <c r="I76" s="30"/>
      <c r="J76" s="30"/>
    </row>
    <row r="77" spans="1:10" x14ac:dyDescent="0.2">
      <c r="A77" s="11"/>
      <c r="B77" s="12"/>
      <c r="C77" s="9"/>
      <c r="D77" s="29"/>
      <c r="E77" s="29"/>
      <c r="F77" s="110"/>
      <c r="G77" s="1"/>
      <c r="H77" s="57">
        <f>SUM(F69:F72)</f>
        <v>0</v>
      </c>
      <c r="I77" s="30"/>
      <c r="J77" s="30"/>
    </row>
    <row r="78" spans="1:10" x14ac:dyDescent="0.2">
      <c r="A78" s="1"/>
      <c r="B78" s="1"/>
      <c r="C78" s="7"/>
      <c r="D78" s="26"/>
      <c r="E78" s="26"/>
      <c r="F78" s="86">
        <f>+F74+F65</f>
        <v>16171899.67</v>
      </c>
      <c r="G78" s="1"/>
      <c r="H78" s="57">
        <f>+H76-H77</f>
        <v>0</v>
      </c>
      <c r="I78" s="30"/>
      <c r="J78" s="30"/>
    </row>
    <row r="79" spans="1:10" x14ac:dyDescent="0.2">
      <c r="A79" s="1"/>
      <c r="B79" s="1"/>
      <c r="C79" s="7"/>
      <c r="D79" s="26"/>
      <c r="E79" s="26"/>
      <c r="F79" s="86">
        <f>+[1]Main!$F758</f>
        <v>16171899.67</v>
      </c>
      <c r="G79" s="1"/>
      <c r="H79" s="30"/>
      <c r="I79" s="30"/>
      <c r="J79" s="30"/>
    </row>
    <row r="80" spans="1:10" x14ac:dyDescent="0.2">
      <c r="A80" s="1"/>
      <c r="B80" s="1"/>
      <c r="C80" s="7"/>
      <c r="D80" s="26"/>
      <c r="E80" s="86">
        <f>+E65+[1]Main!$E758</f>
        <v>0</v>
      </c>
      <c r="F80" s="86">
        <f>+F79-F78</f>
        <v>0</v>
      </c>
      <c r="G80" s="1"/>
      <c r="H80" s="30"/>
      <c r="I80" s="30"/>
      <c r="J80" s="30"/>
    </row>
    <row r="81" spans="1:10" x14ac:dyDescent="0.2">
      <c r="A81" s="1"/>
      <c r="B81" s="1"/>
      <c r="C81" s="7"/>
      <c r="D81" s="26"/>
      <c r="E81" s="26"/>
      <c r="F81" s="26"/>
      <c r="G81" s="1"/>
      <c r="H81" s="30"/>
      <c r="I81" s="30"/>
      <c r="J81" s="30"/>
    </row>
    <row r="82" spans="1:10" x14ac:dyDescent="0.2">
      <c r="A82" s="1"/>
      <c r="B82" s="1"/>
      <c r="C82" s="7"/>
      <c r="D82" s="26"/>
      <c r="E82" s="26"/>
      <c r="F82" s="26"/>
      <c r="G82" s="1"/>
      <c r="H82" s="30"/>
      <c r="I82" s="30"/>
      <c r="J82" s="30"/>
    </row>
    <row r="83" spans="1:10" x14ac:dyDescent="0.2">
      <c r="A83" s="1"/>
      <c r="B83" s="1"/>
      <c r="C83" s="7"/>
      <c r="D83" s="26"/>
      <c r="E83" s="26"/>
      <c r="F83" s="26"/>
      <c r="G83" s="1"/>
      <c r="H83" s="111" t="s">
        <v>55</v>
      </c>
      <c r="I83" s="30"/>
      <c r="J83" s="30"/>
    </row>
    <row r="84" spans="1:10" x14ac:dyDescent="0.2">
      <c r="A84" s="8"/>
      <c r="B84" s="8"/>
      <c r="C84" s="8"/>
      <c r="D84" s="8"/>
      <c r="E84" s="8"/>
      <c r="F84" s="8"/>
      <c r="G84" s="1"/>
      <c r="H84" s="13"/>
      <c r="I84" s="3"/>
      <c r="J84" s="3"/>
    </row>
    <row r="85" spans="1:10" x14ac:dyDescent="0.2">
      <c r="A85" s="8"/>
      <c r="B85" s="8"/>
      <c r="C85" s="8"/>
      <c r="D85" s="8"/>
      <c r="E85" s="8"/>
      <c r="F85" s="8"/>
      <c r="G85" s="1"/>
      <c r="H85" s="3"/>
      <c r="I85" s="3"/>
      <c r="J85" s="3"/>
    </row>
    <row r="86" spans="1:10" x14ac:dyDescent="0.2">
      <c r="G86" s="59"/>
      <c r="H86" s="112"/>
      <c r="I86" s="112"/>
      <c r="J86" s="112"/>
    </row>
    <row r="87" spans="1:10" x14ac:dyDescent="0.2">
      <c r="G87" s="59"/>
      <c r="H87" s="112"/>
      <c r="I87" s="112"/>
      <c r="J87" s="112"/>
    </row>
    <row r="88" spans="1:10" x14ac:dyDescent="0.2">
      <c r="G88" s="59"/>
      <c r="H88" s="112"/>
      <c r="I88" s="112"/>
      <c r="J88" s="112"/>
    </row>
    <row r="89" spans="1:10" x14ac:dyDescent="0.2">
      <c r="G89" s="59"/>
      <c r="H89" s="71"/>
      <c r="I89" s="112"/>
      <c r="J89" s="112"/>
    </row>
  </sheetData>
  <mergeCells count="1">
    <mergeCell ref="D8:E8"/>
  </mergeCells>
  <phoneticPr fontId="0" type="noConversion"/>
  <printOptions horizontalCentered="1" verticalCentered="1"/>
  <pageMargins left="0.5" right="0.25" top="0.5" bottom="0.5" header="0.5" footer="0.5"/>
  <pageSetup scale="89" orientation="portrait" horizontalDpi="1200" r:id="rId1"/>
  <headerFooter alignWithMargins="0">
    <oddHeader>&amp;R&amp;8Current as of: &amp;D</oddHeader>
    <oddFooter>&amp;L&amp;8USOE, Finance and Statistics&amp;R&amp;8&amp;F</oddFooter>
  </headerFooter>
  <picture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90"/>
  <sheetViews>
    <sheetView topLeftCell="A25" workbookViewId="0">
      <selection activeCell="B13" sqref="B13"/>
    </sheetView>
  </sheetViews>
  <sheetFormatPr defaultColWidth="18.28515625" defaultRowHeight="12.75" x14ac:dyDescent="0.2"/>
  <cols>
    <col min="1" max="1" width="16.7109375" style="75" customWidth="1"/>
    <col min="2" max="2" width="15.85546875" style="75" customWidth="1"/>
    <col min="3" max="3" width="16.28515625" style="75" customWidth="1"/>
    <col min="4" max="5" width="15.5703125" style="75" customWidth="1"/>
    <col min="6" max="6" width="13.42578125" style="75" customWidth="1"/>
    <col min="7" max="7" width="21.5703125" style="75" customWidth="1"/>
    <col min="8" max="8" width="13.140625" style="75" customWidth="1"/>
    <col min="9" max="9" width="7.28515625" style="75" customWidth="1"/>
    <col min="10" max="16384" width="18.28515625" style="75"/>
  </cols>
  <sheetData>
    <row r="1" spans="1:10" x14ac:dyDescent="0.2">
      <c r="A1" s="8"/>
      <c r="B1" s="8"/>
      <c r="C1" s="8"/>
      <c r="D1" s="8"/>
      <c r="E1" s="8"/>
      <c r="F1" s="8"/>
      <c r="G1" s="8"/>
      <c r="H1" s="8"/>
      <c r="I1" s="8"/>
      <c r="J1" s="8"/>
    </row>
    <row r="2" spans="1:10" x14ac:dyDescent="0.2">
      <c r="A2" s="8"/>
      <c r="B2" s="8"/>
      <c r="C2" s="8"/>
      <c r="D2" s="8"/>
      <c r="E2" s="8"/>
      <c r="F2" s="8"/>
      <c r="G2" s="8"/>
      <c r="H2" s="8"/>
      <c r="I2" s="8"/>
      <c r="J2" s="8"/>
    </row>
    <row r="3" spans="1:10" x14ac:dyDescent="0.2">
      <c r="A3" s="8"/>
      <c r="B3" s="8"/>
      <c r="C3" s="8"/>
      <c r="D3" s="8"/>
      <c r="E3" s="8"/>
      <c r="F3" s="8"/>
      <c r="G3" s="8"/>
      <c r="H3" s="8"/>
      <c r="I3" s="8"/>
      <c r="J3" s="8"/>
    </row>
    <row r="4" spans="1:10" x14ac:dyDescent="0.2">
      <c r="A4" s="8"/>
      <c r="B4" s="8"/>
      <c r="C4" s="8"/>
      <c r="D4" s="8"/>
      <c r="E4" s="8"/>
      <c r="F4" s="8"/>
      <c r="G4" s="8"/>
      <c r="H4" s="8"/>
      <c r="I4" s="8"/>
      <c r="J4" s="8"/>
    </row>
    <row r="5" spans="1:10" x14ac:dyDescent="0.2">
      <c r="A5" s="8"/>
      <c r="B5" s="8"/>
      <c r="C5" s="8"/>
      <c r="D5" s="8"/>
      <c r="E5" s="8"/>
      <c r="F5" s="8"/>
      <c r="G5" s="8"/>
      <c r="H5" s="8"/>
      <c r="I5" s="8"/>
      <c r="J5" s="8"/>
    </row>
    <row r="6" spans="1:10" x14ac:dyDescent="0.2">
      <c r="A6" s="32" t="s">
        <v>0</v>
      </c>
      <c r="B6" s="33">
        <v>3184</v>
      </c>
      <c r="C6" s="34" t="s">
        <v>1</v>
      </c>
      <c r="D6" s="35"/>
      <c r="E6" s="35"/>
      <c r="F6" s="35"/>
      <c r="G6" s="1"/>
      <c r="H6" s="30"/>
      <c r="I6" s="30"/>
      <c r="J6" s="30"/>
    </row>
    <row r="7" spans="1:10" x14ac:dyDescent="0.2">
      <c r="A7" s="32" t="s">
        <v>61</v>
      </c>
      <c r="B7" s="36">
        <f>+[1]Main!$C532</f>
        <v>0</v>
      </c>
      <c r="C7" s="34" t="s">
        <v>41</v>
      </c>
      <c r="D7" s="35"/>
      <c r="E7" s="35"/>
      <c r="F7" s="35"/>
      <c r="G7" s="1"/>
      <c r="H7" s="30"/>
      <c r="I7" s="30"/>
      <c r="J7" s="30"/>
    </row>
    <row r="8" spans="1:10" x14ac:dyDescent="0.2">
      <c r="A8" s="32" t="s">
        <v>62</v>
      </c>
      <c r="B8" s="36">
        <f>+[1]Main!$C587</f>
        <v>1.474E-3</v>
      </c>
      <c r="C8" s="34" t="s">
        <v>95</v>
      </c>
      <c r="D8" s="35"/>
      <c r="E8" s="37"/>
      <c r="F8" s="35"/>
      <c r="G8" s="1"/>
      <c r="H8" s="30"/>
      <c r="I8" s="30"/>
      <c r="J8" s="30"/>
    </row>
    <row r="9" spans="1:10" x14ac:dyDescent="0.2">
      <c r="A9" s="38" t="s">
        <v>32</v>
      </c>
      <c r="B9" s="39">
        <f>[2]Sheet1!E14</f>
        <v>284126686</v>
      </c>
      <c r="C9" s="21"/>
      <c r="D9" s="31"/>
      <c r="E9" s="31"/>
      <c r="F9" s="23"/>
      <c r="G9" s="1"/>
      <c r="H9" s="30"/>
      <c r="I9" s="30"/>
      <c r="J9" s="30"/>
    </row>
    <row r="10" spans="1:10" x14ac:dyDescent="0.2">
      <c r="A10" s="32" t="s">
        <v>2</v>
      </c>
      <c r="B10" s="40">
        <f>[2]Sheet1!F14</f>
        <v>0.96150000000000002</v>
      </c>
      <c r="C10" s="7"/>
      <c r="D10" s="41" t="s">
        <v>3</v>
      </c>
      <c r="E10" s="42" t="str">
        <f>+[3]main!B15</f>
        <v>Daggett</v>
      </c>
      <c r="F10" s="43">
        <f>+[3]main!A15</f>
        <v>6</v>
      </c>
      <c r="G10" s="1"/>
      <c r="H10" s="30"/>
      <c r="I10" s="30"/>
      <c r="J10" s="30"/>
    </row>
    <row r="11" spans="1:10" x14ac:dyDescent="0.2">
      <c r="A11" s="32" t="s">
        <v>4</v>
      </c>
      <c r="B11" s="44">
        <f>[2]Sheet1!G14</f>
        <v>1.6750000000000001E-3</v>
      </c>
      <c r="C11" s="8"/>
      <c r="D11" s="24"/>
      <c r="E11" s="25"/>
      <c r="F11" s="24"/>
      <c r="G11" s="1"/>
      <c r="H11" s="30"/>
      <c r="I11" s="30"/>
      <c r="J11" s="30"/>
    </row>
    <row r="12" spans="1:10" x14ac:dyDescent="0.2">
      <c r="A12" s="32" t="s">
        <v>5</v>
      </c>
      <c r="B12" s="45">
        <f>[2]Sheet1!$C$70</f>
        <v>490985</v>
      </c>
      <c r="C12" s="46"/>
      <c r="D12" s="47" t="s">
        <v>38</v>
      </c>
      <c r="E12" s="48" t="s">
        <v>7</v>
      </c>
      <c r="F12" s="47" t="s">
        <v>6</v>
      </c>
      <c r="G12" s="1"/>
      <c r="H12" s="30"/>
      <c r="I12" s="30"/>
      <c r="J12" s="30"/>
    </row>
    <row r="13" spans="1:10" x14ac:dyDescent="0.2">
      <c r="A13" s="32" t="s">
        <v>8</v>
      </c>
      <c r="B13" s="45">
        <f>+B12</f>
        <v>490985</v>
      </c>
      <c r="C13" s="49"/>
      <c r="D13" s="50" t="s">
        <v>9</v>
      </c>
      <c r="E13" s="50" t="s">
        <v>37</v>
      </c>
      <c r="F13" s="50" t="s">
        <v>10</v>
      </c>
      <c r="G13" s="1"/>
      <c r="H13" s="30"/>
      <c r="I13" s="30"/>
      <c r="J13" s="30"/>
    </row>
    <row r="14" spans="1:10" x14ac:dyDescent="0.2">
      <c r="A14" s="32" t="s">
        <v>11</v>
      </c>
      <c r="B14" s="45">
        <v>0</v>
      </c>
      <c r="C14" s="51" t="s">
        <v>39</v>
      </c>
      <c r="D14" s="52" t="s">
        <v>12</v>
      </c>
      <c r="E14" s="52" t="s">
        <v>9</v>
      </c>
      <c r="F14" s="52" t="s">
        <v>9</v>
      </c>
      <c r="G14" s="1"/>
      <c r="H14" s="30"/>
      <c r="I14" s="30"/>
      <c r="J14" s="30"/>
    </row>
    <row r="15" spans="1:10" x14ac:dyDescent="0.2">
      <c r="A15" s="32" t="s">
        <v>70</v>
      </c>
      <c r="B15" s="45">
        <f>'[4]LRF FY17'!U12</f>
        <v>0</v>
      </c>
      <c r="C15" s="53"/>
      <c r="D15" s="54"/>
      <c r="E15" s="54"/>
      <c r="F15" s="54" t="s">
        <v>14</v>
      </c>
      <c r="G15" s="1"/>
      <c r="H15" s="30"/>
      <c r="I15" s="30"/>
      <c r="J15" s="30"/>
    </row>
    <row r="16" spans="1:10" x14ac:dyDescent="0.2">
      <c r="A16" s="55" t="s">
        <v>13</v>
      </c>
      <c r="B16" s="56"/>
      <c r="C16" s="53"/>
      <c r="D16" s="54"/>
      <c r="E16" s="54"/>
      <c r="F16" s="54"/>
      <c r="G16" s="2"/>
      <c r="H16" s="30"/>
      <c r="I16" s="30"/>
      <c r="J16" s="30"/>
    </row>
    <row r="17" spans="1:10" x14ac:dyDescent="0.2">
      <c r="A17" s="55" t="s">
        <v>15</v>
      </c>
      <c r="B17" s="56"/>
      <c r="C17" s="53"/>
      <c r="D17" s="54"/>
      <c r="E17" s="54"/>
      <c r="F17" s="54"/>
      <c r="G17" s="2"/>
      <c r="H17" s="57" t="s">
        <v>43</v>
      </c>
      <c r="I17" s="30"/>
      <c r="J17" s="57" t="s">
        <v>45</v>
      </c>
    </row>
    <row r="18" spans="1:10" x14ac:dyDescent="0.2">
      <c r="A18" s="58" t="s">
        <v>16</v>
      </c>
      <c r="B18" s="59"/>
      <c r="C18" s="60">
        <f>[3]main!C189-[3]main!F131</f>
        <v>168.09299999999999</v>
      </c>
      <c r="D18" s="61">
        <f>[3]main!E189-[3]main!H131</f>
        <v>535209.28</v>
      </c>
      <c r="E18" s="62">
        <f>IF(B13&gt;D18,D18,B13)</f>
        <v>490985</v>
      </c>
      <c r="F18" s="62">
        <f>D18-E18</f>
        <v>44224.28</v>
      </c>
      <c r="G18" s="1"/>
      <c r="H18" s="57">
        <f>[3]main!H248</f>
        <v>1772933.07</v>
      </c>
      <c r="I18" s="30"/>
      <c r="J18" s="57">
        <f>'[5]Sheet 1'!E72</f>
        <v>2065177.52</v>
      </c>
    </row>
    <row r="19" spans="1:10" x14ac:dyDescent="0.2">
      <c r="A19" s="58" t="s">
        <v>17</v>
      </c>
      <c r="B19" s="59"/>
      <c r="C19" s="53">
        <f>[3]main!F131</f>
        <v>256.41800000000001</v>
      </c>
      <c r="D19" s="54">
        <f>[3]main!H131</f>
        <v>816434.32</v>
      </c>
      <c r="E19" s="54">
        <f>IF(B12-SUM(E16:E18)&gt;D19,D19,B12-SUM(E16:E18))</f>
        <v>0</v>
      </c>
      <c r="F19" s="54">
        <f>D19-E19</f>
        <v>816434.32</v>
      </c>
      <c r="G19" s="1"/>
      <c r="H19" s="57">
        <f>SUM(D18:D22)</f>
        <v>1772933.07</v>
      </c>
      <c r="I19" s="30"/>
      <c r="J19" s="57">
        <f>D33</f>
        <v>2065177.52</v>
      </c>
    </row>
    <row r="20" spans="1:10" x14ac:dyDescent="0.2">
      <c r="A20" s="58" t="s">
        <v>18</v>
      </c>
      <c r="B20" s="59"/>
      <c r="C20" s="53">
        <f>[3]main!F189</f>
        <v>37.314999999999998</v>
      </c>
      <c r="D20" s="54">
        <f>[3]main!H189</f>
        <v>118809.47</v>
      </c>
      <c r="E20" s="54">
        <f>IF(B13-SUM(E18:E19)&gt;D20,D20,B13-SUM(E18:E19))</f>
        <v>0</v>
      </c>
      <c r="F20" s="54">
        <f>D20-E20</f>
        <v>118809.47</v>
      </c>
      <c r="G20" s="1"/>
      <c r="H20" s="57">
        <f>+H18-H19</f>
        <v>0</v>
      </c>
      <c r="I20" s="30"/>
      <c r="J20" s="57">
        <f>+J18-J19</f>
        <v>0</v>
      </c>
    </row>
    <row r="21" spans="1:10" x14ac:dyDescent="0.2">
      <c r="A21" s="58" t="s">
        <v>19</v>
      </c>
      <c r="B21" s="59"/>
      <c r="C21" s="53">
        <f>[3]main!C248</f>
        <v>95</v>
      </c>
      <c r="D21" s="54">
        <f>[3]main!E248</f>
        <v>302480</v>
      </c>
      <c r="E21" s="54">
        <f>IF(B13-SUM(E18:E20)&gt;D21,D21,B13-SUM(E18:E20))</f>
        <v>0</v>
      </c>
      <c r="F21" s="54">
        <f>D21-E21</f>
        <v>302480</v>
      </c>
      <c r="G21" s="1"/>
      <c r="H21" s="30"/>
      <c r="I21" s="30"/>
      <c r="J21" s="30"/>
    </row>
    <row r="22" spans="1:10" x14ac:dyDescent="0.2">
      <c r="A22" s="58" t="s">
        <v>42</v>
      </c>
      <c r="B22" s="59"/>
      <c r="C22" s="53">
        <f>[3]main!C72</f>
        <v>0</v>
      </c>
      <c r="D22" s="54">
        <f>[3]main!E72</f>
        <v>0</v>
      </c>
      <c r="E22" s="54">
        <f>IF(B13-SUM(E18:E21)&gt;D22,D22,B13-SUM(E18:E21))</f>
        <v>0</v>
      </c>
      <c r="F22" s="54">
        <f>D22-E22</f>
        <v>0</v>
      </c>
      <c r="G22" s="1"/>
      <c r="H22" s="30"/>
      <c r="I22" s="30"/>
      <c r="J22" s="30"/>
    </row>
    <row r="23" spans="1:10" x14ac:dyDescent="0.2">
      <c r="A23" s="55" t="s">
        <v>20</v>
      </c>
      <c r="B23" s="56"/>
      <c r="C23" s="63"/>
      <c r="D23" s="64"/>
      <c r="E23" s="64"/>
      <c r="F23" s="64" t="s">
        <v>14</v>
      </c>
      <c r="G23" s="1"/>
      <c r="H23" s="57" t="s">
        <v>44</v>
      </c>
      <c r="I23" s="30"/>
      <c r="J23" s="30"/>
    </row>
    <row r="24" spans="1:10" x14ac:dyDescent="0.2">
      <c r="A24" s="58" t="s">
        <v>21</v>
      </c>
      <c r="B24" s="59"/>
      <c r="C24" s="53">
        <f>'[6]Sheet 1'!C14</f>
        <v>21.747</v>
      </c>
      <c r="D24" s="54">
        <f>'[6]Sheet 1'!E14</f>
        <v>69242.45</v>
      </c>
      <c r="E24" s="54">
        <f>IF(B13-SUM(E18:E23)&gt;D24,D24,B13-SUM(E18:E23))</f>
        <v>0</v>
      </c>
      <c r="F24" s="54">
        <f t="shared" ref="F24:F32" si="0">D24-E24</f>
        <v>69242.45</v>
      </c>
      <c r="G24" s="1"/>
      <c r="H24" s="57">
        <f>'[6]Sheet 1'!N130</f>
        <v>82237.240000000005</v>
      </c>
      <c r="I24" s="30"/>
      <c r="J24" s="30"/>
    </row>
    <row r="25" spans="1:10" x14ac:dyDescent="0.2">
      <c r="A25" s="59" t="s">
        <v>22</v>
      </c>
      <c r="B25" s="59"/>
      <c r="C25" s="53">
        <f>'[6]Sheet 1'!F14</f>
        <v>2.83</v>
      </c>
      <c r="D25" s="54">
        <f>'[6]Sheet 1'!H14</f>
        <v>9010.7199999999993</v>
      </c>
      <c r="E25" s="54">
        <f>IF(B13-SUM(E18:E24)&gt;D25,D25,B13-SUM(E18:E24))</f>
        <v>0</v>
      </c>
      <c r="F25" s="54">
        <f t="shared" si="0"/>
        <v>9010.7199999999993</v>
      </c>
      <c r="G25" s="1"/>
      <c r="H25" s="57">
        <f>SUM(D24:D30)</f>
        <v>82237.240000000005</v>
      </c>
      <c r="I25" s="30"/>
      <c r="J25" s="30"/>
    </row>
    <row r="26" spans="1:10" x14ac:dyDescent="0.2">
      <c r="A26" s="59" t="s">
        <v>23</v>
      </c>
      <c r="B26" s="59"/>
      <c r="C26" s="53">
        <f>'[6]Sheet 1'!C72</f>
        <v>0</v>
      </c>
      <c r="D26" s="54">
        <f>'[6]Sheet 1'!E72</f>
        <v>0</v>
      </c>
      <c r="E26" s="54">
        <f>IF(B13-SUM(E18:E25)&gt;D26,D26,B13-SUM(E18:E25))</f>
        <v>0</v>
      </c>
      <c r="F26" s="54">
        <f t="shared" si="0"/>
        <v>0</v>
      </c>
      <c r="G26" s="1"/>
      <c r="H26" s="57">
        <f>+H24-H25</f>
        <v>0</v>
      </c>
      <c r="I26" s="30"/>
      <c r="J26" s="30"/>
    </row>
    <row r="27" spans="1:10" x14ac:dyDescent="0.2">
      <c r="A27" s="58" t="s">
        <v>24</v>
      </c>
      <c r="B27" s="59"/>
      <c r="C27" s="53">
        <f>'[6]Sheet 1'!F72</f>
        <v>0.70899999999999996</v>
      </c>
      <c r="D27" s="54">
        <f>'[6]Sheet 1'!H72</f>
        <v>2259</v>
      </c>
      <c r="E27" s="54">
        <f>IF(B13-SUM(E18:E26)&gt;D27,D27,B13-SUM(E18:E26))</f>
        <v>0</v>
      </c>
      <c r="F27" s="54">
        <f t="shared" si="0"/>
        <v>2259</v>
      </c>
      <c r="G27" s="1"/>
      <c r="H27" s="30"/>
      <c r="I27" s="30"/>
      <c r="J27" s="30"/>
    </row>
    <row r="28" spans="1:10" x14ac:dyDescent="0.2">
      <c r="A28" s="59" t="s">
        <v>71</v>
      </c>
      <c r="B28" s="59"/>
      <c r="C28" s="53">
        <f>'[6]Sheet 1'!C130</f>
        <v>0.54200000000000004</v>
      </c>
      <c r="D28" s="54">
        <f>'[6]Sheet 1'!E130</f>
        <v>1725.07</v>
      </c>
      <c r="E28" s="54">
        <f>IF(B13-SUM(E18:E27)&gt;D28,D28,B13-SUM(E18:E27))</f>
        <v>0</v>
      </c>
      <c r="F28" s="54">
        <f t="shared" si="0"/>
        <v>1725.07</v>
      </c>
      <c r="G28" s="1"/>
      <c r="H28" s="30"/>
      <c r="I28" s="30"/>
      <c r="J28" s="30"/>
    </row>
    <row r="29" spans="1:10" x14ac:dyDescent="0.2">
      <c r="A29" s="59" t="s">
        <v>57</v>
      </c>
      <c r="B29" s="59"/>
      <c r="C29" s="53">
        <f>'[6]Sheet 1'!F130</f>
        <v>0</v>
      </c>
      <c r="D29" s="54">
        <f>'[6]Sheet 1'!H130</f>
        <v>0</v>
      </c>
      <c r="E29" s="54">
        <f>IF(B14-SUM(E19:E28)&gt;D29,D29,B14-SUM(E19:E28))</f>
        <v>0</v>
      </c>
      <c r="F29" s="54">
        <f t="shared" si="0"/>
        <v>0</v>
      </c>
      <c r="G29" s="1"/>
      <c r="H29" s="30"/>
      <c r="I29" s="30"/>
      <c r="J29" s="30"/>
    </row>
    <row r="30" spans="1:10" x14ac:dyDescent="0.2">
      <c r="A30" s="59" t="s">
        <v>64</v>
      </c>
      <c r="B30" s="59"/>
      <c r="C30" s="53">
        <f>'[6]Sheet 1'!I130</f>
        <v>0</v>
      </c>
      <c r="D30" s="54">
        <f>'[6]Sheet 1'!K130</f>
        <v>0</v>
      </c>
      <c r="E30" s="54">
        <f>IF(B16-SUM(E20:E29)&gt;D30,D30,B16-SUM(E20:E29))</f>
        <v>0</v>
      </c>
      <c r="F30" s="54">
        <f t="shared" si="0"/>
        <v>0</v>
      </c>
      <c r="G30" s="1"/>
      <c r="H30" s="57" t="s">
        <v>46</v>
      </c>
      <c r="I30" s="30"/>
      <c r="J30" s="30"/>
    </row>
    <row r="31" spans="1:10" x14ac:dyDescent="0.2">
      <c r="A31" s="59" t="s">
        <v>58</v>
      </c>
      <c r="B31" s="59"/>
      <c r="C31" s="53">
        <f>'[6]Sheet 1'!C188</f>
        <v>53.817999999999998</v>
      </c>
      <c r="D31" s="54">
        <f>'[6]Sheet 1'!E188</f>
        <v>171353.32</v>
      </c>
      <c r="E31" s="54">
        <f>IF(B13-SUM(E18:E28)&gt;D31,D31,B13-SUM(E18:E28))</f>
        <v>0</v>
      </c>
      <c r="F31" s="54">
        <f t="shared" si="0"/>
        <v>171353.32</v>
      </c>
      <c r="G31" s="4"/>
      <c r="H31" s="57">
        <f>+'[6]Sheet 1'!E188</f>
        <v>171353.32</v>
      </c>
      <c r="I31" s="30"/>
      <c r="J31" s="30"/>
    </row>
    <row r="32" spans="1:10" x14ac:dyDescent="0.2">
      <c r="A32" s="58" t="s">
        <v>59</v>
      </c>
      <c r="B32" s="59"/>
      <c r="C32" s="53">
        <f>'[5]Sheet 1'!C14</f>
        <v>12.14</v>
      </c>
      <c r="D32" s="54">
        <f>'[5]Sheet 1'!E14</f>
        <v>38653.89</v>
      </c>
      <c r="E32" s="54">
        <f>IF(B13-SUM(E18:E31)&gt;D32,D32,B13-SUM(E18:E31))</f>
        <v>0</v>
      </c>
      <c r="F32" s="54">
        <f t="shared" si="0"/>
        <v>38653.89</v>
      </c>
      <c r="G32" s="5"/>
      <c r="H32" s="57">
        <f>+D31</f>
        <v>171353.32</v>
      </c>
      <c r="I32" s="30"/>
      <c r="J32" s="30"/>
    </row>
    <row r="33" spans="1:10" x14ac:dyDescent="0.2">
      <c r="A33" s="65" t="s">
        <v>28</v>
      </c>
      <c r="B33" s="56"/>
      <c r="C33" s="66">
        <f>SUM(C18:C32)</f>
        <v>648.61199999999997</v>
      </c>
      <c r="D33" s="67">
        <f>SUM(D18:D32)</f>
        <v>2065177.52</v>
      </c>
      <c r="E33" s="67">
        <f>SUM(E18:E32)</f>
        <v>490985</v>
      </c>
      <c r="F33" s="67">
        <f>SUM(F18:F32)</f>
        <v>1574192.52</v>
      </c>
      <c r="G33" s="1"/>
      <c r="H33" s="57">
        <f>+H31-H32</f>
        <v>0</v>
      </c>
      <c r="I33" s="30"/>
      <c r="J33" s="30"/>
    </row>
    <row r="34" spans="1:10" x14ac:dyDescent="0.2">
      <c r="A34" s="68" t="s">
        <v>26</v>
      </c>
      <c r="B34" s="56"/>
      <c r="C34" s="69"/>
      <c r="D34" s="54"/>
      <c r="E34" s="54"/>
      <c r="F34" s="54"/>
      <c r="G34" s="1"/>
      <c r="H34" s="57" t="s">
        <v>47</v>
      </c>
      <c r="I34" s="30"/>
      <c r="J34" s="57" t="s">
        <v>52</v>
      </c>
    </row>
    <row r="35" spans="1:10" x14ac:dyDescent="0.2">
      <c r="A35" s="58" t="s">
        <v>56</v>
      </c>
      <c r="B35" s="59"/>
      <c r="C35" s="20"/>
      <c r="D35" s="70">
        <f>[1]Main!F15</f>
        <v>5985.86</v>
      </c>
      <c r="E35" s="54">
        <f>IF($B13-SUM($E33)&gt;D35,D35,$B13-SUM($E33))</f>
        <v>0</v>
      </c>
      <c r="F35" s="54">
        <f t="shared" ref="F35:F53" si="1">D35-E35</f>
        <v>5985.86</v>
      </c>
      <c r="G35" s="1"/>
      <c r="H35" s="57">
        <f>[1]Main!G15</f>
        <v>143079.71</v>
      </c>
      <c r="I35" s="30"/>
      <c r="J35" s="57">
        <f>+[1]Main!D476</f>
        <v>515347.5</v>
      </c>
    </row>
    <row r="36" spans="1:10" x14ac:dyDescent="0.2">
      <c r="A36" s="59" t="s">
        <v>25</v>
      </c>
      <c r="B36" s="59"/>
      <c r="C36" s="20"/>
      <c r="D36" s="70">
        <f>[1]Main!C15</f>
        <v>110991.85</v>
      </c>
      <c r="E36" s="54">
        <f>IF($B13-SUM($E33:E35)&gt;D36,D36,B13-SUM($E33:E35))</f>
        <v>0</v>
      </c>
      <c r="F36" s="54">
        <f t="shared" si="1"/>
        <v>110991.85</v>
      </c>
      <c r="G36" s="1"/>
      <c r="H36" s="57">
        <f>SUM(D35:D37)</f>
        <v>143079.71</v>
      </c>
      <c r="I36" s="30"/>
      <c r="J36" s="57">
        <f>SUM(D35:D62)-E48</f>
        <v>515347.5</v>
      </c>
    </row>
    <row r="37" spans="1:10" x14ac:dyDescent="0.2">
      <c r="A37" s="71" t="s">
        <v>27</v>
      </c>
      <c r="B37" s="59"/>
      <c r="C37" s="20"/>
      <c r="D37" s="70">
        <f>[1]Main!D15</f>
        <v>26102</v>
      </c>
      <c r="E37" s="54">
        <f>IF($B13-SUM($E33:E36)&gt;D37,D37,$B13-SUM($E33:E36))</f>
        <v>0</v>
      </c>
      <c r="F37" s="54">
        <f>D37-E37</f>
        <v>26102</v>
      </c>
      <c r="G37" s="1"/>
      <c r="H37" s="57">
        <f>+H35-H36</f>
        <v>0</v>
      </c>
      <c r="I37" s="30"/>
      <c r="J37" s="57">
        <f>+J35-J36</f>
        <v>0</v>
      </c>
    </row>
    <row r="38" spans="1:10" x14ac:dyDescent="0.2">
      <c r="A38" s="72" t="s">
        <v>72</v>
      </c>
      <c r="B38" s="59"/>
      <c r="C38" s="20"/>
      <c r="D38" s="70">
        <f>[1]Main!E15</f>
        <v>0</v>
      </c>
      <c r="E38" s="54">
        <f>IF($B14-SUM($E34:E37)&gt;D38,D38,$B14-SUM($E34:E37))</f>
        <v>0</v>
      </c>
      <c r="F38" s="54">
        <f>D38-E38</f>
        <v>0</v>
      </c>
      <c r="G38" s="1"/>
      <c r="H38" s="30"/>
      <c r="I38" s="30"/>
      <c r="J38" s="30"/>
    </row>
    <row r="39" spans="1:10" x14ac:dyDescent="0.2">
      <c r="A39" s="72" t="s">
        <v>73</v>
      </c>
      <c r="B39" s="59"/>
      <c r="C39" s="20"/>
      <c r="D39" s="54">
        <f>+[1]Main!$F131</f>
        <v>809.03</v>
      </c>
      <c r="E39" s="54">
        <f>IF($B13-SUM($E33:E37)&gt;D39,D39,$B13-SUM($E33:E37))</f>
        <v>0</v>
      </c>
      <c r="F39" s="54">
        <f t="shared" si="1"/>
        <v>809.03</v>
      </c>
      <c r="G39" s="1"/>
      <c r="H39" s="30"/>
      <c r="I39" s="30"/>
      <c r="J39" s="30"/>
    </row>
    <row r="40" spans="1:10" x14ac:dyDescent="0.2">
      <c r="A40" s="71" t="s">
        <v>74</v>
      </c>
      <c r="B40" s="59"/>
      <c r="C40" s="20"/>
      <c r="D40" s="54">
        <f>+[1]Main!$C73</f>
        <v>11881</v>
      </c>
      <c r="E40" s="54">
        <f>IF($B13-SUM($E33:E39)&gt;D40,D40,$B13-SUM($E33:E39))</f>
        <v>0</v>
      </c>
      <c r="F40" s="54">
        <f t="shared" si="1"/>
        <v>11881</v>
      </c>
      <c r="G40" s="1"/>
      <c r="H40" s="30"/>
      <c r="I40" s="30"/>
      <c r="J40" s="30"/>
    </row>
    <row r="41" spans="1:10" x14ac:dyDescent="0.2">
      <c r="A41" s="71" t="s">
        <v>75</v>
      </c>
      <c r="B41" s="59"/>
      <c r="C41" s="20"/>
      <c r="D41" s="54">
        <f>+[1]Main!$D73</f>
        <v>0</v>
      </c>
      <c r="E41" s="54">
        <f>IF($B13-SUM($E33:E40)&gt;D41,D41,$B13-SUM($E33:E40))</f>
        <v>0</v>
      </c>
      <c r="F41" s="54">
        <f t="shared" si="1"/>
        <v>0</v>
      </c>
      <c r="G41" s="1"/>
      <c r="H41" s="30"/>
      <c r="I41" s="30"/>
      <c r="J41" s="30"/>
    </row>
    <row r="42" spans="1:10" x14ac:dyDescent="0.2">
      <c r="A42" s="71" t="s">
        <v>76</v>
      </c>
      <c r="B42" s="59"/>
      <c r="C42" s="20"/>
      <c r="D42" s="54">
        <f>+[1]Main!$E73</f>
        <v>0</v>
      </c>
      <c r="E42" s="54">
        <f>IF($B13-SUM($E33:E41)&gt;D42,D42,$B13-SUM($E33:E41))</f>
        <v>0</v>
      </c>
      <c r="F42" s="54">
        <f t="shared" si="1"/>
        <v>0</v>
      </c>
      <c r="G42" s="1"/>
      <c r="H42" s="30"/>
      <c r="I42" s="30"/>
      <c r="J42" s="30"/>
    </row>
    <row r="43" spans="1:10" x14ac:dyDescent="0.2">
      <c r="A43" s="71" t="s">
        <v>77</v>
      </c>
      <c r="B43" s="59"/>
      <c r="C43" s="20"/>
      <c r="D43" s="54">
        <f>[1]Main!F73</f>
        <v>26561</v>
      </c>
      <c r="E43" s="54">
        <f>IF($B13-SUM($E33:E42)&gt;D43,D43,$B13-SUM($E33:E42))</f>
        <v>0</v>
      </c>
      <c r="F43" s="54">
        <f t="shared" si="1"/>
        <v>26561</v>
      </c>
      <c r="G43" s="1"/>
      <c r="H43" s="57" t="s">
        <v>48</v>
      </c>
      <c r="I43" s="30"/>
      <c r="J43" s="30"/>
    </row>
    <row r="44" spans="1:10" x14ac:dyDescent="0.2">
      <c r="A44" s="71" t="s">
        <v>79</v>
      </c>
      <c r="B44" s="59"/>
      <c r="C44" s="20"/>
      <c r="D44" s="54">
        <f>[1]Main!G73</f>
        <v>0</v>
      </c>
      <c r="E44" s="54">
        <f>IF($B13-SUM($E33:E43)&gt;D44,D44,$B13-SUM($E33:E43))</f>
        <v>0</v>
      </c>
      <c r="F44" s="54">
        <f t="shared" si="1"/>
        <v>0</v>
      </c>
      <c r="G44" s="1"/>
      <c r="H44" s="57"/>
      <c r="I44" s="30"/>
      <c r="J44" s="30"/>
    </row>
    <row r="45" spans="1:10" x14ac:dyDescent="0.2">
      <c r="A45" s="71" t="s">
        <v>78</v>
      </c>
      <c r="B45" s="59"/>
      <c r="C45" s="20"/>
      <c r="D45" s="54">
        <f>[1]Main!G131</f>
        <v>5436.69</v>
      </c>
      <c r="E45" s="54">
        <f>IF($B13-SUM($E33:E44)&gt;D45,D45,$B13-SUM($E33:E44))</f>
        <v>0</v>
      </c>
      <c r="F45" s="54">
        <f t="shared" si="1"/>
        <v>5436.69</v>
      </c>
      <c r="G45" s="1"/>
      <c r="H45" s="73">
        <f>+[1]Main!D189</f>
        <v>44687.72</v>
      </c>
      <c r="I45" s="30"/>
      <c r="J45" s="30"/>
    </row>
    <row r="46" spans="1:10" x14ac:dyDescent="0.2">
      <c r="A46" s="71" t="s">
        <v>80</v>
      </c>
      <c r="B46" s="59"/>
      <c r="C46" s="20"/>
      <c r="D46" s="54">
        <f>[1]Main!C189</f>
        <v>0</v>
      </c>
      <c r="E46" s="54"/>
      <c r="F46" s="54">
        <f t="shared" si="1"/>
        <v>0</v>
      </c>
      <c r="G46" s="1"/>
      <c r="H46" s="57">
        <f>+SUM(D39:D46)</f>
        <v>44687.72</v>
      </c>
      <c r="I46" s="30"/>
      <c r="J46" s="30"/>
    </row>
    <row r="47" spans="1:10" x14ac:dyDescent="0.2">
      <c r="A47" s="71" t="s">
        <v>81</v>
      </c>
      <c r="B47" s="59"/>
      <c r="C47" s="20"/>
      <c r="D47" s="54">
        <f>[1]Main!C247</f>
        <v>120073</v>
      </c>
      <c r="E47" s="54">
        <v>0</v>
      </c>
      <c r="F47" s="54">
        <f t="shared" si="1"/>
        <v>120073</v>
      </c>
      <c r="G47" s="1"/>
      <c r="H47" s="57">
        <f>+H45-H46</f>
        <v>0</v>
      </c>
      <c r="I47" s="30"/>
      <c r="J47" s="30"/>
    </row>
    <row r="48" spans="1:10" x14ac:dyDescent="0.2">
      <c r="A48" s="71" t="s">
        <v>82</v>
      </c>
      <c r="B48" s="59"/>
      <c r="C48" s="20"/>
      <c r="D48" s="54">
        <f>+[7]Main!I14+[7]Main!J14</f>
        <v>63446.26</v>
      </c>
      <c r="E48" s="74">
        <f>[7]Main!J14</f>
        <v>33330.94</v>
      </c>
      <c r="F48" s="54">
        <f t="shared" si="1"/>
        <v>30115.32</v>
      </c>
      <c r="G48" s="1"/>
      <c r="H48" s="30"/>
      <c r="I48" s="30"/>
      <c r="J48" s="30"/>
    </row>
    <row r="49" spans="1:10" x14ac:dyDescent="0.2">
      <c r="A49" s="71" t="s">
        <v>83</v>
      </c>
      <c r="B49" s="59"/>
      <c r="C49" s="20"/>
      <c r="D49" s="54">
        <f>[1]Main!F247</f>
        <v>29949</v>
      </c>
      <c r="E49" s="54">
        <v>0</v>
      </c>
      <c r="F49" s="54">
        <f t="shared" si="1"/>
        <v>29949</v>
      </c>
      <c r="G49" s="1"/>
      <c r="H49" s="30"/>
      <c r="I49" s="30"/>
      <c r="J49" s="30"/>
    </row>
    <row r="50" spans="1:10" x14ac:dyDescent="0.2">
      <c r="A50" s="71" t="s">
        <v>84</v>
      </c>
      <c r="B50" s="59"/>
      <c r="C50" s="7"/>
      <c r="D50" s="54">
        <f>[1]Main!E247</f>
        <v>0</v>
      </c>
      <c r="E50" s="54">
        <v>0</v>
      </c>
      <c r="F50" s="54">
        <f t="shared" si="1"/>
        <v>0</v>
      </c>
      <c r="G50" s="1"/>
      <c r="H50" s="57" t="s">
        <v>49</v>
      </c>
      <c r="I50" s="30"/>
      <c r="J50" s="30"/>
    </row>
    <row r="51" spans="1:10" x14ac:dyDescent="0.2">
      <c r="A51" s="71" t="s">
        <v>85</v>
      </c>
      <c r="B51" s="59"/>
      <c r="C51" s="7"/>
      <c r="D51" s="54">
        <f>[1]Main!G247</f>
        <v>0</v>
      </c>
      <c r="E51" s="54">
        <v>0</v>
      </c>
      <c r="F51" s="54">
        <f t="shared" si="1"/>
        <v>0</v>
      </c>
      <c r="G51" s="1"/>
      <c r="H51" s="57">
        <f>+[1]Main!C476</f>
        <v>316447.58</v>
      </c>
      <c r="I51" s="57"/>
      <c r="J51" s="57"/>
    </row>
    <row r="52" spans="1:10" x14ac:dyDescent="0.2">
      <c r="A52" s="71" t="s">
        <v>86</v>
      </c>
      <c r="B52" s="59"/>
      <c r="C52" s="20"/>
      <c r="D52" s="54">
        <f>[1]Main!C305</f>
        <v>0</v>
      </c>
      <c r="E52" s="54">
        <v>0</v>
      </c>
      <c r="F52" s="54">
        <f t="shared" si="1"/>
        <v>0</v>
      </c>
      <c r="G52" s="1"/>
      <c r="H52" s="57">
        <f>+SUM(D47:D57)-E48</f>
        <v>316447.58</v>
      </c>
      <c r="I52" s="57"/>
      <c r="J52" s="57">
        <f>+H52-H51</f>
        <v>0</v>
      </c>
    </row>
    <row r="53" spans="1:10" x14ac:dyDescent="0.2">
      <c r="A53" s="71" t="s">
        <v>87</v>
      </c>
      <c r="C53" s="8"/>
      <c r="D53" s="76">
        <f>[1]Main!D305</f>
        <v>105763.21</v>
      </c>
      <c r="E53" s="77">
        <v>0</v>
      </c>
      <c r="F53" s="77">
        <f t="shared" si="1"/>
        <v>105763.21</v>
      </c>
      <c r="G53" s="5"/>
      <c r="H53" s="57">
        <f>+H51-H52</f>
        <v>0</v>
      </c>
      <c r="I53" s="57"/>
      <c r="J53" s="57"/>
    </row>
    <row r="54" spans="1:10" x14ac:dyDescent="0.2">
      <c r="A54" s="71" t="s">
        <v>88</v>
      </c>
      <c r="B54" s="59"/>
      <c r="C54" s="20"/>
      <c r="D54" s="54">
        <f>+[1]Main!$E305</f>
        <v>823.03</v>
      </c>
      <c r="E54" s="54">
        <v>0</v>
      </c>
      <c r="F54" s="54">
        <f>D54-E54</f>
        <v>823.03</v>
      </c>
      <c r="G54" s="4"/>
      <c r="H54" s="30"/>
      <c r="I54" s="30"/>
      <c r="J54" s="30"/>
    </row>
    <row r="55" spans="1:10" x14ac:dyDescent="0.2">
      <c r="A55" s="71" t="s">
        <v>89</v>
      </c>
      <c r="B55" s="59"/>
      <c r="C55" s="20"/>
      <c r="D55" s="54">
        <f>[1]Main!F305</f>
        <v>4550.8999999999996</v>
      </c>
      <c r="E55" s="54">
        <v>0</v>
      </c>
      <c r="F55" s="54">
        <f>D55-E55</f>
        <v>4550.8999999999996</v>
      </c>
      <c r="G55" s="4"/>
      <c r="H55" s="30"/>
      <c r="I55" s="30"/>
      <c r="J55" s="30"/>
    </row>
    <row r="56" spans="1:10" x14ac:dyDescent="0.2">
      <c r="A56" s="71" t="s">
        <v>90</v>
      </c>
      <c r="B56" s="59"/>
      <c r="C56" s="20"/>
      <c r="D56" s="54">
        <f>[1]Main!G305</f>
        <v>0</v>
      </c>
      <c r="E56" s="54">
        <v>0</v>
      </c>
      <c r="F56" s="54">
        <f>D56-E56</f>
        <v>0</v>
      </c>
      <c r="G56" s="1"/>
      <c r="H56" s="57" t="s">
        <v>50</v>
      </c>
      <c r="I56" s="30"/>
      <c r="J56" s="30"/>
    </row>
    <row r="57" spans="1:10" x14ac:dyDescent="0.2">
      <c r="A57" s="71" t="s">
        <v>93</v>
      </c>
      <c r="B57" s="59"/>
      <c r="C57" s="20"/>
      <c r="D57" s="54">
        <f>[1]Main!F362</f>
        <v>25173.119999999999</v>
      </c>
      <c r="E57" s="54">
        <v>0</v>
      </c>
      <c r="F57" s="54">
        <f>D57-E57</f>
        <v>25173.119999999999</v>
      </c>
      <c r="G57" s="1"/>
      <c r="H57" s="57"/>
      <c r="I57" s="30"/>
      <c r="J57" s="30"/>
    </row>
    <row r="58" spans="1:10" x14ac:dyDescent="0.2">
      <c r="A58" s="55" t="s">
        <v>30</v>
      </c>
      <c r="B58" s="78"/>
      <c r="C58" s="79"/>
      <c r="D58" s="64"/>
      <c r="E58" s="64"/>
      <c r="F58" s="64"/>
      <c r="G58" s="1"/>
      <c r="H58" s="57"/>
      <c r="I58" s="30"/>
      <c r="J58" s="30"/>
    </row>
    <row r="59" spans="1:10" x14ac:dyDescent="0.2">
      <c r="A59" s="71" t="s">
        <v>60</v>
      </c>
      <c r="B59" s="59"/>
      <c r="C59" s="20"/>
      <c r="D59" s="54">
        <f>[1]Main!C419</f>
        <v>3980.07</v>
      </c>
      <c r="E59" s="54">
        <v>0</v>
      </c>
      <c r="F59" s="54">
        <f>D59-E59</f>
        <v>3980.07</v>
      </c>
      <c r="G59" s="1"/>
      <c r="H59" s="57">
        <f>+[1]Main!G419</f>
        <v>11132.49</v>
      </c>
      <c r="I59" s="30"/>
      <c r="J59" s="30"/>
    </row>
    <row r="60" spans="1:10" x14ac:dyDescent="0.2">
      <c r="A60" s="71" t="s">
        <v>63</v>
      </c>
      <c r="B60" s="59"/>
      <c r="C60" s="20"/>
      <c r="D60" s="54">
        <f>[1]Main!D419</f>
        <v>0</v>
      </c>
      <c r="E60" s="54">
        <v>0</v>
      </c>
      <c r="F60" s="54">
        <f>D60-E60</f>
        <v>0</v>
      </c>
      <c r="G60" s="4"/>
      <c r="H60" s="57">
        <f>SUM(D59:D62)</f>
        <v>11132.49</v>
      </c>
      <c r="I60" s="30"/>
      <c r="J60" s="30"/>
    </row>
    <row r="61" spans="1:10" x14ac:dyDescent="0.2">
      <c r="A61" s="71" t="s">
        <v>91</v>
      </c>
      <c r="B61" s="59"/>
      <c r="C61" s="20"/>
      <c r="D61" s="54">
        <f>[1]Main!E419</f>
        <v>0</v>
      </c>
      <c r="E61" s="54">
        <v>0</v>
      </c>
      <c r="F61" s="54">
        <f>D61-E61</f>
        <v>0</v>
      </c>
      <c r="G61" s="4"/>
      <c r="H61" s="57">
        <f>+H59-H60</f>
        <v>0</v>
      </c>
      <c r="I61" s="30"/>
      <c r="J61" s="30"/>
    </row>
    <row r="62" spans="1:10" x14ac:dyDescent="0.2">
      <c r="A62" s="71" t="s">
        <v>92</v>
      </c>
      <c r="B62" s="59"/>
      <c r="C62" s="20"/>
      <c r="D62" s="54">
        <f>[1]Main!F419</f>
        <v>7152.42</v>
      </c>
      <c r="E62" s="54">
        <v>0</v>
      </c>
      <c r="F62" s="54">
        <f>D62-E62</f>
        <v>7152.42</v>
      </c>
      <c r="G62" s="1"/>
      <c r="H62" s="30"/>
      <c r="I62" s="30"/>
      <c r="J62" s="30"/>
    </row>
    <row r="63" spans="1:10" x14ac:dyDescent="0.2">
      <c r="A63" s="55" t="s">
        <v>31</v>
      </c>
      <c r="B63" s="78"/>
      <c r="C63" s="79"/>
      <c r="D63" s="64"/>
      <c r="E63" s="64"/>
      <c r="F63" s="64"/>
      <c r="G63" s="1"/>
      <c r="H63" s="30"/>
      <c r="I63" s="30"/>
      <c r="J63" s="30"/>
    </row>
    <row r="64" spans="1:10" x14ac:dyDescent="0.2">
      <c r="A64" s="58" t="s">
        <v>69</v>
      </c>
      <c r="B64" s="59"/>
      <c r="C64" s="20"/>
      <c r="D64" s="54">
        <f>+[1]Main!$G532</f>
        <v>0</v>
      </c>
      <c r="E64" s="54">
        <f>+[1]Main!$D532</f>
        <v>0</v>
      </c>
      <c r="F64" s="54">
        <f>+D64-E64</f>
        <v>0</v>
      </c>
      <c r="G64" s="1"/>
      <c r="H64" s="30"/>
      <c r="I64" s="30"/>
      <c r="J64" s="30"/>
    </row>
    <row r="65" spans="1:10" x14ac:dyDescent="0.2">
      <c r="A65" s="59" t="s">
        <v>68</v>
      </c>
      <c r="B65" s="59"/>
      <c r="C65" s="20"/>
      <c r="D65" s="54">
        <f>+[1]Main!$G587</f>
        <v>117250.04</v>
      </c>
      <c r="E65" s="54">
        <f>+[1]Main!$D587</f>
        <v>117250.04</v>
      </c>
      <c r="F65" s="54">
        <f>+D65-E65</f>
        <v>0</v>
      </c>
      <c r="G65" s="1"/>
      <c r="H65" s="30"/>
      <c r="I65" s="30"/>
      <c r="J65" s="30"/>
    </row>
    <row r="66" spans="1:10" ht="13.5" thickBot="1" x14ac:dyDescent="0.25">
      <c r="A66" s="80"/>
      <c r="B66" s="81"/>
      <c r="C66" s="82" t="s">
        <v>29</v>
      </c>
      <c r="D66" s="83">
        <f>SUM(D33:D65)</f>
        <v>2731106</v>
      </c>
      <c r="E66" s="83">
        <f>SUM(E33:E65)</f>
        <v>641565.98</v>
      </c>
      <c r="F66" s="83">
        <f>SUM(F33:F65)</f>
        <v>2089540.02</v>
      </c>
      <c r="G66" s="1"/>
      <c r="H66" s="30"/>
      <c r="I66" s="30"/>
      <c r="J66" s="30"/>
    </row>
    <row r="67" spans="1:10" ht="13.5" thickTop="1" x14ac:dyDescent="0.2">
      <c r="A67" s="84"/>
      <c r="B67" s="59"/>
      <c r="C67" s="85"/>
      <c r="D67" s="86"/>
      <c r="E67" s="86"/>
      <c r="F67" s="87"/>
      <c r="G67" s="1"/>
      <c r="H67" s="30"/>
      <c r="I67" s="30"/>
      <c r="J67" s="30"/>
    </row>
    <row r="68" spans="1:10" x14ac:dyDescent="0.2">
      <c r="A68" s="88" t="s">
        <v>40</v>
      </c>
      <c r="B68" s="78"/>
      <c r="C68" s="89"/>
      <c r="D68" s="90"/>
      <c r="E68" s="91"/>
      <c r="F68" s="92" t="s">
        <v>36</v>
      </c>
      <c r="G68" s="6"/>
      <c r="H68" s="57" t="s">
        <v>51</v>
      </c>
      <c r="I68" s="30"/>
      <c r="J68" s="57" t="s">
        <v>7</v>
      </c>
    </row>
    <row r="69" spans="1:10" x14ac:dyDescent="0.2">
      <c r="A69" s="93" t="s">
        <v>33</v>
      </c>
      <c r="B69" s="94"/>
      <c r="C69" s="95"/>
      <c r="D69" s="96"/>
      <c r="E69" s="96"/>
      <c r="F69" s="91"/>
      <c r="G69" s="6"/>
      <c r="H69" s="30"/>
      <c r="I69" s="30"/>
      <c r="J69" s="30"/>
    </row>
    <row r="70" spans="1:10" x14ac:dyDescent="0.2">
      <c r="A70" s="59" t="s">
        <v>34</v>
      </c>
      <c r="B70" s="59"/>
      <c r="C70" s="22"/>
      <c r="D70" s="27"/>
      <c r="E70" s="27"/>
      <c r="F70" s="97">
        <f>+[8]Main!$C15</f>
        <v>50000</v>
      </c>
      <c r="G70" s="5"/>
      <c r="H70" s="57">
        <f>+[1]Main!G643</f>
        <v>117250.04</v>
      </c>
      <c r="I70" s="30"/>
      <c r="J70" s="57">
        <f>+[1]Main!E643+[1]Main!F643</f>
        <v>0</v>
      </c>
    </row>
    <row r="71" spans="1:10" x14ac:dyDescent="0.2">
      <c r="A71" s="59" t="s">
        <v>66</v>
      </c>
      <c r="B71" s="59"/>
      <c r="C71" s="22"/>
      <c r="D71" s="27"/>
      <c r="E71" s="27"/>
      <c r="F71" s="97">
        <f>+[8]Main!$D15</f>
        <v>0</v>
      </c>
      <c r="G71" s="5"/>
      <c r="H71" s="57">
        <f>+D64+D65</f>
        <v>117250.04</v>
      </c>
      <c r="I71" s="30"/>
      <c r="J71" s="57">
        <f>+F64+F65</f>
        <v>0</v>
      </c>
    </row>
    <row r="72" spans="1:10" x14ac:dyDescent="0.2">
      <c r="A72" s="32" t="s">
        <v>65</v>
      </c>
      <c r="B72" s="32"/>
      <c r="C72" s="22"/>
      <c r="D72" s="28"/>
      <c r="E72" s="28"/>
      <c r="F72" s="97">
        <f>+[8]Main!$E15</f>
        <v>0</v>
      </c>
      <c r="G72" s="1"/>
      <c r="H72" s="57">
        <f>+H70-H71</f>
        <v>0</v>
      </c>
      <c r="I72" s="30"/>
      <c r="J72" s="57">
        <f>+J70-J71</f>
        <v>0</v>
      </c>
    </row>
    <row r="73" spans="1:10" x14ac:dyDescent="0.2">
      <c r="A73" s="32" t="s">
        <v>67</v>
      </c>
      <c r="B73" s="32"/>
      <c r="C73" s="22"/>
      <c r="D73" s="28"/>
      <c r="E73" s="28"/>
      <c r="F73" s="97">
        <f>+[8]Main!$F15</f>
        <v>0</v>
      </c>
      <c r="G73" s="1"/>
      <c r="H73" s="30"/>
      <c r="I73" s="30"/>
      <c r="J73" s="30"/>
    </row>
    <row r="74" spans="1:10" x14ac:dyDescent="0.2">
      <c r="A74" s="88" t="s">
        <v>35</v>
      </c>
      <c r="B74" s="78"/>
      <c r="C74" s="89"/>
      <c r="D74" s="90"/>
      <c r="E74" s="91"/>
      <c r="F74" s="54">
        <f>+[8]Main!$C73</f>
        <v>11098.49</v>
      </c>
      <c r="G74" s="1"/>
      <c r="H74" s="30"/>
      <c r="I74" s="30"/>
      <c r="J74" s="30"/>
    </row>
    <row r="75" spans="1:10" ht="13.5" thickBot="1" x14ac:dyDescent="0.25">
      <c r="A75" s="98"/>
      <c r="B75" s="99"/>
      <c r="C75" s="100" t="s">
        <v>29</v>
      </c>
      <c r="D75" s="101"/>
      <c r="E75" s="102"/>
      <c r="F75" s="103">
        <f>SUM(F70:F74)</f>
        <v>61098.49</v>
      </c>
      <c r="G75" s="1"/>
      <c r="H75" s="30"/>
      <c r="I75" s="30"/>
      <c r="J75" s="30"/>
    </row>
    <row r="76" spans="1:10" ht="13.5" thickBot="1" x14ac:dyDescent="0.25">
      <c r="A76" s="104"/>
      <c r="B76" s="105"/>
      <c r="C76" s="106" t="s">
        <v>53</v>
      </c>
      <c r="D76" s="107"/>
      <c r="E76" s="108"/>
      <c r="F76" s="109">
        <f>+F75+F66</f>
        <v>2150638.5099999998</v>
      </c>
      <c r="G76" s="1"/>
      <c r="H76" s="57" t="s">
        <v>54</v>
      </c>
      <c r="I76" s="30"/>
      <c r="J76" s="30"/>
    </row>
    <row r="77" spans="1:10" x14ac:dyDescent="0.2">
      <c r="A77" s="11"/>
      <c r="B77" s="12"/>
      <c r="C77" s="9"/>
      <c r="D77" s="29"/>
      <c r="E77" s="29"/>
      <c r="F77" s="110"/>
      <c r="G77" s="1"/>
      <c r="H77" s="57">
        <f>+[8]Main!$G15</f>
        <v>50000</v>
      </c>
      <c r="I77" s="30"/>
      <c r="J77" s="30"/>
    </row>
    <row r="78" spans="1:10" x14ac:dyDescent="0.2">
      <c r="A78" s="11"/>
      <c r="B78" s="12"/>
      <c r="C78" s="9"/>
      <c r="D78" s="29"/>
      <c r="E78" s="29"/>
      <c r="F78" s="110"/>
      <c r="G78" s="1"/>
      <c r="H78" s="57">
        <f>SUM(F70:F73)</f>
        <v>50000</v>
      </c>
      <c r="I78" s="30"/>
      <c r="J78" s="30"/>
    </row>
    <row r="79" spans="1:10" x14ac:dyDescent="0.2">
      <c r="A79" s="1"/>
      <c r="B79" s="1"/>
      <c r="C79" s="7"/>
      <c r="D79" s="26"/>
      <c r="E79" s="26"/>
      <c r="F79" s="86">
        <f>+F75+F66</f>
        <v>2150638.5099999998</v>
      </c>
      <c r="G79" s="1"/>
      <c r="H79" s="57">
        <f>+H77-H78</f>
        <v>0</v>
      </c>
      <c r="I79" s="30"/>
      <c r="J79" s="30"/>
    </row>
    <row r="80" spans="1:10" x14ac:dyDescent="0.2">
      <c r="A80" s="1"/>
      <c r="B80" s="1"/>
      <c r="C80" s="7"/>
      <c r="D80" s="26"/>
      <c r="E80" s="26"/>
      <c r="F80" s="86">
        <f>+[1]Main!$F759</f>
        <v>2150638.5099999998</v>
      </c>
      <c r="G80" s="1"/>
      <c r="H80" s="30"/>
      <c r="I80" s="30"/>
      <c r="J80" s="30"/>
    </row>
    <row r="81" spans="1:10" x14ac:dyDescent="0.2">
      <c r="A81" s="1"/>
      <c r="B81" s="1"/>
      <c r="C81" s="7"/>
      <c r="D81" s="26"/>
      <c r="E81" s="86">
        <f>+E66+[1]Main!$E759</f>
        <v>0</v>
      </c>
      <c r="F81" s="86">
        <f>+F80-F79</f>
        <v>0</v>
      </c>
      <c r="G81" s="1"/>
      <c r="H81" s="30"/>
      <c r="I81" s="30"/>
      <c r="J81" s="30"/>
    </row>
    <row r="82" spans="1:10" x14ac:dyDescent="0.2">
      <c r="A82" s="1"/>
      <c r="B82" s="1"/>
      <c r="C82" s="7"/>
      <c r="D82" s="26"/>
      <c r="E82" s="26"/>
      <c r="F82" s="26"/>
      <c r="G82" s="1"/>
      <c r="H82" s="30"/>
      <c r="I82" s="30"/>
      <c r="J82" s="30"/>
    </row>
    <row r="83" spans="1:10" x14ac:dyDescent="0.2">
      <c r="A83" s="1"/>
      <c r="B83" s="1"/>
      <c r="C83" s="7"/>
      <c r="D83" s="26"/>
      <c r="E83" s="26"/>
      <c r="F83" s="26"/>
      <c r="G83" s="1"/>
      <c r="H83" s="30"/>
      <c r="I83" s="30"/>
      <c r="J83" s="30"/>
    </row>
    <row r="84" spans="1:10" x14ac:dyDescent="0.2">
      <c r="A84" s="1"/>
      <c r="B84" s="1"/>
      <c r="C84" s="7"/>
      <c r="D84" s="26"/>
      <c r="E84" s="26"/>
      <c r="F84" s="26"/>
      <c r="G84" s="1"/>
      <c r="H84" s="111" t="s">
        <v>55</v>
      </c>
      <c r="I84" s="30"/>
      <c r="J84" s="30"/>
    </row>
    <row r="85" spans="1:10" x14ac:dyDescent="0.2">
      <c r="A85" s="8"/>
      <c r="B85" s="8"/>
      <c r="C85" s="8"/>
      <c r="D85" s="8"/>
      <c r="E85" s="8"/>
      <c r="F85" s="8"/>
      <c r="G85" s="1"/>
      <c r="H85" s="13"/>
      <c r="I85" s="3"/>
      <c r="J85" s="3"/>
    </row>
    <row r="86" spans="1:10" x14ac:dyDescent="0.2">
      <c r="G86" s="59"/>
      <c r="H86" s="112"/>
      <c r="I86" s="112"/>
      <c r="J86" s="112"/>
    </row>
    <row r="87" spans="1:10" x14ac:dyDescent="0.2">
      <c r="G87" s="59"/>
      <c r="H87" s="112"/>
      <c r="I87" s="112"/>
      <c r="J87" s="112"/>
    </row>
    <row r="88" spans="1:10" x14ac:dyDescent="0.2">
      <c r="G88" s="59"/>
      <c r="H88" s="112"/>
      <c r="I88" s="112"/>
      <c r="J88" s="112"/>
    </row>
    <row r="89" spans="1:10" x14ac:dyDescent="0.2">
      <c r="G89" s="59"/>
      <c r="H89" s="112"/>
      <c r="I89" s="112"/>
      <c r="J89" s="112"/>
    </row>
    <row r="90" spans="1:10" x14ac:dyDescent="0.2">
      <c r="G90" s="59"/>
      <c r="H90" s="71"/>
      <c r="I90" s="112"/>
      <c r="J90" s="112"/>
    </row>
  </sheetData>
  <mergeCells count="1">
    <mergeCell ref="D9:E9"/>
  </mergeCells>
  <phoneticPr fontId="0" type="noConversion"/>
  <printOptions horizontalCentered="1" verticalCentered="1"/>
  <pageMargins left="0.5" right="0.25" top="0.5" bottom="0.5" header="0.5" footer="0.5"/>
  <pageSetup scale="89" orientation="portrait" horizontalDpi="1200" r:id="rId1"/>
  <headerFooter alignWithMargins="0">
    <oddHeader>&amp;R&amp;8Current as of: &amp;D</oddHeader>
    <oddFooter>&amp;L&amp;8USOE, Finance and Statistics&amp;R&amp;8&amp;F</oddFooter>
  </headerFooter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91"/>
  <sheetViews>
    <sheetView topLeftCell="A22" workbookViewId="0">
      <selection activeCell="H62" sqref="H62"/>
    </sheetView>
  </sheetViews>
  <sheetFormatPr defaultColWidth="18.28515625" defaultRowHeight="12.75" x14ac:dyDescent="0.2"/>
  <cols>
    <col min="1" max="1" width="27" style="75" customWidth="1"/>
    <col min="2" max="2" width="16.7109375" style="75" customWidth="1"/>
    <col min="3" max="3" width="15.85546875" style="75" customWidth="1"/>
    <col min="4" max="4" width="16.28515625" style="75" customWidth="1"/>
    <col min="5" max="5" width="15.5703125" style="75" customWidth="1"/>
    <col min="6" max="6" width="17.42578125" style="75" customWidth="1"/>
    <col min="7" max="7" width="5.7109375" style="75" customWidth="1"/>
    <col min="8" max="8" width="21.5703125" style="75" customWidth="1"/>
    <col min="9" max="9" width="5" style="75" customWidth="1"/>
    <col min="10" max="10" width="20.85546875" style="75" customWidth="1"/>
    <col min="11" max="16384" width="18.28515625" style="75"/>
  </cols>
  <sheetData>
    <row r="1" spans="1:10" x14ac:dyDescent="0.2">
      <c r="A1" s="8"/>
      <c r="B1" s="8"/>
      <c r="C1" s="8"/>
      <c r="D1" s="8"/>
      <c r="E1" s="8"/>
      <c r="F1" s="8"/>
      <c r="G1" s="8"/>
      <c r="H1" s="8"/>
      <c r="I1" s="8"/>
      <c r="J1" s="8"/>
    </row>
    <row r="2" spans="1:10" x14ac:dyDescent="0.2">
      <c r="A2" s="8"/>
      <c r="B2" s="8"/>
      <c r="C2" s="8"/>
      <c r="D2" s="8"/>
      <c r="E2" s="8"/>
      <c r="F2" s="8"/>
      <c r="G2" s="8"/>
      <c r="H2" s="8"/>
      <c r="I2" s="8"/>
      <c r="J2" s="8"/>
    </row>
    <row r="3" spans="1:10" x14ac:dyDescent="0.2">
      <c r="A3" s="8"/>
      <c r="B3" s="8"/>
      <c r="C3" s="8"/>
      <c r="D3" s="8"/>
      <c r="E3" s="8"/>
      <c r="F3" s="8"/>
      <c r="G3" s="8"/>
      <c r="H3" s="8"/>
      <c r="I3" s="8"/>
      <c r="J3" s="8"/>
    </row>
    <row r="4" spans="1:10" x14ac:dyDescent="0.2">
      <c r="A4" s="8"/>
      <c r="B4" s="8"/>
      <c r="C4" s="8"/>
      <c r="D4" s="8"/>
      <c r="E4" s="8"/>
      <c r="F4" s="8"/>
      <c r="G4" s="8"/>
      <c r="H4" s="8"/>
      <c r="I4" s="8"/>
      <c r="J4" s="8"/>
    </row>
    <row r="5" spans="1:10" x14ac:dyDescent="0.2">
      <c r="A5" s="8"/>
      <c r="B5" s="8"/>
      <c r="C5" s="8"/>
      <c r="D5" s="8"/>
      <c r="E5" s="8"/>
      <c r="F5" s="8"/>
      <c r="G5" s="8"/>
      <c r="H5" s="8"/>
      <c r="I5" s="8"/>
      <c r="J5" s="8"/>
    </row>
    <row r="6" spans="1:10" x14ac:dyDescent="0.2">
      <c r="A6" s="8"/>
      <c r="B6" s="8"/>
      <c r="C6" s="8"/>
      <c r="D6" s="8"/>
      <c r="E6" s="8"/>
      <c r="F6" s="8"/>
      <c r="G6" s="8"/>
      <c r="H6" s="8"/>
      <c r="I6" s="8"/>
      <c r="J6" s="8"/>
    </row>
    <row r="7" spans="1:10" x14ac:dyDescent="0.2">
      <c r="A7" s="32" t="s">
        <v>0</v>
      </c>
      <c r="B7" s="33">
        <v>3184</v>
      </c>
      <c r="C7" s="34" t="s">
        <v>1</v>
      </c>
      <c r="D7" s="35"/>
      <c r="E7" s="35"/>
      <c r="F7" s="35"/>
      <c r="G7" s="1"/>
      <c r="H7" s="30"/>
      <c r="I7" s="30"/>
      <c r="J7" s="30"/>
    </row>
    <row r="8" spans="1:10" x14ac:dyDescent="0.2">
      <c r="A8" s="32" t="s">
        <v>61</v>
      </c>
      <c r="B8" s="36">
        <f>+[1]Main!$C533</f>
        <v>1.201E-3</v>
      </c>
      <c r="C8" s="34" t="s">
        <v>41</v>
      </c>
      <c r="D8" s="35"/>
      <c r="E8" s="35"/>
      <c r="F8" s="35"/>
      <c r="G8" s="1"/>
      <c r="H8" s="30"/>
      <c r="I8" s="30"/>
      <c r="J8" s="30"/>
    </row>
    <row r="9" spans="1:10" x14ac:dyDescent="0.2">
      <c r="A9" s="32" t="s">
        <v>62</v>
      </c>
      <c r="B9" s="36">
        <f>+[1]Main!$C588</f>
        <v>1.957E-3</v>
      </c>
      <c r="C9" s="34" t="s">
        <v>95</v>
      </c>
      <c r="D9" s="35"/>
      <c r="E9" s="37"/>
      <c r="F9" s="35"/>
      <c r="G9" s="1"/>
      <c r="H9" s="30"/>
      <c r="I9" s="30"/>
      <c r="J9" s="30"/>
    </row>
    <row r="10" spans="1:10" x14ac:dyDescent="0.2">
      <c r="A10" s="38" t="s">
        <v>32</v>
      </c>
      <c r="B10" s="39">
        <f>[2]Sheet1!E15</f>
        <v>19296819622</v>
      </c>
      <c r="C10" s="21"/>
      <c r="D10" s="31"/>
      <c r="E10" s="31"/>
      <c r="F10" s="23"/>
      <c r="G10" s="1"/>
      <c r="H10" s="30"/>
      <c r="I10" s="30"/>
      <c r="J10" s="30"/>
    </row>
    <row r="11" spans="1:10" x14ac:dyDescent="0.2">
      <c r="A11" s="32" t="s">
        <v>2</v>
      </c>
      <c r="B11" s="40">
        <f>[2]Sheet1!F15</f>
        <v>0.93989999999999996</v>
      </c>
      <c r="C11" s="7"/>
      <c r="D11" s="41" t="s">
        <v>3</v>
      </c>
      <c r="E11" s="42" t="str">
        <f>+[3]main!B16</f>
        <v>Davis</v>
      </c>
      <c r="F11" s="43">
        <f>+[3]main!A16</f>
        <v>7</v>
      </c>
      <c r="G11" s="1"/>
      <c r="H11" s="30"/>
      <c r="I11" s="30"/>
      <c r="J11" s="30"/>
    </row>
    <row r="12" spans="1:10" x14ac:dyDescent="0.2">
      <c r="A12" s="32" t="s">
        <v>4</v>
      </c>
      <c r="B12" s="44">
        <f>[2]Sheet1!G15</f>
        <v>1.6750000000000001E-3</v>
      </c>
      <c r="C12" s="8"/>
      <c r="D12" s="24"/>
      <c r="E12" s="25"/>
      <c r="F12" s="24"/>
      <c r="G12" s="1"/>
      <c r="H12" s="30"/>
      <c r="I12" s="30"/>
      <c r="J12" s="30"/>
    </row>
    <row r="13" spans="1:10" x14ac:dyDescent="0.2">
      <c r="A13" s="32" t="s">
        <v>5</v>
      </c>
      <c r="B13" s="45">
        <f>[2]Sheet1!$C$71</f>
        <v>34748243</v>
      </c>
      <c r="C13" s="46"/>
      <c r="D13" s="47" t="s">
        <v>38</v>
      </c>
      <c r="E13" s="48" t="s">
        <v>7</v>
      </c>
      <c r="F13" s="47" t="s">
        <v>6</v>
      </c>
      <c r="G13" s="1"/>
      <c r="H13" s="30"/>
      <c r="I13" s="30"/>
      <c r="J13" s="30"/>
    </row>
    <row r="14" spans="1:10" x14ac:dyDescent="0.2">
      <c r="A14" s="32" t="s">
        <v>8</v>
      </c>
      <c r="B14" s="45">
        <f>+B13</f>
        <v>34748243</v>
      </c>
      <c r="C14" s="49"/>
      <c r="D14" s="50" t="s">
        <v>9</v>
      </c>
      <c r="E14" s="50" t="s">
        <v>37</v>
      </c>
      <c r="F14" s="50" t="s">
        <v>10</v>
      </c>
      <c r="G14" s="1"/>
      <c r="H14" s="30"/>
      <c r="I14" s="30"/>
      <c r="J14" s="30"/>
    </row>
    <row r="15" spans="1:10" x14ac:dyDescent="0.2">
      <c r="A15" s="32" t="s">
        <v>11</v>
      </c>
      <c r="B15" s="45">
        <v>0</v>
      </c>
      <c r="C15" s="51" t="s">
        <v>39</v>
      </c>
      <c r="D15" s="52" t="s">
        <v>12</v>
      </c>
      <c r="E15" s="52" t="s">
        <v>9</v>
      </c>
      <c r="F15" s="52" t="s">
        <v>9</v>
      </c>
      <c r="G15" s="1"/>
      <c r="H15" s="30"/>
      <c r="I15" s="30"/>
      <c r="J15" s="30"/>
    </row>
    <row r="16" spans="1:10" x14ac:dyDescent="0.2">
      <c r="A16" s="32" t="s">
        <v>70</v>
      </c>
      <c r="B16" s="45">
        <f>'[4]LRF FY17'!U13</f>
        <v>2028158</v>
      </c>
      <c r="C16" s="53"/>
      <c r="D16" s="54"/>
      <c r="E16" s="54"/>
      <c r="F16" s="54" t="s">
        <v>14</v>
      </c>
      <c r="G16" s="1"/>
      <c r="H16" s="30"/>
      <c r="I16" s="30"/>
      <c r="J16" s="30"/>
    </row>
    <row r="17" spans="1:10" x14ac:dyDescent="0.2">
      <c r="A17" s="55" t="s">
        <v>13</v>
      </c>
      <c r="B17" s="56"/>
      <c r="C17" s="53"/>
      <c r="D17" s="54"/>
      <c r="E17" s="54"/>
      <c r="F17" s="54"/>
      <c r="G17" s="2"/>
      <c r="H17" s="30"/>
      <c r="I17" s="30"/>
      <c r="J17" s="30"/>
    </row>
    <row r="18" spans="1:10" x14ac:dyDescent="0.2">
      <c r="A18" s="55" t="s">
        <v>15</v>
      </c>
      <c r="B18" s="56"/>
      <c r="C18" s="53"/>
      <c r="D18" s="54"/>
      <c r="E18" s="54"/>
      <c r="F18" s="54"/>
      <c r="G18" s="2"/>
      <c r="H18" s="57" t="s">
        <v>43</v>
      </c>
      <c r="I18" s="30"/>
      <c r="J18" s="57" t="s">
        <v>45</v>
      </c>
    </row>
    <row r="19" spans="1:10" x14ac:dyDescent="0.2">
      <c r="A19" s="58" t="s">
        <v>16</v>
      </c>
      <c r="B19" s="59"/>
      <c r="C19" s="60">
        <f>[3]main!C190-[3]main!F132</f>
        <v>66494.865999999995</v>
      </c>
      <c r="D19" s="61">
        <f>[3]main!E190-[3]main!H132</f>
        <v>211719652.53999999</v>
      </c>
      <c r="E19" s="62">
        <f>IF(B14&gt;D19,D19,B14)</f>
        <v>34748243</v>
      </c>
      <c r="F19" s="62">
        <f>D19-E19</f>
        <v>176971409.53999999</v>
      </c>
      <c r="G19" s="1"/>
      <c r="H19" s="57">
        <f>[3]main!H249</f>
        <v>232135891.31</v>
      </c>
      <c r="I19" s="30"/>
      <c r="J19" s="57">
        <f>'[5]Sheet 1'!E73</f>
        <v>287970439.23000002</v>
      </c>
    </row>
    <row r="20" spans="1:10" x14ac:dyDescent="0.2">
      <c r="A20" s="58" t="s">
        <v>17</v>
      </c>
      <c r="B20" s="59"/>
      <c r="C20" s="53">
        <f>[3]main!F132</f>
        <v>0</v>
      </c>
      <c r="D20" s="54">
        <f>[3]main!H132</f>
        <v>0</v>
      </c>
      <c r="E20" s="54">
        <f>IF(B13-SUM(E17:E19)&gt;D20,D20,B13-SUM(E17:E19))</f>
        <v>0</v>
      </c>
      <c r="F20" s="54">
        <f>D20-E20</f>
        <v>0</v>
      </c>
      <c r="G20" s="1"/>
      <c r="H20" s="57">
        <f>SUM(D19:D23)</f>
        <v>232135891.31</v>
      </c>
      <c r="I20" s="30"/>
      <c r="J20" s="57">
        <f>D34</f>
        <v>287970439.23000002</v>
      </c>
    </row>
    <row r="21" spans="1:10" x14ac:dyDescent="0.2">
      <c r="A21" s="58" t="s">
        <v>18</v>
      </c>
      <c r="B21" s="59"/>
      <c r="C21" s="53">
        <f>[3]main!F190</f>
        <v>6382.1350000000002</v>
      </c>
      <c r="D21" s="54">
        <f>[3]main!H190</f>
        <v>20320718.77</v>
      </c>
      <c r="E21" s="54">
        <f>IF(B14-SUM(E19:E20)&gt;D21,D21,B14-SUM(E19:E20))</f>
        <v>0</v>
      </c>
      <c r="F21" s="54">
        <f>D21-E21</f>
        <v>20320718.77</v>
      </c>
      <c r="G21" s="1"/>
      <c r="H21" s="57">
        <f>+H19-H20</f>
        <v>0</v>
      </c>
      <c r="I21" s="30"/>
      <c r="J21" s="57">
        <f>+J19-J20</f>
        <v>0</v>
      </c>
    </row>
    <row r="22" spans="1:10" x14ac:dyDescent="0.2">
      <c r="A22" s="58" t="s">
        <v>19</v>
      </c>
      <c r="B22" s="59"/>
      <c r="C22" s="53">
        <f>[3]main!C249</f>
        <v>0</v>
      </c>
      <c r="D22" s="54">
        <f>[3]main!E249</f>
        <v>0</v>
      </c>
      <c r="E22" s="54">
        <f>IF(B14-SUM(E19:E21)&gt;D22,D22,B14-SUM(E19:E21))</f>
        <v>0</v>
      </c>
      <c r="F22" s="54">
        <f>D22-E22</f>
        <v>0</v>
      </c>
      <c r="G22" s="1"/>
      <c r="H22" s="30"/>
      <c r="I22" s="30"/>
      <c r="J22" s="30"/>
    </row>
    <row r="23" spans="1:10" x14ac:dyDescent="0.2">
      <c r="A23" s="58" t="s">
        <v>42</v>
      </c>
      <c r="B23" s="59"/>
      <c r="C23" s="53">
        <f>[3]main!C73</f>
        <v>30</v>
      </c>
      <c r="D23" s="54">
        <f>[3]main!E73</f>
        <v>95520</v>
      </c>
      <c r="E23" s="54">
        <f>IF(B14-SUM(E19:E22)&gt;D23,D23,B14-SUM(E19:E22))</f>
        <v>0</v>
      </c>
      <c r="F23" s="54">
        <f>D23-E23</f>
        <v>95520</v>
      </c>
      <c r="G23" s="1"/>
      <c r="H23" s="30"/>
      <c r="I23" s="30"/>
      <c r="J23" s="30"/>
    </row>
    <row r="24" spans="1:10" x14ac:dyDescent="0.2">
      <c r="A24" s="55" t="s">
        <v>20</v>
      </c>
      <c r="B24" s="56"/>
      <c r="C24" s="63"/>
      <c r="D24" s="64"/>
      <c r="E24" s="64"/>
      <c r="F24" s="64" t="s">
        <v>14</v>
      </c>
      <c r="G24" s="1"/>
      <c r="H24" s="57" t="s">
        <v>44</v>
      </c>
      <c r="I24" s="30"/>
      <c r="J24" s="30"/>
    </row>
    <row r="25" spans="1:10" x14ac:dyDescent="0.2">
      <c r="A25" s="58" t="s">
        <v>21</v>
      </c>
      <c r="B25" s="59"/>
      <c r="C25" s="53">
        <f>'[6]Sheet 1'!C15</f>
        <v>7194.585</v>
      </c>
      <c r="D25" s="54">
        <f>'[6]Sheet 1'!E15</f>
        <v>22907558</v>
      </c>
      <c r="E25" s="54">
        <f>IF(B14-SUM(E19:E24)&gt;D25,D25,B14-SUM(E19:E24))</f>
        <v>0</v>
      </c>
      <c r="F25" s="54">
        <f t="shared" ref="F25:F33" si="0">D25-E25</f>
        <v>22907558</v>
      </c>
      <c r="G25" s="1"/>
      <c r="H25" s="57">
        <f>'[6]Sheet 1'!N131</f>
        <v>33254058.050000001</v>
      </c>
      <c r="I25" s="30"/>
      <c r="J25" s="30"/>
    </row>
    <row r="26" spans="1:10" x14ac:dyDescent="0.2">
      <c r="A26" s="59" t="s">
        <v>22</v>
      </c>
      <c r="B26" s="59"/>
      <c r="C26" s="53">
        <f>'[6]Sheet 1'!F15</f>
        <v>1883.94</v>
      </c>
      <c r="D26" s="54">
        <f>'[6]Sheet 1'!H15</f>
        <v>5998464.96</v>
      </c>
      <c r="E26" s="54">
        <f>IF(B14-SUM(E19:E25)&gt;D26,D26,B14-SUM(E19:E25))</f>
        <v>0</v>
      </c>
      <c r="F26" s="54">
        <f t="shared" si="0"/>
        <v>5998464.96</v>
      </c>
      <c r="G26" s="1"/>
      <c r="H26" s="57">
        <f>SUM(D25:D31)</f>
        <v>33254058.050000001</v>
      </c>
      <c r="I26" s="30"/>
      <c r="J26" s="30"/>
    </row>
    <row r="27" spans="1:10" x14ac:dyDescent="0.2">
      <c r="A27" s="59" t="s">
        <v>23</v>
      </c>
      <c r="B27" s="59"/>
      <c r="C27" s="53">
        <f>'[6]Sheet 1'!C73</f>
        <v>1077.51</v>
      </c>
      <c r="D27" s="54">
        <f>'[6]Sheet 1'!E73</f>
        <v>3430791.84</v>
      </c>
      <c r="E27" s="54">
        <f>IF(B14-SUM(E19:E26)&gt;D27,D27,B14-SUM(E19:E26))</f>
        <v>0</v>
      </c>
      <c r="F27" s="54">
        <f t="shared" si="0"/>
        <v>3430791.84</v>
      </c>
      <c r="G27" s="1"/>
      <c r="H27" s="57">
        <f>+H25-H26</f>
        <v>0</v>
      </c>
      <c r="I27" s="30"/>
      <c r="J27" s="30"/>
    </row>
    <row r="28" spans="1:10" x14ac:dyDescent="0.2">
      <c r="A28" s="58" t="s">
        <v>24</v>
      </c>
      <c r="B28" s="59"/>
      <c r="C28" s="53">
        <f>'[6]Sheet 1'!F73</f>
        <v>37.234000000000002</v>
      </c>
      <c r="D28" s="54">
        <f>'[6]Sheet 1'!H73</f>
        <v>118553.8</v>
      </c>
      <c r="E28" s="54">
        <f>IF(B14-SUM(E19:E27)&gt;D28,D28,B14-SUM(E19:E27))</f>
        <v>0</v>
      </c>
      <c r="F28" s="54">
        <f t="shared" si="0"/>
        <v>118553.8</v>
      </c>
      <c r="G28" s="1"/>
      <c r="H28" s="30"/>
      <c r="I28" s="30"/>
      <c r="J28" s="30"/>
    </row>
    <row r="29" spans="1:10" x14ac:dyDescent="0.2">
      <c r="A29" s="59" t="s">
        <v>71</v>
      </c>
      <c r="B29" s="59"/>
      <c r="C29" s="53">
        <f>'[6]Sheet 1'!C131</f>
        <v>201.38200000000001</v>
      </c>
      <c r="D29" s="54">
        <f>'[6]Sheet 1'!E131</f>
        <v>641201.78</v>
      </c>
      <c r="E29" s="54">
        <f>IF(B14-SUM(E19:E28)&gt;D29,D29,B14-SUM(E19:E28))</f>
        <v>0</v>
      </c>
      <c r="F29" s="54">
        <f t="shared" si="0"/>
        <v>641201.78</v>
      </c>
      <c r="G29" s="1"/>
      <c r="H29" s="30"/>
      <c r="I29" s="30"/>
      <c r="J29" s="30"/>
    </row>
    <row r="30" spans="1:10" x14ac:dyDescent="0.2">
      <c r="A30" s="59" t="s">
        <v>57</v>
      </c>
      <c r="B30" s="59"/>
      <c r="C30" s="53">
        <f>'[6]Sheet 1'!F131</f>
        <v>0</v>
      </c>
      <c r="D30" s="54">
        <f>'[6]Sheet 1'!H131</f>
        <v>0</v>
      </c>
      <c r="E30" s="54">
        <f>IF(B15-SUM(E20:E29)&gt;D30,D30,B15-SUM(E20:E29))</f>
        <v>0</v>
      </c>
      <c r="F30" s="54">
        <f t="shared" si="0"/>
        <v>0</v>
      </c>
      <c r="G30" s="1"/>
      <c r="H30" s="30"/>
      <c r="I30" s="30"/>
      <c r="J30" s="30"/>
    </row>
    <row r="31" spans="1:10" x14ac:dyDescent="0.2">
      <c r="A31" s="59" t="s">
        <v>64</v>
      </c>
      <c r="B31" s="59"/>
      <c r="C31" s="53">
        <f>'[6]Sheet 1'!I131</f>
        <v>49.462000000000003</v>
      </c>
      <c r="D31" s="54">
        <f>'[6]Sheet 1'!K131</f>
        <v>157487.67000000001</v>
      </c>
      <c r="E31" s="54">
        <f>IF(B17-SUM(E21:E30)&gt;D31,D31,B17-SUM(E21:E30))</f>
        <v>0</v>
      </c>
      <c r="F31" s="54">
        <f t="shared" si="0"/>
        <v>157487.67000000001</v>
      </c>
      <c r="G31" s="1"/>
      <c r="H31" s="57" t="s">
        <v>46</v>
      </c>
      <c r="I31" s="30"/>
      <c r="J31" s="30"/>
    </row>
    <row r="32" spans="1:10" x14ac:dyDescent="0.2">
      <c r="A32" s="59" t="s">
        <v>58</v>
      </c>
      <c r="B32" s="59"/>
      <c r="C32" s="53">
        <f>'[6]Sheet 1'!C189</f>
        <v>2783.02</v>
      </c>
      <c r="D32" s="54">
        <f>'[6]Sheet 1'!E189</f>
        <v>8861137.6500000004</v>
      </c>
      <c r="E32" s="54">
        <f>IF(B14-SUM(E19:E29)&gt;D32,D32,B14-SUM(E19:E29))</f>
        <v>0</v>
      </c>
      <c r="F32" s="54">
        <f t="shared" si="0"/>
        <v>8861137.6500000004</v>
      </c>
      <c r="G32" s="4"/>
      <c r="H32" s="57">
        <f>+'[6]Sheet 1'!E189</f>
        <v>8861137.6500000004</v>
      </c>
      <c r="I32" s="30"/>
      <c r="J32" s="30"/>
    </row>
    <row r="33" spans="1:10" x14ac:dyDescent="0.2">
      <c r="A33" s="58" t="s">
        <v>59</v>
      </c>
      <c r="B33" s="59"/>
      <c r="C33" s="53">
        <f>'[5]Sheet 1'!C15</f>
        <v>4308.8419999999996</v>
      </c>
      <c r="D33" s="54">
        <f>'[5]Sheet 1'!E15</f>
        <v>13719352.220000001</v>
      </c>
      <c r="E33" s="54">
        <f>IF(B14-SUM(E19:E32)&gt;D33,D33,B14-SUM(E19:E32))</f>
        <v>0</v>
      </c>
      <c r="F33" s="54">
        <f t="shared" si="0"/>
        <v>13719352.220000001</v>
      </c>
      <c r="G33" s="5"/>
      <c r="H33" s="57">
        <f>+D32</f>
        <v>8861137.6500000004</v>
      </c>
      <c r="I33" s="30"/>
      <c r="J33" s="30"/>
    </row>
    <row r="34" spans="1:10" x14ac:dyDescent="0.2">
      <c r="A34" s="65" t="s">
        <v>28</v>
      </c>
      <c r="B34" s="56"/>
      <c r="C34" s="66">
        <f>SUM(C19:C33)</f>
        <v>90442.975999999995</v>
      </c>
      <c r="D34" s="67">
        <f>SUM(D19:D33)</f>
        <v>287970439.23000002</v>
      </c>
      <c r="E34" s="67">
        <f>SUM(E19:E33)</f>
        <v>34748243</v>
      </c>
      <c r="F34" s="67">
        <f>SUM(F19:F33)</f>
        <v>253222196.22999999</v>
      </c>
      <c r="G34" s="1"/>
      <c r="H34" s="57">
        <f>+H32-H33</f>
        <v>0</v>
      </c>
      <c r="I34" s="30"/>
      <c r="J34" s="30"/>
    </row>
    <row r="35" spans="1:10" x14ac:dyDescent="0.2">
      <c r="A35" s="68" t="s">
        <v>26</v>
      </c>
      <c r="B35" s="56"/>
      <c r="C35" s="69"/>
      <c r="D35" s="54"/>
      <c r="E35" s="54"/>
      <c r="F35" s="54"/>
      <c r="G35" s="1"/>
      <c r="H35" s="57" t="s">
        <v>47</v>
      </c>
      <c r="I35" s="30"/>
      <c r="J35" s="57" t="s">
        <v>52</v>
      </c>
    </row>
    <row r="36" spans="1:10" x14ac:dyDescent="0.2">
      <c r="A36" s="58" t="s">
        <v>56</v>
      </c>
      <c r="B36" s="59"/>
      <c r="C36" s="20"/>
      <c r="D36" s="70">
        <f>[1]Main!F16</f>
        <v>834396.22</v>
      </c>
      <c r="E36" s="54">
        <f>IF($B14-SUM($E34)&gt;D36,D36,$B14-SUM($E34))</f>
        <v>0</v>
      </c>
      <c r="F36" s="54">
        <f t="shared" ref="F36:F54" si="1">D36-E36</f>
        <v>834396.22</v>
      </c>
      <c r="G36" s="1"/>
      <c r="H36" s="57">
        <f>[1]Main!G16</f>
        <v>7731210.46</v>
      </c>
      <c r="I36" s="30"/>
      <c r="J36" s="57">
        <f>+[1]Main!D477</f>
        <v>41015482.240000002</v>
      </c>
    </row>
    <row r="37" spans="1:10" x14ac:dyDescent="0.2">
      <c r="A37" s="59" t="s">
        <v>25</v>
      </c>
      <c r="B37" s="59"/>
      <c r="C37" s="20"/>
      <c r="D37" s="70">
        <f>[1]Main!C16</f>
        <v>6896814.2400000002</v>
      </c>
      <c r="E37" s="54">
        <f>IF($B14-SUM($E34:E36)&gt;D37,D37,B14-SUM($E34:E36))</f>
        <v>0</v>
      </c>
      <c r="F37" s="54">
        <f t="shared" si="1"/>
        <v>6896814.2400000002</v>
      </c>
      <c r="G37" s="1"/>
      <c r="H37" s="57">
        <f>SUM(D36:D38)</f>
        <v>7731210.46</v>
      </c>
      <c r="I37" s="30"/>
      <c r="J37" s="57">
        <f>SUM(D36:D63)-E49</f>
        <v>41015482.25</v>
      </c>
    </row>
    <row r="38" spans="1:10" x14ac:dyDescent="0.2">
      <c r="A38" s="71" t="s">
        <v>27</v>
      </c>
      <c r="B38" s="59"/>
      <c r="C38" s="20"/>
      <c r="D38" s="70">
        <f>[1]Main!D16</f>
        <v>0</v>
      </c>
      <c r="E38" s="54">
        <f>IF($B14-SUM($E34:E37)&gt;D38,D38,$B14-SUM($E34:E37))</f>
        <v>0</v>
      </c>
      <c r="F38" s="54">
        <f>D38-E38</f>
        <v>0</v>
      </c>
      <c r="G38" s="1"/>
      <c r="H38" s="57">
        <f>+H36-H37</f>
        <v>0</v>
      </c>
      <c r="I38" s="30"/>
      <c r="J38" s="57">
        <f>+J36-J37</f>
        <v>-0.01</v>
      </c>
    </row>
    <row r="39" spans="1:10" x14ac:dyDescent="0.2">
      <c r="A39" s="72" t="s">
        <v>72</v>
      </c>
      <c r="B39" s="59"/>
      <c r="C39" s="20"/>
      <c r="D39" s="70">
        <f>[1]Main!E16</f>
        <v>0</v>
      </c>
      <c r="E39" s="54">
        <f>IF($B15-SUM($E35:E38)&gt;D39,D39,$B15-SUM($E35:E38))</f>
        <v>0</v>
      </c>
      <c r="F39" s="54">
        <f>D39-E39</f>
        <v>0</v>
      </c>
      <c r="G39" s="1"/>
      <c r="H39" s="30"/>
      <c r="I39" s="30"/>
      <c r="J39" s="30"/>
    </row>
    <row r="40" spans="1:10" x14ac:dyDescent="0.2">
      <c r="A40" s="72" t="s">
        <v>73</v>
      </c>
      <c r="B40" s="59"/>
      <c r="C40" s="20"/>
      <c r="D40" s="54">
        <f>+[1]Main!$F132</f>
        <v>682098.38</v>
      </c>
      <c r="E40" s="54">
        <f>IF($B14-SUM($E34:E38)&gt;D40,D40,$B14-SUM($E34:E38))</f>
        <v>0</v>
      </c>
      <c r="F40" s="54">
        <f t="shared" si="1"/>
        <v>682098.38</v>
      </c>
      <c r="G40" s="1"/>
      <c r="H40" s="30"/>
      <c r="I40" s="30"/>
      <c r="J40" s="30"/>
    </row>
    <row r="41" spans="1:10" x14ac:dyDescent="0.2">
      <c r="A41" s="71" t="s">
        <v>74</v>
      </c>
      <c r="B41" s="59"/>
      <c r="C41" s="20"/>
      <c r="D41" s="54">
        <f>+[1]Main!$C74</f>
        <v>1747599</v>
      </c>
      <c r="E41" s="54">
        <f>IF($B14-SUM($E34:E40)&gt;D41,D41,$B14-SUM($E34:E40))</f>
        <v>0</v>
      </c>
      <c r="F41" s="54">
        <f t="shared" si="1"/>
        <v>1747599</v>
      </c>
      <c r="G41" s="1"/>
      <c r="H41" s="30"/>
      <c r="I41" s="30"/>
      <c r="J41" s="30"/>
    </row>
    <row r="42" spans="1:10" x14ac:dyDescent="0.2">
      <c r="A42" s="71" t="s">
        <v>75</v>
      </c>
      <c r="B42" s="59"/>
      <c r="C42" s="20"/>
      <c r="D42" s="54">
        <f>+[1]Main!$D74</f>
        <v>158640</v>
      </c>
      <c r="E42" s="54">
        <f>IF($B14-SUM($E34:E41)&gt;D42,D42,$B14-SUM($E34:E41))</f>
        <v>0</v>
      </c>
      <c r="F42" s="54">
        <f t="shared" si="1"/>
        <v>158640</v>
      </c>
      <c r="G42" s="1"/>
      <c r="H42" s="30"/>
      <c r="I42" s="30"/>
      <c r="J42" s="30"/>
    </row>
    <row r="43" spans="1:10" x14ac:dyDescent="0.2">
      <c r="A43" s="71" t="s">
        <v>76</v>
      </c>
      <c r="B43" s="59"/>
      <c r="C43" s="20"/>
      <c r="D43" s="54">
        <f>+[1]Main!$E74</f>
        <v>1391221</v>
      </c>
      <c r="E43" s="54">
        <f>IF($B14-SUM($E34:E42)&gt;D43,D43,$B14-SUM($E34:E42))</f>
        <v>0</v>
      </c>
      <c r="F43" s="54">
        <f t="shared" si="1"/>
        <v>1391221</v>
      </c>
      <c r="G43" s="1"/>
      <c r="H43" s="30"/>
      <c r="I43" s="30"/>
      <c r="J43" s="30"/>
    </row>
    <row r="44" spans="1:10" x14ac:dyDescent="0.2">
      <c r="A44" s="71" t="s">
        <v>77</v>
      </c>
      <c r="B44" s="59"/>
      <c r="C44" s="20"/>
      <c r="D44" s="54">
        <f>[1]Main!F74</f>
        <v>685030</v>
      </c>
      <c r="E44" s="54">
        <f>IF($B14-SUM($E34:E43)&gt;D44,D44,$B14-SUM($E34:E43))</f>
        <v>0</v>
      </c>
      <c r="F44" s="54">
        <f t="shared" si="1"/>
        <v>685030</v>
      </c>
      <c r="G44" s="1"/>
      <c r="H44" s="57" t="s">
        <v>48</v>
      </c>
      <c r="I44" s="30"/>
      <c r="J44" s="30"/>
    </row>
    <row r="45" spans="1:10" x14ac:dyDescent="0.2">
      <c r="A45" s="71" t="s">
        <v>79</v>
      </c>
      <c r="B45" s="59"/>
      <c r="C45" s="20"/>
      <c r="D45" s="54">
        <f>[1]Main!G74</f>
        <v>0</v>
      </c>
      <c r="E45" s="54">
        <f>IF($B14-SUM($E34:E44)&gt;D45,D45,$B14-SUM($E34:E44))</f>
        <v>0</v>
      </c>
      <c r="F45" s="54">
        <f t="shared" si="1"/>
        <v>0</v>
      </c>
      <c r="G45" s="1"/>
      <c r="H45" s="57"/>
      <c r="I45" s="30"/>
      <c r="J45" s="30"/>
    </row>
    <row r="46" spans="1:10" x14ac:dyDescent="0.2">
      <c r="A46" s="71" t="s">
        <v>78</v>
      </c>
      <c r="B46" s="59"/>
      <c r="C46" s="20"/>
      <c r="D46" s="54">
        <f>[1]Main!G132</f>
        <v>582727.66</v>
      </c>
      <c r="E46" s="54">
        <f>IF($B14-SUM($E34:E45)&gt;D46,D46,$B14-SUM($E34:E45))</f>
        <v>0</v>
      </c>
      <c r="F46" s="54">
        <f t="shared" si="1"/>
        <v>582727.66</v>
      </c>
      <c r="G46" s="1"/>
      <c r="H46" s="73">
        <f>+[1]Main!D190</f>
        <v>5267316.04</v>
      </c>
      <c r="I46" s="30"/>
      <c r="J46" s="30"/>
    </row>
    <row r="47" spans="1:10" x14ac:dyDescent="0.2">
      <c r="A47" s="71" t="s">
        <v>80</v>
      </c>
      <c r="B47" s="59"/>
      <c r="C47" s="20"/>
      <c r="D47" s="54">
        <f>[1]Main!C190</f>
        <v>20000</v>
      </c>
      <c r="E47" s="54"/>
      <c r="F47" s="54">
        <f t="shared" si="1"/>
        <v>20000</v>
      </c>
      <c r="G47" s="1"/>
      <c r="H47" s="57">
        <f>+SUM(D40:D47)</f>
        <v>5267316.04</v>
      </c>
      <c r="I47" s="30"/>
      <c r="J47" s="30"/>
    </row>
    <row r="48" spans="1:10" x14ac:dyDescent="0.2">
      <c r="A48" s="71" t="s">
        <v>81</v>
      </c>
      <c r="B48" s="59"/>
      <c r="C48" s="20"/>
      <c r="D48" s="54">
        <f>[1]Main!C248</f>
        <v>4997254</v>
      </c>
      <c r="E48" s="54">
        <v>0</v>
      </c>
      <c r="F48" s="54">
        <f t="shared" si="1"/>
        <v>4997254</v>
      </c>
      <c r="G48" s="1"/>
      <c r="H48" s="57">
        <f>+H46-H47</f>
        <v>0</v>
      </c>
      <c r="I48" s="30"/>
      <c r="J48" s="30"/>
    </row>
    <row r="49" spans="1:10" x14ac:dyDescent="0.2">
      <c r="A49" s="71" t="s">
        <v>82</v>
      </c>
      <c r="B49" s="59"/>
      <c r="C49" s="20"/>
      <c r="D49" s="54">
        <f>+[7]Main!I15+[7]Main!J15</f>
        <v>3510133.93</v>
      </c>
      <c r="E49" s="74">
        <f>[7]Main!J15</f>
        <v>2167237.75</v>
      </c>
      <c r="F49" s="54">
        <f t="shared" si="1"/>
        <v>1342896.18</v>
      </c>
      <c r="G49" s="1"/>
      <c r="H49" s="30"/>
      <c r="I49" s="30"/>
      <c r="J49" s="30"/>
    </row>
    <row r="50" spans="1:10" x14ac:dyDescent="0.2">
      <c r="A50" s="71" t="s">
        <v>83</v>
      </c>
      <c r="B50" s="59"/>
      <c r="C50" s="20"/>
      <c r="D50" s="54">
        <f>[1]Main!F248</f>
        <v>432532</v>
      </c>
      <c r="E50" s="54">
        <v>0</v>
      </c>
      <c r="F50" s="54">
        <f t="shared" si="1"/>
        <v>432532</v>
      </c>
      <c r="G50" s="1"/>
      <c r="H50" s="30"/>
      <c r="I50" s="30"/>
      <c r="J50" s="30"/>
    </row>
    <row r="51" spans="1:10" x14ac:dyDescent="0.2">
      <c r="A51" s="71" t="s">
        <v>84</v>
      </c>
      <c r="B51" s="59"/>
      <c r="C51" s="7"/>
      <c r="D51" s="54">
        <f>[1]Main!E248</f>
        <v>98799.56</v>
      </c>
      <c r="E51" s="54">
        <v>0</v>
      </c>
      <c r="F51" s="54">
        <f t="shared" si="1"/>
        <v>98799.56</v>
      </c>
      <c r="G51" s="1"/>
      <c r="H51" s="57" t="s">
        <v>49</v>
      </c>
      <c r="I51" s="30"/>
      <c r="J51" s="30"/>
    </row>
    <row r="52" spans="1:10" x14ac:dyDescent="0.2">
      <c r="A52" s="71" t="s">
        <v>85</v>
      </c>
      <c r="B52" s="59"/>
      <c r="C52" s="7"/>
      <c r="D52" s="54">
        <f>[1]Main!G248</f>
        <v>126080</v>
      </c>
      <c r="E52" s="54">
        <v>0</v>
      </c>
      <c r="F52" s="54">
        <f t="shared" si="1"/>
        <v>126080</v>
      </c>
      <c r="G52" s="1"/>
      <c r="H52" s="57">
        <f>+[1]Main!C477</f>
        <v>26961899.77</v>
      </c>
      <c r="I52" s="57"/>
      <c r="J52" s="57"/>
    </row>
    <row r="53" spans="1:10" x14ac:dyDescent="0.2">
      <c r="A53" s="71" t="s">
        <v>86</v>
      </c>
      <c r="B53" s="59"/>
      <c r="C53" s="20"/>
      <c r="D53" s="54">
        <f>[1]Main!C306</f>
        <v>162000</v>
      </c>
      <c r="E53" s="54">
        <v>0</v>
      </c>
      <c r="F53" s="54">
        <f t="shared" si="1"/>
        <v>162000</v>
      </c>
      <c r="G53" s="1"/>
      <c r="H53" s="57">
        <f>+SUM(D48:D58)-E49</f>
        <v>26961899.77</v>
      </c>
      <c r="I53" s="57"/>
      <c r="J53" s="57">
        <f>+H53-H52</f>
        <v>0</v>
      </c>
    </row>
    <row r="54" spans="1:10" x14ac:dyDescent="0.2">
      <c r="A54" s="71" t="s">
        <v>87</v>
      </c>
      <c r="C54" s="8"/>
      <c r="D54" s="76">
        <f>[1]Main!D306</f>
        <v>18226103.949999999</v>
      </c>
      <c r="E54" s="77">
        <v>0</v>
      </c>
      <c r="F54" s="77">
        <f t="shared" si="1"/>
        <v>18226103.949999999</v>
      </c>
      <c r="G54" s="5"/>
      <c r="H54" s="57">
        <f>+H52-H53</f>
        <v>0</v>
      </c>
      <c r="I54" s="57"/>
      <c r="J54" s="57"/>
    </row>
    <row r="55" spans="1:10" x14ac:dyDescent="0.2">
      <c r="A55" s="71" t="s">
        <v>88</v>
      </c>
      <c r="B55" s="59"/>
      <c r="C55" s="20"/>
      <c r="D55" s="54">
        <f>+[1]Main!$E306</f>
        <v>89531.58</v>
      </c>
      <c r="E55" s="54">
        <v>0</v>
      </c>
      <c r="F55" s="54">
        <f>D55-E55</f>
        <v>89531.58</v>
      </c>
      <c r="G55" s="4"/>
      <c r="H55" s="30"/>
      <c r="I55" s="30"/>
      <c r="J55" s="30"/>
    </row>
    <row r="56" spans="1:10" x14ac:dyDescent="0.2">
      <c r="A56" s="71" t="s">
        <v>89</v>
      </c>
      <c r="B56" s="59"/>
      <c r="C56" s="20"/>
      <c r="D56" s="54">
        <f>[1]Main!F306</f>
        <v>456948.54</v>
      </c>
      <c r="E56" s="54">
        <v>0</v>
      </c>
      <c r="F56" s="54">
        <f>D56-E56</f>
        <v>456948.54</v>
      </c>
      <c r="G56" s="4"/>
      <c r="H56" s="30"/>
      <c r="I56" s="30"/>
      <c r="J56" s="30"/>
    </row>
    <row r="57" spans="1:10" x14ac:dyDescent="0.2">
      <c r="A57" s="71" t="s">
        <v>90</v>
      </c>
      <c r="B57" s="59"/>
      <c r="C57" s="20"/>
      <c r="D57" s="54">
        <f>[1]Main!G306</f>
        <v>0</v>
      </c>
      <c r="E57" s="54">
        <v>0</v>
      </c>
      <c r="F57" s="54">
        <f>D57-E57</f>
        <v>0</v>
      </c>
      <c r="G57" s="1"/>
      <c r="H57" s="57" t="s">
        <v>50</v>
      </c>
      <c r="I57" s="30"/>
      <c r="J57" s="30"/>
    </row>
    <row r="58" spans="1:10" x14ac:dyDescent="0.2">
      <c r="A58" s="71" t="s">
        <v>93</v>
      </c>
      <c r="B58" s="59"/>
      <c r="C58" s="20"/>
      <c r="D58" s="54">
        <f>[1]Main!F363</f>
        <v>1029753.96</v>
      </c>
      <c r="E58" s="54">
        <v>0</v>
      </c>
      <c r="F58" s="54">
        <f>D58-E58</f>
        <v>1029753.96</v>
      </c>
      <c r="G58" s="1"/>
      <c r="H58" s="57"/>
      <c r="I58" s="30"/>
      <c r="J58" s="30"/>
    </row>
    <row r="59" spans="1:10" x14ac:dyDescent="0.2">
      <c r="A59" s="55" t="s">
        <v>30</v>
      </c>
      <c r="B59" s="78"/>
      <c r="C59" s="79"/>
      <c r="D59" s="64"/>
      <c r="E59" s="64"/>
      <c r="F59" s="64"/>
      <c r="G59" s="1"/>
      <c r="H59" s="57"/>
      <c r="I59" s="30"/>
      <c r="J59" s="30"/>
    </row>
    <row r="60" spans="1:10" x14ac:dyDescent="0.2">
      <c r="A60" s="71" t="s">
        <v>60</v>
      </c>
      <c r="B60" s="59"/>
      <c r="C60" s="20"/>
      <c r="D60" s="54">
        <f>[1]Main!C420</f>
        <v>638446.51</v>
      </c>
      <c r="E60" s="54">
        <v>0</v>
      </c>
      <c r="F60" s="54">
        <f>D60-E60</f>
        <v>638446.51</v>
      </c>
      <c r="G60" s="1"/>
      <c r="H60" s="57">
        <f>+[1]Main!G420</f>
        <v>1055055.97</v>
      </c>
      <c r="I60" s="30"/>
      <c r="J60" s="30"/>
    </row>
    <row r="61" spans="1:10" x14ac:dyDescent="0.2">
      <c r="A61" s="71" t="s">
        <v>63</v>
      </c>
      <c r="B61" s="59"/>
      <c r="C61" s="20"/>
      <c r="D61" s="54">
        <f>[1]Main!D420</f>
        <v>124594.68</v>
      </c>
      <c r="E61" s="54">
        <v>0</v>
      </c>
      <c r="F61" s="54">
        <f>D61-E61</f>
        <v>124594.68</v>
      </c>
      <c r="G61" s="4"/>
      <c r="H61" s="57">
        <f>SUM(D60:D63)-0.01</f>
        <v>1055055.97</v>
      </c>
      <c r="I61" s="30"/>
      <c r="J61" s="30"/>
    </row>
    <row r="62" spans="1:10" x14ac:dyDescent="0.2">
      <c r="A62" s="71" t="s">
        <v>91</v>
      </c>
      <c r="B62" s="59"/>
      <c r="C62" s="20"/>
      <c r="D62" s="54">
        <f>[1]Main!E420</f>
        <v>0</v>
      </c>
      <c r="E62" s="54">
        <v>0</v>
      </c>
      <c r="F62" s="54">
        <f>D62-E62</f>
        <v>0</v>
      </c>
      <c r="G62" s="4"/>
      <c r="H62" s="57">
        <f>+H60-H61</f>
        <v>0</v>
      </c>
      <c r="I62" s="30"/>
      <c r="J62" s="30"/>
    </row>
    <row r="63" spans="1:10" x14ac:dyDescent="0.2">
      <c r="A63" s="71" t="s">
        <v>92</v>
      </c>
      <c r="B63" s="59"/>
      <c r="C63" s="20"/>
      <c r="D63" s="54">
        <f>[1]Main!F420</f>
        <v>292014.78999999998</v>
      </c>
      <c r="E63" s="54">
        <v>0</v>
      </c>
      <c r="F63" s="54">
        <f>D63-E63</f>
        <v>292014.78999999998</v>
      </c>
      <c r="G63" s="1"/>
      <c r="H63" s="30"/>
      <c r="I63" s="30"/>
      <c r="J63" s="30"/>
    </row>
    <row r="64" spans="1:10" x14ac:dyDescent="0.2">
      <c r="A64" s="55" t="s">
        <v>31</v>
      </c>
      <c r="B64" s="78"/>
      <c r="C64" s="79"/>
      <c r="D64" s="64"/>
      <c r="E64" s="64"/>
      <c r="F64" s="64"/>
      <c r="G64" s="1"/>
      <c r="H64" s="30"/>
      <c r="I64" s="30"/>
      <c r="J64" s="30"/>
    </row>
    <row r="65" spans="1:10" x14ac:dyDescent="0.2">
      <c r="A65" s="58" t="s">
        <v>69</v>
      </c>
      <c r="B65" s="59"/>
      <c r="C65" s="20"/>
      <c r="D65" s="54">
        <f>+[1]Main!$G533</f>
        <v>55759305.719999999</v>
      </c>
      <c r="E65" s="54">
        <f>+[1]Main!$D533</f>
        <v>24915008.800000001</v>
      </c>
      <c r="F65" s="54">
        <f>+D65-E65</f>
        <v>30844296.920000002</v>
      </c>
      <c r="G65" s="1"/>
      <c r="H65" s="30"/>
      <c r="I65" s="30"/>
      <c r="J65" s="30"/>
    </row>
    <row r="66" spans="1:10" x14ac:dyDescent="0.2">
      <c r="A66" s="59" t="s">
        <v>68</v>
      </c>
      <c r="B66" s="59"/>
      <c r="C66" s="20"/>
      <c r="D66" s="54">
        <f>+[1]Main!$G588</f>
        <v>13939826.43</v>
      </c>
      <c r="E66" s="54">
        <f>+[1]Main!$D588</f>
        <v>8298087.8600000003</v>
      </c>
      <c r="F66" s="54">
        <f>+D66-E66</f>
        <v>5641738.5700000003</v>
      </c>
      <c r="G66" s="1"/>
      <c r="H66" s="30"/>
      <c r="I66" s="30"/>
      <c r="J66" s="30"/>
    </row>
    <row r="67" spans="1:10" ht="13.5" thickBot="1" x14ac:dyDescent="0.25">
      <c r="A67" s="80"/>
      <c r="B67" s="81"/>
      <c r="C67" s="82" t="s">
        <v>29</v>
      </c>
      <c r="D67" s="83">
        <f>SUM(D34:D66)</f>
        <v>400852291.38</v>
      </c>
      <c r="E67" s="83">
        <f>SUM(E34:E66)</f>
        <v>70128577.409999996</v>
      </c>
      <c r="F67" s="83">
        <f>SUM(F34:F66)</f>
        <v>330723713.97000003</v>
      </c>
      <c r="G67" s="1"/>
      <c r="H67" s="30"/>
      <c r="I67" s="30"/>
      <c r="J67" s="30"/>
    </row>
    <row r="68" spans="1:10" ht="13.5" thickTop="1" x14ac:dyDescent="0.2">
      <c r="A68" s="84"/>
      <c r="B68" s="59"/>
      <c r="C68" s="85"/>
      <c r="D68" s="86"/>
      <c r="E68" s="86"/>
      <c r="F68" s="87"/>
      <c r="G68" s="1"/>
      <c r="H68" s="30"/>
      <c r="I68" s="30"/>
      <c r="J68" s="30"/>
    </row>
    <row r="69" spans="1:10" x14ac:dyDescent="0.2">
      <c r="A69" s="88" t="s">
        <v>40</v>
      </c>
      <c r="B69" s="78"/>
      <c r="C69" s="89"/>
      <c r="D69" s="90"/>
      <c r="E69" s="91"/>
      <c r="F69" s="92" t="s">
        <v>36</v>
      </c>
      <c r="G69" s="6"/>
      <c r="H69" s="57" t="s">
        <v>51</v>
      </c>
      <c r="I69" s="30"/>
      <c r="J69" s="57" t="s">
        <v>7</v>
      </c>
    </row>
    <row r="70" spans="1:10" x14ac:dyDescent="0.2">
      <c r="A70" s="93" t="s">
        <v>33</v>
      </c>
      <c r="B70" s="94"/>
      <c r="C70" s="95"/>
      <c r="D70" s="96"/>
      <c r="E70" s="96"/>
      <c r="F70" s="91"/>
      <c r="G70" s="6"/>
      <c r="H70" s="30"/>
      <c r="I70" s="30"/>
      <c r="J70" s="30"/>
    </row>
    <row r="71" spans="1:10" x14ac:dyDescent="0.2">
      <c r="A71" s="59" t="s">
        <v>34</v>
      </c>
      <c r="B71" s="59"/>
      <c r="C71" s="22"/>
      <c r="D71" s="27"/>
      <c r="E71" s="27"/>
      <c r="F71" s="97">
        <f>+[8]Main!$C16</f>
        <v>0</v>
      </c>
      <c r="G71" s="5"/>
      <c r="H71" s="57">
        <f>+[1]Main!G644</f>
        <v>69699132.150000006</v>
      </c>
      <c r="I71" s="30"/>
      <c r="J71" s="57">
        <f>+[1]Main!E644+[1]Main!F644</f>
        <v>36486035.490000002</v>
      </c>
    </row>
    <row r="72" spans="1:10" x14ac:dyDescent="0.2">
      <c r="A72" s="59" t="s">
        <v>66</v>
      </c>
      <c r="B72" s="59"/>
      <c r="C72" s="22"/>
      <c r="D72" s="27"/>
      <c r="E72" s="27"/>
      <c r="F72" s="97">
        <f>+[8]Main!$D16</f>
        <v>3656459</v>
      </c>
      <c r="G72" s="5"/>
      <c r="H72" s="57">
        <f>+D65+D66</f>
        <v>69699132.150000006</v>
      </c>
      <c r="I72" s="30"/>
      <c r="J72" s="57">
        <f>+F65+F66</f>
        <v>36486035.490000002</v>
      </c>
    </row>
    <row r="73" spans="1:10" x14ac:dyDescent="0.2">
      <c r="A73" s="32" t="s">
        <v>65</v>
      </c>
      <c r="B73" s="32"/>
      <c r="C73" s="22"/>
      <c r="D73" s="28"/>
      <c r="E73" s="28"/>
      <c r="F73" s="97">
        <f>+[8]Main!$E16</f>
        <v>171750</v>
      </c>
      <c r="G73" s="1"/>
      <c r="H73" s="57">
        <f>+H71-H72</f>
        <v>0</v>
      </c>
      <c r="I73" s="30"/>
      <c r="J73" s="57">
        <f>+J71-J72</f>
        <v>0</v>
      </c>
    </row>
    <row r="74" spans="1:10" x14ac:dyDescent="0.2">
      <c r="A74" s="32" t="s">
        <v>67</v>
      </c>
      <c r="B74" s="32"/>
      <c r="C74" s="22"/>
      <c r="D74" s="28"/>
      <c r="E74" s="28"/>
      <c r="F74" s="97">
        <f>+[8]Main!$F16</f>
        <v>340989</v>
      </c>
      <c r="G74" s="1"/>
      <c r="H74" s="30"/>
      <c r="I74" s="30"/>
      <c r="J74" s="30"/>
    </row>
    <row r="75" spans="1:10" x14ac:dyDescent="0.2">
      <c r="A75" s="88" t="s">
        <v>35</v>
      </c>
      <c r="B75" s="78"/>
      <c r="C75" s="89"/>
      <c r="D75" s="90"/>
      <c r="E75" s="91"/>
      <c r="F75" s="54">
        <f>+[8]Main!$C74</f>
        <v>159043.51999999999</v>
      </c>
      <c r="G75" s="1"/>
      <c r="H75" s="30"/>
      <c r="I75" s="30"/>
      <c r="J75" s="30"/>
    </row>
    <row r="76" spans="1:10" ht="13.5" thickBot="1" x14ac:dyDescent="0.25">
      <c r="A76" s="98"/>
      <c r="B76" s="99"/>
      <c r="C76" s="100" t="s">
        <v>29</v>
      </c>
      <c r="D76" s="101"/>
      <c r="E76" s="102"/>
      <c r="F76" s="103">
        <f>SUM(F71:F75)</f>
        <v>4328241.5199999996</v>
      </c>
      <c r="G76" s="1"/>
      <c r="H76" s="30"/>
      <c r="I76" s="30"/>
      <c r="J76" s="30"/>
    </row>
    <row r="77" spans="1:10" ht="13.5" thickBot="1" x14ac:dyDescent="0.25">
      <c r="A77" s="104"/>
      <c r="B77" s="105"/>
      <c r="C77" s="106" t="s">
        <v>53</v>
      </c>
      <c r="D77" s="107"/>
      <c r="E77" s="108"/>
      <c r="F77" s="109">
        <f>+F76+F67</f>
        <v>335051955.49000001</v>
      </c>
      <c r="G77" s="1"/>
      <c r="H77" s="57" t="s">
        <v>54</v>
      </c>
      <c r="I77" s="30"/>
      <c r="J77" s="30"/>
    </row>
    <row r="78" spans="1:10" x14ac:dyDescent="0.2">
      <c r="A78" s="11"/>
      <c r="B78" s="12"/>
      <c r="C78" s="9"/>
      <c r="D78" s="29"/>
      <c r="E78" s="29"/>
      <c r="F78" s="110"/>
      <c r="G78" s="1"/>
      <c r="H78" s="57">
        <f>+[8]Main!$G16</f>
        <v>4169198</v>
      </c>
      <c r="I78" s="30"/>
      <c r="J78" s="30"/>
    </row>
    <row r="79" spans="1:10" x14ac:dyDescent="0.2">
      <c r="A79" s="11"/>
      <c r="B79" s="12"/>
      <c r="C79" s="9"/>
      <c r="D79" s="29"/>
      <c r="E79" s="29"/>
      <c r="F79" s="110"/>
      <c r="G79" s="1"/>
      <c r="H79" s="57">
        <f>SUM(F71:F74)</f>
        <v>4169198</v>
      </c>
      <c r="I79" s="30"/>
      <c r="J79" s="30"/>
    </row>
    <row r="80" spans="1:10" x14ac:dyDescent="0.2">
      <c r="A80" s="1"/>
      <c r="B80" s="1"/>
      <c r="C80" s="7"/>
      <c r="D80" s="26"/>
      <c r="E80" s="26"/>
      <c r="F80" s="86">
        <f>+F76+F67</f>
        <v>335051955.49000001</v>
      </c>
      <c r="G80" s="1"/>
      <c r="H80" s="57">
        <f>+H78-H79</f>
        <v>0</v>
      </c>
      <c r="I80" s="30"/>
      <c r="J80" s="30"/>
    </row>
    <row r="81" spans="1:10" x14ac:dyDescent="0.2">
      <c r="A81" s="1"/>
      <c r="B81" s="1"/>
      <c r="C81" s="7"/>
      <c r="D81" s="26"/>
      <c r="E81" s="26"/>
      <c r="F81" s="86">
        <f>+[1]Main!$F760</f>
        <v>335051955.48000002</v>
      </c>
      <c r="G81" s="1"/>
      <c r="H81" s="30"/>
      <c r="I81" s="30"/>
      <c r="J81" s="30"/>
    </row>
    <row r="82" spans="1:10" x14ac:dyDescent="0.2">
      <c r="A82" s="1"/>
      <c r="B82" s="1"/>
      <c r="C82" s="7"/>
      <c r="D82" s="26"/>
      <c r="E82" s="86">
        <f>+E67+[1]Main!$E760</f>
        <v>0</v>
      </c>
      <c r="F82" s="86">
        <f>+F81-F80</f>
        <v>-0.01</v>
      </c>
      <c r="G82" s="1"/>
      <c r="H82" s="30"/>
      <c r="I82" s="30"/>
      <c r="J82" s="30"/>
    </row>
    <row r="83" spans="1:10" x14ac:dyDescent="0.2">
      <c r="A83" s="1"/>
      <c r="B83" s="1"/>
      <c r="C83" s="7"/>
      <c r="D83" s="26"/>
      <c r="E83" s="26"/>
      <c r="F83" s="26"/>
      <c r="G83" s="1"/>
      <c r="H83" s="30"/>
      <c r="I83" s="30"/>
      <c r="J83" s="30"/>
    </row>
    <row r="84" spans="1:10" x14ac:dyDescent="0.2">
      <c r="A84" s="1"/>
      <c r="B84" s="1"/>
      <c r="C84" s="7"/>
      <c r="D84" s="26"/>
      <c r="E84" s="26"/>
      <c r="F84" s="26"/>
      <c r="G84" s="1"/>
      <c r="H84" s="30"/>
      <c r="I84" s="30"/>
      <c r="J84" s="30"/>
    </row>
    <row r="85" spans="1:10" x14ac:dyDescent="0.2">
      <c r="A85" s="1"/>
      <c r="B85" s="1"/>
      <c r="C85" s="7"/>
      <c r="D85" s="26"/>
      <c r="E85" s="26"/>
      <c r="F85" s="26"/>
      <c r="G85" s="1"/>
      <c r="H85" s="111" t="s">
        <v>55</v>
      </c>
      <c r="I85" s="30"/>
      <c r="J85" s="30"/>
    </row>
    <row r="86" spans="1:10" x14ac:dyDescent="0.2">
      <c r="G86" s="59"/>
      <c r="H86" s="113"/>
      <c r="I86" s="112"/>
      <c r="J86" s="112"/>
    </row>
    <row r="87" spans="1:10" x14ac:dyDescent="0.2">
      <c r="G87" s="59"/>
      <c r="H87" s="112"/>
      <c r="I87" s="112"/>
      <c r="J87" s="112"/>
    </row>
    <row r="88" spans="1:10" x14ac:dyDescent="0.2">
      <c r="G88" s="59"/>
      <c r="H88" s="112"/>
      <c r="I88" s="112"/>
      <c r="J88" s="112"/>
    </row>
    <row r="89" spans="1:10" x14ac:dyDescent="0.2">
      <c r="G89" s="59"/>
      <c r="H89" s="112"/>
      <c r="I89" s="112"/>
      <c r="J89" s="112"/>
    </row>
    <row r="90" spans="1:10" x14ac:dyDescent="0.2">
      <c r="G90" s="59"/>
      <c r="H90" s="112"/>
      <c r="I90" s="112"/>
      <c r="J90" s="112"/>
    </row>
    <row r="91" spans="1:10" x14ac:dyDescent="0.2">
      <c r="G91" s="59"/>
      <c r="H91" s="71"/>
      <c r="I91" s="112"/>
      <c r="J91" s="112"/>
    </row>
  </sheetData>
  <mergeCells count="1">
    <mergeCell ref="D10:E10"/>
  </mergeCells>
  <phoneticPr fontId="0" type="noConversion"/>
  <printOptions horizontalCentered="1" verticalCentered="1"/>
  <pageMargins left="0.5" right="0.25" top="0.5" bottom="0.5" header="0.5" footer="0.5"/>
  <pageSetup scale="89" orientation="portrait" horizontalDpi="1200" r:id="rId1"/>
  <headerFooter alignWithMargins="0">
    <oddHeader>&amp;R&amp;8Current as of: &amp;D</oddHeader>
    <oddFooter>&amp;L&amp;8USOE, Finance and Statistics&amp;R&amp;8&amp;F</oddFooter>
  </headerFooter>
  <picture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J92"/>
  <sheetViews>
    <sheetView topLeftCell="A34" workbookViewId="0">
      <selection activeCell="B15" sqref="B15"/>
    </sheetView>
  </sheetViews>
  <sheetFormatPr defaultColWidth="18.28515625" defaultRowHeight="12.75" x14ac:dyDescent="0.2"/>
  <cols>
    <col min="1" max="1" width="27" style="75" customWidth="1"/>
    <col min="2" max="2" width="16.7109375" style="75" customWidth="1"/>
    <col min="3" max="3" width="15.85546875" style="75" customWidth="1"/>
    <col min="4" max="4" width="16.28515625" style="75" customWidth="1"/>
    <col min="5" max="5" width="15.5703125" style="75" customWidth="1"/>
    <col min="6" max="6" width="17.42578125" style="75" customWidth="1"/>
    <col min="7" max="7" width="5.7109375" style="75" customWidth="1"/>
    <col min="8" max="8" width="21.5703125" style="75" customWidth="1"/>
    <col min="9" max="9" width="5" style="75" customWidth="1"/>
    <col min="10" max="10" width="20.85546875" style="75" customWidth="1"/>
    <col min="11" max="16384" width="18.28515625" style="75"/>
  </cols>
  <sheetData>
    <row r="1" spans="1:10" x14ac:dyDescent="0.2">
      <c r="A1" s="8"/>
      <c r="B1" s="8"/>
      <c r="C1" s="8"/>
      <c r="D1" s="8"/>
      <c r="E1" s="8"/>
      <c r="F1" s="8"/>
      <c r="G1" s="8"/>
      <c r="H1" s="8"/>
      <c r="I1" s="8"/>
      <c r="J1" s="8"/>
    </row>
    <row r="2" spans="1:10" x14ac:dyDescent="0.2">
      <c r="A2" s="8"/>
      <c r="B2" s="8"/>
      <c r="C2" s="8"/>
      <c r="D2" s="8"/>
      <c r="E2" s="8"/>
      <c r="F2" s="8"/>
      <c r="G2" s="8"/>
      <c r="H2" s="8"/>
      <c r="I2" s="8"/>
      <c r="J2" s="8"/>
    </row>
    <row r="3" spans="1:10" x14ac:dyDescent="0.2">
      <c r="A3" s="8"/>
      <c r="B3" s="8"/>
      <c r="C3" s="8"/>
      <c r="D3" s="8"/>
      <c r="E3" s="8"/>
      <c r="F3" s="8"/>
      <c r="G3" s="8"/>
      <c r="H3" s="8"/>
      <c r="I3" s="8"/>
      <c r="J3" s="8"/>
    </row>
    <row r="4" spans="1:10" x14ac:dyDescent="0.2">
      <c r="A4" s="8"/>
      <c r="B4" s="8"/>
      <c r="C4" s="8"/>
      <c r="D4" s="8"/>
      <c r="E4" s="8"/>
      <c r="F4" s="8"/>
      <c r="G4" s="8"/>
      <c r="H4" s="8"/>
      <c r="I4" s="8"/>
      <c r="J4" s="8"/>
    </row>
    <row r="5" spans="1:10" x14ac:dyDescent="0.2">
      <c r="A5" s="8"/>
      <c r="B5" s="8"/>
      <c r="C5" s="8"/>
      <c r="D5" s="8"/>
      <c r="E5" s="8"/>
      <c r="F5" s="8"/>
      <c r="G5" s="8"/>
      <c r="H5" s="8"/>
      <c r="I5" s="8"/>
      <c r="J5" s="8"/>
    </row>
    <row r="6" spans="1:10" x14ac:dyDescent="0.2">
      <c r="A6" s="8"/>
      <c r="B6" s="8"/>
      <c r="C6" s="8"/>
      <c r="D6" s="8"/>
      <c r="E6" s="8"/>
      <c r="F6" s="8"/>
      <c r="G6" s="8"/>
      <c r="H6" s="8"/>
      <c r="I6" s="8"/>
      <c r="J6" s="8"/>
    </row>
    <row r="7" spans="1:10" x14ac:dyDescent="0.2">
      <c r="A7" s="8"/>
      <c r="B7" s="8"/>
      <c r="C7" s="8"/>
      <c r="D7" s="8"/>
      <c r="E7" s="8"/>
      <c r="F7" s="8"/>
      <c r="G7" s="8"/>
      <c r="H7" s="8"/>
      <c r="I7" s="8"/>
      <c r="J7" s="8"/>
    </row>
    <row r="8" spans="1:10" x14ac:dyDescent="0.2">
      <c r="A8" s="32" t="s">
        <v>0</v>
      </c>
      <c r="B8" s="33">
        <v>3184</v>
      </c>
      <c r="C8" s="34" t="s">
        <v>1</v>
      </c>
      <c r="D8" s="35"/>
      <c r="E8" s="35"/>
      <c r="F8" s="35"/>
      <c r="G8" s="1"/>
      <c r="H8" s="30"/>
      <c r="I8" s="30"/>
      <c r="J8" s="30"/>
    </row>
    <row r="9" spans="1:10" x14ac:dyDescent="0.2">
      <c r="A9" s="32" t="s">
        <v>61</v>
      </c>
      <c r="B9" s="36">
        <f>+[1]Main!$C534</f>
        <v>1.384E-3</v>
      </c>
      <c r="C9" s="34" t="s">
        <v>41</v>
      </c>
      <c r="D9" s="35"/>
      <c r="E9" s="35"/>
      <c r="F9" s="35"/>
      <c r="G9" s="1"/>
      <c r="H9" s="30"/>
      <c r="I9" s="30"/>
      <c r="J9" s="30"/>
    </row>
    <row r="10" spans="1:10" x14ac:dyDescent="0.2">
      <c r="A10" s="32" t="s">
        <v>62</v>
      </c>
      <c r="B10" s="36">
        <f>+[1]Main!$C589</f>
        <v>1.3090000000000001E-3</v>
      </c>
      <c r="C10" s="34" t="s">
        <v>95</v>
      </c>
      <c r="D10" s="35"/>
      <c r="E10" s="37"/>
      <c r="F10" s="35"/>
      <c r="G10" s="1"/>
      <c r="H10" s="30"/>
      <c r="I10" s="30"/>
      <c r="J10" s="30"/>
    </row>
    <row r="11" spans="1:10" x14ac:dyDescent="0.2">
      <c r="A11" s="38" t="s">
        <v>32</v>
      </c>
      <c r="B11" s="39">
        <f>[2]Sheet1!E16</f>
        <v>2588353833</v>
      </c>
      <c r="C11" s="21"/>
      <c r="D11" s="31"/>
      <c r="E11" s="31"/>
      <c r="F11" s="23"/>
      <c r="G11" s="1"/>
      <c r="H11" s="30"/>
      <c r="I11" s="30"/>
      <c r="J11" s="30"/>
    </row>
    <row r="12" spans="1:10" x14ac:dyDescent="0.2">
      <c r="A12" s="32" t="s">
        <v>2</v>
      </c>
      <c r="B12" s="40">
        <f>[2]Sheet1!F16</f>
        <v>0.9476</v>
      </c>
      <c r="C12" s="7"/>
      <c r="D12" s="41" t="s">
        <v>3</v>
      </c>
      <c r="E12" s="42" t="str">
        <f>+[3]main!B17</f>
        <v>Duchesne</v>
      </c>
      <c r="F12" s="43">
        <f>+[3]main!A17</f>
        <v>8</v>
      </c>
      <c r="G12" s="1"/>
      <c r="H12" s="30"/>
      <c r="I12" s="30"/>
      <c r="J12" s="30"/>
    </row>
    <row r="13" spans="1:10" x14ac:dyDescent="0.2">
      <c r="A13" s="32" t="s">
        <v>4</v>
      </c>
      <c r="B13" s="44">
        <f>[2]Sheet1!G16</f>
        <v>1.6750000000000001E-3</v>
      </c>
      <c r="C13" s="8"/>
      <c r="D13" s="24"/>
      <c r="E13" s="25"/>
      <c r="F13" s="24"/>
      <c r="G13" s="1"/>
      <c r="H13" s="30"/>
      <c r="I13" s="30"/>
      <c r="J13" s="30"/>
    </row>
    <row r="14" spans="1:10" x14ac:dyDescent="0.2">
      <c r="A14" s="32" t="s">
        <v>5</v>
      </c>
      <c r="B14" s="45">
        <f>[2]Sheet1!$C$72</f>
        <v>4574806</v>
      </c>
      <c r="C14" s="46"/>
      <c r="D14" s="47" t="s">
        <v>38</v>
      </c>
      <c r="E14" s="48" t="s">
        <v>7</v>
      </c>
      <c r="F14" s="47" t="s">
        <v>6</v>
      </c>
      <c r="G14" s="1"/>
      <c r="H14" s="30"/>
      <c r="I14" s="30"/>
      <c r="J14" s="30"/>
    </row>
    <row r="15" spans="1:10" x14ac:dyDescent="0.2">
      <c r="A15" s="32" t="s">
        <v>8</v>
      </c>
      <c r="B15" s="45">
        <f>+B14</f>
        <v>4574806</v>
      </c>
      <c r="C15" s="49"/>
      <c r="D15" s="50" t="s">
        <v>9</v>
      </c>
      <c r="E15" s="50" t="s">
        <v>37</v>
      </c>
      <c r="F15" s="50" t="s">
        <v>10</v>
      </c>
      <c r="G15" s="1"/>
      <c r="H15" s="30"/>
      <c r="I15" s="30"/>
      <c r="J15" s="30"/>
    </row>
    <row r="16" spans="1:10" x14ac:dyDescent="0.2">
      <c r="A16" s="32" t="s">
        <v>11</v>
      </c>
      <c r="B16" s="45">
        <v>0</v>
      </c>
      <c r="C16" s="51" t="s">
        <v>39</v>
      </c>
      <c r="D16" s="52" t="s">
        <v>12</v>
      </c>
      <c r="E16" s="52" t="s">
        <v>9</v>
      </c>
      <c r="F16" s="52" t="s">
        <v>9</v>
      </c>
      <c r="G16" s="1"/>
      <c r="H16" s="30"/>
      <c r="I16" s="30"/>
      <c r="J16" s="30"/>
    </row>
    <row r="17" spans="1:10" x14ac:dyDescent="0.2">
      <c r="A17" s="32" t="s">
        <v>70</v>
      </c>
      <c r="B17" s="45">
        <f>'[4]LRF FY17'!U14</f>
        <v>158579</v>
      </c>
      <c r="C17" s="53"/>
      <c r="D17" s="54"/>
      <c r="E17" s="54"/>
      <c r="F17" s="54" t="s">
        <v>14</v>
      </c>
      <c r="G17" s="1"/>
      <c r="H17" s="30"/>
      <c r="I17" s="30"/>
      <c r="J17" s="30"/>
    </row>
    <row r="18" spans="1:10" x14ac:dyDescent="0.2">
      <c r="A18" s="55" t="s">
        <v>13</v>
      </c>
      <c r="B18" s="56"/>
      <c r="C18" s="53"/>
      <c r="D18" s="54"/>
      <c r="E18" s="54"/>
      <c r="F18" s="54"/>
      <c r="G18" s="2"/>
      <c r="H18" s="30"/>
      <c r="I18" s="30"/>
      <c r="J18" s="30"/>
    </row>
    <row r="19" spans="1:10" x14ac:dyDescent="0.2">
      <c r="A19" s="55" t="s">
        <v>15</v>
      </c>
      <c r="B19" s="56"/>
      <c r="C19" s="53"/>
      <c r="D19" s="54"/>
      <c r="E19" s="54"/>
      <c r="F19" s="54"/>
      <c r="G19" s="2"/>
      <c r="H19" s="57" t="s">
        <v>43</v>
      </c>
      <c r="I19" s="30"/>
      <c r="J19" s="57" t="s">
        <v>45</v>
      </c>
    </row>
    <row r="20" spans="1:10" x14ac:dyDescent="0.2">
      <c r="A20" s="58" t="s">
        <v>16</v>
      </c>
      <c r="B20" s="59"/>
      <c r="C20" s="60">
        <f>[3]main!C191-[3]main!F133</f>
        <v>4577.4250000000002</v>
      </c>
      <c r="D20" s="61">
        <f>[3]main!E191-[3]main!H133</f>
        <v>14574519.970000001</v>
      </c>
      <c r="E20" s="62">
        <f>IF(B15&gt;D20,D20,B15)</f>
        <v>4574806</v>
      </c>
      <c r="F20" s="62">
        <f>D20-E20</f>
        <v>9999713.9700000007</v>
      </c>
      <c r="G20" s="1"/>
      <c r="H20" s="57">
        <f>[3]main!H250</f>
        <v>17925983.649999999</v>
      </c>
      <c r="I20" s="30"/>
      <c r="J20" s="57">
        <f>'[5]Sheet 1'!E74</f>
        <v>23944658.690000001</v>
      </c>
    </row>
    <row r="21" spans="1:10" x14ac:dyDescent="0.2">
      <c r="A21" s="58" t="s">
        <v>17</v>
      </c>
      <c r="B21" s="59"/>
      <c r="C21" s="53">
        <f>[3]main!F133</f>
        <v>629.82500000000005</v>
      </c>
      <c r="D21" s="54">
        <f>[3]main!H133</f>
        <v>2005363.91</v>
      </c>
      <c r="E21" s="54">
        <f>IF(B14-SUM(E18:E20)&gt;D21,D21,B14-SUM(E18:E20))</f>
        <v>0</v>
      </c>
      <c r="F21" s="54">
        <f>D21-E21</f>
        <v>2005363.91</v>
      </c>
      <c r="G21" s="1"/>
      <c r="H21" s="57">
        <f>SUM(D20:D24)</f>
        <v>17925983.649999999</v>
      </c>
      <c r="I21" s="30"/>
      <c r="J21" s="57">
        <f>D35</f>
        <v>23944658.690000001</v>
      </c>
    </row>
    <row r="22" spans="1:10" x14ac:dyDescent="0.2">
      <c r="A22" s="58" t="s">
        <v>18</v>
      </c>
      <c r="B22" s="59"/>
      <c r="C22" s="53">
        <f>[3]main!F191</f>
        <v>422.77</v>
      </c>
      <c r="D22" s="54">
        <f>[3]main!H191</f>
        <v>1346099.77</v>
      </c>
      <c r="E22" s="54">
        <f>IF(B15-SUM(E20:E21)&gt;D22,D22,B15-SUM(E20:E21))</f>
        <v>0</v>
      </c>
      <c r="F22" s="54">
        <f>D22-E22</f>
        <v>1346099.77</v>
      </c>
      <c r="G22" s="1"/>
      <c r="H22" s="57">
        <f>+H20-H21</f>
        <v>0</v>
      </c>
      <c r="I22" s="30"/>
      <c r="J22" s="57">
        <f>+J20-J21</f>
        <v>0</v>
      </c>
    </row>
    <row r="23" spans="1:10" x14ac:dyDescent="0.2">
      <c r="A23" s="58" t="s">
        <v>19</v>
      </c>
      <c r="B23" s="59"/>
      <c r="C23" s="53">
        <f>[3]main!C250</f>
        <v>0</v>
      </c>
      <c r="D23" s="54">
        <f>[3]main!E250</f>
        <v>0</v>
      </c>
      <c r="E23" s="54">
        <f>IF(B15-SUM(E20:E22)&gt;D23,D23,B15-SUM(E20:E22))</f>
        <v>0</v>
      </c>
      <c r="F23" s="54">
        <f>D23-E23</f>
        <v>0</v>
      </c>
      <c r="G23" s="1"/>
      <c r="H23" s="30"/>
      <c r="I23" s="30"/>
      <c r="J23" s="30"/>
    </row>
    <row r="24" spans="1:10" x14ac:dyDescent="0.2">
      <c r="A24" s="58" t="s">
        <v>42</v>
      </c>
      <c r="B24" s="59"/>
      <c r="C24" s="53">
        <f>[3]main!C74</f>
        <v>0</v>
      </c>
      <c r="D24" s="54">
        <f>[3]main!E74</f>
        <v>0</v>
      </c>
      <c r="E24" s="54">
        <f>IF(B15-SUM(E20:E23)&gt;D24,D24,B15-SUM(E20:E23))</f>
        <v>0</v>
      </c>
      <c r="F24" s="54">
        <f>D24-E24</f>
        <v>0</v>
      </c>
      <c r="G24" s="1"/>
      <c r="H24" s="30"/>
      <c r="I24" s="30"/>
      <c r="J24" s="30"/>
    </row>
    <row r="25" spans="1:10" x14ac:dyDescent="0.2">
      <c r="A25" s="55" t="s">
        <v>20</v>
      </c>
      <c r="B25" s="56"/>
      <c r="C25" s="63"/>
      <c r="D25" s="64"/>
      <c r="E25" s="64"/>
      <c r="F25" s="64" t="s">
        <v>14</v>
      </c>
      <c r="G25" s="1"/>
      <c r="H25" s="57" t="s">
        <v>44</v>
      </c>
      <c r="I25" s="30"/>
      <c r="J25" s="30"/>
    </row>
    <row r="26" spans="1:10" x14ac:dyDescent="0.2">
      <c r="A26" s="58" t="s">
        <v>21</v>
      </c>
      <c r="B26" s="59"/>
      <c r="C26" s="53">
        <f>'[6]Sheet 1'!C16</f>
        <v>851.61500000000001</v>
      </c>
      <c r="D26" s="54">
        <f>'[6]Sheet 1'!E16</f>
        <v>2711542.61</v>
      </c>
      <c r="E26" s="54">
        <f>IF(B15-SUM(E20:E25)&gt;D26,D26,B15-SUM(E20:E25))</f>
        <v>0</v>
      </c>
      <c r="F26" s="54">
        <f t="shared" ref="F26:F34" si="0">D26-E26</f>
        <v>2711542.61</v>
      </c>
      <c r="G26" s="1"/>
      <c r="H26" s="57">
        <f>'[6]Sheet 1'!N132</f>
        <v>4109446.01</v>
      </c>
      <c r="I26" s="30"/>
      <c r="J26" s="30"/>
    </row>
    <row r="27" spans="1:10" x14ac:dyDescent="0.2">
      <c r="A27" s="59" t="s">
        <v>22</v>
      </c>
      <c r="B27" s="59"/>
      <c r="C27" s="53">
        <f>'[6]Sheet 1'!F16</f>
        <v>260.3</v>
      </c>
      <c r="D27" s="54">
        <f>'[6]Sheet 1'!H16</f>
        <v>828795.2</v>
      </c>
      <c r="E27" s="54">
        <f>IF(B15-SUM(E20:E26)&gt;D27,D27,B15-SUM(E20:E26))</f>
        <v>0</v>
      </c>
      <c r="F27" s="54">
        <f t="shared" si="0"/>
        <v>828795.2</v>
      </c>
      <c r="G27" s="1"/>
      <c r="H27" s="57">
        <f>SUM(D26:D32)</f>
        <v>4109446.01</v>
      </c>
      <c r="I27" s="30"/>
      <c r="J27" s="30"/>
    </row>
    <row r="28" spans="1:10" x14ac:dyDescent="0.2">
      <c r="A28" s="59" t="s">
        <v>23</v>
      </c>
      <c r="B28" s="59"/>
      <c r="C28" s="53">
        <f>'[6]Sheet 1'!C74</f>
        <v>147</v>
      </c>
      <c r="D28" s="54">
        <f>'[6]Sheet 1'!E74</f>
        <v>468048</v>
      </c>
      <c r="E28" s="54">
        <f>IF(B15-SUM(E20:E27)&gt;D28,D28,B15-SUM(E20:E27))</f>
        <v>0</v>
      </c>
      <c r="F28" s="54">
        <f t="shared" si="0"/>
        <v>468048</v>
      </c>
      <c r="G28" s="1"/>
      <c r="H28" s="57">
        <f>+H26-H27</f>
        <v>0</v>
      </c>
      <c r="I28" s="30"/>
      <c r="J28" s="30"/>
    </row>
    <row r="29" spans="1:10" x14ac:dyDescent="0.2">
      <c r="A29" s="58" t="s">
        <v>24</v>
      </c>
      <c r="B29" s="59"/>
      <c r="C29" s="53">
        <f>'[6]Sheet 1'!F74</f>
        <v>4.3879999999999999</v>
      </c>
      <c r="D29" s="54">
        <f>'[6]Sheet 1'!H74</f>
        <v>13971.46</v>
      </c>
      <c r="E29" s="54">
        <f>IF(B15-SUM(E20:E28)&gt;D29,D29,B15-SUM(E20:E28))</f>
        <v>0</v>
      </c>
      <c r="F29" s="54">
        <f t="shared" si="0"/>
        <v>13971.46</v>
      </c>
      <c r="G29" s="1"/>
      <c r="H29" s="30"/>
      <c r="I29" s="30"/>
      <c r="J29" s="30"/>
    </row>
    <row r="30" spans="1:10" x14ac:dyDescent="0.2">
      <c r="A30" s="59" t="s">
        <v>71</v>
      </c>
      <c r="B30" s="59"/>
      <c r="C30" s="53">
        <f>'[6]Sheet 1'!C132</f>
        <v>20.282</v>
      </c>
      <c r="D30" s="54">
        <f>'[6]Sheet 1'!E132</f>
        <v>64577.7</v>
      </c>
      <c r="E30" s="54">
        <f>IF(B15-SUM(E20:E29)&gt;D30,D30,B15-SUM(E20:E29))</f>
        <v>0</v>
      </c>
      <c r="F30" s="54">
        <f t="shared" si="0"/>
        <v>64577.7</v>
      </c>
      <c r="G30" s="1"/>
      <c r="H30" s="30"/>
      <c r="I30" s="30"/>
      <c r="J30" s="30"/>
    </row>
    <row r="31" spans="1:10" x14ac:dyDescent="0.2">
      <c r="A31" s="59" t="s">
        <v>57</v>
      </c>
      <c r="B31" s="59"/>
      <c r="C31" s="53">
        <f>'[6]Sheet 1'!F132</f>
        <v>0</v>
      </c>
      <c r="D31" s="54">
        <f>'[6]Sheet 1'!H132</f>
        <v>0</v>
      </c>
      <c r="E31" s="54">
        <f>IF(B16-SUM(E21:E30)&gt;D31,D31,B16-SUM(E21:E30))</f>
        <v>0</v>
      </c>
      <c r="F31" s="54">
        <f t="shared" si="0"/>
        <v>0</v>
      </c>
      <c r="G31" s="1"/>
      <c r="H31" s="30"/>
      <c r="I31" s="30"/>
      <c r="J31" s="30"/>
    </row>
    <row r="32" spans="1:10" x14ac:dyDescent="0.2">
      <c r="A32" s="59" t="s">
        <v>64</v>
      </c>
      <c r="B32" s="59"/>
      <c r="C32" s="53">
        <f>'[6]Sheet 1'!I132</f>
        <v>7.07</v>
      </c>
      <c r="D32" s="54">
        <f>'[6]Sheet 1'!K132</f>
        <v>22511.040000000001</v>
      </c>
      <c r="E32" s="54">
        <f>IF(B18-SUM(E22:E31)&gt;D32,D32,B18-SUM(E22:E31))</f>
        <v>0</v>
      </c>
      <c r="F32" s="54">
        <f t="shared" si="0"/>
        <v>22511.040000000001</v>
      </c>
      <c r="G32" s="1"/>
      <c r="H32" s="57" t="s">
        <v>46</v>
      </c>
      <c r="I32" s="30"/>
      <c r="J32" s="30"/>
    </row>
    <row r="33" spans="1:10" x14ac:dyDescent="0.2">
      <c r="A33" s="59" t="s">
        <v>58</v>
      </c>
      <c r="B33" s="59"/>
      <c r="C33" s="53">
        <f>'[6]Sheet 1'!C190</f>
        <v>295.08300000000003</v>
      </c>
      <c r="D33" s="54">
        <f>'[6]Sheet 1'!E190</f>
        <v>939540.84</v>
      </c>
      <c r="E33" s="54">
        <f>IF(B15-SUM(E20:E30)&gt;D33,D33,B15-SUM(E20:E30))</f>
        <v>0</v>
      </c>
      <c r="F33" s="54">
        <f t="shared" si="0"/>
        <v>939540.84</v>
      </c>
      <c r="G33" s="4"/>
      <c r="H33" s="57">
        <f>+'[6]Sheet 1'!E190</f>
        <v>939540.84</v>
      </c>
      <c r="I33" s="30"/>
      <c r="J33" s="30"/>
    </row>
    <row r="34" spans="1:10" x14ac:dyDescent="0.2">
      <c r="A34" s="58" t="s">
        <v>59</v>
      </c>
      <c r="B34" s="59"/>
      <c r="C34" s="53">
        <f>'[5]Sheet 1'!C16</f>
        <v>304.55</v>
      </c>
      <c r="D34" s="54">
        <f>'[5]Sheet 1'!E16</f>
        <v>969688.19</v>
      </c>
      <c r="E34" s="54">
        <f>IF(B15-SUM(E20:E33)&gt;D34,D34,B15-SUM(E20:E33))</f>
        <v>0</v>
      </c>
      <c r="F34" s="54">
        <f t="shared" si="0"/>
        <v>969688.19</v>
      </c>
      <c r="G34" s="5"/>
      <c r="H34" s="57">
        <f>+D33</f>
        <v>939540.84</v>
      </c>
      <c r="I34" s="30"/>
      <c r="J34" s="30"/>
    </row>
    <row r="35" spans="1:10" x14ac:dyDescent="0.2">
      <c r="A35" s="65" t="s">
        <v>28</v>
      </c>
      <c r="B35" s="56"/>
      <c r="C35" s="66">
        <f>SUM(C20:C34)</f>
        <v>7520.308</v>
      </c>
      <c r="D35" s="67">
        <f>SUM(D20:D34)</f>
        <v>23944658.690000001</v>
      </c>
      <c r="E35" s="67">
        <f>SUM(E20:E34)</f>
        <v>4574806</v>
      </c>
      <c r="F35" s="67">
        <f>SUM(F20:F34)</f>
        <v>19369852.690000001</v>
      </c>
      <c r="G35" s="1"/>
      <c r="H35" s="57">
        <f>+H33-H34</f>
        <v>0</v>
      </c>
      <c r="I35" s="30"/>
      <c r="J35" s="30"/>
    </row>
    <row r="36" spans="1:10" x14ac:dyDescent="0.2">
      <c r="A36" s="68" t="s">
        <v>26</v>
      </c>
      <c r="B36" s="56"/>
      <c r="C36" s="69"/>
      <c r="D36" s="54"/>
      <c r="E36" s="54"/>
      <c r="F36" s="54"/>
      <c r="G36" s="1"/>
      <c r="H36" s="57" t="s">
        <v>47</v>
      </c>
      <c r="I36" s="30"/>
      <c r="J36" s="57" t="s">
        <v>52</v>
      </c>
    </row>
    <row r="37" spans="1:10" x14ac:dyDescent="0.2">
      <c r="A37" s="58" t="s">
        <v>56</v>
      </c>
      <c r="B37" s="59"/>
      <c r="C37" s="20"/>
      <c r="D37" s="70">
        <f>[1]Main!F17</f>
        <v>69402.84</v>
      </c>
      <c r="E37" s="54">
        <f>IF($B15-SUM($E35)&gt;D37,D37,$B15-SUM($E35))</f>
        <v>0</v>
      </c>
      <c r="F37" s="54">
        <f t="shared" ref="F37:F55" si="1">D37-E37</f>
        <v>69402.84</v>
      </c>
      <c r="G37" s="1"/>
      <c r="H37" s="57">
        <f>[1]Main!G17</f>
        <v>1229043.4099999999</v>
      </c>
      <c r="I37" s="30"/>
      <c r="J37" s="57">
        <f>+[1]Main!D478</f>
        <v>4340627.96</v>
      </c>
    </row>
    <row r="38" spans="1:10" x14ac:dyDescent="0.2">
      <c r="A38" s="59" t="s">
        <v>25</v>
      </c>
      <c r="B38" s="59"/>
      <c r="C38" s="20"/>
      <c r="D38" s="70">
        <f>[1]Main!C17</f>
        <v>1155811.49</v>
      </c>
      <c r="E38" s="54">
        <f>IF($B15-SUM($E35:E37)&gt;D38,D38,B15-SUM($E35:E37))</f>
        <v>0</v>
      </c>
      <c r="F38" s="54">
        <f t="shared" si="1"/>
        <v>1155811.49</v>
      </c>
      <c r="G38" s="1"/>
      <c r="H38" s="57">
        <f>SUM(D37:D39)</f>
        <v>1225214.33</v>
      </c>
      <c r="I38" s="30"/>
      <c r="J38" s="57">
        <f>SUM(D37:D64)-E50</f>
        <v>4340627.96</v>
      </c>
    </row>
    <row r="39" spans="1:10" x14ac:dyDescent="0.2">
      <c r="A39" s="71" t="s">
        <v>27</v>
      </c>
      <c r="B39" s="59"/>
      <c r="C39" s="20"/>
      <c r="D39" s="70">
        <f>[1]Main!D17</f>
        <v>0</v>
      </c>
      <c r="E39" s="54">
        <f>IF($B15-SUM($E35:E38)&gt;D39,D39,$B15-SUM($E35:E38))</f>
        <v>0</v>
      </c>
      <c r="F39" s="54">
        <f>D39-E39</f>
        <v>0</v>
      </c>
      <c r="G39" s="1"/>
      <c r="H39" s="57">
        <f>+H37-H38</f>
        <v>3829.08</v>
      </c>
      <c r="I39" s="30"/>
      <c r="J39" s="57">
        <f>+J37-J38</f>
        <v>0</v>
      </c>
    </row>
    <row r="40" spans="1:10" x14ac:dyDescent="0.2">
      <c r="A40" s="72" t="s">
        <v>72</v>
      </c>
      <c r="B40" s="59"/>
      <c r="C40" s="20"/>
      <c r="D40" s="70">
        <f>[1]Main!E17</f>
        <v>3829.08</v>
      </c>
      <c r="E40" s="54">
        <f>IF($B16-SUM($E36:E39)&gt;D40,D40,$B16-SUM($E36:E39))</f>
        <v>0</v>
      </c>
      <c r="F40" s="54">
        <f>D40-E40</f>
        <v>3829.08</v>
      </c>
      <c r="G40" s="1"/>
      <c r="H40" s="30"/>
      <c r="I40" s="30"/>
      <c r="J40" s="30"/>
    </row>
    <row r="41" spans="1:10" x14ac:dyDescent="0.2">
      <c r="A41" s="72" t="s">
        <v>73</v>
      </c>
      <c r="B41" s="59"/>
      <c r="C41" s="20"/>
      <c r="D41" s="54">
        <f>+[1]Main!$F133</f>
        <v>27212.28</v>
      </c>
      <c r="E41" s="54">
        <f>IF($B15-SUM($E35:E39)&gt;D41,D41,$B15-SUM($E35:E39))</f>
        <v>0</v>
      </c>
      <c r="F41" s="54">
        <f t="shared" si="1"/>
        <v>27212.28</v>
      </c>
      <c r="G41" s="1"/>
      <c r="H41" s="30"/>
      <c r="I41" s="30"/>
      <c r="J41" s="30"/>
    </row>
    <row r="42" spans="1:10" x14ac:dyDescent="0.2">
      <c r="A42" s="71" t="s">
        <v>74</v>
      </c>
      <c r="B42" s="59"/>
      <c r="C42" s="20"/>
      <c r="D42" s="54">
        <f>+[1]Main!$C75</f>
        <v>179482</v>
      </c>
      <c r="E42" s="54">
        <f>IF($B15-SUM($E35:E41)&gt;D42,D42,$B15-SUM($E35:E41))</f>
        <v>0</v>
      </c>
      <c r="F42" s="54">
        <f t="shared" si="1"/>
        <v>179482</v>
      </c>
      <c r="G42" s="1"/>
      <c r="H42" s="30"/>
      <c r="I42" s="30"/>
      <c r="J42" s="30"/>
    </row>
    <row r="43" spans="1:10" x14ac:dyDescent="0.2">
      <c r="A43" s="71" t="s">
        <v>75</v>
      </c>
      <c r="B43" s="59"/>
      <c r="C43" s="20"/>
      <c r="D43" s="54">
        <f>+[1]Main!$D75</f>
        <v>0</v>
      </c>
      <c r="E43" s="54">
        <f>IF($B15-SUM($E35:E42)&gt;D43,D43,$B15-SUM($E35:E42))</f>
        <v>0</v>
      </c>
      <c r="F43" s="54">
        <f t="shared" si="1"/>
        <v>0</v>
      </c>
      <c r="G43" s="1"/>
      <c r="H43" s="30"/>
      <c r="I43" s="30"/>
      <c r="J43" s="30"/>
    </row>
    <row r="44" spans="1:10" x14ac:dyDescent="0.2">
      <c r="A44" s="71" t="s">
        <v>76</v>
      </c>
      <c r="B44" s="59"/>
      <c r="C44" s="20"/>
      <c r="D44" s="54">
        <f>+[1]Main!$E75</f>
        <v>66854</v>
      </c>
      <c r="E44" s="54">
        <f>IF($B15-SUM($E35:E43)&gt;D44,D44,$B15-SUM($E35:E43))</f>
        <v>0</v>
      </c>
      <c r="F44" s="54">
        <f t="shared" si="1"/>
        <v>66854</v>
      </c>
      <c r="G44" s="1"/>
      <c r="H44" s="30"/>
      <c r="I44" s="30"/>
      <c r="J44" s="30"/>
    </row>
    <row r="45" spans="1:10" x14ac:dyDescent="0.2">
      <c r="A45" s="71" t="s">
        <v>77</v>
      </c>
      <c r="B45" s="59"/>
      <c r="C45" s="20"/>
      <c r="D45" s="54">
        <f>[1]Main!F75</f>
        <v>130842</v>
      </c>
      <c r="E45" s="54">
        <f>IF($B15-SUM($E35:E44)&gt;D45,D45,$B15-SUM($E35:E44))</f>
        <v>0</v>
      </c>
      <c r="F45" s="54">
        <f t="shared" si="1"/>
        <v>130842</v>
      </c>
      <c r="G45" s="1"/>
      <c r="H45" s="57" t="s">
        <v>48</v>
      </c>
      <c r="I45" s="30"/>
      <c r="J45" s="30"/>
    </row>
    <row r="46" spans="1:10" x14ac:dyDescent="0.2">
      <c r="A46" s="71" t="s">
        <v>79</v>
      </c>
      <c r="B46" s="59"/>
      <c r="C46" s="20"/>
      <c r="D46" s="54">
        <f>[1]Main!G75</f>
        <v>0</v>
      </c>
      <c r="E46" s="54">
        <f>IF($B15-SUM($E35:E45)&gt;D46,D46,$B15-SUM($E35:E45))</f>
        <v>0</v>
      </c>
      <c r="F46" s="54">
        <f t="shared" si="1"/>
        <v>0</v>
      </c>
      <c r="G46" s="1"/>
      <c r="H46" s="57"/>
      <c r="I46" s="30"/>
      <c r="J46" s="30"/>
    </row>
    <row r="47" spans="1:10" x14ac:dyDescent="0.2">
      <c r="A47" s="71" t="s">
        <v>78</v>
      </c>
      <c r="B47" s="59"/>
      <c r="C47" s="20"/>
      <c r="D47" s="54">
        <f>[1]Main!G133</f>
        <v>101070.04</v>
      </c>
      <c r="E47" s="54">
        <f>IF($B15-SUM($E35:E46)&gt;D47,D47,$B15-SUM($E35:E46))</f>
        <v>0</v>
      </c>
      <c r="F47" s="54">
        <f t="shared" si="1"/>
        <v>101070.04</v>
      </c>
      <c r="G47" s="1"/>
      <c r="H47" s="73">
        <f>+[1]Main!D191</f>
        <v>505460.32</v>
      </c>
      <c r="I47" s="30"/>
      <c r="J47" s="30"/>
    </row>
    <row r="48" spans="1:10" x14ac:dyDescent="0.2">
      <c r="A48" s="71" t="s">
        <v>80</v>
      </c>
      <c r="B48" s="59"/>
      <c r="C48" s="20"/>
      <c r="D48" s="54">
        <f>[1]Main!C191</f>
        <v>0</v>
      </c>
      <c r="E48" s="54"/>
      <c r="F48" s="54">
        <f t="shared" si="1"/>
        <v>0</v>
      </c>
      <c r="G48" s="1"/>
      <c r="H48" s="57">
        <f>+SUM(D41:D48)</f>
        <v>505460.32</v>
      </c>
      <c r="I48" s="30"/>
      <c r="J48" s="30"/>
    </row>
    <row r="49" spans="1:10" x14ac:dyDescent="0.2">
      <c r="A49" s="71" t="s">
        <v>81</v>
      </c>
      <c r="B49" s="59"/>
      <c r="C49" s="20"/>
      <c r="D49" s="54">
        <f>[1]Main!C249</f>
        <v>462605</v>
      </c>
      <c r="E49" s="54">
        <v>0</v>
      </c>
      <c r="F49" s="54">
        <f t="shared" si="1"/>
        <v>462605</v>
      </c>
      <c r="G49" s="1"/>
      <c r="H49" s="57">
        <f>+H47-H48</f>
        <v>0</v>
      </c>
      <c r="I49" s="30"/>
      <c r="J49" s="30"/>
    </row>
    <row r="50" spans="1:10" x14ac:dyDescent="0.2">
      <c r="A50" s="71" t="s">
        <v>82</v>
      </c>
      <c r="B50" s="59"/>
      <c r="C50" s="20"/>
      <c r="D50" s="54">
        <f>+[7]Main!I16+[7]Main!J16</f>
        <v>458152.94</v>
      </c>
      <c r="E50" s="74">
        <f>[7]Main!J16</f>
        <v>379697.74</v>
      </c>
      <c r="F50" s="54">
        <f t="shared" si="1"/>
        <v>78455.199999999997</v>
      </c>
      <c r="G50" s="1"/>
      <c r="H50" s="30"/>
      <c r="I50" s="30"/>
      <c r="J50" s="30"/>
    </row>
    <row r="51" spans="1:10" x14ac:dyDescent="0.2">
      <c r="A51" s="71" t="s">
        <v>83</v>
      </c>
      <c r="B51" s="59"/>
      <c r="C51" s="20"/>
      <c r="D51" s="54">
        <f>[1]Main!F249</f>
        <v>74971</v>
      </c>
      <c r="E51" s="54">
        <v>0</v>
      </c>
      <c r="F51" s="54">
        <f t="shared" si="1"/>
        <v>74971</v>
      </c>
      <c r="G51" s="1"/>
      <c r="H51" s="30"/>
      <c r="I51" s="30"/>
      <c r="J51" s="30"/>
    </row>
    <row r="52" spans="1:10" x14ac:dyDescent="0.2">
      <c r="A52" s="71" t="s">
        <v>84</v>
      </c>
      <c r="B52" s="59"/>
      <c r="C52" s="7"/>
      <c r="D52" s="54">
        <f>[1]Main!E249</f>
        <v>0</v>
      </c>
      <c r="E52" s="54">
        <v>0</v>
      </c>
      <c r="F52" s="54">
        <f t="shared" si="1"/>
        <v>0</v>
      </c>
      <c r="G52" s="1"/>
      <c r="H52" s="57" t="s">
        <v>49</v>
      </c>
      <c r="I52" s="30"/>
      <c r="J52" s="30"/>
    </row>
    <row r="53" spans="1:10" x14ac:dyDescent="0.2">
      <c r="A53" s="71" t="s">
        <v>85</v>
      </c>
      <c r="B53" s="59"/>
      <c r="C53" s="7"/>
      <c r="D53" s="54">
        <f>[1]Main!G249</f>
        <v>245732</v>
      </c>
      <c r="E53" s="54">
        <v>0</v>
      </c>
      <c r="F53" s="54">
        <f t="shared" si="1"/>
        <v>245732</v>
      </c>
      <c r="G53" s="1"/>
      <c r="H53" s="57">
        <f>+[1]Main!C478</f>
        <v>2507963.66</v>
      </c>
      <c r="I53" s="57"/>
      <c r="J53" s="57"/>
    </row>
    <row r="54" spans="1:10" x14ac:dyDescent="0.2">
      <c r="A54" s="71" t="s">
        <v>86</v>
      </c>
      <c r="B54" s="59"/>
      <c r="C54" s="20"/>
      <c r="D54" s="54">
        <f>[1]Main!C307</f>
        <v>0</v>
      </c>
      <c r="E54" s="54">
        <v>0</v>
      </c>
      <c r="F54" s="54">
        <f t="shared" si="1"/>
        <v>0</v>
      </c>
      <c r="G54" s="1"/>
      <c r="H54" s="57">
        <f>+SUM(D49:D59)-E50</f>
        <v>2507963.66</v>
      </c>
      <c r="I54" s="57"/>
      <c r="J54" s="57">
        <f>+H54-H53</f>
        <v>0</v>
      </c>
    </row>
    <row r="55" spans="1:10" x14ac:dyDescent="0.2">
      <c r="A55" s="71" t="s">
        <v>87</v>
      </c>
      <c r="C55" s="8"/>
      <c r="D55" s="76">
        <f>[1]Main!D307</f>
        <v>1488850.48</v>
      </c>
      <c r="E55" s="77">
        <v>0</v>
      </c>
      <c r="F55" s="77">
        <f t="shared" si="1"/>
        <v>1488850.48</v>
      </c>
      <c r="G55" s="5"/>
      <c r="H55" s="57">
        <f>+H53-H54</f>
        <v>0</v>
      </c>
      <c r="I55" s="57"/>
      <c r="J55" s="57"/>
    </row>
    <row r="56" spans="1:10" x14ac:dyDescent="0.2">
      <c r="A56" s="71" t="s">
        <v>88</v>
      </c>
      <c r="B56" s="59"/>
      <c r="C56" s="20"/>
      <c r="D56" s="54">
        <f>+[1]Main!$E307</f>
        <v>8069.22</v>
      </c>
      <c r="E56" s="54">
        <v>0</v>
      </c>
      <c r="F56" s="54">
        <f>D56-E56</f>
        <v>8069.22</v>
      </c>
      <c r="G56" s="4"/>
      <c r="H56" s="30"/>
      <c r="I56" s="30"/>
      <c r="J56" s="30"/>
    </row>
    <row r="57" spans="1:10" x14ac:dyDescent="0.2">
      <c r="A57" s="71" t="s">
        <v>89</v>
      </c>
      <c r="B57" s="59"/>
      <c r="C57" s="20"/>
      <c r="D57" s="54">
        <f>[1]Main!F307</f>
        <v>53554.35</v>
      </c>
      <c r="E57" s="54">
        <v>0</v>
      </c>
      <c r="F57" s="54">
        <f>D57-E57</f>
        <v>53554.35</v>
      </c>
      <c r="G57" s="4"/>
      <c r="H57" s="30"/>
      <c r="I57" s="30"/>
      <c r="J57" s="30"/>
    </row>
    <row r="58" spans="1:10" x14ac:dyDescent="0.2">
      <c r="A58" s="71" t="s">
        <v>90</v>
      </c>
      <c r="B58" s="59"/>
      <c r="C58" s="20"/>
      <c r="D58" s="54">
        <f>[1]Main!G307</f>
        <v>0</v>
      </c>
      <c r="E58" s="54">
        <v>0</v>
      </c>
      <c r="F58" s="54">
        <f>D58-E58</f>
        <v>0</v>
      </c>
      <c r="G58" s="1"/>
      <c r="H58" s="57" t="s">
        <v>50</v>
      </c>
      <c r="I58" s="30"/>
      <c r="J58" s="30"/>
    </row>
    <row r="59" spans="1:10" x14ac:dyDescent="0.2">
      <c r="A59" s="71" t="s">
        <v>93</v>
      </c>
      <c r="B59" s="59"/>
      <c r="C59" s="20"/>
      <c r="D59" s="54">
        <f>[1]Main!F364</f>
        <v>95726.41</v>
      </c>
      <c r="E59" s="54">
        <v>0</v>
      </c>
      <c r="F59" s="54">
        <f>D59-E59</f>
        <v>95726.41</v>
      </c>
      <c r="G59" s="1"/>
      <c r="H59" s="57"/>
      <c r="I59" s="30"/>
      <c r="J59" s="30"/>
    </row>
    <row r="60" spans="1:10" x14ac:dyDescent="0.2">
      <c r="A60" s="55" t="s">
        <v>30</v>
      </c>
      <c r="B60" s="78"/>
      <c r="C60" s="79"/>
      <c r="D60" s="64"/>
      <c r="E60" s="64"/>
      <c r="F60" s="64"/>
      <c r="G60" s="1"/>
      <c r="H60" s="57"/>
      <c r="I60" s="30"/>
      <c r="J60" s="30"/>
    </row>
    <row r="61" spans="1:10" x14ac:dyDescent="0.2">
      <c r="A61" s="71" t="s">
        <v>60</v>
      </c>
      <c r="B61" s="59"/>
      <c r="C61" s="20"/>
      <c r="D61" s="54">
        <f>[1]Main!C421</f>
        <v>52259.45</v>
      </c>
      <c r="E61" s="54">
        <v>0</v>
      </c>
      <c r="F61" s="54">
        <f>D61-E61</f>
        <v>52259.45</v>
      </c>
      <c r="G61" s="1"/>
      <c r="H61" s="57">
        <f>+[1]Main!G421</f>
        <v>98160.57</v>
      </c>
      <c r="I61" s="30"/>
      <c r="J61" s="30"/>
    </row>
    <row r="62" spans="1:10" x14ac:dyDescent="0.2">
      <c r="A62" s="71" t="s">
        <v>63</v>
      </c>
      <c r="B62" s="59"/>
      <c r="C62" s="20"/>
      <c r="D62" s="54">
        <f>[1]Main!D421</f>
        <v>17809.37</v>
      </c>
      <c r="E62" s="54">
        <v>0</v>
      </c>
      <c r="F62" s="54">
        <f>D62-E62</f>
        <v>17809.37</v>
      </c>
      <c r="G62" s="4"/>
      <c r="H62" s="57">
        <f>SUM(D61:D64)</f>
        <v>98160.57</v>
      </c>
      <c r="I62" s="30"/>
      <c r="J62" s="30"/>
    </row>
    <row r="63" spans="1:10" x14ac:dyDescent="0.2">
      <c r="A63" s="71" t="s">
        <v>91</v>
      </c>
      <c r="B63" s="59"/>
      <c r="C63" s="20"/>
      <c r="D63" s="54">
        <f>[1]Main!E421</f>
        <v>933</v>
      </c>
      <c r="E63" s="54">
        <v>0</v>
      </c>
      <c r="F63" s="54">
        <f>D63-E63</f>
        <v>933</v>
      </c>
      <c r="G63" s="4"/>
      <c r="H63" s="57">
        <f>+H61-H62</f>
        <v>0</v>
      </c>
      <c r="I63" s="30"/>
      <c r="J63" s="30"/>
    </row>
    <row r="64" spans="1:10" x14ac:dyDescent="0.2">
      <c r="A64" s="71" t="s">
        <v>92</v>
      </c>
      <c r="B64" s="59"/>
      <c r="C64" s="20"/>
      <c r="D64" s="54">
        <f>[1]Main!F421</f>
        <v>27158.75</v>
      </c>
      <c r="E64" s="54">
        <v>0</v>
      </c>
      <c r="F64" s="54">
        <f>D64-E64</f>
        <v>27158.75</v>
      </c>
      <c r="G64" s="1"/>
      <c r="H64" s="30"/>
      <c r="I64" s="30"/>
      <c r="J64" s="30"/>
    </row>
    <row r="65" spans="1:10" x14ac:dyDescent="0.2">
      <c r="A65" s="55" t="s">
        <v>31</v>
      </c>
      <c r="B65" s="78"/>
      <c r="C65" s="79"/>
      <c r="D65" s="64"/>
      <c r="E65" s="64"/>
      <c r="F65" s="64"/>
      <c r="G65" s="1"/>
      <c r="H65" s="30"/>
      <c r="I65" s="30"/>
      <c r="J65" s="30"/>
    </row>
    <row r="66" spans="1:10" x14ac:dyDescent="0.2">
      <c r="A66" s="58" t="s">
        <v>69</v>
      </c>
      <c r="B66" s="59"/>
      <c r="C66" s="20"/>
      <c r="D66" s="54">
        <f>+[1]Main!$G534</f>
        <v>4011791.48</v>
      </c>
      <c r="E66" s="54">
        <f>+[1]Main!$D534</f>
        <v>3780019.22</v>
      </c>
      <c r="F66" s="54">
        <f>+D66-E66</f>
        <v>231772.26</v>
      </c>
      <c r="G66" s="1"/>
      <c r="H66" s="30"/>
      <c r="I66" s="30"/>
      <c r="J66" s="30"/>
    </row>
    <row r="67" spans="1:10" x14ac:dyDescent="0.2">
      <c r="A67" s="59" t="s">
        <v>68</v>
      </c>
      <c r="B67" s="59"/>
      <c r="C67" s="20"/>
      <c r="D67" s="54">
        <f>+[1]Main!$G589</f>
        <v>1159477.31</v>
      </c>
      <c r="E67" s="54">
        <f>+[1]Main!$D589</f>
        <v>1092491.1000000001</v>
      </c>
      <c r="F67" s="54">
        <f>+D67-E67</f>
        <v>66986.210000000006</v>
      </c>
      <c r="G67" s="1"/>
      <c r="H67" s="30"/>
      <c r="I67" s="30"/>
      <c r="J67" s="30"/>
    </row>
    <row r="68" spans="1:10" ht="13.5" thickBot="1" x14ac:dyDescent="0.25">
      <c r="A68" s="80"/>
      <c r="B68" s="81"/>
      <c r="C68" s="82" t="s">
        <v>29</v>
      </c>
      <c r="D68" s="83">
        <f>SUM(D35:D67)</f>
        <v>33836253.18</v>
      </c>
      <c r="E68" s="83">
        <f>SUM(E35:E67)</f>
        <v>9827014.0600000005</v>
      </c>
      <c r="F68" s="83">
        <f>SUM(F35:F67)</f>
        <v>24009239.120000001</v>
      </c>
      <c r="G68" s="1"/>
      <c r="H68" s="30"/>
      <c r="I68" s="30"/>
      <c r="J68" s="30"/>
    </row>
    <row r="69" spans="1:10" ht="13.5" thickTop="1" x14ac:dyDescent="0.2">
      <c r="A69" s="84"/>
      <c r="B69" s="59"/>
      <c r="C69" s="85"/>
      <c r="D69" s="86"/>
      <c r="E69" s="86"/>
      <c r="F69" s="87"/>
      <c r="G69" s="1"/>
      <c r="H69" s="30"/>
      <c r="I69" s="30"/>
      <c r="J69" s="30"/>
    </row>
    <row r="70" spans="1:10" x14ac:dyDescent="0.2">
      <c r="A70" s="88" t="s">
        <v>40</v>
      </c>
      <c r="B70" s="78"/>
      <c r="C70" s="89"/>
      <c r="D70" s="90"/>
      <c r="E70" s="91"/>
      <c r="F70" s="92" t="s">
        <v>36</v>
      </c>
      <c r="G70" s="6"/>
      <c r="H70" s="57" t="s">
        <v>51</v>
      </c>
      <c r="I70" s="30"/>
      <c r="J70" s="57" t="s">
        <v>7</v>
      </c>
    </row>
    <row r="71" spans="1:10" x14ac:dyDescent="0.2">
      <c r="A71" s="93" t="s">
        <v>33</v>
      </c>
      <c r="B71" s="94"/>
      <c r="C71" s="95"/>
      <c r="D71" s="96"/>
      <c r="E71" s="96"/>
      <c r="F71" s="91"/>
      <c r="G71" s="6"/>
      <c r="H71" s="30"/>
      <c r="I71" s="30"/>
      <c r="J71" s="30"/>
    </row>
    <row r="72" spans="1:10" x14ac:dyDescent="0.2">
      <c r="A72" s="59" t="s">
        <v>34</v>
      </c>
      <c r="B72" s="59"/>
      <c r="C72" s="22"/>
      <c r="D72" s="27"/>
      <c r="E72" s="27"/>
      <c r="F72" s="97">
        <f>+[8]Main!$C17</f>
        <v>0</v>
      </c>
      <c r="G72" s="5"/>
      <c r="H72" s="57">
        <f>+[1]Main!G645</f>
        <v>5171268.79</v>
      </c>
      <c r="I72" s="30"/>
      <c r="J72" s="57">
        <f>+[1]Main!E645+[1]Main!F645</f>
        <v>298758.46999999997</v>
      </c>
    </row>
    <row r="73" spans="1:10" x14ac:dyDescent="0.2">
      <c r="A73" s="59" t="s">
        <v>66</v>
      </c>
      <c r="B73" s="59"/>
      <c r="C73" s="22"/>
      <c r="D73" s="27"/>
      <c r="E73" s="27"/>
      <c r="F73" s="97">
        <f>+[8]Main!$D17</f>
        <v>0</v>
      </c>
      <c r="G73" s="5"/>
      <c r="H73" s="57">
        <f>+D66+D67</f>
        <v>5171268.79</v>
      </c>
      <c r="I73" s="30"/>
      <c r="J73" s="57">
        <f>+F66+F67</f>
        <v>298758.46999999997</v>
      </c>
    </row>
    <row r="74" spans="1:10" x14ac:dyDescent="0.2">
      <c r="A74" s="32" t="s">
        <v>65</v>
      </c>
      <c r="B74" s="32"/>
      <c r="C74" s="22"/>
      <c r="D74" s="28"/>
      <c r="E74" s="28"/>
      <c r="F74" s="97">
        <f>+[8]Main!$E17</f>
        <v>27601</v>
      </c>
      <c r="G74" s="1"/>
      <c r="H74" s="57">
        <f>+H72-H73</f>
        <v>0</v>
      </c>
      <c r="I74" s="30"/>
      <c r="J74" s="57">
        <f>+J72-J73</f>
        <v>0</v>
      </c>
    </row>
    <row r="75" spans="1:10" x14ac:dyDescent="0.2">
      <c r="A75" s="32" t="s">
        <v>67</v>
      </c>
      <c r="B75" s="32"/>
      <c r="C75" s="22"/>
      <c r="D75" s="28"/>
      <c r="E75" s="28"/>
      <c r="F75" s="97">
        <f>+[8]Main!$F17</f>
        <v>54798</v>
      </c>
      <c r="G75" s="1"/>
      <c r="H75" s="30"/>
      <c r="I75" s="30"/>
      <c r="J75" s="30"/>
    </row>
    <row r="76" spans="1:10" x14ac:dyDescent="0.2">
      <c r="A76" s="88" t="s">
        <v>35</v>
      </c>
      <c r="B76" s="78"/>
      <c r="C76" s="89"/>
      <c r="D76" s="90"/>
      <c r="E76" s="91"/>
      <c r="F76" s="54">
        <f>+[8]Main!$C75</f>
        <v>21488.9</v>
      </c>
      <c r="G76" s="1"/>
      <c r="H76" s="30"/>
      <c r="I76" s="30"/>
      <c r="J76" s="30"/>
    </row>
    <row r="77" spans="1:10" ht="13.5" thickBot="1" x14ac:dyDescent="0.25">
      <c r="A77" s="98"/>
      <c r="B77" s="99"/>
      <c r="C77" s="100" t="s">
        <v>29</v>
      </c>
      <c r="D77" s="101"/>
      <c r="E77" s="102"/>
      <c r="F77" s="103">
        <f>SUM(F72:F76)</f>
        <v>103887.9</v>
      </c>
      <c r="G77" s="1"/>
      <c r="H77" s="30"/>
      <c r="I77" s="30"/>
      <c r="J77" s="30"/>
    </row>
    <row r="78" spans="1:10" ht="13.5" thickBot="1" x14ac:dyDescent="0.25">
      <c r="A78" s="104"/>
      <c r="B78" s="105"/>
      <c r="C78" s="106" t="s">
        <v>53</v>
      </c>
      <c r="D78" s="107"/>
      <c r="E78" s="108"/>
      <c r="F78" s="109">
        <f>+F77+F68</f>
        <v>24113127.02</v>
      </c>
      <c r="G78" s="1"/>
      <c r="H78" s="57" t="s">
        <v>54</v>
      </c>
      <c r="I78" s="30"/>
      <c r="J78" s="30"/>
    </row>
    <row r="79" spans="1:10" x14ac:dyDescent="0.2">
      <c r="A79" s="11"/>
      <c r="B79" s="12"/>
      <c r="C79" s="9"/>
      <c r="D79" s="29"/>
      <c r="E79" s="29"/>
      <c r="F79" s="110"/>
      <c r="G79" s="1"/>
      <c r="H79" s="57">
        <f>+[8]Main!$G17</f>
        <v>82399</v>
      </c>
      <c r="I79" s="30"/>
      <c r="J79" s="30"/>
    </row>
    <row r="80" spans="1:10" x14ac:dyDescent="0.2">
      <c r="A80" s="11"/>
      <c r="B80" s="12"/>
      <c r="C80" s="9"/>
      <c r="D80" s="29"/>
      <c r="E80" s="29"/>
      <c r="F80" s="110"/>
      <c r="G80" s="1"/>
      <c r="H80" s="57">
        <f>SUM(F72:F75)</f>
        <v>82399</v>
      </c>
      <c r="I80" s="30"/>
      <c r="J80" s="30"/>
    </row>
    <row r="81" spans="1:10" x14ac:dyDescent="0.2">
      <c r="A81" s="1"/>
      <c r="B81" s="1"/>
      <c r="C81" s="7"/>
      <c r="D81" s="26"/>
      <c r="E81" s="26"/>
      <c r="F81" s="86">
        <f>+F77+F68</f>
        <v>24113127.02</v>
      </c>
      <c r="G81" s="1"/>
      <c r="H81" s="57">
        <f>+H79-H80</f>
        <v>0</v>
      </c>
      <c r="I81" s="30"/>
      <c r="J81" s="30"/>
    </row>
    <row r="82" spans="1:10" x14ac:dyDescent="0.2">
      <c r="A82" s="1"/>
      <c r="B82" s="1"/>
      <c r="C82" s="7"/>
      <c r="D82" s="26"/>
      <c r="E82" s="26"/>
      <c r="F82" s="86">
        <f>+[1]Main!$F761</f>
        <v>24113127.02</v>
      </c>
      <c r="G82" s="1"/>
      <c r="H82" s="30"/>
      <c r="I82" s="30"/>
      <c r="J82" s="30"/>
    </row>
    <row r="83" spans="1:10" x14ac:dyDescent="0.2">
      <c r="A83" s="1"/>
      <c r="B83" s="1"/>
      <c r="C83" s="7"/>
      <c r="D83" s="26"/>
      <c r="E83" s="86">
        <f>+E68+[1]Main!$E761</f>
        <v>0</v>
      </c>
      <c r="F83" s="86">
        <f>+F82-F81</f>
        <v>0</v>
      </c>
      <c r="G83" s="1"/>
      <c r="H83" s="30"/>
      <c r="I83" s="30"/>
      <c r="J83" s="30"/>
    </row>
    <row r="84" spans="1:10" x14ac:dyDescent="0.2">
      <c r="A84" s="1"/>
      <c r="B84" s="1"/>
      <c r="C84" s="7"/>
      <c r="D84" s="26"/>
      <c r="E84" s="26"/>
      <c r="F84" s="26"/>
      <c r="G84" s="1"/>
      <c r="H84" s="30"/>
      <c r="I84" s="30"/>
      <c r="J84" s="30"/>
    </row>
    <row r="85" spans="1:10" x14ac:dyDescent="0.2">
      <c r="A85" s="1"/>
      <c r="B85" s="1"/>
      <c r="C85" s="7"/>
      <c r="D85" s="26"/>
      <c r="E85" s="26"/>
      <c r="F85" s="26"/>
      <c r="G85" s="1"/>
      <c r="H85" s="30"/>
      <c r="I85" s="30"/>
      <c r="J85" s="30"/>
    </row>
    <row r="86" spans="1:10" x14ac:dyDescent="0.2">
      <c r="A86" s="59"/>
      <c r="B86" s="59"/>
      <c r="C86" s="85"/>
      <c r="D86" s="86"/>
      <c r="E86" s="86"/>
      <c r="F86" s="86"/>
      <c r="G86" s="59"/>
      <c r="H86" s="111" t="s">
        <v>55</v>
      </c>
      <c r="I86" s="57"/>
      <c r="J86" s="57"/>
    </row>
    <row r="87" spans="1:10" x14ac:dyDescent="0.2">
      <c r="G87" s="59"/>
      <c r="H87" s="113"/>
      <c r="I87" s="112"/>
      <c r="J87" s="112"/>
    </row>
    <row r="88" spans="1:10" x14ac:dyDescent="0.2">
      <c r="G88" s="59"/>
      <c r="H88" s="112"/>
      <c r="I88" s="112"/>
      <c r="J88" s="112"/>
    </row>
    <row r="89" spans="1:10" x14ac:dyDescent="0.2">
      <c r="G89" s="59"/>
      <c r="H89" s="112"/>
      <c r="I89" s="112"/>
      <c r="J89" s="112"/>
    </row>
    <row r="90" spans="1:10" x14ac:dyDescent="0.2">
      <c r="G90" s="59"/>
      <c r="H90" s="112"/>
      <c r="I90" s="112"/>
      <c r="J90" s="112"/>
    </row>
    <row r="91" spans="1:10" x14ac:dyDescent="0.2">
      <c r="G91" s="59"/>
      <c r="H91" s="112"/>
      <c r="I91" s="112"/>
      <c r="J91" s="112"/>
    </row>
    <row r="92" spans="1:10" x14ac:dyDescent="0.2">
      <c r="G92" s="59"/>
      <c r="H92" s="71"/>
      <c r="I92" s="112"/>
      <c r="J92" s="112"/>
    </row>
  </sheetData>
  <mergeCells count="1">
    <mergeCell ref="D11:E11"/>
  </mergeCells>
  <phoneticPr fontId="0" type="noConversion"/>
  <printOptions horizontalCentered="1" verticalCentered="1"/>
  <pageMargins left="0.5" right="0.25" top="0.5" bottom="0.5" header="0.5" footer="0.5"/>
  <pageSetup scale="89" orientation="portrait" horizontalDpi="1200" r:id="rId1"/>
  <headerFooter alignWithMargins="0">
    <oddHeader>&amp;R&amp;8Current as of: &amp;D</oddHeader>
    <oddFooter>&amp;L&amp;8USOE, Finance and Statistics&amp;R&amp;8&amp;F</oddFooter>
  </headerFooter>
  <picture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93"/>
  <sheetViews>
    <sheetView topLeftCell="A34" workbookViewId="0">
      <selection activeCell="B16" sqref="B16"/>
    </sheetView>
  </sheetViews>
  <sheetFormatPr defaultColWidth="18.28515625" defaultRowHeight="12.75" x14ac:dyDescent="0.2"/>
  <cols>
    <col min="1" max="1" width="27" style="75" customWidth="1"/>
    <col min="2" max="2" width="16.7109375" style="75" customWidth="1"/>
    <col min="3" max="3" width="15.85546875" style="75" customWidth="1"/>
    <col min="4" max="4" width="16.28515625" style="75" customWidth="1"/>
    <col min="5" max="5" width="15.5703125" style="75" customWidth="1"/>
    <col min="6" max="6" width="17.42578125" style="75" customWidth="1"/>
    <col min="7" max="7" width="5.7109375" style="75" customWidth="1"/>
    <col min="8" max="8" width="21.5703125" style="75" customWidth="1"/>
    <col min="9" max="9" width="5" style="75" customWidth="1"/>
    <col min="10" max="10" width="20.85546875" style="75" customWidth="1"/>
    <col min="11" max="16384" width="18.28515625" style="75"/>
  </cols>
  <sheetData>
    <row r="1" spans="1:10" x14ac:dyDescent="0.2">
      <c r="A1" s="8"/>
      <c r="B1" s="8"/>
      <c r="C1" s="8"/>
      <c r="D1" s="8"/>
      <c r="E1" s="8"/>
      <c r="F1" s="8"/>
      <c r="G1" s="8"/>
      <c r="H1" s="8"/>
      <c r="I1" s="8"/>
      <c r="J1" s="8"/>
    </row>
    <row r="2" spans="1:10" x14ac:dyDescent="0.2">
      <c r="A2" s="8"/>
      <c r="B2" s="8"/>
      <c r="C2" s="8"/>
      <c r="D2" s="8"/>
      <c r="E2" s="8"/>
      <c r="F2" s="8"/>
      <c r="G2" s="8"/>
      <c r="H2" s="8"/>
      <c r="I2" s="8"/>
      <c r="J2" s="8"/>
    </row>
    <row r="3" spans="1:10" x14ac:dyDescent="0.2">
      <c r="A3" s="8"/>
      <c r="B3" s="8"/>
      <c r="C3" s="8"/>
      <c r="D3" s="8"/>
      <c r="E3" s="8"/>
      <c r="F3" s="8"/>
      <c r="G3" s="8"/>
      <c r="H3" s="8"/>
      <c r="I3" s="8"/>
      <c r="J3" s="8"/>
    </row>
    <row r="4" spans="1:10" x14ac:dyDescent="0.2">
      <c r="A4" s="8"/>
      <c r="B4" s="8"/>
      <c r="C4" s="8"/>
      <c r="D4" s="8"/>
      <c r="E4" s="8"/>
      <c r="F4" s="8"/>
      <c r="G4" s="8"/>
      <c r="H4" s="8"/>
      <c r="I4" s="8"/>
      <c r="J4" s="8"/>
    </row>
    <row r="5" spans="1:10" x14ac:dyDescent="0.2">
      <c r="A5" s="8"/>
      <c r="B5" s="8"/>
      <c r="C5" s="8"/>
      <c r="D5" s="8"/>
      <c r="E5" s="8"/>
      <c r="F5" s="8"/>
      <c r="G5" s="8"/>
      <c r="H5" s="8"/>
      <c r="I5" s="8"/>
      <c r="J5" s="8"/>
    </row>
    <row r="6" spans="1:10" x14ac:dyDescent="0.2">
      <c r="A6" s="8"/>
      <c r="B6" s="8"/>
      <c r="C6" s="8"/>
      <c r="D6" s="8"/>
      <c r="E6" s="8"/>
      <c r="F6" s="8"/>
      <c r="G6" s="8"/>
      <c r="H6" s="8"/>
      <c r="I6" s="8"/>
      <c r="J6" s="8"/>
    </row>
    <row r="7" spans="1:10" x14ac:dyDescent="0.2">
      <c r="A7" s="8"/>
      <c r="B7" s="8"/>
      <c r="C7" s="8"/>
      <c r="D7" s="8"/>
      <c r="E7" s="8"/>
      <c r="F7" s="8"/>
      <c r="G7" s="8"/>
      <c r="H7" s="8"/>
      <c r="I7" s="8"/>
      <c r="J7" s="8"/>
    </row>
    <row r="8" spans="1:10" x14ac:dyDescent="0.2">
      <c r="A8" s="8"/>
      <c r="B8" s="8"/>
      <c r="C8" s="8"/>
      <c r="D8" s="8"/>
      <c r="E8" s="8"/>
      <c r="F8" s="8"/>
      <c r="G8" s="8"/>
      <c r="H8" s="8"/>
      <c r="I8" s="8"/>
      <c r="J8" s="8"/>
    </row>
    <row r="9" spans="1:10" x14ac:dyDescent="0.2">
      <c r="A9" s="32" t="s">
        <v>0</v>
      </c>
      <c r="B9" s="33">
        <v>3184</v>
      </c>
      <c r="C9" s="34" t="s">
        <v>1</v>
      </c>
      <c r="D9" s="35"/>
      <c r="E9" s="35"/>
      <c r="F9" s="35"/>
      <c r="G9" s="1"/>
      <c r="H9" s="30"/>
      <c r="I9" s="30"/>
      <c r="J9" s="30"/>
    </row>
    <row r="10" spans="1:10" x14ac:dyDescent="0.2">
      <c r="A10" s="32" t="s">
        <v>61</v>
      </c>
      <c r="B10" s="36">
        <f>+[1]Main!$C535</f>
        <v>1.6919999999999999E-3</v>
      </c>
      <c r="C10" s="34" t="s">
        <v>41</v>
      </c>
      <c r="D10" s="35"/>
      <c r="E10" s="35"/>
      <c r="F10" s="35"/>
      <c r="G10" s="1"/>
      <c r="H10" s="30"/>
      <c r="I10" s="30"/>
      <c r="J10" s="30"/>
    </row>
    <row r="11" spans="1:10" x14ac:dyDescent="0.2">
      <c r="A11" s="32" t="s">
        <v>62</v>
      </c>
      <c r="B11" s="36">
        <f>+[1]Main!$C590</f>
        <v>2.1940000000000002E-3</v>
      </c>
      <c r="C11" s="34" t="s">
        <v>95</v>
      </c>
      <c r="D11" s="35"/>
      <c r="E11" s="37"/>
      <c r="F11" s="35"/>
      <c r="G11" s="1"/>
      <c r="H11" s="30"/>
      <c r="I11" s="30"/>
      <c r="J11" s="30"/>
    </row>
    <row r="12" spans="1:10" x14ac:dyDescent="0.2">
      <c r="A12" s="38" t="s">
        <v>32</v>
      </c>
      <c r="B12" s="39">
        <f>[2]Sheet1!E17</f>
        <v>1979806080</v>
      </c>
      <c r="C12" s="21"/>
      <c r="D12" s="31"/>
      <c r="E12" s="31"/>
      <c r="F12" s="23"/>
      <c r="G12" s="1"/>
      <c r="H12" s="30"/>
      <c r="I12" s="30"/>
      <c r="J12" s="30"/>
    </row>
    <row r="13" spans="1:10" x14ac:dyDescent="0.2">
      <c r="A13" s="32" t="s">
        <v>2</v>
      </c>
      <c r="B13" s="40">
        <f>[2]Sheet1!F17</f>
        <v>0.97689999999999999</v>
      </c>
      <c r="C13" s="7"/>
      <c r="D13" s="41" t="s">
        <v>3</v>
      </c>
      <c r="E13" s="42" t="str">
        <f>+[3]main!B18</f>
        <v>Emery</v>
      </c>
      <c r="F13" s="43">
        <f>+[3]main!A18</f>
        <v>9</v>
      </c>
      <c r="G13" s="1"/>
      <c r="H13" s="30"/>
      <c r="I13" s="30"/>
      <c r="J13" s="30"/>
    </row>
    <row r="14" spans="1:10" x14ac:dyDescent="0.2">
      <c r="A14" s="32" t="s">
        <v>4</v>
      </c>
      <c r="B14" s="44">
        <f>[2]Sheet1!G17</f>
        <v>1.6750000000000001E-3</v>
      </c>
      <c r="C14" s="8"/>
      <c r="D14" s="24"/>
      <c r="E14" s="25"/>
      <c r="F14" s="24"/>
      <c r="G14" s="1"/>
      <c r="H14" s="30"/>
      <c r="I14" s="30"/>
      <c r="J14" s="30"/>
    </row>
    <row r="15" spans="1:10" x14ac:dyDescent="0.2">
      <c r="A15" s="32" t="s">
        <v>5</v>
      </c>
      <c r="B15" s="45">
        <f>[2]Sheet1!$C$73</f>
        <v>3280416</v>
      </c>
      <c r="C15" s="46"/>
      <c r="D15" s="47" t="s">
        <v>38</v>
      </c>
      <c r="E15" s="48" t="s">
        <v>7</v>
      </c>
      <c r="F15" s="47" t="s">
        <v>6</v>
      </c>
      <c r="G15" s="1"/>
      <c r="H15" s="30"/>
      <c r="I15" s="30"/>
      <c r="J15" s="30"/>
    </row>
    <row r="16" spans="1:10" x14ac:dyDescent="0.2">
      <c r="A16" s="32" t="s">
        <v>8</v>
      </c>
      <c r="B16" s="45">
        <f>+B15</f>
        <v>3280416</v>
      </c>
      <c r="C16" s="49"/>
      <c r="D16" s="50" t="s">
        <v>9</v>
      </c>
      <c r="E16" s="50" t="s">
        <v>37</v>
      </c>
      <c r="F16" s="50" t="s">
        <v>10</v>
      </c>
      <c r="G16" s="1"/>
      <c r="H16" s="30"/>
      <c r="I16" s="30"/>
      <c r="J16" s="30"/>
    </row>
    <row r="17" spans="1:10" x14ac:dyDescent="0.2">
      <c r="A17" s="32" t="s">
        <v>11</v>
      </c>
      <c r="B17" s="45">
        <v>0</v>
      </c>
      <c r="C17" s="51" t="s">
        <v>39</v>
      </c>
      <c r="D17" s="52" t="s">
        <v>12</v>
      </c>
      <c r="E17" s="52" t="s">
        <v>9</v>
      </c>
      <c r="F17" s="52" t="s">
        <v>9</v>
      </c>
      <c r="G17" s="1"/>
      <c r="H17" s="30"/>
      <c r="I17" s="30"/>
      <c r="J17" s="30"/>
    </row>
    <row r="18" spans="1:10" x14ac:dyDescent="0.2">
      <c r="A18" s="32" t="s">
        <v>70</v>
      </c>
      <c r="B18" s="45">
        <f>'[4]LRF FY17'!U15</f>
        <v>57094</v>
      </c>
      <c r="C18" s="53"/>
      <c r="D18" s="54"/>
      <c r="E18" s="54"/>
      <c r="F18" s="54" t="s">
        <v>14</v>
      </c>
      <c r="G18" s="1"/>
      <c r="H18" s="30"/>
      <c r="I18" s="30"/>
      <c r="J18" s="30"/>
    </row>
    <row r="19" spans="1:10" x14ac:dyDescent="0.2">
      <c r="A19" s="55" t="s">
        <v>13</v>
      </c>
      <c r="B19" s="56"/>
      <c r="C19" s="53"/>
      <c r="D19" s="54"/>
      <c r="E19" s="54"/>
      <c r="F19" s="54"/>
      <c r="G19" s="2"/>
      <c r="H19" s="30"/>
      <c r="I19" s="30"/>
      <c r="J19" s="30"/>
    </row>
    <row r="20" spans="1:10" x14ac:dyDescent="0.2">
      <c r="A20" s="55" t="s">
        <v>15</v>
      </c>
      <c r="B20" s="56"/>
      <c r="C20" s="53"/>
      <c r="D20" s="54"/>
      <c r="E20" s="54"/>
      <c r="F20" s="54"/>
      <c r="G20" s="2"/>
      <c r="H20" s="57" t="s">
        <v>43</v>
      </c>
      <c r="I20" s="30"/>
      <c r="J20" s="57" t="s">
        <v>45</v>
      </c>
    </row>
    <row r="21" spans="1:10" x14ac:dyDescent="0.2">
      <c r="A21" s="58" t="s">
        <v>16</v>
      </c>
      <c r="B21" s="59"/>
      <c r="C21" s="60">
        <f>[3]main!C192-[3]main!F134</f>
        <v>2080.902</v>
      </c>
      <c r="D21" s="61">
        <f>[3]main!E192-[3]main!H134</f>
        <v>6625590.9900000002</v>
      </c>
      <c r="E21" s="62">
        <f>IF(B16&gt;D21,D21,B16)</f>
        <v>3280416</v>
      </c>
      <c r="F21" s="62">
        <f>D21-E21</f>
        <v>3345174.99</v>
      </c>
      <c r="G21" s="1"/>
      <c r="H21" s="57">
        <f>[3]main!H251</f>
        <v>9302544.2400000002</v>
      </c>
      <c r="I21" s="30"/>
      <c r="J21" s="57">
        <f>'[5]Sheet 1'!E75</f>
        <v>11979767.66</v>
      </c>
    </row>
    <row r="22" spans="1:10" x14ac:dyDescent="0.2">
      <c r="A22" s="58" t="s">
        <v>17</v>
      </c>
      <c r="B22" s="59"/>
      <c r="C22" s="53">
        <f>[3]main!F134</f>
        <v>536.42999999999995</v>
      </c>
      <c r="D22" s="54">
        <f>[3]main!H134</f>
        <v>1707991.59</v>
      </c>
      <c r="E22" s="54">
        <f>IF(B15-SUM(E19:E21)&gt;D22,D22,B15-SUM(E19:E21))</f>
        <v>0</v>
      </c>
      <c r="F22" s="54">
        <f>D22-E22</f>
        <v>1707991.59</v>
      </c>
      <c r="G22" s="1"/>
      <c r="H22" s="57">
        <f>SUM(D21:D25)</f>
        <v>9302544.2400000002</v>
      </c>
      <c r="I22" s="30"/>
      <c r="J22" s="57">
        <f>D36</f>
        <v>11979767.66</v>
      </c>
    </row>
    <row r="23" spans="1:10" x14ac:dyDescent="0.2">
      <c r="A23" s="58" t="s">
        <v>18</v>
      </c>
      <c r="B23" s="59"/>
      <c r="C23" s="53">
        <f>[3]main!F192</f>
        <v>244.322</v>
      </c>
      <c r="D23" s="54">
        <f>[3]main!H192</f>
        <v>777921.66</v>
      </c>
      <c r="E23" s="54">
        <f>IF(B16-SUM(E21:E22)&gt;D23,D23,B16-SUM(E21:E22))</f>
        <v>0</v>
      </c>
      <c r="F23" s="54">
        <f>D23-E23</f>
        <v>777921.66</v>
      </c>
      <c r="G23" s="1"/>
      <c r="H23" s="57">
        <f>+H21-H22</f>
        <v>0</v>
      </c>
      <c r="I23" s="30"/>
      <c r="J23" s="57">
        <f>+J21-J22</f>
        <v>0</v>
      </c>
    </row>
    <row r="24" spans="1:10" x14ac:dyDescent="0.2">
      <c r="A24" s="58" t="s">
        <v>19</v>
      </c>
      <c r="B24" s="59"/>
      <c r="C24" s="53">
        <f>[3]main!C251</f>
        <v>60</v>
      </c>
      <c r="D24" s="54">
        <f>[3]main!E251</f>
        <v>191040</v>
      </c>
      <c r="E24" s="54">
        <f>IF(B16-SUM(E21:E23)&gt;D24,D24,B16-SUM(E21:E23))</f>
        <v>0</v>
      </c>
      <c r="F24" s="54">
        <f>D24-E24</f>
        <v>191040</v>
      </c>
      <c r="G24" s="1"/>
      <c r="H24" s="30"/>
      <c r="I24" s="30"/>
      <c r="J24" s="30"/>
    </row>
    <row r="25" spans="1:10" x14ac:dyDescent="0.2">
      <c r="A25" s="58" t="s">
        <v>42</v>
      </c>
      <c r="B25" s="59"/>
      <c r="C25" s="53">
        <f>[3]main!C75</f>
        <v>0</v>
      </c>
      <c r="D25" s="54">
        <f>[3]main!E75</f>
        <v>0</v>
      </c>
      <c r="E25" s="54">
        <f>IF(B16-SUM(E21:E24)&gt;D25,D25,B16-SUM(E21:E24))</f>
        <v>0</v>
      </c>
      <c r="F25" s="54">
        <f>D25-E25</f>
        <v>0</v>
      </c>
      <c r="G25" s="1"/>
      <c r="H25" s="30"/>
      <c r="I25" s="30"/>
      <c r="J25" s="30"/>
    </row>
    <row r="26" spans="1:10" x14ac:dyDescent="0.2">
      <c r="A26" s="55" t="s">
        <v>20</v>
      </c>
      <c r="B26" s="56"/>
      <c r="C26" s="63"/>
      <c r="D26" s="64"/>
      <c r="E26" s="64"/>
      <c r="F26" s="64" t="s">
        <v>14</v>
      </c>
      <c r="G26" s="1"/>
      <c r="H26" s="57" t="s">
        <v>44</v>
      </c>
      <c r="I26" s="30"/>
      <c r="J26" s="30"/>
    </row>
    <row r="27" spans="1:10" x14ac:dyDescent="0.2">
      <c r="A27" s="58" t="s">
        <v>21</v>
      </c>
      <c r="B27" s="59"/>
      <c r="C27" s="53">
        <f>'[6]Sheet 1'!C17</f>
        <v>382.38200000000001</v>
      </c>
      <c r="D27" s="54">
        <f>'[6]Sheet 1'!E17</f>
        <v>1217505.6299999999</v>
      </c>
      <c r="E27" s="54">
        <f>IF(B16-SUM(E21:E26)&gt;D27,D27,B16-SUM(E21:E26))</f>
        <v>0</v>
      </c>
      <c r="F27" s="54">
        <f t="shared" ref="F27:F35" si="0">D27-E27</f>
        <v>1217505.6299999999</v>
      </c>
      <c r="G27" s="1"/>
      <c r="H27" s="57">
        <f>'[6]Sheet 1'!N133</f>
        <v>1752192.51</v>
      </c>
      <c r="I27" s="30"/>
      <c r="J27" s="30"/>
    </row>
    <row r="28" spans="1:10" x14ac:dyDescent="0.2">
      <c r="A28" s="59" t="s">
        <v>22</v>
      </c>
      <c r="B28" s="59"/>
      <c r="C28" s="53">
        <f>'[6]Sheet 1'!F17</f>
        <v>47.86</v>
      </c>
      <c r="D28" s="54">
        <f>'[6]Sheet 1'!H17</f>
        <v>152386.23999999999</v>
      </c>
      <c r="E28" s="54">
        <f>IF(B16-SUM(E21:E27)&gt;D28,D28,B16-SUM(E21:E27))</f>
        <v>0</v>
      </c>
      <c r="F28" s="54">
        <f t="shared" si="0"/>
        <v>152386.23999999999</v>
      </c>
      <c r="G28" s="1"/>
      <c r="H28" s="57">
        <f>SUM(D27:D33)</f>
        <v>1752192.51</v>
      </c>
      <c r="I28" s="30"/>
      <c r="J28" s="30"/>
    </row>
    <row r="29" spans="1:10" x14ac:dyDescent="0.2">
      <c r="A29" s="59" t="s">
        <v>23</v>
      </c>
      <c r="B29" s="59"/>
      <c r="C29" s="53">
        <f>'[6]Sheet 1'!C75</f>
        <v>107.31</v>
      </c>
      <c r="D29" s="54">
        <f>'[6]Sheet 1'!E75</f>
        <v>341675.04</v>
      </c>
      <c r="E29" s="54">
        <f>IF(B16-SUM(E21:E28)&gt;D29,D29,B16-SUM(E21:E28))</f>
        <v>0</v>
      </c>
      <c r="F29" s="54">
        <f t="shared" si="0"/>
        <v>341675.04</v>
      </c>
      <c r="G29" s="1"/>
      <c r="H29" s="57">
        <f>+H27-H28</f>
        <v>0</v>
      </c>
      <c r="I29" s="30"/>
      <c r="J29" s="30"/>
    </row>
    <row r="30" spans="1:10" x14ac:dyDescent="0.2">
      <c r="A30" s="58" t="s">
        <v>24</v>
      </c>
      <c r="B30" s="59"/>
      <c r="C30" s="53">
        <f>'[6]Sheet 1'!F75</f>
        <v>2.5590000000000002</v>
      </c>
      <c r="D30" s="54">
        <f>'[6]Sheet 1'!H75</f>
        <v>8149.24</v>
      </c>
      <c r="E30" s="54">
        <f>IF(B16-SUM(E21:E29)&gt;D30,D30,B16-SUM(E21:E29))</f>
        <v>0</v>
      </c>
      <c r="F30" s="54">
        <f t="shared" si="0"/>
        <v>8149.24</v>
      </c>
      <c r="G30" s="1"/>
      <c r="H30" s="30"/>
      <c r="I30" s="30"/>
      <c r="J30" s="30"/>
    </row>
    <row r="31" spans="1:10" x14ac:dyDescent="0.2">
      <c r="A31" s="59" t="s">
        <v>71</v>
      </c>
      <c r="B31" s="59"/>
      <c r="C31" s="53">
        <f>'[6]Sheet 1'!C133</f>
        <v>10.199999999999999</v>
      </c>
      <c r="D31" s="54">
        <f>'[6]Sheet 1'!E133</f>
        <v>32476.36</v>
      </c>
      <c r="E31" s="54">
        <f>IF(B16-SUM(E21:E30)&gt;D31,D31,B16-SUM(E21:E30))</f>
        <v>0</v>
      </c>
      <c r="F31" s="54">
        <f t="shared" si="0"/>
        <v>32476.36</v>
      </c>
      <c r="G31" s="1"/>
      <c r="H31" s="30"/>
      <c r="I31" s="30"/>
      <c r="J31" s="30"/>
    </row>
    <row r="32" spans="1:10" x14ac:dyDescent="0.2">
      <c r="A32" s="59" t="s">
        <v>57</v>
      </c>
      <c r="B32" s="59"/>
      <c r="C32" s="53">
        <f>'[6]Sheet 1'!F133</f>
        <v>0</v>
      </c>
      <c r="D32" s="54">
        <f>'[6]Sheet 1'!H133</f>
        <v>0</v>
      </c>
      <c r="E32" s="54">
        <f>IF(B17-SUM(E22:E31)&gt;D32,D32,B17-SUM(E22:E31))</f>
        <v>0</v>
      </c>
      <c r="F32" s="54">
        <f t="shared" si="0"/>
        <v>0</v>
      </c>
      <c r="G32" s="1"/>
      <c r="H32" s="30"/>
      <c r="I32" s="30"/>
      <c r="J32" s="30"/>
    </row>
    <row r="33" spans="1:10" x14ac:dyDescent="0.2">
      <c r="A33" s="59" t="s">
        <v>64</v>
      </c>
      <c r="B33" s="59"/>
      <c r="C33" s="53">
        <f>'[6]Sheet 1'!I133</f>
        <v>0</v>
      </c>
      <c r="D33" s="54">
        <f>'[6]Sheet 1'!K133</f>
        <v>0</v>
      </c>
      <c r="E33" s="54">
        <f>IF(B19-SUM(E23:E32)&gt;D33,D33,B19-SUM(E23:E32))</f>
        <v>0</v>
      </c>
      <c r="F33" s="54">
        <f t="shared" si="0"/>
        <v>0</v>
      </c>
      <c r="G33" s="1"/>
      <c r="H33" s="57" t="s">
        <v>46</v>
      </c>
      <c r="I33" s="30"/>
      <c r="J33" s="30"/>
    </row>
    <row r="34" spans="1:10" x14ac:dyDescent="0.2">
      <c r="A34" s="59" t="s">
        <v>58</v>
      </c>
      <c r="B34" s="59"/>
      <c r="C34" s="53">
        <f>'[6]Sheet 1'!C191</f>
        <v>152.48699999999999</v>
      </c>
      <c r="D34" s="54">
        <f>'[6]Sheet 1'!E191</f>
        <v>485516.08</v>
      </c>
      <c r="E34" s="54">
        <f>IF(B16-SUM(E21:E31)&gt;D34,D34,B16-SUM(E21:E31))</f>
        <v>0</v>
      </c>
      <c r="F34" s="54">
        <f t="shared" si="0"/>
        <v>485516.08</v>
      </c>
      <c r="G34" s="4"/>
      <c r="H34" s="57">
        <f>+'[6]Sheet 1'!E191</f>
        <v>485516.08</v>
      </c>
      <c r="I34" s="30"/>
      <c r="J34" s="30"/>
    </row>
    <row r="35" spans="1:10" x14ac:dyDescent="0.2">
      <c r="A35" s="58" t="s">
        <v>59</v>
      </c>
      <c r="B35" s="59"/>
      <c r="C35" s="53">
        <f>'[5]Sheet 1'!C17</f>
        <v>138.03899999999999</v>
      </c>
      <c r="D35" s="54">
        <f>'[5]Sheet 1'!E17</f>
        <v>439514.83</v>
      </c>
      <c r="E35" s="54">
        <f>IF(B16-SUM(E21:E34)&gt;D35,D35,B16-SUM(E21:E34))</f>
        <v>0</v>
      </c>
      <c r="F35" s="54">
        <f t="shared" si="0"/>
        <v>439514.83</v>
      </c>
      <c r="G35" s="5"/>
      <c r="H35" s="57">
        <f>+D34</f>
        <v>485516.08</v>
      </c>
      <c r="I35" s="30"/>
      <c r="J35" s="30"/>
    </row>
    <row r="36" spans="1:10" x14ac:dyDescent="0.2">
      <c r="A36" s="65" t="s">
        <v>28</v>
      </c>
      <c r="B36" s="56"/>
      <c r="C36" s="66">
        <f>SUM(C21:C35)</f>
        <v>3762.491</v>
      </c>
      <c r="D36" s="67">
        <f>SUM(D21:D35)</f>
        <v>11979767.66</v>
      </c>
      <c r="E36" s="67">
        <f>SUM(E21:E35)</f>
        <v>3280416</v>
      </c>
      <c r="F36" s="67">
        <f>SUM(F21:F35)</f>
        <v>8699351.6600000001</v>
      </c>
      <c r="G36" s="1"/>
      <c r="H36" s="57">
        <f>+H34-H35</f>
        <v>0</v>
      </c>
      <c r="I36" s="30"/>
      <c r="J36" s="30"/>
    </row>
    <row r="37" spans="1:10" x14ac:dyDescent="0.2">
      <c r="A37" s="68" t="s">
        <v>26</v>
      </c>
      <c r="B37" s="56"/>
      <c r="C37" s="69"/>
      <c r="D37" s="54"/>
      <c r="E37" s="54"/>
      <c r="F37" s="54"/>
      <c r="G37" s="1"/>
      <c r="H37" s="57" t="s">
        <v>47</v>
      </c>
      <c r="I37" s="30"/>
      <c r="J37" s="57" t="s">
        <v>52</v>
      </c>
    </row>
    <row r="38" spans="1:10" x14ac:dyDescent="0.2">
      <c r="A38" s="58" t="s">
        <v>56</v>
      </c>
      <c r="B38" s="59"/>
      <c r="C38" s="20"/>
      <c r="D38" s="70">
        <f>[1]Main!F18</f>
        <v>34722.980000000003</v>
      </c>
      <c r="E38" s="54">
        <f>IF($B16-SUM($E36)&gt;D38,D38,$B16-SUM($E36))</f>
        <v>0</v>
      </c>
      <c r="F38" s="54">
        <f t="shared" ref="F38:F56" si="1">D38-E38</f>
        <v>34722.980000000003</v>
      </c>
      <c r="G38" s="1"/>
      <c r="H38" s="57">
        <f>[1]Main!G18</f>
        <v>588028.89</v>
      </c>
      <c r="I38" s="30"/>
      <c r="J38" s="57">
        <f>+[1]Main!D479</f>
        <v>2006666.51</v>
      </c>
    </row>
    <row r="39" spans="1:10" x14ac:dyDescent="0.2">
      <c r="A39" s="59" t="s">
        <v>25</v>
      </c>
      <c r="B39" s="59"/>
      <c r="C39" s="20"/>
      <c r="D39" s="70">
        <f>[1]Main!C18</f>
        <v>553305.91</v>
      </c>
      <c r="E39" s="54">
        <f>IF($B16-SUM($E36:E38)&gt;D39,D39,B16-SUM($E36:E38))</f>
        <v>0</v>
      </c>
      <c r="F39" s="54">
        <f t="shared" si="1"/>
        <v>553305.91</v>
      </c>
      <c r="G39" s="1"/>
      <c r="H39" s="57">
        <f>SUM(D38:D40)</f>
        <v>588028.89</v>
      </c>
      <c r="I39" s="30"/>
      <c r="J39" s="57">
        <f>SUM(D38:D65)-E51</f>
        <v>2006666.51</v>
      </c>
    </row>
    <row r="40" spans="1:10" x14ac:dyDescent="0.2">
      <c r="A40" s="71" t="s">
        <v>27</v>
      </c>
      <c r="B40" s="59"/>
      <c r="C40" s="20"/>
      <c r="D40" s="70">
        <f>[1]Main!D18</f>
        <v>0</v>
      </c>
      <c r="E40" s="54">
        <f>IF($B16-SUM($E36:E39)&gt;D40,D40,$B16-SUM($E36:E39))</f>
        <v>0</v>
      </c>
      <c r="F40" s="54">
        <f>D40-E40</f>
        <v>0</v>
      </c>
      <c r="G40" s="1"/>
      <c r="H40" s="57">
        <f>+H38-H39</f>
        <v>0</v>
      </c>
      <c r="I40" s="30"/>
      <c r="J40" s="57">
        <f>+J38-J39</f>
        <v>0</v>
      </c>
    </row>
    <row r="41" spans="1:10" x14ac:dyDescent="0.2">
      <c r="A41" s="72" t="s">
        <v>72</v>
      </c>
      <c r="B41" s="59"/>
      <c r="C41" s="20"/>
      <c r="D41" s="70">
        <f>[1]Main!E18</f>
        <v>0</v>
      </c>
      <c r="E41" s="54">
        <f>IF($B17-SUM($E37:E40)&gt;D41,D41,$B17-SUM($E37:E40))</f>
        <v>0</v>
      </c>
      <c r="F41" s="54">
        <f>D41-E41</f>
        <v>0</v>
      </c>
      <c r="G41" s="1"/>
      <c r="H41" s="30"/>
      <c r="I41" s="30"/>
      <c r="J41" s="30"/>
    </row>
    <row r="42" spans="1:10" x14ac:dyDescent="0.2">
      <c r="A42" s="72" t="s">
        <v>73</v>
      </c>
      <c r="B42" s="59"/>
      <c r="C42" s="20"/>
      <c r="D42" s="54">
        <f>+[1]Main!$F134</f>
        <v>11051.58</v>
      </c>
      <c r="E42" s="54">
        <f>IF($B16-SUM($E36:E40)&gt;D42,D42,$B16-SUM($E36:E40))</f>
        <v>0</v>
      </c>
      <c r="F42" s="54">
        <f t="shared" si="1"/>
        <v>11051.58</v>
      </c>
      <c r="G42" s="1"/>
      <c r="H42" s="30"/>
      <c r="I42" s="30"/>
      <c r="J42" s="30"/>
    </row>
    <row r="43" spans="1:10" x14ac:dyDescent="0.2">
      <c r="A43" s="71" t="s">
        <v>74</v>
      </c>
      <c r="B43" s="59"/>
      <c r="C43" s="20"/>
      <c r="D43" s="54">
        <f>+[1]Main!$C76</f>
        <v>139551</v>
      </c>
      <c r="E43" s="54">
        <f>IF($B16-SUM($E36:E42)&gt;D43,D43,$B16-SUM($E36:E42))</f>
        <v>0</v>
      </c>
      <c r="F43" s="54">
        <f t="shared" si="1"/>
        <v>139551</v>
      </c>
      <c r="G43" s="1"/>
      <c r="H43" s="30"/>
      <c r="I43" s="30"/>
      <c r="J43" s="30"/>
    </row>
    <row r="44" spans="1:10" x14ac:dyDescent="0.2">
      <c r="A44" s="71" t="s">
        <v>75</v>
      </c>
      <c r="B44" s="59"/>
      <c r="C44" s="20"/>
      <c r="D44" s="54">
        <f>+[1]Main!$D76</f>
        <v>4000</v>
      </c>
      <c r="E44" s="54">
        <f>IF($B16-SUM($E36:E43)&gt;D44,D44,$B16-SUM($E36:E43))</f>
        <v>0</v>
      </c>
      <c r="F44" s="54">
        <f t="shared" si="1"/>
        <v>4000</v>
      </c>
      <c r="G44" s="1"/>
      <c r="H44" s="30"/>
      <c r="I44" s="30"/>
      <c r="J44" s="30"/>
    </row>
    <row r="45" spans="1:10" x14ac:dyDescent="0.2">
      <c r="A45" s="71" t="s">
        <v>76</v>
      </c>
      <c r="B45" s="59"/>
      <c r="C45" s="20"/>
      <c r="D45" s="54">
        <f>+[1]Main!$E76</f>
        <v>28008</v>
      </c>
      <c r="E45" s="54">
        <f>IF($B16-SUM($E36:E44)&gt;D45,D45,$B16-SUM($E36:E44))</f>
        <v>0</v>
      </c>
      <c r="F45" s="54">
        <f t="shared" si="1"/>
        <v>28008</v>
      </c>
      <c r="G45" s="1"/>
      <c r="H45" s="30"/>
      <c r="I45" s="30"/>
      <c r="J45" s="30"/>
    </row>
    <row r="46" spans="1:10" x14ac:dyDescent="0.2">
      <c r="A46" s="71" t="s">
        <v>77</v>
      </c>
      <c r="B46" s="59"/>
      <c r="C46" s="20"/>
      <c r="D46" s="54">
        <f>[1]Main!F76</f>
        <v>28206</v>
      </c>
      <c r="E46" s="54">
        <f>IF($B16-SUM($E36:E45)&gt;D46,D46,$B16-SUM($E36:E45))</f>
        <v>0</v>
      </c>
      <c r="F46" s="54">
        <f t="shared" si="1"/>
        <v>28206</v>
      </c>
      <c r="G46" s="1"/>
      <c r="H46" s="57" t="s">
        <v>48</v>
      </c>
      <c r="I46" s="30"/>
      <c r="J46" s="30"/>
    </row>
    <row r="47" spans="1:10" x14ac:dyDescent="0.2">
      <c r="A47" s="71" t="s">
        <v>79</v>
      </c>
      <c r="B47" s="59"/>
      <c r="C47" s="20"/>
      <c r="D47" s="54">
        <f>[1]Main!G76</f>
        <v>0</v>
      </c>
      <c r="E47" s="54">
        <f>IF($B16-SUM($E36:E46)&gt;D47,D47,$B16-SUM($E36:E46))</f>
        <v>0</v>
      </c>
      <c r="F47" s="54">
        <f t="shared" si="1"/>
        <v>0</v>
      </c>
      <c r="G47" s="1"/>
      <c r="H47" s="57"/>
      <c r="I47" s="30"/>
      <c r="J47" s="30"/>
    </row>
    <row r="48" spans="1:10" x14ac:dyDescent="0.2">
      <c r="A48" s="71" t="s">
        <v>78</v>
      </c>
      <c r="B48" s="59"/>
      <c r="C48" s="20"/>
      <c r="D48" s="54">
        <f>[1]Main!G134</f>
        <v>24075.37</v>
      </c>
      <c r="E48" s="54">
        <f>IF($B16-SUM($E36:E47)&gt;D48,D48,$B16-SUM($E36:E47))</f>
        <v>0</v>
      </c>
      <c r="F48" s="54">
        <f t="shared" si="1"/>
        <v>24075.37</v>
      </c>
      <c r="G48" s="1"/>
      <c r="H48" s="73">
        <f>+[1]Main!D192</f>
        <v>234891.95</v>
      </c>
      <c r="I48" s="30"/>
      <c r="J48" s="30"/>
    </row>
    <row r="49" spans="1:10" x14ac:dyDescent="0.2">
      <c r="A49" s="71" t="s">
        <v>80</v>
      </c>
      <c r="B49" s="59"/>
      <c r="C49" s="20"/>
      <c r="D49" s="54">
        <f>[1]Main!C192</f>
        <v>0</v>
      </c>
      <c r="E49" s="54"/>
      <c r="F49" s="54">
        <f t="shared" si="1"/>
        <v>0</v>
      </c>
      <c r="G49" s="1"/>
      <c r="H49" s="57">
        <f>+SUM(D42:D49)</f>
        <v>234891.95</v>
      </c>
      <c r="I49" s="30"/>
      <c r="J49" s="30"/>
    </row>
    <row r="50" spans="1:10" x14ac:dyDescent="0.2">
      <c r="A50" s="71" t="s">
        <v>81</v>
      </c>
      <c r="B50" s="59"/>
      <c r="C50" s="20"/>
      <c r="D50" s="54">
        <f>[1]Main!C250</f>
        <v>262754</v>
      </c>
      <c r="E50" s="54">
        <v>0</v>
      </c>
      <c r="F50" s="54">
        <f t="shared" si="1"/>
        <v>262754</v>
      </c>
      <c r="G50" s="1"/>
      <c r="H50" s="57">
        <f>+H48-H49</f>
        <v>0</v>
      </c>
      <c r="I50" s="30"/>
      <c r="J50" s="30"/>
    </row>
    <row r="51" spans="1:10" x14ac:dyDescent="0.2">
      <c r="A51" s="71" t="s">
        <v>82</v>
      </c>
      <c r="B51" s="59"/>
      <c r="C51" s="20"/>
      <c r="D51" s="54">
        <f>+[7]Main!I17+[7]Main!J17</f>
        <v>309376.05</v>
      </c>
      <c r="E51" s="74">
        <f>[7]Main!J17</f>
        <v>249611.41</v>
      </c>
      <c r="F51" s="54">
        <f t="shared" si="1"/>
        <v>59764.639999999999</v>
      </c>
      <c r="G51" s="1"/>
      <c r="H51" s="30"/>
      <c r="I51" s="30"/>
      <c r="J51" s="30"/>
    </row>
    <row r="52" spans="1:10" x14ac:dyDescent="0.2">
      <c r="A52" s="71" t="s">
        <v>83</v>
      </c>
      <c r="B52" s="59"/>
      <c r="C52" s="20"/>
      <c r="D52" s="54">
        <f>[1]Main!F250</f>
        <v>55421</v>
      </c>
      <c r="E52" s="54">
        <v>0</v>
      </c>
      <c r="F52" s="54">
        <f t="shared" si="1"/>
        <v>55421</v>
      </c>
      <c r="G52" s="1"/>
      <c r="H52" s="30"/>
      <c r="I52" s="30"/>
      <c r="J52" s="30"/>
    </row>
    <row r="53" spans="1:10" x14ac:dyDescent="0.2">
      <c r="A53" s="71" t="s">
        <v>84</v>
      </c>
      <c r="B53" s="59"/>
      <c r="C53" s="7"/>
      <c r="D53" s="54">
        <f>[1]Main!E250</f>
        <v>6622.55</v>
      </c>
      <c r="E53" s="54">
        <v>0</v>
      </c>
      <c r="F53" s="54">
        <f t="shared" si="1"/>
        <v>6622.55</v>
      </c>
      <c r="G53" s="1"/>
      <c r="H53" s="57" t="s">
        <v>49</v>
      </c>
      <c r="I53" s="30"/>
      <c r="J53" s="30"/>
    </row>
    <row r="54" spans="1:10" x14ac:dyDescent="0.2">
      <c r="A54" s="71" t="s">
        <v>85</v>
      </c>
      <c r="B54" s="59"/>
      <c r="C54" s="7"/>
      <c r="D54" s="54">
        <f>[1]Main!G250</f>
        <v>0</v>
      </c>
      <c r="E54" s="54">
        <v>0</v>
      </c>
      <c r="F54" s="54">
        <f t="shared" si="1"/>
        <v>0</v>
      </c>
      <c r="G54" s="1"/>
      <c r="H54" s="57">
        <f>+[1]Main!C479</f>
        <v>1144367.21</v>
      </c>
      <c r="I54" s="57"/>
      <c r="J54" s="57"/>
    </row>
    <row r="55" spans="1:10" x14ac:dyDescent="0.2">
      <c r="A55" s="71" t="s">
        <v>86</v>
      </c>
      <c r="B55" s="59"/>
      <c r="C55" s="20"/>
      <c r="D55" s="54">
        <f>[1]Main!C308</f>
        <v>0</v>
      </c>
      <c r="E55" s="54">
        <v>0</v>
      </c>
      <c r="F55" s="54">
        <f t="shared" si="1"/>
        <v>0</v>
      </c>
      <c r="G55" s="1"/>
      <c r="H55" s="57">
        <f>+SUM(D50:D60)-E51</f>
        <v>1144367.21</v>
      </c>
      <c r="I55" s="57"/>
      <c r="J55" s="57">
        <f>+H55-H54</f>
        <v>0</v>
      </c>
    </row>
    <row r="56" spans="1:10" x14ac:dyDescent="0.2">
      <c r="A56" s="71" t="s">
        <v>87</v>
      </c>
      <c r="C56" s="8"/>
      <c r="D56" s="76">
        <f>[1]Main!D308</f>
        <v>674375.04</v>
      </c>
      <c r="E56" s="77">
        <v>0</v>
      </c>
      <c r="F56" s="77">
        <f t="shared" si="1"/>
        <v>674375.04</v>
      </c>
      <c r="G56" s="5"/>
      <c r="H56" s="57">
        <f>+H54-H55</f>
        <v>0</v>
      </c>
      <c r="I56" s="57"/>
      <c r="J56" s="57"/>
    </row>
    <row r="57" spans="1:10" x14ac:dyDescent="0.2">
      <c r="A57" s="71" t="s">
        <v>88</v>
      </c>
      <c r="B57" s="59"/>
      <c r="C57" s="20"/>
      <c r="D57" s="54">
        <f>+[1]Main!$E308</f>
        <v>4375.34</v>
      </c>
      <c r="E57" s="54">
        <v>0</v>
      </c>
      <c r="F57" s="54">
        <f>D57-E57</f>
        <v>4375.34</v>
      </c>
      <c r="G57" s="4"/>
      <c r="H57" s="30"/>
      <c r="I57" s="30"/>
      <c r="J57" s="30"/>
    </row>
    <row r="58" spans="1:10" x14ac:dyDescent="0.2">
      <c r="A58" s="71" t="s">
        <v>89</v>
      </c>
      <c r="B58" s="59"/>
      <c r="C58" s="20"/>
      <c r="D58" s="54">
        <f>[1]Main!F308</f>
        <v>26492.720000000001</v>
      </c>
      <c r="E58" s="54">
        <v>0</v>
      </c>
      <c r="F58" s="54">
        <f>D58-E58</f>
        <v>26492.720000000001</v>
      </c>
      <c r="G58" s="4"/>
      <c r="H58" s="30"/>
      <c r="I58" s="30"/>
      <c r="J58" s="30"/>
    </row>
    <row r="59" spans="1:10" x14ac:dyDescent="0.2">
      <c r="A59" s="71" t="s">
        <v>90</v>
      </c>
      <c r="B59" s="59"/>
      <c r="C59" s="20"/>
      <c r="D59" s="54">
        <f>[1]Main!G308</f>
        <v>0</v>
      </c>
      <c r="E59" s="54">
        <v>0</v>
      </c>
      <c r="F59" s="54">
        <f>D59-E59</f>
        <v>0</v>
      </c>
      <c r="G59" s="1"/>
      <c r="H59" s="57" t="s">
        <v>50</v>
      </c>
      <c r="I59" s="30"/>
      <c r="J59" s="30"/>
    </row>
    <row r="60" spans="1:10" x14ac:dyDescent="0.2">
      <c r="A60" s="71" t="s">
        <v>93</v>
      </c>
      <c r="B60" s="59"/>
      <c r="C60" s="20"/>
      <c r="D60" s="54">
        <f>[1]Main!F365</f>
        <v>54561.919999999998</v>
      </c>
      <c r="E60" s="54">
        <v>0</v>
      </c>
      <c r="F60" s="54">
        <f>D60-E60</f>
        <v>54561.919999999998</v>
      </c>
      <c r="G60" s="1"/>
      <c r="H60" s="57"/>
      <c r="I60" s="30"/>
      <c r="J60" s="30"/>
    </row>
    <row r="61" spans="1:10" x14ac:dyDescent="0.2">
      <c r="A61" s="55" t="s">
        <v>30</v>
      </c>
      <c r="B61" s="78"/>
      <c r="C61" s="79"/>
      <c r="D61" s="64"/>
      <c r="E61" s="64"/>
      <c r="F61" s="64"/>
      <c r="G61" s="1"/>
      <c r="H61" s="57"/>
      <c r="I61" s="30"/>
      <c r="J61" s="30"/>
    </row>
    <row r="62" spans="1:10" x14ac:dyDescent="0.2">
      <c r="A62" s="71" t="s">
        <v>60</v>
      </c>
      <c r="B62" s="59"/>
      <c r="C62" s="20"/>
      <c r="D62" s="54">
        <f>[1]Main!C422</f>
        <v>23892.45</v>
      </c>
      <c r="E62" s="54">
        <v>0</v>
      </c>
      <c r="F62" s="54">
        <f>D62-E62</f>
        <v>23892.45</v>
      </c>
      <c r="G62" s="1"/>
      <c r="H62" s="57">
        <f>+[1]Main!G422</f>
        <v>39378.46</v>
      </c>
      <c r="I62" s="30"/>
      <c r="J62" s="30"/>
    </row>
    <row r="63" spans="1:10" x14ac:dyDescent="0.2">
      <c r="A63" s="71" t="s">
        <v>63</v>
      </c>
      <c r="B63" s="59"/>
      <c r="C63" s="20"/>
      <c r="D63" s="54">
        <f>[1]Main!D422</f>
        <v>0</v>
      </c>
      <c r="E63" s="54">
        <v>0</v>
      </c>
      <c r="F63" s="54">
        <f>D63-E63</f>
        <v>0</v>
      </c>
      <c r="G63" s="4"/>
      <c r="H63" s="57">
        <f>SUM(D62:D65)</f>
        <v>39378.46</v>
      </c>
      <c r="I63" s="30"/>
      <c r="J63" s="30"/>
    </row>
    <row r="64" spans="1:10" x14ac:dyDescent="0.2">
      <c r="A64" s="71" t="s">
        <v>91</v>
      </c>
      <c r="B64" s="59"/>
      <c r="C64" s="20"/>
      <c r="D64" s="54">
        <f>[1]Main!E422</f>
        <v>0</v>
      </c>
      <c r="E64" s="54">
        <v>0</v>
      </c>
      <c r="F64" s="54">
        <f>D64-E64</f>
        <v>0</v>
      </c>
      <c r="G64" s="4"/>
      <c r="H64" s="57">
        <f>+H62-H63</f>
        <v>0</v>
      </c>
      <c r="I64" s="30"/>
      <c r="J64" s="30"/>
    </row>
    <row r="65" spans="1:10" x14ac:dyDescent="0.2">
      <c r="A65" s="71" t="s">
        <v>92</v>
      </c>
      <c r="B65" s="59"/>
      <c r="C65" s="20"/>
      <c r="D65" s="54">
        <f>[1]Main!F422</f>
        <v>15486.01</v>
      </c>
      <c r="E65" s="54">
        <v>0</v>
      </c>
      <c r="F65" s="54">
        <f>D65-E65</f>
        <v>15486.01</v>
      </c>
      <c r="G65" s="1"/>
      <c r="H65" s="30"/>
      <c r="I65" s="30"/>
      <c r="J65" s="30"/>
    </row>
    <row r="66" spans="1:10" x14ac:dyDescent="0.2">
      <c r="A66" s="55" t="s">
        <v>31</v>
      </c>
      <c r="B66" s="78"/>
      <c r="C66" s="79"/>
      <c r="D66" s="64"/>
      <c r="E66" s="64"/>
      <c r="F66" s="64"/>
      <c r="G66" s="1"/>
      <c r="H66" s="30"/>
      <c r="I66" s="30"/>
      <c r="J66" s="30"/>
    </row>
    <row r="67" spans="1:10" x14ac:dyDescent="0.2">
      <c r="A67" s="58" t="s">
        <v>69</v>
      </c>
      <c r="B67" s="59"/>
      <c r="C67" s="20"/>
      <c r="D67" s="54">
        <f>+[1]Main!$G535</f>
        <v>3133531.75</v>
      </c>
      <c r="E67" s="54">
        <f>+[1]Main!$D535</f>
        <v>3133531.75</v>
      </c>
      <c r="F67" s="54">
        <f>+D67-E67</f>
        <v>0</v>
      </c>
      <c r="G67" s="1"/>
      <c r="H67" s="30"/>
      <c r="I67" s="30"/>
      <c r="J67" s="30"/>
    </row>
    <row r="68" spans="1:10" x14ac:dyDescent="0.2">
      <c r="A68" s="59" t="s">
        <v>68</v>
      </c>
      <c r="B68" s="59"/>
      <c r="C68" s="20"/>
      <c r="D68" s="54">
        <f>+[1]Main!$G590</f>
        <v>783382.94</v>
      </c>
      <c r="E68" s="54">
        <f>+[1]Main!$D590</f>
        <v>783382.94</v>
      </c>
      <c r="F68" s="54">
        <f>+D68-E68</f>
        <v>0</v>
      </c>
      <c r="G68" s="1"/>
      <c r="H68" s="30"/>
      <c r="I68" s="30"/>
      <c r="J68" s="30"/>
    </row>
    <row r="69" spans="1:10" ht="13.5" thickBot="1" x14ac:dyDescent="0.25">
      <c r="A69" s="80"/>
      <c r="B69" s="81"/>
      <c r="C69" s="82" t="s">
        <v>29</v>
      </c>
      <c r="D69" s="83">
        <f>SUM(D36:D68)</f>
        <v>18152960.27</v>
      </c>
      <c r="E69" s="83">
        <f>SUM(E36:E68)</f>
        <v>7446942.0999999996</v>
      </c>
      <c r="F69" s="83">
        <f>SUM(F36:F68)</f>
        <v>10706018.17</v>
      </c>
      <c r="G69" s="1"/>
      <c r="H69" s="30"/>
      <c r="I69" s="30"/>
      <c r="J69" s="30"/>
    </row>
    <row r="70" spans="1:10" ht="13.5" thickTop="1" x14ac:dyDescent="0.2">
      <c r="A70" s="84"/>
      <c r="B70" s="59"/>
      <c r="C70" s="85"/>
      <c r="D70" s="86"/>
      <c r="E70" s="86"/>
      <c r="F70" s="87"/>
      <c r="G70" s="1"/>
      <c r="H70" s="30"/>
      <c r="I70" s="30"/>
      <c r="J70" s="30"/>
    </row>
    <row r="71" spans="1:10" x14ac:dyDescent="0.2">
      <c r="A71" s="88" t="s">
        <v>40</v>
      </c>
      <c r="B71" s="78"/>
      <c r="C71" s="89"/>
      <c r="D71" s="90"/>
      <c r="E71" s="91"/>
      <c r="F71" s="92" t="s">
        <v>36</v>
      </c>
      <c r="G71" s="6"/>
      <c r="H71" s="57" t="s">
        <v>51</v>
      </c>
      <c r="I71" s="30"/>
      <c r="J71" s="57" t="s">
        <v>7</v>
      </c>
    </row>
    <row r="72" spans="1:10" x14ac:dyDescent="0.2">
      <c r="A72" s="93" t="s">
        <v>33</v>
      </c>
      <c r="B72" s="94"/>
      <c r="C72" s="95"/>
      <c r="D72" s="96"/>
      <c r="E72" s="96"/>
      <c r="F72" s="91"/>
      <c r="G72" s="6"/>
      <c r="H72" s="30"/>
      <c r="I72" s="30"/>
      <c r="J72" s="30"/>
    </row>
    <row r="73" spans="1:10" x14ac:dyDescent="0.2">
      <c r="A73" s="59" t="s">
        <v>34</v>
      </c>
      <c r="B73" s="59"/>
      <c r="C73" s="22"/>
      <c r="D73" s="27"/>
      <c r="E73" s="27"/>
      <c r="F73" s="97">
        <f>+[8]Main!$C18</f>
        <v>0</v>
      </c>
      <c r="G73" s="5"/>
      <c r="H73" s="57">
        <f>+[1]Main!G646</f>
        <v>3916914.69</v>
      </c>
      <c r="I73" s="30"/>
      <c r="J73" s="57">
        <f>+[1]Main!E646+[1]Main!F646</f>
        <v>0</v>
      </c>
    </row>
    <row r="74" spans="1:10" x14ac:dyDescent="0.2">
      <c r="A74" s="59" t="s">
        <v>66</v>
      </c>
      <c r="B74" s="59"/>
      <c r="C74" s="22"/>
      <c r="D74" s="27"/>
      <c r="E74" s="27"/>
      <c r="F74" s="97">
        <f>+[8]Main!$D18</f>
        <v>0</v>
      </c>
      <c r="G74" s="5"/>
      <c r="H74" s="57">
        <f>+D67+D68</f>
        <v>3916914.69</v>
      </c>
      <c r="I74" s="30"/>
      <c r="J74" s="57">
        <f>+F67+F68</f>
        <v>0</v>
      </c>
    </row>
    <row r="75" spans="1:10" x14ac:dyDescent="0.2">
      <c r="A75" s="32" t="s">
        <v>65</v>
      </c>
      <c r="B75" s="32"/>
      <c r="C75" s="22"/>
      <c r="D75" s="28"/>
      <c r="E75" s="28"/>
      <c r="F75" s="97">
        <f>+[8]Main!$E18</f>
        <v>0</v>
      </c>
      <c r="G75" s="1"/>
      <c r="H75" s="57">
        <f>+H73-H74</f>
        <v>0</v>
      </c>
      <c r="I75" s="30"/>
      <c r="J75" s="57">
        <f>+J73-J74</f>
        <v>0</v>
      </c>
    </row>
    <row r="76" spans="1:10" x14ac:dyDescent="0.2">
      <c r="A76" s="32" t="s">
        <v>67</v>
      </c>
      <c r="B76" s="32"/>
      <c r="C76" s="22"/>
      <c r="D76" s="28"/>
      <c r="E76" s="28"/>
      <c r="F76" s="97">
        <f>+[8]Main!$F18</f>
        <v>0</v>
      </c>
      <c r="G76" s="1"/>
      <c r="H76" s="30"/>
      <c r="I76" s="30"/>
      <c r="J76" s="30"/>
    </row>
    <row r="77" spans="1:10" x14ac:dyDescent="0.2">
      <c r="A77" s="88" t="s">
        <v>35</v>
      </c>
      <c r="B77" s="78"/>
      <c r="C77" s="89"/>
      <c r="D77" s="90"/>
      <c r="E77" s="91"/>
      <c r="F77" s="54">
        <f>+[8]Main!$C76</f>
        <v>15426.59</v>
      </c>
      <c r="G77" s="1"/>
      <c r="H77" s="30"/>
      <c r="I77" s="30"/>
      <c r="J77" s="30"/>
    </row>
    <row r="78" spans="1:10" ht="13.5" thickBot="1" x14ac:dyDescent="0.25">
      <c r="A78" s="98"/>
      <c r="B78" s="99"/>
      <c r="C78" s="100" t="s">
        <v>29</v>
      </c>
      <c r="D78" s="101"/>
      <c r="E78" s="102"/>
      <c r="F78" s="103">
        <f>SUM(F73:F77)</f>
        <v>15426.59</v>
      </c>
      <c r="G78" s="1"/>
      <c r="H78" s="30"/>
      <c r="I78" s="30"/>
      <c r="J78" s="30"/>
    </row>
    <row r="79" spans="1:10" ht="13.5" thickBot="1" x14ac:dyDescent="0.25">
      <c r="A79" s="104"/>
      <c r="B79" s="105"/>
      <c r="C79" s="106" t="s">
        <v>53</v>
      </c>
      <c r="D79" s="107"/>
      <c r="E79" s="108"/>
      <c r="F79" s="109">
        <f>+F78+F69</f>
        <v>10721444.76</v>
      </c>
      <c r="G79" s="1"/>
      <c r="H79" s="57" t="s">
        <v>54</v>
      </c>
      <c r="I79" s="30"/>
      <c r="J79" s="30"/>
    </row>
    <row r="80" spans="1:10" x14ac:dyDescent="0.2">
      <c r="A80" s="11"/>
      <c r="B80" s="12"/>
      <c r="C80" s="9"/>
      <c r="D80" s="29"/>
      <c r="E80" s="29"/>
      <c r="F80" s="110"/>
      <c r="G80" s="1"/>
      <c r="H80" s="57">
        <f>+[8]Main!$G18</f>
        <v>0</v>
      </c>
      <c r="I80" s="30"/>
      <c r="J80" s="30"/>
    </row>
    <row r="81" spans="1:10" x14ac:dyDescent="0.2">
      <c r="A81" s="11"/>
      <c r="B81" s="12"/>
      <c r="C81" s="9"/>
      <c r="D81" s="29"/>
      <c r="E81" s="29"/>
      <c r="F81" s="110"/>
      <c r="G81" s="1"/>
      <c r="H81" s="57">
        <f>SUM(F73:F76)</f>
        <v>0</v>
      </c>
      <c r="I81" s="30"/>
      <c r="J81" s="30"/>
    </row>
    <row r="82" spans="1:10" x14ac:dyDescent="0.2">
      <c r="A82" s="1"/>
      <c r="B82" s="1"/>
      <c r="C82" s="7"/>
      <c r="D82" s="26"/>
      <c r="E82" s="26"/>
      <c r="F82" s="86">
        <f>+F78+F69</f>
        <v>10721444.76</v>
      </c>
      <c r="G82" s="1"/>
      <c r="H82" s="57">
        <f>+H80-H81</f>
        <v>0</v>
      </c>
      <c r="I82" s="30"/>
      <c r="J82" s="30"/>
    </row>
    <row r="83" spans="1:10" x14ac:dyDescent="0.2">
      <c r="A83" s="1"/>
      <c r="B83" s="1"/>
      <c r="C83" s="7"/>
      <c r="D83" s="26"/>
      <c r="E83" s="26"/>
      <c r="F83" s="86">
        <f>+[1]Main!$F762</f>
        <v>10721444.76</v>
      </c>
      <c r="G83" s="1"/>
      <c r="H83" s="30"/>
      <c r="I83" s="30"/>
      <c r="J83" s="30"/>
    </row>
    <row r="84" spans="1:10" x14ac:dyDescent="0.2">
      <c r="A84" s="1"/>
      <c r="B84" s="1"/>
      <c r="C84" s="7"/>
      <c r="D84" s="26"/>
      <c r="E84" s="86">
        <f>+E69+[1]Main!$E762</f>
        <v>0</v>
      </c>
      <c r="F84" s="86">
        <f>+F83-F82</f>
        <v>0</v>
      </c>
      <c r="G84" s="1"/>
      <c r="H84" s="30"/>
      <c r="I84" s="30"/>
      <c r="J84" s="30"/>
    </row>
    <row r="85" spans="1:10" x14ac:dyDescent="0.2">
      <c r="A85" s="1"/>
      <c r="B85" s="1"/>
      <c r="C85" s="7"/>
      <c r="D85" s="26"/>
      <c r="E85" s="26"/>
      <c r="F85" s="26"/>
      <c r="G85" s="1"/>
      <c r="H85" s="30"/>
      <c r="I85" s="30"/>
      <c r="J85" s="30"/>
    </row>
    <row r="86" spans="1:10" x14ac:dyDescent="0.2">
      <c r="A86" s="59"/>
      <c r="B86" s="59"/>
      <c r="C86" s="85"/>
      <c r="D86" s="86"/>
      <c r="E86" s="86"/>
      <c r="F86" s="86"/>
      <c r="G86" s="59"/>
      <c r="H86" s="57"/>
      <c r="I86" s="57"/>
      <c r="J86" s="57"/>
    </row>
    <row r="87" spans="1:10" x14ac:dyDescent="0.2">
      <c r="A87" s="59"/>
      <c r="B87" s="59"/>
      <c r="C87" s="85"/>
      <c r="D87" s="86"/>
      <c r="E87" s="86"/>
      <c r="F87" s="86"/>
      <c r="G87" s="59"/>
      <c r="H87" s="111" t="s">
        <v>55</v>
      </c>
      <c r="I87" s="57"/>
      <c r="J87" s="57"/>
    </row>
    <row r="88" spans="1:10" x14ac:dyDescent="0.2">
      <c r="G88" s="59"/>
      <c r="H88" s="113"/>
      <c r="I88" s="112"/>
      <c r="J88" s="112"/>
    </row>
    <row r="89" spans="1:10" x14ac:dyDescent="0.2">
      <c r="G89" s="59"/>
      <c r="H89" s="112"/>
      <c r="I89" s="112"/>
      <c r="J89" s="112"/>
    </row>
    <row r="90" spans="1:10" x14ac:dyDescent="0.2">
      <c r="G90" s="59"/>
      <c r="H90" s="112"/>
      <c r="I90" s="112"/>
      <c r="J90" s="112"/>
    </row>
    <row r="91" spans="1:10" x14ac:dyDescent="0.2">
      <c r="G91" s="59"/>
      <c r="H91" s="112"/>
      <c r="I91" s="112"/>
      <c r="J91" s="112"/>
    </row>
    <row r="92" spans="1:10" x14ac:dyDescent="0.2">
      <c r="G92" s="59"/>
      <c r="H92" s="112"/>
      <c r="I92" s="112"/>
      <c r="J92" s="112"/>
    </row>
    <row r="93" spans="1:10" x14ac:dyDescent="0.2">
      <c r="G93" s="59"/>
      <c r="H93" s="71"/>
      <c r="I93" s="112"/>
      <c r="J93" s="112"/>
    </row>
  </sheetData>
  <mergeCells count="1">
    <mergeCell ref="D12:E12"/>
  </mergeCells>
  <phoneticPr fontId="0" type="noConversion"/>
  <printOptions horizontalCentered="1" verticalCentered="1"/>
  <pageMargins left="0.5" right="0.25" top="0.5" bottom="0.5" header="0.5" footer="0.5"/>
  <pageSetup scale="89" orientation="portrait" horizontalDpi="1200" r:id="rId1"/>
  <headerFooter alignWithMargins="0">
    <oddHeader>&amp;R&amp;8Current as of: &amp;D</oddHeader>
    <oddFooter>&amp;L&amp;8USOE, Finance and Statistics&amp;R&amp;8&amp;F</oddFooter>
  </headerFooter>
  <picture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J94"/>
  <sheetViews>
    <sheetView topLeftCell="A34" workbookViewId="0">
      <selection activeCell="B17" sqref="B17"/>
    </sheetView>
  </sheetViews>
  <sheetFormatPr defaultColWidth="18.28515625" defaultRowHeight="12.75" x14ac:dyDescent="0.2"/>
  <cols>
    <col min="1" max="1" width="27" style="75" customWidth="1"/>
    <col min="2" max="2" width="16.7109375" style="75" customWidth="1"/>
    <col min="3" max="3" width="15.85546875" style="75" customWidth="1"/>
    <col min="4" max="4" width="16.28515625" style="75" customWidth="1"/>
    <col min="5" max="5" width="15.5703125" style="75" customWidth="1"/>
    <col min="6" max="6" width="17.42578125" style="75" customWidth="1"/>
    <col min="7" max="7" width="5.7109375" style="75" customWidth="1"/>
    <col min="8" max="8" width="21.5703125" style="75" customWidth="1"/>
    <col min="9" max="9" width="5" style="75" customWidth="1"/>
    <col min="10" max="10" width="20.85546875" style="75" customWidth="1"/>
    <col min="11" max="16384" width="18.28515625" style="75"/>
  </cols>
  <sheetData>
    <row r="1" spans="1:10" x14ac:dyDescent="0.2">
      <c r="A1" s="8"/>
      <c r="B1" s="8"/>
      <c r="C1" s="8"/>
      <c r="D1" s="8"/>
      <c r="E1" s="8"/>
      <c r="F1" s="8"/>
      <c r="G1" s="8"/>
      <c r="H1" s="8"/>
      <c r="I1" s="8"/>
      <c r="J1" s="8"/>
    </row>
    <row r="2" spans="1:10" x14ac:dyDescent="0.2">
      <c r="A2" s="8"/>
      <c r="B2" s="8"/>
      <c r="C2" s="8"/>
      <c r="D2" s="8"/>
      <c r="E2" s="8"/>
      <c r="F2" s="8"/>
      <c r="G2" s="8"/>
      <c r="H2" s="8"/>
      <c r="I2" s="8"/>
      <c r="J2" s="8"/>
    </row>
    <row r="3" spans="1:10" x14ac:dyDescent="0.2">
      <c r="A3" s="8"/>
      <c r="B3" s="8"/>
      <c r="C3" s="8"/>
      <c r="D3" s="8"/>
      <c r="E3" s="8"/>
      <c r="F3" s="8"/>
      <c r="G3" s="8"/>
      <c r="H3" s="8"/>
      <c r="I3" s="8"/>
      <c r="J3" s="8"/>
    </row>
    <row r="4" spans="1:10" x14ac:dyDescent="0.2">
      <c r="A4" s="8"/>
      <c r="B4" s="8"/>
      <c r="C4" s="8"/>
      <c r="D4" s="8"/>
      <c r="E4" s="8"/>
      <c r="F4" s="8"/>
      <c r="G4" s="8"/>
      <c r="H4" s="8"/>
      <c r="I4" s="8"/>
      <c r="J4" s="8"/>
    </row>
    <row r="5" spans="1:10" x14ac:dyDescent="0.2">
      <c r="A5" s="8"/>
      <c r="B5" s="8"/>
      <c r="C5" s="8"/>
      <c r="D5" s="8"/>
      <c r="E5" s="8"/>
      <c r="F5" s="8"/>
      <c r="G5" s="8"/>
      <c r="H5" s="8"/>
      <c r="I5" s="8"/>
      <c r="J5" s="8"/>
    </row>
    <row r="6" spans="1:10" x14ac:dyDescent="0.2">
      <c r="A6" s="8"/>
      <c r="B6" s="8"/>
      <c r="C6" s="8"/>
      <c r="D6" s="8"/>
      <c r="E6" s="8"/>
      <c r="F6" s="8"/>
      <c r="G6" s="8"/>
      <c r="H6" s="8"/>
      <c r="I6" s="8"/>
      <c r="J6" s="8"/>
    </row>
    <row r="7" spans="1:10" x14ac:dyDescent="0.2">
      <c r="A7" s="8"/>
      <c r="B7" s="8"/>
      <c r="C7" s="8"/>
      <c r="D7" s="8"/>
      <c r="E7" s="8"/>
      <c r="F7" s="8"/>
      <c r="G7" s="8"/>
      <c r="H7" s="8"/>
      <c r="I7" s="8"/>
      <c r="J7" s="8"/>
    </row>
    <row r="8" spans="1:10" x14ac:dyDescent="0.2">
      <c r="A8" s="8"/>
      <c r="B8" s="8"/>
      <c r="C8" s="8"/>
      <c r="D8" s="8"/>
      <c r="E8" s="8"/>
      <c r="F8" s="8"/>
      <c r="G8" s="8"/>
      <c r="H8" s="8"/>
      <c r="I8" s="8"/>
      <c r="J8" s="8"/>
    </row>
    <row r="9" spans="1:10" x14ac:dyDescent="0.2">
      <c r="A9" s="8"/>
      <c r="B9" s="8"/>
      <c r="C9" s="8"/>
      <c r="D9" s="8"/>
      <c r="E9" s="8"/>
      <c r="F9" s="8"/>
      <c r="G9" s="8"/>
      <c r="H9" s="8"/>
      <c r="I9" s="8"/>
      <c r="J9" s="8"/>
    </row>
    <row r="10" spans="1:10" x14ac:dyDescent="0.2">
      <c r="A10" s="32" t="s">
        <v>0</v>
      </c>
      <c r="B10" s="33">
        <v>3184</v>
      </c>
      <c r="C10" s="34" t="s">
        <v>1</v>
      </c>
      <c r="D10" s="35"/>
      <c r="E10" s="35"/>
      <c r="F10" s="35"/>
      <c r="G10" s="1"/>
      <c r="H10" s="30"/>
      <c r="I10" s="30"/>
      <c r="J10" s="30"/>
    </row>
    <row r="11" spans="1:10" x14ac:dyDescent="0.2">
      <c r="A11" s="32" t="s">
        <v>61</v>
      </c>
      <c r="B11" s="36">
        <f>+[1]Main!$C536</f>
        <v>8.9899999999999995E-4</v>
      </c>
      <c r="C11" s="34" t="s">
        <v>41</v>
      </c>
      <c r="D11" s="35"/>
      <c r="E11" s="35"/>
      <c r="F11" s="35"/>
      <c r="G11" s="1"/>
      <c r="H11" s="30"/>
      <c r="I11" s="30"/>
      <c r="J11" s="30"/>
    </row>
    <row r="12" spans="1:10" x14ac:dyDescent="0.2">
      <c r="A12" s="32" t="s">
        <v>62</v>
      </c>
      <c r="B12" s="36">
        <f>+[1]Main!$C591</f>
        <v>2.5000000000000001E-3</v>
      </c>
      <c r="C12" s="34" t="s">
        <v>95</v>
      </c>
      <c r="D12" s="35"/>
      <c r="E12" s="37"/>
      <c r="F12" s="35"/>
      <c r="G12" s="1"/>
      <c r="H12" s="30"/>
      <c r="I12" s="30"/>
      <c r="J12" s="30"/>
    </row>
    <row r="13" spans="1:10" x14ac:dyDescent="0.2">
      <c r="A13" s="38" t="s">
        <v>32</v>
      </c>
      <c r="B13" s="39">
        <f>[2]Sheet1!E18</f>
        <v>622097393</v>
      </c>
      <c r="C13" s="21"/>
      <c r="D13" s="31"/>
      <c r="E13" s="31"/>
      <c r="F13" s="23"/>
      <c r="G13" s="1"/>
      <c r="H13" s="30"/>
      <c r="I13" s="30"/>
      <c r="J13" s="30"/>
    </row>
    <row r="14" spans="1:10" x14ac:dyDescent="0.2">
      <c r="A14" s="32" t="s">
        <v>2</v>
      </c>
      <c r="B14" s="40">
        <f>[2]Sheet1!F18</f>
        <v>0.94289999999999996</v>
      </c>
      <c r="C14" s="7"/>
      <c r="D14" s="41" t="s">
        <v>3</v>
      </c>
      <c r="E14" s="42" t="str">
        <f>+[3]main!B19</f>
        <v>Garfield</v>
      </c>
      <c r="F14" s="43">
        <f>+[3]main!A19</f>
        <v>10</v>
      </c>
      <c r="G14" s="1"/>
      <c r="H14" s="30"/>
      <c r="I14" s="30"/>
      <c r="J14" s="30"/>
    </row>
    <row r="15" spans="1:10" x14ac:dyDescent="0.2">
      <c r="A15" s="32" t="s">
        <v>4</v>
      </c>
      <c r="B15" s="44">
        <f>[2]Sheet1!G18</f>
        <v>1.6750000000000001E-3</v>
      </c>
      <c r="C15" s="8"/>
      <c r="D15" s="24"/>
      <c r="E15" s="25"/>
      <c r="F15" s="24"/>
      <c r="G15" s="1"/>
      <c r="H15" s="30"/>
      <c r="I15" s="30"/>
      <c r="J15" s="30"/>
    </row>
    <row r="16" spans="1:10" x14ac:dyDescent="0.2">
      <c r="A16" s="32" t="s">
        <v>5</v>
      </c>
      <c r="B16" s="45">
        <f>[2]Sheet1!$C$74</f>
        <v>1236933</v>
      </c>
      <c r="C16" s="46"/>
      <c r="D16" s="47" t="s">
        <v>38</v>
      </c>
      <c r="E16" s="48" t="s">
        <v>7</v>
      </c>
      <c r="F16" s="47" t="s">
        <v>6</v>
      </c>
      <c r="G16" s="1"/>
      <c r="H16" s="30"/>
      <c r="I16" s="30"/>
      <c r="J16" s="30"/>
    </row>
    <row r="17" spans="1:10" x14ac:dyDescent="0.2">
      <c r="A17" s="32" t="s">
        <v>8</v>
      </c>
      <c r="B17" s="45">
        <f>+B16</f>
        <v>1236933</v>
      </c>
      <c r="C17" s="49"/>
      <c r="D17" s="50" t="s">
        <v>9</v>
      </c>
      <c r="E17" s="50" t="s">
        <v>37</v>
      </c>
      <c r="F17" s="50" t="s">
        <v>10</v>
      </c>
      <c r="G17" s="1"/>
      <c r="H17" s="30"/>
      <c r="I17" s="30"/>
      <c r="J17" s="30"/>
    </row>
    <row r="18" spans="1:10" x14ac:dyDescent="0.2">
      <c r="A18" s="32" t="s">
        <v>11</v>
      </c>
      <c r="B18" s="45">
        <v>0</v>
      </c>
      <c r="C18" s="51" t="s">
        <v>39</v>
      </c>
      <c r="D18" s="52" t="s">
        <v>12</v>
      </c>
      <c r="E18" s="52" t="s">
        <v>9</v>
      </c>
      <c r="F18" s="52" t="s">
        <v>9</v>
      </c>
      <c r="G18" s="1"/>
      <c r="H18" s="30"/>
      <c r="I18" s="30"/>
      <c r="J18" s="30"/>
    </row>
    <row r="19" spans="1:10" x14ac:dyDescent="0.2">
      <c r="A19" s="32" t="s">
        <v>70</v>
      </c>
      <c r="B19" s="45">
        <f>'[4]LRF FY17'!U16</f>
        <v>5959</v>
      </c>
      <c r="C19" s="53"/>
      <c r="D19" s="54"/>
      <c r="E19" s="54"/>
      <c r="F19" s="54" t="s">
        <v>14</v>
      </c>
      <c r="G19" s="1"/>
      <c r="H19" s="30"/>
      <c r="I19" s="30"/>
      <c r="J19" s="30"/>
    </row>
    <row r="20" spans="1:10" x14ac:dyDescent="0.2">
      <c r="A20" s="55" t="s">
        <v>13</v>
      </c>
      <c r="B20" s="56"/>
      <c r="C20" s="53"/>
      <c r="D20" s="54"/>
      <c r="E20" s="54"/>
      <c r="F20" s="54"/>
      <c r="G20" s="2"/>
      <c r="H20" s="30"/>
      <c r="I20" s="30"/>
      <c r="J20" s="30"/>
    </row>
    <row r="21" spans="1:10" x14ac:dyDescent="0.2">
      <c r="A21" s="55" t="s">
        <v>15</v>
      </c>
      <c r="B21" s="56"/>
      <c r="C21" s="53"/>
      <c r="D21" s="54"/>
      <c r="E21" s="54"/>
      <c r="F21" s="54"/>
      <c r="G21" s="2"/>
      <c r="H21" s="57" t="s">
        <v>43</v>
      </c>
      <c r="I21" s="30"/>
      <c r="J21" s="57" t="s">
        <v>45</v>
      </c>
    </row>
    <row r="22" spans="1:10" x14ac:dyDescent="0.2">
      <c r="A22" s="58" t="s">
        <v>16</v>
      </c>
      <c r="B22" s="59"/>
      <c r="C22" s="60">
        <f>[3]main!C193-[3]main!F135</f>
        <v>871.34</v>
      </c>
      <c r="D22" s="61">
        <f>[3]main!E193-[3]main!H135</f>
        <v>2774346.56</v>
      </c>
      <c r="E22" s="62">
        <f>IF(B17&gt;D22,D22,B17)</f>
        <v>1236933</v>
      </c>
      <c r="F22" s="62">
        <f>D22-E22</f>
        <v>1537413.56</v>
      </c>
      <c r="G22" s="1"/>
      <c r="H22" s="57">
        <f>[3]main!H252</f>
        <v>6009487.1200000001</v>
      </c>
      <c r="I22" s="30"/>
      <c r="J22" s="57">
        <f>'[5]Sheet 1'!E76</f>
        <v>7148090.2199999997</v>
      </c>
    </row>
    <row r="23" spans="1:10" x14ac:dyDescent="0.2">
      <c r="A23" s="58" t="s">
        <v>17</v>
      </c>
      <c r="B23" s="59"/>
      <c r="C23" s="53">
        <f>[3]main!F135</f>
        <v>776.38900000000001</v>
      </c>
      <c r="D23" s="54">
        <f>[3]main!H135</f>
        <v>2472021.2799999998</v>
      </c>
      <c r="E23" s="54">
        <f>IF(B16-SUM(E20:E22)&gt;D23,D23,B16-SUM(E20:E22))</f>
        <v>0</v>
      </c>
      <c r="F23" s="54">
        <f>D23-E23</f>
        <v>2472021.2799999998</v>
      </c>
      <c r="G23" s="1"/>
      <c r="H23" s="57">
        <f>SUM(D22:D26)</f>
        <v>6009487.1200000001</v>
      </c>
      <c r="I23" s="30"/>
      <c r="J23" s="57">
        <f>D37</f>
        <v>7148090.2199999997</v>
      </c>
    </row>
    <row r="24" spans="1:10" x14ac:dyDescent="0.2">
      <c r="A24" s="58" t="s">
        <v>18</v>
      </c>
      <c r="B24" s="59"/>
      <c r="C24" s="53">
        <f>[3]main!F193</f>
        <v>159.673</v>
      </c>
      <c r="D24" s="54">
        <f>[3]main!H193</f>
        <v>508399.28</v>
      </c>
      <c r="E24" s="54">
        <f>IF(B17-SUM(E22:E23)&gt;D24,D24,B17-SUM(E22:E23))</f>
        <v>0</v>
      </c>
      <c r="F24" s="54">
        <f>D24-E24</f>
        <v>508399.28</v>
      </c>
      <c r="G24" s="1"/>
      <c r="H24" s="57">
        <f>+H22-H23</f>
        <v>0</v>
      </c>
      <c r="I24" s="30"/>
      <c r="J24" s="57">
        <f>+J22-J23</f>
        <v>0</v>
      </c>
    </row>
    <row r="25" spans="1:10" x14ac:dyDescent="0.2">
      <c r="A25" s="58" t="s">
        <v>19</v>
      </c>
      <c r="B25" s="59"/>
      <c r="C25" s="53">
        <f>[3]main!C252</f>
        <v>80</v>
      </c>
      <c r="D25" s="54">
        <f>[3]main!E252</f>
        <v>254720</v>
      </c>
      <c r="E25" s="54">
        <f>IF(B17-SUM(E22:E24)&gt;D25,D25,B17-SUM(E22:E24))</f>
        <v>0</v>
      </c>
      <c r="F25" s="54">
        <f>D25-E25</f>
        <v>254720</v>
      </c>
      <c r="G25" s="1"/>
      <c r="H25" s="30"/>
      <c r="I25" s="30"/>
      <c r="J25" s="30"/>
    </row>
    <row r="26" spans="1:10" x14ac:dyDescent="0.2">
      <c r="A26" s="58" t="s">
        <v>42</v>
      </c>
      <c r="B26" s="59"/>
      <c r="C26" s="53">
        <f>[3]main!C76</f>
        <v>0</v>
      </c>
      <c r="D26" s="54">
        <f>[3]main!E76</f>
        <v>0</v>
      </c>
      <c r="E26" s="54">
        <f>IF(B17-SUM(E22:E25)&gt;D26,D26,B17-SUM(E22:E25))</f>
        <v>0</v>
      </c>
      <c r="F26" s="54">
        <f>D26-E26</f>
        <v>0</v>
      </c>
      <c r="G26" s="1"/>
      <c r="H26" s="30"/>
      <c r="I26" s="30"/>
      <c r="J26" s="30"/>
    </row>
    <row r="27" spans="1:10" x14ac:dyDescent="0.2">
      <c r="A27" s="55" t="s">
        <v>20</v>
      </c>
      <c r="B27" s="56"/>
      <c r="C27" s="63"/>
      <c r="D27" s="64"/>
      <c r="E27" s="64"/>
      <c r="F27" s="64" t="s">
        <v>14</v>
      </c>
      <c r="G27" s="1"/>
      <c r="H27" s="57" t="s">
        <v>44</v>
      </c>
      <c r="I27" s="30"/>
      <c r="J27" s="30"/>
    </row>
    <row r="28" spans="1:10" x14ac:dyDescent="0.2">
      <c r="A28" s="58" t="s">
        <v>21</v>
      </c>
      <c r="B28" s="59"/>
      <c r="C28" s="53">
        <f>'[6]Sheet 1'!C18</f>
        <v>120.499</v>
      </c>
      <c r="D28" s="54">
        <f>'[6]Sheet 1'!E18</f>
        <v>383668.95</v>
      </c>
      <c r="E28" s="54">
        <f>IF(B17-SUM(E22:E27)&gt;D28,D28,B17-SUM(E22:E27))</f>
        <v>0</v>
      </c>
      <c r="F28" s="54">
        <f t="shared" ref="F28:F36" si="0">D28-E28</f>
        <v>383668.95</v>
      </c>
      <c r="G28" s="1"/>
      <c r="H28" s="57">
        <f>'[6]Sheet 1'!N134</f>
        <v>459376.86</v>
      </c>
      <c r="I28" s="30"/>
      <c r="J28" s="30"/>
    </row>
    <row r="29" spans="1:10" x14ac:dyDescent="0.2">
      <c r="A29" s="59" t="s">
        <v>22</v>
      </c>
      <c r="B29" s="59"/>
      <c r="C29" s="53">
        <f>'[6]Sheet 1'!F18</f>
        <v>8.08</v>
      </c>
      <c r="D29" s="54">
        <f>'[6]Sheet 1'!H18</f>
        <v>25726.720000000001</v>
      </c>
      <c r="E29" s="54">
        <f>IF(B17-SUM(E22:E28)&gt;D29,D29,B17-SUM(E22:E28))</f>
        <v>0</v>
      </c>
      <c r="F29" s="54">
        <f t="shared" si="0"/>
        <v>25726.720000000001</v>
      </c>
      <c r="G29" s="1"/>
      <c r="H29" s="57">
        <f>SUM(D28:D34)</f>
        <v>459376.86</v>
      </c>
      <c r="I29" s="30"/>
      <c r="J29" s="30"/>
    </row>
    <row r="30" spans="1:10" x14ac:dyDescent="0.2">
      <c r="A30" s="59" t="s">
        <v>23</v>
      </c>
      <c r="B30" s="59"/>
      <c r="C30" s="53">
        <f>'[6]Sheet 1'!C76</f>
        <v>11.76</v>
      </c>
      <c r="D30" s="54">
        <f>'[6]Sheet 1'!E76</f>
        <v>37443.839999999997</v>
      </c>
      <c r="E30" s="54">
        <f>IF(B17-SUM(E22:E29)&gt;D30,D30,B17-SUM(E22:E29))</f>
        <v>0</v>
      </c>
      <c r="F30" s="54">
        <f t="shared" si="0"/>
        <v>37443.839999999997</v>
      </c>
      <c r="G30" s="1"/>
      <c r="H30" s="57">
        <f>+H28-H29</f>
        <v>0</v>
      </c>
      <c r="I30" s="30"/>
      <c r="J30" s="30"/>
    </row>
    <row r="31" spans="1:10" x14ac:dyDescent="0.2">
      <c r="A31" s="58" t="s">
        <v>24</v>
      </c>
      <c r="B31" s="59"/>
      <c r="C31" s="53">
        <f>'[6]Sheet 1'!F76</f>
        <v>1.2050000000000001</v>
      </c>
      <c r="D31" s="54">
        <f>'[6]Sheet 1'!H76</f>
        <v>3836.99</v>
      </c>
      <c r="E31" s="54">
        <f>IF(B17-SUM(E22:E30)&gt;D31,D31,B17-SUM(E22:E30))</f>
        <v>0</v>
      </c>
      <c r="F31" s="54">
        <f t="shared" si="0"/>
        <v>3836.99</v>
      </c>
      <c r="G31" s="1"/>
      <c r="H31" s="30"/>
      <c r="I31" s="30"/>
      <c r="J31" s="30"/>
    </row>
    <row r="32" spans="1:10" x14ac:dyDescent="0.2">
      <c r="A32" s="59" t="s">
        <v>71</v>
      </c>
      <c r="B32" s="59"/>
      <c r="C32" s="53">
        <f>'[6]Sheet 1'!C134</f>
        <v>2.7330000000000001</v>
      </c>
      <c r="D32" s="54">
        <f>'[6]Sheet 1'!E134</f>
        <v>8700.36</v>
      </c>
      <c r="E32" s="54">
        <f>IF(B17-SUM(E22:E31)&gt;D32,D32,B17-SUM(E22:E31))</f>
        <v>0</v>
      </c>
      <c r="F32" s="54">
        <f t="shared" si="0"/>
        <v>8700.36</v>
      </c>
      <c r="G32" s="1"/>
      <c r="H32" s="30"/>
      <c r="I32" s="30"/>
      <c r="J32" s="30"/>
    </row>
    <row r="33" spans="1:10" x14ac:dyDescent="0.2">
      <c r="A33" s="59" t="s">
        <v>57</v>
      </c>
      <c r="B33" s="59"/>
      <c r="C33" s="53">
        <f>'[6]Sheet 1'!F134</f>
        <v>0</v>
      </c>
      <c r="D33" s="54">
        <f>'[6]Sheet 1'!H134</f>
        <v>0</v>
      </c>
      <c r="E33" s="54">
        <f>IF(B18-SUM(E23:E32)&gt;D33,D33,B18-SUM(E23:E32))</f>
        <v>0</v>
      </c>
      <c r="F33" s="54">
        <f t="shared" si="0"/>
        <v>0</v>
      </c>
      <c r="G33" s="1"/>
      <c r="H33" s="30"/>
      <c r="I33" s="30"/>
      <c r="J33" s="30"/>
    </row>
    <row r="34" spans="1:10" x14ac:dyDescent="0.2">
      <c r="A34" s="59" t="s">
        <v>64</v>
      </c>
      <c r="B34" s="59"/>
      <c r="C34" s="53">
        <f>'[6]Sheet 1'!I134</f>
        <v>0</v>
      </c>
      <c r="D34" s="54">
        <f>'[6]Sheet 1'!K134</f>
        <v>0</v>
      </c>
      <c r="E34" s="54">
        <f>IF(B20-SUM(E24:E33)&gt;D34,D34,B20-SUM(E24:E33))</f>
        <v>0</v>
      </c>
      <c r="F34" s="54">
        <f t="shared" si="0"/>
        <v>0</v>
      </c>
      <c r="G34" s="1"/>
      <c r="H34" s="57" t="s">
        <v>46</v>
      </c>
      <c r="I34" s="30"/>
      <c r="J34" s="30"/>
    </row>
    <row r="35" spans="1:10" x14ac:dyDescent="0.2">
      <c r="A35" s="59" t="s">
        <v>58</v>
      </c>
      <c r="B35" s="59"/>
      <c r="C35" s="53">
        <f>'[6]Sheet 1'!C192</f>
        <v>157.98599999999999</v>
      </c>
      <c r="D35" s="54">
        <f>'[6]Sheet 1'!E192</f>
        <v>503025.35</v>
      </c>
      <c r="E35" s="54">
        <f>IF(B17-SUM(E22:E32)&gt;D35,D35,B17-SUM(E22:E32))</f>
        <v>0</v>
      </c>
      <c r="F35" s="54">
        <f t="shared" si="0"/>
        <v>503025.35</v>
      </c>
      <c r="G35" s="4"/>
      <c r="H35" s="57">
        <f>+'[6]Sheet 1'!E192</f>
        <v>503025.35</v>
      </c>
      <c r="I35" s="30"/>
      <c r="J35" s="30"/>
    </row>
    <row r="36" spans="1:10" x14ac:dyDescent="0.2">
      <c r="A36" s="58" t="s">
        <v>59</v>
      </c>
      <c r="B36" s="59"/>
      <c r="C36" s="53">
        <f>'[5]Sheet 1'!C18</f>
        <v>55.338999999999999</v>
      </c>
      <c r="D36" s="54">
        <f>'[5]Sheet 1'!E18</f>
        <v>176200.89</v>
      </c>
      <c r="E36" s="54">
        <f>IF(B17-SUM(E22:E35)&gt;D36,D36,B17-SUM(E22:E35))</f>
        <v>0</v>
      </c>
      <c r="F36" s="54">
        <f t="shared" si="0"/>
        <v>176200.89</v>
      </c>
      <c r="G36" s="5"/>
      <c r="H36" s="57">
        <f>+D35</f>
        <v>503025.35</v>
      </c>
      <c r="I36" s="30"/>
      <c r="J36" s="30"/>
    </row>
    <row r="37" spans="1:10" x14ac:dyDescent="0.2">
      <c r="A37" s="65" t="s">
        <v>28</v>
      </c>
      <c r="B37" s="56"/>
      <c r="C37" s="66">
        <f>SUM(C22:C36)</f>
        <v>2245.0039999999999</v>
      </c>
      <c r="D37" s="67">
        <f>SUM(D22:D36)</f>
        <v>7148090.2199999997</v>
      </c>
      <c r="E37" s="67">
        <f>SUM(E22:E36)</f>
        <v>1236933</v>
      </c>
      <c r="F37" s="67">
        <f>SUM(F22:F36)</f>
        <v>5911157.2199999997</v>
      </c>
      <c r="G37" s="1"/>
      <c r="H37" s="57">
        <f>+H35-H36</f>
        <v>0</v>
      </c>
      <c r="I37" s="30"/>
      <c r="J37" s="30"/>
    </row>
    <row r="38" spans="1:10" x14ac:dyDescent="0.2">
      <c r="A38" s="68" t="s">
        <v>26</v>
      </c>
      <c r="B38" s="56"/>
      <c r="C38" s="69"/>
      <c r="D38" s="54"/>
      <c r="E38" s="54"/>
      <c r="F38" s="54"/>
      <c r="G38" s="1"/>
      <c r="H38" s="57" t="s">
        <v>47</v>
      </c>
      <c r="I38" s="30"/>
      <c r="J38" s="57" t="s">
        <v>52</v>
      </c>
    </row>
    <row r="39" spans="1:10" x14ac:dyDescent="0.2">
      <c r="A39" s="58" t="s">
        <v>56</v>
      </c>
      <c r="B39" s="59"/>
      <c r="C39" s="20"/>
      <c r="D39" s="70">
        <f>[1]Main!F19</f>
        <v>20718.52</v>
      </c>
      <c r="E39" s="54">
        <f>IF($B17-SUM($E37)&gt;D39,D39,$B17-SUM($E37))</f>
        <v>0</v>
      </c>
      <c r="F39" s="54">
        <f t="shared" ref="F39:F57" si="1">D39-E39</f>
        <v>20718.52</v>
      </c>
      <c r="G39" s="1"/>
      <c r="H39" s="57">
        <f>[1]Main!G19</f>
        <v>215035.15</v>
      </c>
      <c r="I39" s="30"/>
      <c r="J39" s="57">
        <f>+[1]Main!D480</f>
        <v>1117592.1100000001</v>
      </c>
    </row>
    <row r="40" spans="1:10" x14ac:dyDescent="0.2">
      <c r="A40" s="59" t="s">
        <v>25</v>
      </c>
      <c r="B40" s="59"/>
      <c r="C40" s="20"/>
      <c r="D40" s="70">
        <f>[1]Main!C19</f>
        <v>194316.63</v>
      </c>
      <c r="E40" s="54">
        <f>IF($B17-SUM($E37:E39)&gt;D40,D40,B17-SUM($E37:E39))</f>
        <v>0</v>
      </c>
      <c r="F40" s="54">
        <f t="shared" si="1"/>
        <v>194316.63</v>
      </c>
      <c r="G40" s="1"/>
      <c r="H40" s="57">
        <f>SUM(D39:D41)</f>
        <v>215035.15</v>
      </c>
      <c r="I40" s="30"/>
      <c r="J40" s="57">
        <f>SUM(D39:D66)-E52</f>
        <v>1117592.1100000001</v>
      </c>
    </row>
    <row r="41" spans="1:10" x14ac:dyDescent="0.2">
      <c r="A41" s="71" t="s">
        <v>27</v>
      </c>
      <c r="B41" s="59"/>
      <c r="C41" s="20"/>
      <c r="D41" s="70">
        <f>[1]Main!D19</f>
        <v>0</v>
      </c>
      <c r="E41" s="54">
        <f>IF($B17-SUM($E37:E40)&gt;D41,D41,$B17-SUM($E37:E40))</f>
        <v>0</v>
      </c>
      <c r="F41" s="54">
        <f>D41-E41</f>
        <v>0</v>
      </c>
      <c r="G41" s="1"/>
      <c r="H41" s="57">
        <f>+H39-H40</f>
        <v>0</v>
      </c>
      <c r="I41" s="30"/>
      <c r="J41" s="57">
        <f>+J39-J40</f>
        <v>0</v>
      </c>
    </row>
    <row r="42" spans="1:10" x14ac:dyDescent="0.2">
      <c r="A42" s="72" t="s">
        <v>72</v>
      </c>
      <c r="B42" s="59"/>
      <c r="C42" s="20"/>
      <c r="D42" s="70">
        <f>[1]Main!E19</f>
        <v>0</v>
      </c>
      <c r="E42" s="54">
        <f>IF($B18-SUM($E38:E41)&gt;D42,D42,$B18-SUM($E38:E41))</f>
        <v>0</v>
      </c>
      <c r="F42" s="54">
        <f>D42-E42</f>
        <v>0</v>
      </c>
      <c r="G42" s="1"/>
      <c r="H42" s="30"/>
      <c r="I42" s="30"/>
      <c r="J42" s="30"/>
    </row>
    <row r="43" spans="1:10" x14ac:dyDescent="0.2">
      <c r="A43" s="72" t="s">
        <v>73</v>
      </c>
      <c r="B43" s="59"/>
      <c r="C43" s="20"/>
      <c r="D43" s="54">
        <f>+[1]Main!$F135</f>
        <v>4262.82</v>
      </c>
      <c r="E43" s="54">
        <f>IF($B17-SUM($E37:E41)&gt;D43,D43,$B17-SUM($E37:E41))</f>
        <v>0</v>
      </c>
      <c r="F43" s="54">
        <f t="shared" si="1"/>
        <v>4262.82</v>
      </c>
      <c r="G43" s="1"/>
      <c r="H43" s="30"/>
      <c r="I43" s="30"/>
      <c r="J43" s="30"/>
    </row>
    <row r="44" spans="1:10" x14ac:dyDescent="0.2">
      <c r="A44" s="71" t="s">
        <v>74</v>
      </c>
      <c r="B44" s="59"/>
      <c r="C44" s="20"/>
      <c r="D44" s="54">
        <f>+[1]Main!$C77</f>
        <v>92578</v>
      </c>
      <c r="E44" s="54">
        <f>IF($B17-SUM($E37:E43)&gt;D44,D44,$B17-SUM($E37:E43))</f>
        <v>0</v>
      </c>
      <c r="F44" s="54">
        <f t="shared" si="1"/>
        <v>92578</v>
      </c>
      <c r="G44" s="1"/>
      <c r="H44" s="30"/>
      <c r="I44" s="30"/>
      <c r="J44" s="30"/>
    </row>
    <row r="45" spans="1:10" x14ac:dyDescent="0.2">
      <c r="A45" s="71" t="s">
        <v>75</v>
      </c>
      <c r="B45" s="59"/>
      <c r="C45" s="20"/>
      <c r="D45" s="54">
        <f>+[1]Main!$D77</f>
        <v>0</v>
      </c>
      <c r="E45" s="54">
        <f>IF($B17-SUM($E37:E44)&gt;D45,D45,$B17-SUM($E37:E44))</f>
        <v>0</v>
      </c>
      <c r="F45" s="54">
        <f t="shared" si="1"/>
        <v>0</v>
      </c>
      <c r="G45" s="1"/>
      <c r="H45" s="30"/>
      <c r="I45" s="30"/>
      <c r="J45" s="30"/>
    </row>
    <row r="46" spans="1:10" x14ac:dyDescent="0.2">
      <c r="A46" s="71" t="s">
        <v>76</v>
      </c>
      <c r="B46" s="59"/>
      <c r="C46" s="20"/>
      <c r="D46" s="54">
        <f>+[1]Main!$E77</f>
        <v>0</v>
      </c>
      <c r="E46" s="54">
        <f>IF($B17-SUM($E37:E45)&gt;D46,D46,$B17-SUM($E37:E45))</f>
        <v>0</v>
      </c>
      <c r="F46" s="54">
        <f t="shared" si="1"/>
        <v>0</v>
      </c>
      <c r="G46" s="1"/>
      <c r="H46" s="30"/>
      <c r="I46" s="30"/>
      <c r="J46" s="30"/>
    </row>
    <row r="47" spans="1:10" x14ac:dyDescent="0.2">
      <c r="A47" s="71" t="s">
        <v>77</v>
      </c>
      <c r="B47" s="59"/>
      <c r="C47" s="20"/>
      <c r="D47" s="54">
        <f>[1]Main!F77</f>
        <v>67562</v>
      </c>
      <c r="E47" s="54">
        <f>IF($B17-SUM($E37:E46)&gt;D47,D47,$B17-SUM($E37:E46))</f>
        <v>0</v>
      </c>
      <c r="F47" s="54">
        <f t="shared" si="1"/>
        <v>67562</v>
      </c>
      <c r="G47" s="1"/>
      <c r="H47" s="57" t="s">
        <v>48</v>
      </c>
      <c r="I47" s="30"/>
      <c r="J47" s="30"/>
    </row>
    <row r="48" spans="1:10" x14ac:dyDescent="0.2">
      <c r="A48" s="71" t="s">
        <v>79</v>
      </c>
      <c r="B48" s="59"/>
      <c r="C48" s="20"/>
      <c r="D48" s="54">
        <f>[1]Main!G77</f>
        <v>0</v>
      </c>
      <c r="E48" s="54">
        <f>IF($B17-SUM($E37:E47)&gt;D48,D48,$B17-SUM($E37:E47))</f>
        <v>0</v>
      </c>
      <c r="F48" s="54">
        <f t="shared" si="1"/>
        <v>0</v>
      </c>
      <c r="G48" s="1"/>
      <c r="H48" s="57"/>
      <c r="I48" s="30"/>
      <c r="J48" s="30"/>
    </row>
    <row r="49" spans="1:10" x14ac:dyDescent="0.2">
      <c r="A49" s="71" t="s">
        <v>78</v>
      </c>
      <c r="B49" s="59"/>
      <c r="C49" s="20"/>
      <c r="D49" s="54">
        <f>[1]Main!G135</f>
        <v>36340.639999999999</v>
      </c>
      <c r="E49" s="54">
        <f>IF($B17-SUM($E37:E48)&gt;D49,D49,$B17-SUM($E37:E48))</f>
        <v>0</v>
      </c>
      <c r="F49" s="54">
        <f t="shared" si="1"/>
        <v>36340.639999999999</v>
      </c>
      <c r="G49" s="1"/>
      <c r="H49" s="73">
        <f>+[1]Main!D193</f>
        <v>200743.46</v>
      </c>
      <c r="I49" s="30"/>
      <c r="J49" s="30"/>
    </row>
    <row r="50" spans="1:10" x14ac:dyDescent="0.2">
      <c r="A50" s="71" t="s">
        <v>80</v>
      </c>
      <c r="B50" s="59"/>
      <c r="C50" s="20"/>
      <c r="D50" s="54">
        <f>[1]Main!C193</f>
        <v>0</v>
      </c>
      <c r="E50" s="54"/>
      <c r="F50" s="54">
        <f t="shared" si="1"/>
        <v>0</v>
      </c>
      <c r="G50" s="1"/>
      <c r="H50" s="57">
        <f>+SUM(D43:D50)</f>
        <v>200743.46</v>
      </c>
      <c r="I50" s="30"/>
      <c r="J50" s="30"/>
    </row>
    <row r="51" spans="1:10" x14ac:dyDescent="0.2">
      <c r="A51" s="71" t="s">
        <v>81</v>
      </c>
      <c r="B51" s="59"/>
      <c r="C51" s="20"/>
      <c r="D51" s="54">
        <f>[1]Main!C251</f>
        <v>171925</v>
      </c>
      <c r="E51" s="54">
        <v>0</v>
      </c>
      <c r="F51" s="54">
        <f t="shared" si="1"/>
        <v>171925</v>
      </c>
      <c r="G51" s="1"/>
      <c r="H51" s="57">
        <f>+H49-H50</f>
        <v>0</v>
      </c>
      <c r="I51" s="30"/>
      <c r="J51" s="30"/>
    </row>
    <row r="52" spans="1:10" x14ac:dyDescent="0.2">
      <c r="A52" s="71" t="s">
        <v>82</v>
      </c>
      <c r="B52" s="59"/>
      <c r="C52" s="20"/>
      <c r="D52" s="54">
        <f>+[7]Main!I18+[7]Main!J18</f>
        <v>127500.27</v>
      </c>
      <c r="E52" s="74">
        <f>[7]Main!J18</f>
        <v>76159.95</v>
      </c>
      <c r="F52" s="54">
        <f t="shared" si="1"/>
        <v>51340.32</v>
      </c>
      <c r="G52" s="1"/>
      <c r="H52" s="30"/>
      <c r="I52" s="30"/>
      <c r="J52" s="30"/>
    </row>
    <row r="53" spans="1:10" x14ac:dyDescent="0.2">
      <c r="A53" s="71" t="s">
        <v>83</v>
      </c>
      <c r="B53" s="59"/>
      <c r="C53" s="20"/>
      <c r="D53" s="54">
        <f>[1]Main!F251</f>
        <v>39672</v>
      </c>
      <c r="E53" s="54">
        <v>0</v>
      </c>
      <c r="F53" s="54">
        <f t="shared" si="1"/>
        <v>39672</v>
      </c>
      <c r="G53" s="1"/>
      <c r="H53" s="30"/>
      <c r="I53" s="30"/>
      <c r="J53" s="30"/>
    </row>
    <row r="54" spans="1:10" x14ac:dyDescent="0.2">
      <c r="A54" s="71" t="s">
        <v>84</v>
      </c>
      <c r="B54" s="59"/>
      <c r="C54" s="7"/>
      <c r="D54" s="54">
        <f>[1]Main!E251</f>
        <v>4922.1899999999996</v>
      </c>
      <c r="E54" s="54">
        <v>0</v>
      </c>
      <c r="F54" s="54">
        <f t="shared" si="1"/>
        <v>4922.1899999999996</v>
      </c>
      <c r="G54" s="1"/>
      <c r="H54" s="57" t="s">
        <v>49</v>
      </c>
      <c r="I54" s="30"/>
      <c r="J54" s="30"/>
    </row>
    <row r="55" spans="1:10" x14ac:dyDescent="0.2">
      <c r="A55" s="71" t="s">
        <v>85</v>
      </c>
      <c r="B55" s="59"/>
      <c r="C55" s="7"/>
      <c r="D55" s="54">
        <f>[1]Main!G251</f>
        <v>49531.199999999997</v>
      </c>
      <c r="E55" s="54">
        <v>0</v>
      </c>
      <c r="F55" s="54">
        <f t="shared" si="1"/>
        <v>49531.199999999997</v>
      </c>
      <c r="G55" s="1"/>
      <c r="H55" s="57">
        <f>+[1]Main!C480</f>
        <v>679554.48</v>
      </c>
      <c r="I55" s="57"/>
      <c r="J55" s="57"/>
    </row>
    <row r="56" spans="1:10" x14ac:dyDescent="0.2">
      <c r="A56" s="71" t="s">
        <v>86</v>
      </c>
      <c r="B56" s="59"/>
      <c r="C56" s="20"/>
      <c r="D56" s="54">
        <f>[1]Main!C309</f>
        <v>0</v>
      </c>
      <c r="E56" s="54">
        <v>0</v>
      </c>
      <c r="F56" s="54">
        <f t="shared" si="1"/>
        <v>0</v>
      </c>
      <c r="G56" s="1"/>
      <c r="H56" s="57">
        <f>+SUM(D51:D61)-E52</f>
        <v>679554.48</v>
      </c>
      <c r="I56" s="57"/>
      <c r="J56" s="57">
        <f>+H56-H55</f>
        <v>0</v>
      </c>
    </row>
    <row r="57" spans="1:10" x14ac:dyDescent="0.2">
      <c r="A57" s="71" t="s">
        <v>87</v>
      </c>
      <c r="C57" s="8"/>
      <c r="D57" s="76">
        <f>[1]Main!D309</f>
        <v>318035.34000000003</v>
      </c>
      <c r="E57" s="77">
        <v>0</v>
      </c>
      <c r="F57" s="77">
        <f t="shared" si="1"/>
        <v>318035.34000000003</v>
      </c>
      <c r="G57" s="5"/>
      <c r="H57" s="57">
        <f>+H55-H56</f>
        <v>0</v>
      </c>
      <c r="I57" s="57"/>
      <c r="J57" s="57"/>
    </row>
    <row r="58" spans="1:10" x14ac:dyDescent="0.2">
      <c r="A58" s="71" t="s">
        <v>88</v>
      </c>
      <c r="B58" s="59"/>
      <c r="C58" s="20"/>
      <c r="D58" s="54">
        <f>+[1]Main!$E309</f>
        <v>2857.29</v>
      </c>
      <c r="E58" s="54">
        <v>0</v>
      </c>
      <c r="F58" s="54">
        <f>D58-E58</f>
        <v>2857.29</v>
      </c>
      <c r="G58" s="4"/>
      <c r="H58" s="30"/>
      <c r="I58" s="30"/>
      <c r="J58" s="30"/>
    </row>
    <row r="59" spans="1:10" x14ac:dyDescent="0.2">
      <c r="A59" s="71" t="s">
        <v>89</v>
      </c>
      <c r="B59" s="59"/>
      <c r="C59" s="20"/>
      <c r="D59" s="54">
        <f>[1]Main!F309</f>
        <v>5417.74</v>
      </c>
      <c r="E59" s="54">
        <v>0</v>
      </c>
      <c r="F59" s="54">
        <f>D59-E59</f>
        <v>5417.74</v>
      </c>
      <c r="G59" s="4"/>
      <c r="H59" s="30"/>
      <c r="I59" s="30"/>
      <c r="J59" s="30"/>
    </row>
    <row r="60" spans="1:10" x14ac:dyDescent="0.2">
      <c r="A60" s="71" t="s">
        <v>90</v>
      </c>
      <c r="B60" s="59"/>
      <c r="C60" s="20"/>
      <c r="D60" s="54">
        <f>[1]Main!G309</f>
        <v>0</v>
      </c>
      <c r="E60" s="54">
        <v>0</v>
      </c>
      <c r="F60" s="54">
        <f>D60-E60</f>
        <v>0</v>
      </c>
      <c r="G60" s="1"/>
      <c r="H60" s="57" t="s">
        <v>50</v>
      </c>
      <c r="I60" s="30"/>
      <c r="J60" s="30"/>
    </row>
    <row r="61" spans="1:10" x14ac:dyDescent="0.2">
      <c r="A61" s="71" t="s">
        <v>93</v>
      </c>
      <c r="B61" s="59"/>
      <c r="C61" s="20"/>
      <c r="D61" s="54">
        <f>[1]Main!F366</f>
        <v>35853.4</v>
      </c>
      <c r="E61" s="54">
        <v>0</v>
      </c>
      <c r="F61" s="54">
        <f>D61-E61</f>
        <v>35853.4</v>
      </c>
      <c r="G61" s="1"/>
      <c r="H61" s="57"/>
      <c r="I61" s="30"/>
      <c r="J61" s="30"/>
    </row>
    <row r="62" spans="1:10" x14ac:dyDescent="0.2">
      <c r="A62" s="55" t="s">
        <v>30</v>
      </c>
      <c r="B62" s="78"/>
      <c r="C62" s="79"/>
      <c r="D62" s="64"/>
      <c r="E62" s="64"/>
      <c r="F62" s="64"/>
      <c r="G62" s="1"/>
      <c r="H62" s="57"/>
      <c r="I62" s="30"/>
      <c r="J62" s="30"/>
    </row>
    <row r="63" spans="1:10" x14ac:dyDescent="0.2">
      <c r="A63" s="71" t="s">
        <v>60</v>
      </c>
      <c r="B63" s="59"/>
      <c r="C63" s="20"/>
      <c r="D63" s="54">
        <f>[1]Main!C423</f>
        <v>11518.06</v>
      </c>
      <c r="E63" s="54">
        <v>0</v>
      </c>
      <c r="F63" s="54">
        <f>D63-E63</f>
        <v>11518.06</v>
      </c>
      <c r="G63" s="1"/>
      <c r="H63" s="57">
        <f>+[1]Main!G423</f>
        <v>22259.02</v>
      </c>
      <c r="I63" s="30"/>
      <c r="J63" s="30"/>
    </row>
    <row r="64" spans="1:10" x14ac:dyDescent="0.2">
      <c r="A64" s="71" t="s">
        <v>63</v>
      </c>
      <c r="B64" s="59"/>
      <c r="C64" s="20"/>
      <c r="D64" s="54">
        <f>[1]Main!D423</f>
        <v>0</v>
      </c>
      <c r="E64" s="54">
        <v>0</v>
      </c>
      <c r="F64" s="54">
        <f>D64-E64</f>
        <v>0</v>
      </c>
      <c r="G64" s="4"/>
      <c r="H64" s="57">
        <f>SUM(D63:D66)</f>
        <v>22259.02</v>
      </c>
      <c r="I64" s="30"/>
      <c r="J64" s="30"/>
    </row>
    <row r="65" spans="1:10" x14ac:dyDescent="0.2">
      <c r="A65" s="71" t="s">
        <v>91</v>
      </c>
      <c r="B65" s="59"/>
      <c r="C65" s="20"/>
      <c r="D65" s="54">
        <f>[1]Main!E423</f>
        <v>560</v>
      </c>
      <c r="E65" s="54">
        <v>0</v>
      </c>
      <c r="F65" s="54">
        <f>D65-E65</f>
        <v>560</v>
      </c>
      <c r="G65" s="4"/>
      <c r="H65" s="57">
        <f>+H63-H64</f>
        <v>0</v>
      </c>
      <c r="I65" s="30"/>
      <c r="J65" s="30"/>
    </row>
    <row r="66" spans="1:10" x14ac:dyDescent="0.2">
      <c r="A66" s="71" t="s">
        <v>92</v>
      </c>
      <c r="B66" s="59"/>
      <c r="C66" s="20"/>
      <c r="D66" s="54">
        <f>[1]Main!F423</f>
        <v>10180.959999999999</v>
      </c>
      <c r="E66" s="54">
        <v>0</v>
      </c>
      <c r="F66" s="54">
        <f>D66-E66</f>
        <v>10180.959999999999</v>
      </c>
      <c r="G66" s="1"/>
      <c r="H66" s="30"/>
      <c r="I66" s="30"/>
      <c r="J66" s="30"/>
    </row>
    <row r="67" spans="1:10" x14ac:dyDescent="0.2">
      <c r="A67" s="55" t="s">
        <v>31</v>
      </c>
      <c r="B67" s="78"/>
      <c r="C67" s="79"/>
      <c r="D67" s="64"/>
      <c r="E67" s="64"/>
      <c r="F67" s="64"/>
      <c r="G67" s="1"/>
      <c r="H67" s="30"/>
      <c r="I67" s="30"/>
      <c r="J67" s="30"/>
    </row>
    <row r="68" spans="1:10" x14ac:dyDescent="0.2">
      <c r="A68" s="58" t="s">
        <v>69</v>
      </c>
      <c r="B68" s="59"/>
      <c r="C68" s="20"/>
      <c r="D68" s="54">
        <f>+[1]Main!$G536</f>
        <v>777935.14</v>
      </c>
      <c r="E68" s="54">
        <f>+[1]Main!$D536</f>
        <v>663882.43000000005</v>
      </c>
      <c r="F68" s="54">
        <f>+D68-E68</f>
        <v>114052.71</v>
      </c>
      <c r="G68" s="1"/>
      <c r="H68" s="30"/>
      <c r="I68" s="30"/>
      <c r="J68" s="30"/>
    </row>
    <row r="69" spans="1:10" x14ac:dyDescent="0.2">
      <c r="A69" s="59" t="s">
        <v>68</v>
      </c>
      <c r="B69" s="59"/>
      <c r="C69" s="20"/>
      <c r="D69" s="54">
        <f>+[1]Main!$G591</f>
        <v>346133.55</v>
      </c>
      <c r="E69" s="54">
        <f>+[1]Main!$D591</f>
        <v>295387.07</v>
      </c>
      <c r="F69" s="54">
        <f>+D69-E69</f>
        <v>50746.48</v>
      </c>
      <c r="G69" s="1"/>
      <c r="H69" s="30"/>
      <c r="I69" s="30"/>
      <c r="J69" s="30"/>
    </row>
    <row r="70" spans="1:10" ht="13.5" thickBot="1" x14ac:dyDescent="0.25">
      <c r="A70" s="80"/>
      <c r="B70" s="81"/>
      <c r="C70" s="82" t="s">
        <v>29</v>
      </c>
      <c r="D70" s="83">
        <f>SUM(D37:D69)</f>
        <v>9465910.9700000007</v>
      </c>
      <c r="E70" s="83">
        <f>SUM(E37:E69)</f>
        <v>2272362.4500000002</v>
      </c>
      <c r="F70" s="83">
        <f>SUM(F37:F69)</f>
        <v>7193548.5199999996</v>
      </c>
      <c r="G70" s="1"/>
      <c r="H70" s="30"/>
      <c r="I70" s="30"/>
      <c r="J70" s="30"/>
    </row>
    <row r="71" spans="1:10" ht="13.5" thickTop="1" x14ac:dyDescent="0.2">
      <c r="A71" s="84"/>
      <c r="B71" s="59"/>
      <c r="C71" s="85"/>
      <c r="D71" s="86"/>
      <c r="E71" s="86"/>
      <c r="F71" s="87"/>
      <c r="G71" s="1"/>
      <c r="H71" s="30"/>
      <c r="I71" s="30"/>
      <c r="J71" s="30"/>
    </row>
    <row r="72" spans="1:10" x14ac:dyDescent="0.2">
      <c r="A72" s="88" t="s">
        <v>40</v>
      </c>
      <c r="B72" s="78"/>
      <c r="C72" s="89"/>
      <c r="D72" s="90"/>
      <c r="E72" s="91"/>
      <c r="F72" s="92" t="s">
        <v>36</v>
      </c>
      <c r="G72" s="6"/>
      <c r="H72" s="57" t="s">
        <v>51</v>
      </c>
      <c r="I72" s="30"/>
      <c r="J72" s="57" t="s">
        <v>7</v>
      </c>
    </row>
    <row r="73" spans="1:10" x14ac:dyDescent="0.2">
      <c r="A73" s="93" t="s">
        <v>33</v>
      </c>
      <c r="B73" s="94"/>
      <c r="C73" s="95"/>
      <c r="D73" s="96"/>
      <c r="E73" s="96"/>
      <c r="F73" s="91"/>
      <c r="G73" s="6"/>
      <c r="H73" s="30"/>
      <c r="I73" s="30"/>
      <c r="J73" s="30"/>
    </row>
    <row r="74" spans="1:10" x14ac:dyDescent="0.2">
      <c r="A74" s="59" t="s">
        <v>34</v>
      </c>
      <c r="B74" s="59"/>
      <c r="C74" s="22"/>
      <c r="D74" s="27"/>
      <c r="E74" s="27"/>
      <c r="F74" s="97">
        <f>+[8]Main!$C19</f>
        <v>100000</v>
      </c>
      <c r="G74" s="5"/>
      <c r="H74" s="57">
        <f>+[1]Main!G647</f>
        <v>1124068.69</v>
      </c>
      <c r="I74" s="30"/>
      <c r="J74" s="57">
        <f>+[1]Main!E647+[1]Main!F647</f>
        <v>164799.19</v>
      </c>
    </row>
    <row r="75" spans="1:10" x14ac:dyDescent="0.2">
      <c r="A75" s="59" t="s">
        <v>66</v>
      </c>
      <c r="B75" s="59"/>
      <c r="C75" s="22"/>
      <c r="D75" s="27"/>
      <c r="E75" s="27"/>
      <c r="F75" s="97">
        <f>+[8]Main!$D19</f>
        <v>0</v>
      </c>
      <c r="G75" s="5"/>
      <c r="H75" s="57">
        <f>+D68+D69</f>
        <v>1124068.69</v>
      </c>
      <c r="I75" s="30"/>
      <c r="J75" s="57">
        <f>+F68+F69</f>
        <v>164799.19</v>
      </c>
    </row>
    <row r="76" spans="1:10" x14ac:dyDescent="0.2">
      <c r="A76" s="32" t="s">
        <v>65</v>
      </c>
      <c r="B76" s="32"/>
      <c r="C76" s="22"/>
      <c r="D76" s="28"/>
      <c r="E76" s="28"/>
      <c r="F76" s="97">
        <f>+[8]Main!$E19</f>
        <v>0</v>
      </c>
      <c r="G76" s="1"/>
      <c r="H76" s="57">
        <f>+H74-H75</f>
        <v>0</v>
      </c>
      <c r="I76" s="30"/>
      <c r="J76" s="57">
        <f>+J74-J75</f>
        <v>0</v>
      </c>
    </row>
    <row r="77" spans="1:10" x14ac:dyDescent="0.2">
      <c r="A77" s="32" t="s">
        <v>67</v>
      </c>
      <c r="B77" s="32"/>
      <c r="C77" s="22"/>
      <c r="D77" s="28"/>
      <c r="E77" s="28"/>
      <c r="F77" s="97">
        <f>+[8]Main!$F19</f>
        <v>0</v>
      </c>
      <c r="G77" s="1"/>
      <c r="H77" s="30"/>
      <c r="I77" s="30"/>
      <c r="J77" s="30"/>
    </row>
    <row r="78" spans="1:10" x14ac:dyDescent="0.2">
      <c r="A78" s="88" t="s">
        <v>35</v>
      </c>
      <c r="B78" s="78"/>
      <c r="C78" s="89"/>
      <c r="D78" s="90"/>
      <c r="E78" s="91"/>
      <c r="F78" s="54">
        <f>+[8]Main!$C77</f>
        <v>12671.38</v>
      </c>
      <c r="G78" s="1"/>
      <c r="H78" s="30"/>
      <c r="I78" s="30"/>
      <c r="J78" s="30"/>
    </row>
    <row r="79" spans="1:10" ht="13.5" thickBot="1" x14ac:dyDescent="0.25">
      <c r="A79" s="98"/>
      <c r="B79" s="99"/>
      <c r="C79" s="100" t="s">
        <v>29</v>
      </c>
      <c r="D79" s="101"/>
      <c r="E79" s="102"/>
      <c r="F79" s="103">
        <f>SUM(F74:F78)</f>
        <v>112671.38</v>
      </c>
      <c r="G79" s="1"/>
      <c r="H79" s="30"/>
      <c r="I79" s="30"/>
      <c r="J79" s="30"/>
    </row>
    <row r="80" spans="1:10" ht="13.5" thickBot="1" x14ac:dyDescent="0.25">
      <c r="A80" s="104"/>
      <c r="B80" s="105"/>
      <c r="C80" s="106" t="s">
        <v>53</v>
      </c>
      <c r="D80" s="107"/>
      <c r="E80" s="108"/>
      <c r="F80" s="109">
        <f>+F79+F70</f>
        <v>7306219.9000000004</v>
      </c>
      <c r="G80" s="1"/>
      <c r="H80" s="57" t="s">
        <v>54</v>
      </c>
      <c r="I80" s="30"/>
      <c r="J80" s="30"/>
    </row>
    <row r="81" spans="1:10" x14ac:dyDescent="0.2">
      <c r="A81" s="11"/>
      <c r="B81" s="12"/>
      <c r="C81" s="9"/>
      <c r="D81" s="29"/>
      <c r="E81" s="29"/>
      <c r="F81" s="110"/>
      <c r="G81" s="1"/>
      <c r="H81" s="57">
        <f>+[8]Main!$G19</f>
        <v>100000</v>
      </c>
      <c r="I81" s="30"/>
      <c r="J81" s="30"/>
    </row>
    <row r="82" spans="1:10" x14ac:dyDescent="0.2">
      <c r="A82" s="11"/>
      <c r="B82" s="12"/>
      <c r="C82" s="9"/>
      <c r="D82" s="29"/>
      <c r="E82" s="29"/>
      <c r="F82" s="110"/>
      <c r="G82" s="1"/>
      <c r="H82" s="57">
        <f>SUM(F74:F77)</f>
        <v>100000</v>
      </c>
      <c r="I82" s="30"/>
      <c r="J82" s="30"/>
    </row>
    <row r="83" spans="1:10" x14ac:dyDescent="0.2">
      <c r="A83" s="1"/>
      <c r="B83" s="1"/>
      <c r="C83" s="7"/>
      <c r="D83" s="26"/>
      <c r="E83" s="26"/>
      <c r="F83" s="86">
        <f>+F79+F70</f>
        <v>7306219.9000000004</v>
      </c>
      <c r="G83" s="1"/>
      <c r="H83" s="57">
        <f>+H81-H82</f>
        <v>0</v>
      </c>
      <c r="I83" s="30"/>
      <c r="J83" s="30"/>
    </row>
    <row r="84" spans="1:10" x14ac:dyDescent="0.2">
      <c r="A84" s="1"/>
      <c r="B84" s="1"/>
      <c r="C84" s="7"/>
      <c r="D84" s="26"/>
      <c r="E84" s="26"/>
      <c r="F84" s="86">
        <f>+[1]Main!$F763</f>
        <v>7306219.9000000004</v>
      </c>
      <c r="G84" s="1"/>
      <c r="H84" s="30"/>
      <c r="I84" s="30"/>
      <c r="J84" s="30"/>
    </row>
    <row r="85" spans="1:10" x14ac:dyDescent="0.2">
      <c r="A85" s="1"/>
      <c r="B85" s="1"/>
      <c r="C85" s="7"/>
      <c r="D85" s="26"/>
      <c r="E85" s="86">
        <f>+E70+[1]Main!$E763</f>
        <v>0</v>
      </c>
      <c r="F85" s="86">
        <f>+F84-F83</f>
        <v>0</v>
      </c>
      <c r="G85" s="1"/>
      <c r="H85" s="30"/>
      <c r="I85" s="30"/>
      <c r="J85" s="30"/>
    </row>
    <row r="86" spans="1:10" x14ac:dyDescent="0.2">
      <c r="A86" s="59"/>
      <c r="B86" s="59"/>
      <c r="C86" s="85"/>
      <c r="D86" s="86"/>
      <c r="E86" s="86"/>
      <c r="F86" s="86"/>
      <c r="G86" s="59"/>
      <c r="H86" s="57"/>
      <c r="I86" s="57"/>
      <c r="J86" s="57"/>
    </row>
    <row r="87" spans="1:10" x14ac:dyDescent="0.2">
      <c r="A87" s="59"/>
      <c r="B87" s="59"/>
      <c r="C87" s="85"/>
      <c r="D87" s="86"/>
      <c r="E87" s="86"/>
      <c r="F87" s="86"/>
      <c r="G87" s="59"/>
      <c r="H87" s="57"/>
      <c r="I87" s="57"/>
      <c r="J87" s="57"/>
    </row>
    <row r="88" spans="1:10" x14ac:dyDescent="0.2">
      <c r="A88" s="59"/>
      <c r="B88" s="59"/>
      <c r="C88" s="85"/>
      <c r="D88" s="86"/>
      <c r="E88" s="86"/>
      <c r="F88" s="86"/>
      <c r="G88" s="59"/>
      <c r="H88" s="111" t="s">
        <v>55</v>
      </c>
      <c r="I88" s="57"/>
      <c r="J88" s="57"/>
    </row>
    <row r="89" spans="1:10" x14ac:dyDescent="0.2">
      <c r="G89" s="59"/>
      <c r="H89" s="113"/>
      <c r="I89" s="112"/>
      <c r="J89" s="112"/>
    </row>
    <row r="90" spans="1:10" x14ac:dyDescent="0.2">
      <c r="G90" s="59"/>
      <c r="H90" s="112"/>
      <c r="I90" s="112"/>
      <c r="J90" s="112"/>
    </row>
    <row r="91" spans="1:10" x14ac:dyDescent="0.2">
      <c r="G91" s="59"/>
      <c r="H91" s="112"/>
      <c r="I91" s="112"/>
      <c r="J91" s="112"/>
    </row>
    <row r="92" spans="1:10" x14ac:dyDescent="0.2">
      <c r="G92" s="59"/>
      <c r="H92" s="112"/>
      <c r="I92" s="112"/>
      <c r="J92" s="112"/>
    </row>
    <row r="93" spans="1:10" x14ac:dyDescent="0.2">
      <c r="G93" s="59"/>
      <c r="H93" s="112"/>
      <c r="I93" s="112"/>
      <c r="J93" s="112"/>
    </row>
    <row r="94" spans="1:10" x14ac:dyDescent="0.2">
      <c r="G94" s="59"/>
      <c r="H94" s="71"/>
      <c r="I94" s="112"/>
      <c r="J94" s="112"/>
    </row>
  </sheetData>
  <mergeCells count="1">
    <mergeCell ref="D13:E13"/>
  </mergeCells>
  <phoneticPr fontId="0" type="noConversion"/>
  <printOptions horizontalCentered="1" verticalCentered="1"/>
  <pageMargins left="0.5" right="0.25" top="0.5" bottom="0.5" header="0.5" footer="0.5"/>
  <pageSetup scale="89" orientation="portrait" horizontalDpi="1200" r:id="rId1"/>
  <headerFooter alignWithMargins="0">
    <oddHeader>&amp;R&amp;8Current as of: &amp;D</oddHeader>
    <oddFooter>&amp;L&amp;8USOE, Finance and Statistics&amp;R&amp;8&amp;F</oddFooter>
  </headerFooter>
  <picture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J95"/>
  <sheetViews>
    <sheetView topLeftCell="A37" workbookViewId="0">
      <selection activeCell="B18" sqref="B18"/>
    </sheetView>
  </sheetViews>
  <sheetFormatPr defaultColWidth="18.28515625" defaultRowHeight="12.75" x14ac:dyDescent="0.2"/>
  <cols>
    <col min="1" max="1" width="27" style="75" customWidth="1"/>
    <col min="2" max="2" width="16.7109375" style="75" customWidth="1"/>
    <col min="3" max="3" width="15.85546875" style="75" customWidth="1"/>
    <col min="4" max="4" width="16.28515625" style="75" customWidth="1"/>
    <col min="5" max="5" width="15.5703125" style="75" customWidth="1"/>
    <col min="6" max="6" width="17.42578125" style="75" customWidth="1"/>
    <col min="7" max="7" width="5.7109375" style="75" customWidth="1"/>
    <col min="8" max="8" width="21.5703125" style="75" customWidth="1"/>
    <col min="9" max="9" width="5" style="75" customWidth="1"/>
    <col min="10" max="10" width="20.85546875" style="75" customWidth="1"/>
    <col min="11" max="16384" width="18.28515625" style="75"/>
  </cols>
  <sheetData>
    <row r="1" spans="1:10" x14ac:dyDescent="0.2">
      <c r="A1" s="8"/>
      <c r="B1" s="8"/>
      <c r="C1" s="8"/>
      <c r="D1" s="8"/>
      <c r="E1" s="8"/>
      <c r="F1" s="8"/>
      <c r="G1" s="8"/>
      <c r="H1" s="8"/>
      <c r="I1" s="8"/>
      <c r="J1" s="8"/>
    </row>
    <row r="2" spans="1:10" x14ac:dyDescent="0.2">
      <c r="A2" s="8"/>
      <c r="B2" s="8"/>
      <c r="C2" s="8"/>
      <c r="D2" s="8"/>
      <c r="E2" s="8"/>
      <c r="F2" s="8"/>
      <c r="G2" s="8"/>
      <c r="H2" s="8"/>
      <c r="I2" s="8"/>
      <c r="J2" s="8"/>
    </row>
    <row r="3" spans="1:10" x14ac:dyDescent="0.2">
      <c r="A3" s="8"/>
      <c r="B3" s="8"/>
      <c r="C3" s="8"/>
      <c r="D3" s="8"/>
      <c r="E3" s="8"/>
      <c r="F3" s="8"/>
      <c r="G3" s="8"/>
      <c r="H3" s="8"/>
      <c r="I3" s="8"/>
      <c r="J3" s="8"/>
    </row>
    <row r="4" spans="1:10" x14ac:dyDescent="0.2">
      <c r="A4" s="8"/>
      <c r="B4" s="8"/>
      <c r="C4" s="8"/>
      <c r="D4" s="8"/>
      <c r="E4" s="8"/>
      <c r="F4" s="8"/>
      <c r="G4" s="8"/>
      <c r="H4" s="8"/>
      <c r="I4" s="8"/>
      <c r="J4" s="8"/>
    </row>
    <row r="5" spans="1:10" x14ac:dyDescent="0.2">
      <c r="A5" s="8"/>
      <c r="B5" s="8"/>
      <c r="C5" s="8"/>
      <c r="D5" s="8"/>
      <c r="E5" s="8"/>
      <c r="F5" s="8"/>
      <c r="G5" s="8"/>
      <c r="H5" s="8"/>
      <c r="I5" s="8"/>
      <c r="J5" s="8"/>
    </row>
    <row r="6" spans="1:10" x14ac:dyDescent="0.2">
      <c r="A6" s="8"/>
      <c r="B6" s="8"/>
      <c r="C6" s="8"/>
      <c r="D6" s="8"/>
      <c r="E6" s="8"/>
      <c r="F6" s="8"/>
      <c r="G6" s="8"/>
      <c r="H6" s="8"/>
      <c r="I6" s="8"/>
      <c r="J6" s="8"/>
    </row>
    <row r="7" spans="1:10" x14ac:dyDescent="0.2">
      <c r="A7" s="8"/>
      <c r="B7" s="8"/>
      <c r="C7" s="8"/>
      <c r="D7" s="8"/>
      <c r="E7" s="8"/>
      <c r="F7" s="8"/>
      <c r="G7" s="8"/>
      <c r="H7" s="8"/>
      <c r="I7" s="8"/>
      <c r="J7" s="8"/>
    </row>
    <row r="8" spans="1:10" x14ac:dyDescent="0.2">
      <c r="A8" s="8"/>
      <c r="B8" s="8"/>
      <c r="C8" s="8"/>
      <c r="D8" s="8"/>
      <c r="E8" s="8"/>
      <c r="F8" s="8"/>
      <c r="G8" s="8"/>
      <c r="H8" s="8"/>
      <c r="I8" s="8"/>
      <c r="J8" s="8"/>
    </row>
    <row r="9" spans="1:10" x14ac:dyDescent="0.2">
      <c r="A9" s="8"/>
      <c r="B9" s="8"/>
      <c r="C9" s="8"/>
      <c r="D9" s="8"/>
      <c r="E9" s="8"/>
      <c r="F9" s="8"/>
      <c r="G9" s="8"/>
      <c r="H9" s="8"/>
      <c r="I9" s="8"/>
      <c r="J9" s="8"/>
    </row>
    <row r="10" spans="1:10" x14ac:dyDescent="0.2">
      <c r="A10" s="8"/>
      <c r="B10" s="15"/>
      <c r="C10" s="8"/>
      <c r="D10" s="8"/>
      <c r="E10" s="8"/>
      <c r="F10" s="8"/>
      <c r="G10" s="8"/>
      <c r="H10" s="8"/>
      <c r="I10" s="8"/>
      <c r="J10" s="8"/>
    </row>
    <row r="11" spans="1:10" x14ac:dyDescent="0.2">
      <c r="A11" s="32" t="s">
        <v>0</v>
      </c>
      <c r="B11" s="33">
        <v>3184</v>
      </c>
      <c r="C11" s="34" t="s">
        <v>1</v>
      </c>
      <c r="D11" s="35"/>
      <c r="E11" s="35"/>
      <c r="F11" s="35"/>
      <c r="G11" s="1"/>
      <c r="H11" s="30"/>
      <c r="I11" s="30"/>
      <c r="J11" s="30"/>
    </row>
    <row r="12" spans="1:10" x14ac:dyDescent="0.2">
      <c r="A12" s="32" t="s">
        <v>61</v>
      </c>
      <c r="B12" s="36">
        <f>+[1]Main!$C537</f>
        <v>0</v>
      </c>
      <c r="C12" s="34" t="s">
        <v>41</v>
      </c>
      <c r="D12" s="35"/>
      <c r="E12" s="35"/>
      <c r="F12" s="35"/>
      <c r="G12" s="1"/>
      <c r="H12" s="30"/>
      <c r="I12" s="30"/>
      <c r="J12" s="30"/>
    </row>
    <row r="13" spans="1:10" x14ac:dyDescent="0.2">
      <c r="A13" s="32" t="s">
        <v>62</v>
      </c>
      <c r="B13" s="36">
        <f>+[1]Main!$C592</f>
        <v>2.5010000000000002E-3</v>
      </c>
      <c r="C13" s="34" t="s">
        <v>95</v>
      </c>
      <c r="D13" s="35"/>
      <c r="E13" s="37"/>
      <c r="F13" s="35"/>
      <c r="G13" s="1"/>
      <c r="H13" s="30"/>
      <c r="I13" s="30"/>
      <c r="J13" s="30"/>
    </row>
    <row r="14" spans="1:10" x14ac:dyDescent="0.2">
      <c r="A14" s="38" t="s">
        <v>32</v>
      </c>
      <c r="B14" s="39">
        <f>[2]Sheet1!E19</f>
        <v>1570019219</v>
      </c>
      <c r="C14" s="21"/>
      <c r="D14" s="31"/>
      <c r="E14" s="31"/>
      <c r="F14" s="23"/>
      <c r="G14" s="1"/>
      <c r="H14" s="30"/>
      <c r="I14" s="30"/>
      <c r="J14" s="30"/>
    </row>
    <row r="15" spans="1:10" x14ac:dyDescent="0.2">
      <c r="A15" s="32" t="s">
        <v>2</v>
      </c>
      <c r="B15" s="40">
        <f>[2]Sheet1!F19</f>
        <v>0.93740000000000001</v>
      </c>
      <c r="C15" s="7"/>
      <c r="D15" s="41" t="s">
        <v>3</v>
      </c>
      <c r="E15" s="42" t="str">
        <f>+[3]main!B20</f>
        <v>Grand</v>
      </c>
      <c r="F15" s="43">
        <f>+[3]main!A20</f>
        <v>11</v>
      </c>
      <c r="G15" s="1"/>
      <c r="H15" s="30"/>
      <c r="I15" s="30"/>
      <c r="J15" s="30"/>
    </row>
    <row r="16" spans="1:10" x14ac:dyDescent="0.2">
      <c r="A16" s="32" t="s">
        <v>4</v>
      </c>
      <c r="B16" s="44">
        <f>[2]Sheet1!G19</f>
        <v>1.6750000000000001E-3</v>
      </c>
      <c r="C16" s="8"/>
      <c r="D16" s="24"/>
      <c r="E16" s="25"/>
      <c r="F16" s="24"/>
      <c r="G16" s="1"/>
      <c r="H16" s="30"/>
      <c r="I16" s="30"/>
      <c r="J16" s="30"/>
    </row>
    <row r="17" spans="1:10" x14ac:dyDescent="0.2">
      <c r="A17" s="32" t="s">
        <v>5</v>
      </c>
      <c r="B17" s="45">
        <f>[2]Sheet1!$C$75</f>
        <v>2772729</v>
      </c>
      <c r="C17" s="46"/>
      <c r="D17" s="47" t="s">
        <v>38</v>
      </c>
      <c r="E17" s="48" t="s">
        <v>7</v>
      </c>
      <c r="F17" s="47" t="s">
        <v>6</v>
      </c>
      <c r="G17" s="1"/>
      <c r="H17" s="30"/>
      <c r="I17" s="30"/>
      <c r="J17" s="30"/>
    </row>
    <row r="18" spans="1:10" x14ac:dyDescent="0.2">
      <c r="A18" s="32" t="s">
        <v>8</v>
      </c>
      <c r="B18" s="45">
        <f>+B17</f>
        <v>2772729</v>
      </c>
      <c r="C18" s="49"/>
      <c r="D18" s="50" t="s">
        <v>9</v>
      </c>
      <c r="E18" s="50" t="s">
        <v>37</v>
      </c>
      <c r="F18" s="50" t="s">
        <v>10</v>
      </c>
      <c r="G18" s="1"/>
      <c r="H18" s="30"/>
      <c r="I18" s="30"/>
      <c r="J18" s="30"/>
    </row>
    <row r="19" spans="1:10" x14ac:dyDescent="0.2">
      <c r="A19" s="32" t="s">
        <v>11</v>
      </c>
      <c r="B19" s="45">
        <v>0</v>
      </c>
      <c r="C19" s="51" t="s">
        <v>39</v>
      </c>
      <c r="D19" s="52" t="s">
        <v>12</v>
      </c>
      <c r="E19" s="52" t="s">
        <v>9</v>
      </c>
      <c r="F19" s="52" t="s">
        <v>9</v>
      </c>
      <c r="G19" s="1"/>
      <c r="H19" s="30"/>
      <c r="I19" s="30"/>
      <c r="J19" s="30"/>
    </row>
    <row r="20" spans="1:10" x14ac:dyDescent="0.2">
      <c r="A20" s="32" t="s">
        <v>70</v>
      </c>
      <c r="B20" s="45">
        <f>'[4]LRF FY17'!U17</f>
        <v>102219</v>
      </c>
      <c r="C20" s="53"/>
      <c r="D20" s="54"/>
      <c r="E20" s="54"/>
      <c r="F20" s="54" t="s">
        <v>14</v>
      </c>
      <c r="G20" s="1"/>
      <c r="H20" s="30"/>
      <c r="I20" s="30"/>
      <c r="J20" s="30"/>
    </row>
    <row r="21" spans="1:10" x14ac:dyDescent="0.2">
      <c r="A21" s="55" t="s">
        <v>13</v>
      </c>
      <c r="B21" s="56"/>
      <c r="C21" s="53"/>
      <c r="D21" s="54"/>
      <c r="E21" s="54"/>
      <c r="F21" s="54"/>
      <c r="G21" s="2"/>
      <c r="H21" s="30"/>
      <c r="I21" s="30"/>
      <c r="J21" s="30"/>
    </row>
    <row r="22" spans="1:10" x14ac:dyDescent="0.2">
      <c r="A22" s="55" t="s">
        <v>15</v>
      </c>
      <c r="B22" s="56"/>
      <c r="C22" s="53"/>
      <c r="D22" s="54"/>
      <c r="E22" s="54"/>
      <c r="F22" s="54"/>
      <c r="G22" s="2"/>
      <c r="H22" s="57" t="s">
        <v>43</v>
      </c>
      <c r="I22" s="30"/>
      <c r="J22" s="57" t="s">
        <v>45</v>
      </c>
    </row>
    <row r="23" spans="1:10" x14ac:dyDescent="0.2">
      <c r="A23" s="58" t="s">
        <v>16</v>
      </c>
      <c r="B23" s="59"/>
      <c r="C23" s="60">
        <f>[3]main!C194-[3]main!F136</f>
        <v>1394.431</v>
      </c>
      <c r="D23" s="61">
        <f>[3]main!E194-[3]main!H136</f>
        <v>4439867.76</v>
      </c>
      <c r="E23" s="62">
        <f>IF(B18&gt;D23,D23,B18)</f>
        <v>2772729</v>
      </c>
      <c r="F23" s="62">
        <f>D23-E23</f>
        <v>1667138.76</v>
      </c>
      <c r="G23" s="1"/>
      <c r="H23" s="57">
        <f>[3]main!H253</f>
        <v>5443106.8200000003</v>
      </c>
      <c r="I23" s="30"/>
      <c r="J23" s="57">
        <f>'[5]Sheet 1'!E77</f>
        <v>7020248.9800000004</v>
      </c>
    </row>
    <row r="24" spans="1:10" x14ac:dyDescent="0.2">
      <c r="A24" s="58" t="s">
        <v>17</v>
      </c>
      <c r="B24" s="59"/>
      <c r="C24" s="53">
        <f>[3]main!F136</f>
        <v>111.107</v>
      </c>
      <c r="D24" s="54">
        <f>[3]main!H136</f>
        <v>353764.99</v>
      </c>
      <c r="E24" s="54">
        <f>IF(B17-SUM(E21:E23)&gt;D24,D24,B17-SUM(E21:E23))</f>
        <v>0</v>
      </c>
      <c r="F24" s="54">
        <f>D24-E24</f>
        <v>353764.99</v>
      </c>
      <c r="G24" s="1"/>
      <c r="H24" s="57">
        <f>SUM(D23:D27)</f>
        <v>5443106.8200000003</v>
      </c>
      <c r="I24" s="30"/>
      <c r="J24" s="57">
        <f>D38</f>
        <v>7020248.9800000004</v>
      </c>
    </row>
    <row r="25" spans="1:10" x14ac:dyDescent="0.2">
      <c r="A25" s="58" t="s">
        <v>18</v>
      </c>
      <c r="B25" s="59"/>
      <c r="C25" s="53">
        <f>[3]main!F194</f>
        <v>133.98099999999999</v>
      </c>
      <c r="D25" s="54">
        <f>[3]main!H194</f>
        <v>426594.07</v>
      </c>
      <c r="E25" s="54">
        <f>IF(B18-SUM(E23:E24)&gt;D25,D25,B18-SUM(E23:E24))</f>
        <v>0</v>
      </c>
      <c r="F25" s="54">
        <f>D25-E25</f>
        <v>426594.07</v>
      </c>
      <c r="G25" s="1"/>
      <c r="H25" s="57">
        <f>+H23-H24</f>
        <v>0</v>
      </c>
      <c r="I25" s="30"/>
      <c r="J25" s="57">
        <f>+J23-J24</f>
        <v>0</v>
      </c>
    </row>
    <row r="26" spans="1:10" x14ac:dyDescent="0.2">
      <c r="A26" s="58" t="s">
        <v>19</v>
      </c>
      <c r="B26" s="59"/>
      <c r="C26" s="53">
        <f>[3]main!C253</f>
        <v>70</v>
      </c>
      <c r="D26" s="54">
        <f>[3]main!E253</f>
        <v>222880</v>
      </c>
      <c r="E26" s="54">
        <f>IF(B18-SUM(E23:E25)&gt;D26,D26,B18-SUM(E23:E25))</f>
        <v>0</v>
      </c>
      <c r="F26" s="54">
        <f>D26-E26</f>
        <v>222880</v>
      </c>
      <c r="G26" s="1"/>
      <c r="H26" s="30"/>
      <c r="I26" s="30"/>
      <c r="J26" s="30"/>
    </row>
    <row r="27" spans="1:10" x14ac:dyDescent="0.2">
      <c r="A27" s="58" t="s">
        <v>42</v>
      </c>
      <c r="B27" s="59"/>
      <c r="C27" s="53">
        <f>[3]main!C77</f>
        <v>0</v>
      </c>
      <c r="D27" s="54">
        <f>[3]main!E77</f>
        <v>0</v>
      </c>
      <c r="E27" s="54">
        <f>IF(B18-SUM(E23:E26)&gt;D27,D27,B18-SUM(E23:E26))</f>
        <v>0</v>
      </c>
      <c r="F27" s="54">
        <f>D27-E27</f>
        <v>0</v>
      </c>
      <c r="G27" s="1"/>
      <c r="H27" s="30"/>
      <c r="I27" s="30"/>
      <c r="J27" s="30"/>
    </row>
    <row r="28" spans="1:10" x14ac:dyDescent="0.2">
      <c r="A28" s="55" t="s">
        <v>20</v>
      </c>
      <c r="B28" s="56"/>
      <c r="C28" s="63"/>
      <c r="D28" s="64"/>
      <c r="E28" s="64"/>
      <c r="F28" s="64" t="s">
        <v>14</v>
      </c>
      <c r="G28" s="1"/>
      <c r="H28" s="57" t="s">
        <v>44</v>
      </c>
      <c r="I28" s="30"/>
      <c r="J28" s="30"/>
    </row>
    <row r="29" spans="1:10" x14ac:dyDescent="0.2">
      <c r="A29" s="58" t="s">
        <v>21</v>
      </c>
      <c r="B29" s="59"/>
      <c r="C29" s="53">
        <f>'[6]Sheet 1'!C19</f>
        <v>173.90600000000001</v>
      </c>
      <c r="D29" s="54">
        <f>'[6]Sheet 1'!E19</f>
        <v>553717.62</v>
      </c>
      <c r="E29" s="54">
        <f>IF(B18-SUM(E23:E28)&gt;D29,D29,B18-SUM(E23:E28))</f>
        <v>0</v>
      </c>
      <c r="F29" s="54">
        <f t="shared" ref="F29:F37" si="0">D29-E29</f>
        <v>553717.62</v>
      </c>
      <c r="G29" s="1"/>
      <c r="H29" s="57">
        <f>'[6]Sheet 1'!N135</f>
        <v>877503.2</v>
      </c>
      <c r="I29" s="30"/>
      <c r="J29" s="30"/>
    </row>
    <row r="30" spans="1:10" x14ac:dyDescent="0.2">
      <c r="A30" s="59" t="s">
        <v>22</v>
      </c>
      <c r="B30" s="59"/>
      <c r="C30" s="53">
        <f>'[6]Sheet 1'!F19</f>
        <v>52.67</v>
      </c>
      <c r="D30" s="54">
        <f>'[6]Sheet 1'!H19</f>
        <v>167701.28</v>
      </c>
      <c r="E30" s="54">
        <f>IF(B18-SUM(E23:E29)&gt;D30,D30,B18-SUM(E23:E29))</f>
        <v>0</v>
      </c>
      <c r="F30" s="54">
        <f t="shared" si="0"/>
        <v>167701.28</v>
      </c>
      <c r="G30" s="1"/>
      <c r="H30" s="57">
        <f>SUM(D29:D35)</f>
        <v>877503.2</v>
      </c>
      <c r="I30" s="30"/>
      <c r="J30" s="30"/>
    </row>
    <row r="31" spans="1:10" x14ac:dyDescent="0.2">
      <c r="A31" s="59" t="s">
        <v>23</v>
      </c>
      <c r="B31" s="59"/>
      <c r="C31" s="53">
        <f>'[6]Sheet 1'!C77</f>
        <v>41.16</v>
      </c>
      <c r="D31" s="54">
        <f>'[6]Sheet 1'!E77</f>
        <v>131053.44</v>
      </c>
      <c r="E31" s="54">
        <f>IF(B18-SUM(E23:E30)&gt;D31,D31,B18-SUM(E23:E30))</f>
        <v>0</v>
      </c>
      <c r="F31" s="54">
        <f t="shared" si="0"/>
        <v>131053.44</v>
      </c>
      <c r="G31" s="1"/>
      <c r="H31" s="57">
        <f>+H29-H30</f>
        <v>0</v>
      </c>
      <c r="I31" s="30"/>
      <c r="J31" s="30"/>
    </row>
    <row r="32" spans="1:10" x14ac:dyDescent="0.2">
      <c r="A32" s="58" t="s">
        <v>24</v>
      </c>
      <c r="B32" s="59"/>
      <c r="C32" s="53">
        <f>'[6]Sheet 1'!F77</f>
        <v>1.8069999999999999</v>
      </c>
      <c r="D32" s="54">
        <f>'[6]Sheet 1'!H77</f>
        <v>5755.05</v>
      </c>
      <c r="E32" s="54">
        <f>IF(B18-SUM(E23:E31)&gt;D32,D32,B18-SUM(E23:E31))</f>
        <v>0</v>
      </c>
      <c r="F32" s="54">
        <f t="shared" si="0"/>
        <v>5755.05</v>
      </c>
      <c r="G32" s="1"/>
      <c r="H32" s="30"/>
      <c r="I32" s="30"/>
      <c r="J32" s="30"/>
    </row>
    <row r="33" spans="1:10" x14ac:dyDescent="0.2">
      <c r="A33" s="59" t="s">
        <v>71</v>
      </c>
      <c r="B33" s="59"/>
      <c r="C33" s="53">
        <f>'[6]Sheet 1'!C135</f>
        <v>6.0540000000000003</v>
      </c>
      <c r="D33" s="54">
        <f>'[6]Sheet 1'!E135</f>
        <v>19275.810000000001</v>
      </c>
      <c r="E33" s="54">
        <f>IF(B18-SUM(E23:E32)&gt;D33,D33,B18-SUM(E23:E32))</f>
        <v>0</v>
      </c>
      <c r="F33" s="54">
        <f t="shared" si="0"/>
        <v>19275.810000000001</v>
      </c>
      <c r="G33" s="1"/>
      <c r="H33" s="30"/>
      <c r="I33" s="30"/>
      <c r="J33" s="30"/>
    </row>
    <row r="34" spans="1:10" x14ac:dyDescent="0.2">
      <c r="A34" s="59" t="s">
        <v>57</v>
      </c>
      <c r="B34" s="59"/>
      <c r="C34" s="53">
        <f>'[6]Sheet 1'!F135</f>
        <v>0</v>
      </c>
      <c r="D34" s="54">
        <f>'[6]Sheet 1'!H135</f>
        <v>0</v>
      </c>
      <c r="E34" s="54">
        <f>IF(B19-SUM(E24:E33)&gt;D34,D34,B19-SUM(E24:E33))</f>
        <v>0</v>
      </c>
      <c r="F34" s="54">
        <f t="shared" si="0"/>
        <v>0</v>
      </c>
      <c r="G34" s="1"/>
      <c r="H34" s="30"/>
      <c r="I34" s="30"/>
      <c r="J34" s="30"/>
    </row>
    <row r="35" spans="1:10" x14ac:dyDescent="0.2">
      <c r="A35" s="59" t="s">
        <v>64</v>
      </c>
      <c r="B35" s="59"/>
      <c r="C35" s="53">
        <f>'[6]Sheet 1'!I135</f>
        <v>0</v>
      </c>
      <c r="D35" s="54">
        <f>'[6]Sheet 1'!K135</f>
        <v>0</v>
      </c>
      <c r="E35" s="54">
        <f>IF(B21-SUM(E25:E34)&gt;D35,D35,B21-SUM(E25:E34))</f>
        <v>0</v>
      </c>
      <c r="F35" s="54">
        <f t="shared" si="0"/>
        <v>0</v>
      </c>
      <c r="G35" s="1"/>
      <c r="H35" s="57" t="s">
        <v>46</v>
      </c>
      <c r="I35" s="30"/>
      <c r="J35" s="30"/>
    </row>
    <row r="36" spans="1:10" x14ac:dyDescent="0.2">
      <c r="A36" s="59" t="s">
        <v>58</v>
      </c>
      <c r="B36" s="59"/>
      <c r="C36" s="53">
        <f>'[6]Sheet 1'!C193</f>
        <v>130.48699999999999</v>
      </c>
      <c r="D36" s="54">
        <f>'[6]Sheet 1'!E193</f>
        <v>415467.74</v>
      </c>
      <c r="E36" s="54">
        <f>IF(B18-SUM(E23:E33)&gt;D36,D36,B18-SUM(E23:E33))</f>
        <v>0</v>
      </c>
      <c r="F36" s="54">
        <f t="shared" si="0"/>
        <v>415467.74</v>
      </c>
      <c r="G36" s="4"/>
      <c r="H36" s="57">
        <f>+'[6]Sheet 1'!E193</f>
        <v>415467.74</v>
      </c>
      <c r="I36" s="30"/>
      <c r="J36" s="30"/>
    </row>
    <row r="37" spans="1:10" x14ac:dyDescent="0.2">
      <c r="A37" s="58" t="s">
        <v>59</v>
      </c>
      <c r="B37" s="59"/>
      <c r="C37" s="53">
        <f>'[5]Sheet 1'!C19</f>
        <v>89.25</v>
      </c>
      <c r="D37" s="54">
        <f>'[5]Sheet 1'!E19</f>
        <v>284171.21999999997</v>
      </c>
      <c r="E37" s="54">
        <f>IF(B18-SUM(E23:E36)&gt;D37,D37,B18-SUM(E23:E36))</f>
        <v>0</v>
      </c>
      <c r="F37" s="54">
        <f t="shared" si="0"/>
        <v>284171.21999999997</v>
      </c>
      <c r="G37" s="5"/>
      <c r="H37" s="57">
        <f>+D36</f>
        <v>415467.74</v>
      </c>
      <c r="I37" s="30"/>
      <c r="J37" s="30"/>
    </row>
    <row r="38" spans="1:10" x14ac:dyDescent="0.2">
      <c r="A38" s="65" t="s">
        <v>28</v>
      </c>
      <c r="B38" s="56"/>
      <c r="C38" s="66">
        <f>SUM(C23:C37)</f>
        <v>2204.8530000000001</v>
      </c>
      <c r="D38" s="67">
        <f>SUM(D23:D37)</f>
        <v>7020248.9800000004</v>
      </c>
      <c r="E38" s="67">
        <f>SUM(E23:E37)</f>
        <v>2772729</v>
      </c>
      <c r="F38" s="67">
        <f>SUM(F23:F37)</f>
        <v>4247519.9800000004</v>
      </c>
      <c r="G38" s="1"/>
      <c r="H38" s="57">
        <f>+H36-H37</f>
        <v>0</v>
      </c>
      <c r="I38" s="30"/>
      <c r="J38" s="30"/>
    </row>
    <row r="39" spans="1:10" x14ac:dyDescent="0.2">
      <c r="A39" s="68" t="s">
        <v>26</v>
      </c>
      <c r="B39" s="56"/>
      <c r="C39" s="69"/>
      <c r="D39" s="54"/>
      <c r="E39" s="54"/>
      <c r="F39" s="54"/>
      <c r="G39" s="1"/>
      <c r="H39" s="57" t="s">
        <v>47</v>
      </c>
      <c r="I39" s="30"/>
      <c r="J39" s="57" t="s">
        <v>52</v>
      </c>
    </row>
    <row r="40" spans="1:10" x14ac:dyDescent="0.2">
      <c r="A40" s="58" t="s">
        <v>56</v>
      </c>
      <c r="B40" s="59"/>
      <c r="C40" s="20"/>
      <c r="D40" s="70">
        <f>[1]Main!F20</f>
        <v>20347.98</v>
      </c>
      <c r="E40" s="54">
        <f>IF($B18-SUM($E38)&gt;D40,D40,$B18-SUM($E38))</f>
        <v>0</v>
      </c>
      <c r="F40" s="54">
        <f t="shared" ref="F40:F58" si="1">D40-E40</f>
        <v>20347.98</v>
      </c>
      <c r="G40" s="1"/>
      <c r="H40" s="57">
        <f>[1]Main!G20</f>
        <v>294060.71000000002</v>
      </c>
      <c r="I40" s="30"/>
      <c r="J40" s="57">
        <f>+[1]Main!D481</f>
        <v>1380896.02</v>
      </c>
    </row>
    <row r="41" spans="1:10" x14ac:dyDescent="0.2">
      <c r="A41" s="59" t="s">
        <v>25</v>
      </c>
      <c r="B41" s="59"/>
      <c r="C41" s="20"/>
      <c r="D41" s="70">
        <f>[1]Main!C20</f>
        <v>273712.73</v>
      </c>
      <c r="E41" s="54">
        <f>IF($B18-SUM($E38:E40)&gt;D41,D41,B18-SUM($E38:E40))</f>
        <v>0</v>
      </c>
      <c r="F41" s="54">
        <f t="shared" si="1"/>
        <v>273712.73</v>
      </c>
      <c r="G41" s="1"/>
      <c r="H41" s="57">
        <f>SUM(D40:D42)</f>
        <v>294060.71000000002</v>
      </c>
      <c r="I41" s="30"/>
      <c r="J41" s="57">
        <f>SUM(D40:D67)-E53</f>
        <v>1380896.02</v>
      </c>
    </row>
    <row r="42" spans="1:10" x14ac:dyDescent="0.2">
      <c r="A42" s="71" t="s">
        <v>27</v>
      </c>
      <c r="B42" s="59"/>
      <c r="C42" s="20"/>
      <c r="D42" s="70">
        <f>[1]Main!D20</f>
        <v>0</v>
      </c>
      <c r="E42" s="54">
        <f>IF($B18-SUM($E38:E41)&gt;D42,D42,$B18-SUM($E38:E41))</f>
        <v>0</v>
      </c>
      <c r="F42" s="54">
        <f>D42-E42</f>
        <v>0</v>
      </c>
      <c r="G42" s="1"/>
      <c r="H42" s="57">
        <f>+H40-H41</f>
        <v>0</v>
      </c>
      <c r="I42" s="30"/>
      <c r="J42" s="57">
        <f>+J40-J41</f>
        <v>0</v>
      </c>
    </row>
    <row r="43" spans="1:10" x14ac:dyDescent="0.2">
      <c r="A43" s="72" t="s">
        <v>72</v>
      </c>
      <c r="B43" s="59"/>
      <c r="C43" s="20"/>
      <c r="D43" s="70">
        <f>[1]Main!E20</f>
        <v>0</v>
      </c>
      <c r="E43" s="54">
        <f>IF($B19-SUM($E39:E42)&gt;D43,D43,$B19-SUM($E39:E42))</f>
        <v>0</v>
      </c>
      <c r="F43" s="54">
        <f>D43-E43</f>
        <v>0</v>
      </c>
      <c r="G43" s="1"/>
      <c r="H43" s="30"/>
      <c r="I43" s="30"/>
      <c r="J43" s="30"/>
    </row>
    <row r="44" spans="1:10" x14ac:dyDescent="0.2">
      <c r="A44" s="72" t="s">
        <v>73</v>
      </c>
      <c r="B44" s="59"/>
      <c r="C44" s="20"/>
      <c r="D44" s="54">
        <f>+[1]Main!$F136</f>
        <v>7609.45</v>
      </c>
      <c r="E44" s="54">
        <f>IF($B18-SUM($E38:E42)&gt;D44,D44,$B18-SUM($E38:E42))</f>
        <v>0</v>
      </c>
      <c r="F44" s="54">
        <f t="shared" si="1"/>
        <v>7609.45</v>
      </c>
      <c r="G44" s="1"/>
      <c r="H44" s="30"/>
      <c r="I44" s="30"/>
      <c r="J44" s="30"/>
    </row>
    <row r="45" spans="1:10" x14ac:dyDescent="0.2">
      <c r="A45" s="71" t="s">
        <v>74</v>
      </c>
      <c r="B45" s="59"/>
      <c r="C45" s="20"/>
      <c r="D45" s="54">
        <f>+[1]Main!$C78</f>
        <v>58296</v>
      </c>
      <c r="E45" s="54">
        <f>IF($B18-SUM($E38:E44)&gt;D45,D45,$B18-SUM($E38:E44))</f>
        <v>0</v>
      </c>
      <c r="F45" s="54">
        <f t="shared" si="1"/>
        <v>58296</v>
      </c>
      <c r="G45" s="1"/>
      <c r="H45" s="30"/>
      <c r="I45" s="30"/>
      <c r="J45" s="30"/>
    </row>
    <row r="46" spans="1:10" x14ac:dyDescent="0.2">
      <c r="A46" s="71" t="s">
        <v>75</v>
      </c>
      <c r="B46" s="59"/>
      <c r="C46" s="20"/>
      <c r="D46" s="54">
        <f>+[1]Main!$D78</f>
        <v>0</v>
      </c>
      <c r="E46" s="54">
        <f>IF($B18-SUM($E38:E45)&gt;D46,D46,$B18-SUM($E38:E45))</f>
        <v>0</v>
      </c>
      <c r="F46" s="54">
        <f t="shared" si="1"/>
        <v>0</v>
      </c>
      <c r="G46" s="1"/>
      <c r="H46" s="30"/>
      <c r="I46" s="30"/>
      <c r="J46" s="30"/>
    </row>
    <row r="47" spans="1:10" x14ac:dyDescent="0.2">
      <c r="A47" s="71" t="s">
        <v>76</v>
      </c>
      <c r="B47" s="59"/>
      <c r="C47" s="20"/>
      <c r="D47" s="54">
        <f>+[1]Main!$E78</f>
        <v>39595</v>
      </c>
      <c r="E47" s="54">
        <f>IF($B18-SUM($E38:E46)&gt;D47,D47,$B18-SUM($E38:E46))</f>
        <v>0</v>
      </c>
      <c r="F47" s="54">
        <f t="shared" si="1"/>
        <v>39595</v>
      </c>
      <c r="G47" s="1"/>
      <c r="H47" s="30"/>
      <c r="I47" s="30"/>
      <c r="J47" s="30"/>
    </row>
    <row r="48" spans="1:10" x14ac:dyDescent="0.2">
      <c r="A48" s="71" t="s">
        <v>77</v>
      </c>
      <c r="B48" s="59"/>
      <c r="C48" s="20"/>
      <c r="D48" s="54">
        <f>[1]Main!F78</f>
        <v>40124</v>
      </c>
      <c r="E48" s="54">
        <f>IF($B18-SUM($E38:E47)&gt;D48,D48,$B18-SUM($E38:E47))</f>
        <v>0</v>
      </c>
      <c r="F48" s="54">
        <f t="shared" si="1"/>
        <v>40124</v>
      </c>
      <c r="G48" s="1"/>
      <c r="H48" s="57" t="s">
        <v>48</v>
      </c>
      <c r="I48" s="30"/>
      <c r="J48" s="30"/>
    </row>
    <row r="49" spans="1:10" x14ac:dyDescent="0.2">
      <c r="A49" s="71" t="s">
        <v>79</v>
      </c>
      <c r="B49" s="59"/>
      <c r="C49" s="20"/>
      <c r="D49" s="54">
        <f>[1]Main!G78</f>
        <v>0</v>
      </c>
      <c r="E49" s="54">
        <f>IF($B18-SUM($E38:E48)&gt;D49,D49,$B18-SUM($E38:E48))</f>
        <v>0</v>
      </c>
      <c r="F49" s="54">
        <f t="shared" si="1"/>
        <v>0</v>
      </c>
      <c r="G49" s="1"/>
      <c r="H49" s="57"/>
      <c r="I49" s="30"/>
      <c r="J49" s="30"/>
    </row>
    <row r="50" spans="1:10" x14ac:dyDescent="0.2">
      <c r="A50" s="71" t="s">
        <v>78</v>
      </c>
      <c r="B50" s="59"/>
      <c r="C50" s="20"/>
      <c r="D50" s="54">
        <f>[1]Main!G136</f>
        <v>16552.25</v>
      </c>
      <c r="E50" s="54">
        <f>IF($B18-SUM($E38:E49)&gt;D50,D50,$B18-SUM($E38:E49))</f>
        <v>0</v>
      </c>
      <c r="F50" s="54">
        <f t="shared" si="1"/>
        <v>16552.25</v>
      </c>
      <c r="G50" s="1"/>
      <c r="H50" s="73">
        <f>+[1]Main!D194</f>
        <v>162176.70000000001</v>
      </c>
      <c r="I50" s="30"/>
      <c r="J50" s="30"/>
    </row>
    <row r="51" spans="1:10" x14ac:dyDescent="0.2">
      <c r="A51" s="71" t="s">
        <v>80</v>
      </c>
      <c r="B51" s="59"/>
      <c r="C51" s="20"/>
      <c r="D51" s="54">
        <f>[1]Main!C194</f>
        <v>0</v>
      </c>
      <c r="E51" s="54"/>
      <c r="F51" s="54">
        <f t="shared" si="1"/>
        <v>0</v>
      </c>
      <c r="G51" s="1"/>
      <c r="H51" s="57">
        <f>+SUM(D44:D51)</f>
        <v>162176.70000000001</v>
      </c>
      <c r="I51" s="30"/>
      <c r="J51" s="30"/>
    </row>
    <row r="52" spans="1:10" x14ac:dyDescent="0.2">
      <c r="A52" s="71" t="s">
        <v>81</v>
      </c>
      <c r="B52" s="59"/>
      <c r="C52" s="20"/>
      <c r="D52" s="54">
        <f>[1]Main!C252</f>
        <v>208943</v>
      </c>
      <c r="E52" s="54">
        <v>0</v>
      </c>
      <c r="F52" s="54">
        <f t="shared" si="1"/>
        <v>208943</v>
      </c>
      <c r="G52" s="1"/>
      <c r="H52" s="57">
        <f>+H50-H51</f>
        <v>0</v>
      </c>
      <c r="I52" s="30"/>
      <c r="J52" s="30"/>
    </row>
    <row r="53" spans="1:10" x14ac:dyDescent="0.2">
      <c r="A53" s="71" t="s">
        <v>82</v>
      </c>
      <c r="B53" s="59"/>
      <c r="C53" s="20"/>
      <c r="D53" s="54">
        <f>+[7]Main!I19+[7]Main!J19</f>
        <v>241728.33</v>
      </c>
      <c r="E53" s="74">
        <f>[7]Main!J19</f>
        <v>190029.44</v>
      </c>
      <c r="F53" s="54">
        <f t="shared" si="1"/>
        <v>51698.89</v>
      </c>
      <c r="G53" s="1"/>
      <c r="H53" s="30"/>
      <c r="I53" s="30"/>
      <c r="J53" s="30"/>
    </row>
    <row r="54" spans="1:10" x14ac:dyDescent="0.2">
      <c r="A54" s="71" t="s">
        <v>83</v>
      </c>
      <c r="B54" s="59"/>
      <c r="C54" s="20"/>
      <c r="D54" s="54">
        <f>[1]Main!F252</f>
        <v>47689</v>
      </c>
      <c r="E54" s="54">
        <v>0</v>
      </c>
      <c r="F54" s="54">
        <f t="shared" si="1"/>
        <v>47689</v>
      </c>
      <c r="G54" s="1"/>
      <c r="H54" s="30"/>
      <c r="I54" s="30"/>
      <c r="J54" s="30"/>
    </row>
    <row r="55" spans="1:10" x14ac:dyDescent="0.2">
      <c r="A55" s="71" t="s">
        <v>84</v>
      </c>
      <c r="B55" s="59"/>
      <c r="C55" s="7"/>
      <c r="D55" s="54">
        <f>[1]Main!E252</f>
        <v>0</v>
      </c>
      <c r="E55" s="54">
        <v>0</v>
      </c>
      <c r="F55" s="54">
        <f t="shared" si="1"/>
        <v>0</v>
      </c>
      <c r="G55" s="1"/>
      <c r="H55" s="57" t="s">
        <v>49</v>
      </c>
      <c r="I55" s="30"/>
      <c r="J55" s="30"/>
    </row>
    <row r="56" spans="1:10" x14ac:dyDescent="0.2">
      <c r="A56" s="71" t="s">
        <v>85</v>
      </c>
      <c r="B56" s="59"/>
      <c r="C56" s="7"/>
      <c r="D56" s="54">
        <f>[1]Main!G252</f>
        <v>44698</v>
      </c>
      <c r="E56" s="54">
        <v>0</v>
      </c>
      <c r="F56" s="54">
        <f t="shared" si="1"/>
        <v>44698</v>
      </c>
      <c r="G56" s="1"/>
      <c r="H56" s="57">
        <f>+[1]Main!C481</f>
        <v>895255.27</v>
      </c>
      <c r="I56" s="57"/>
      <c r="J56" s="57"/>
    </row>
    <row r="57" spans="1:10" x14ac:dyDescent="0.2">
      <c r="A57" s="71" t="s">
        <v>86</v>
      </c>
      <c r="B57" s="59"/>
      <c r="C57" s="20"/>
      <c r="D57" s="54">
        <f>[1]Main!C310</f>
        <v>0</v>
      </c>
      <c r="E57" s="54">
        <v>0</v>
      </c>
      <c r="F57" s="54">
        <f t="shared" si="1"/>
        <v>0</v>
      </c>
      <c r="G57" s="1"/>
      <c r="H57" s="57">
        <f>+SUM(D52:D62)-E53</f>
        <v>895255.27</v>
      </c>
      <c r="I57" s="57"/>
      <c r="J57" s="57">
        <f>+H57-H56</f>
        <v>0</v>
      </c>
    </row>
    <row r="58" spans="1:10" x14ac:dyDescent="0.2">
      <c r="A58" s="71" t="s">
        <v>87</v>
      </c>
      <c r="C58" s="8"/>
      <c r="D58" s="76">
        <f>[1]Main!D310</f>
        <v>491227.62</v>
      </c>
      <c r="E58" s="77">
        <v>0</v>
      </c>
      <c r="F58" s="77">
        <f t="shared" si="1"/>
        <v>491227.62</v>
      </c>
      <c r="G58" s="5"/>
      <c r="H58" s="57">
        <f>+H56-H57</f>
        <v>0</v>
      </c>
      <c r="I58" s="57"/>
      <c r="J58" s="57"/>
    </row>
    <row r="59" spans="1:10" x14ac:dyDescent="0.2">
      <c r="A59" s="71" t="s">
        <v>88</v>
      </c>
      <c r="B59" s="59"/>
      <c r="C59" s="20"/>
      <c r="D59" s="54">
        <f>+[1]Main!$E310</f>
        <v>2102.96</v>
      </c>
      <c r="E59" s="54">
        <v>0</v>
      </c>
      <c r="F59" s="54">
        <f>D59-E59</f>
        <v>2102.96</v>
      </c>
      <c r="G59" s="4"/>
      <c r="H59" s="30"/>
      <c r="I59" s="30"/>
      <c r="J59" s="30"/>
    </row>
    <row r="60" spans="1:10" x14ac:dyDescent="0.2">
      <c r="A60" s="71" t="s">
        <v>89</v>
      </c>
      <c r="B60" s="59"/>
      <c r="C60" s="20"/>
      <c r="D60" s="54">
        <f>[1]Main!F310</f>
        <v>5417.74</v>
      </c>
      <c r="E60" s="54">
        <v>0</v>
      </c>
      <c r="F60" s="54">
        <f>D60-E60</f>
        <v>5417.74</v>
      </c>
      <c r="G60" s="4"/>
      <c r="H60" s="30"/>
      <c r="I60" s="30"/>
      <c r="J60" s="30"/>
    </row>
    <row r="61" spans="1:10" x14ac:dyDescent="0.2">
      <c r="A61" s="71" t="s">
        <v>90</v>
      </c>
      <c r="B61" s="59"/>
      <c r="C61" s="20"/>
      <c r="D61" s="54">
        <f>[1]Main!G310</f>
        <v>0</v>
      </c>
      <c r="E61" s="54">
        <v>0</v>
      </c>
      <c r="F61" s="54">
        <f>D61-E61</f>
        <v>0</v>
      </c>
      <c r="G61" s="1"/>
      <c r="H61" s="57" t="s">
        <v>50</v>
      </c>
      <c r="I61" s="30"/>
      <c r="J61" s="30"/>
    </row>
    <row r="62" spans="1:10" x14ac:dyDescent="0.2">
      <c r="A62" s="71" t="s">
        <v>93</v>
      </c>
      <c r="B62" s="59"/>
      <c r="C62" s="20"/>
      <c r="D62" s="54">
        <f>[1]Main!F367</f>
        <v>43478.06</v>
      </c>
      <c r="E62" s="54">
        <v>0</v>
      </c>
      <c r="F62" s="54">
        <f>D62-E62</f>
        <v>43478.06</v>
      </c>
      <c r="G62" s="1"/>
      <c r="H62" s="57"/>
      <c r="I62" s="30"/>
      <c r="J62" s="30"/>
    </row>
    <row r="63" spans="1:10" x14ac:dyDescent="0.2">
      <c r="A63" s="55" t="s">
        <v>30</v>
      </c>
      <c r="B63" s="78"/>
      <c r="C63" s="79"/>
      <c r="D63" s="64"/>
      <c r="E63" s="64"/>
      <c r="F63" s="64"/>
      <c r="G63" s="1"/>
      <c r="H63" s="57"/>
      <c r="I63" s="30"/>
      <c r="J63" s="30"/>
    </row>
    <row r="64" spans="1:10" x14ac:dyDescent="0.2">
      <c r="A64" s="71" t="s">
        <v>60</v>
      </c>
      <c r="B64" s="59"/>
      <c r="C64" s="20"/>
      <c r="D64" s="54">
        <f>[1]Main!C424</f>
        <v>17060.310000000001</v>
      </c>
      <c r="E64" s="54">
        <v>0</v>
      </c>
      <c r="F64" s="54">
        <f>D64-E64</f>
        <v>17060.310000000001</v>
      </c>
      <c r="G64" s="1"/>
      <c r="H64" s="57">
        <f>+[1]Main!G424</f>
        <v>29403.34</v>
      </c>
      <c r="I64" s="30"/>
      <c r="J64" s="30"/>
    </row>
    <row r="65" spans="1:10" x14ac:dyDescent="0.2">
      <c r="A65" s="71" t="s">
        <v>63</v>
      </c>
      <c r="B65" s="59"/>
      <c r="C65" s="20"/>
      <c r="D65" s="54">
        <f>[1]Main!D424</f>
        <v>0</v>
      </c>
      <c r="E65" s="54">
        <v>0</v>
      </c>
      <c r="F65" s="54">
        <f>D65-E65</f>
        <v>0</v>
      </c>
      <c r="G65" s="4"/>
      <c r="H65" s="57">
        <f>SUM(D64:D67)</f>
        <v>29403.34</v>
      </c>
      <c r="I65" s="30"/>
      <c r="J65" s="30"/>
    </row>
    <row r="66" spans="1:10" x14ac:dyDescent="0.2">
      <c r="A66" s="71" t="s">
        <v>91</v>
      </c>
      <c r="B66" s="59"/>
      <c r="C66" s="20"/>
      <c r="D66" s="54">
        <f>[1]Main!E424</f>
        <v>0</v>
      </c>
      <c r="E66" s="54">
        <v>0</v>
      </c>
      <c r="F66" s="54">
        <f>D66-E66</f>
        <v>0</v>
      </c>
      <c r="G66" s="4"/>
      <c r="H66" s="57">
        <f>+H64-H65</f>
        <v>0</v>
      </c>
      <c r="I66" s="30"/>
      <c r="J66" s="30"/>
    </row>
    <row r="67" spans="1:10" x14ac:dyDescent="0.2">
      <c r="A67" s="71" t="s">
        <v>92</v>
      </c>
      <c r="B67" s="59"/>
      <c r="C67" s="20"/>
      <c r="D67" s="54">
        <f>[1]Main!F424</f>
        <v>12343.03</v>
      </c>
      <c r="E67" s="54">
        <v>0</v>
      </c>
      <c r="F67" s="54">
        <f>D67-E67</f>
        <v>12343.03</v>
      </c>
      <c r="G67" s="1"/>
      <c r="H67" s="30"/>
      <c r="I67" s="30"/>
      <c r="J67" s="30"/>
    </row>
    <row r="68" spans="1:10" x14ac:dyDescent="0.2">
      <c r="A68" s="55" t="s">
        <v>31</v>
      </c>
      <c r="B68" s="78"/>
      <c r="C68" s="79"/>
      <c r="D68" s="64"/>
      <c r="E68" s="64"/>
      <c r="F68" s="64"/>
      <c r="G68" s="1"/>
      <c r="H68" s="30"/>
      <c r="I68" s="30"/>
      <c r="J68" s="30"/>
    </row>
    <row r="69" spans="1:10" x14ac:dyDescent="0.2">
      <c r="A69" s="58" t="s">
        <v>69</v>
      </c>
      <c r="B69" s="59"/>
      <c r="C69" s="20"/>
      <c r="D69" s="54">
        <f>+[1]Main!$G537</f>
        <v>0</v>
      </c>
      <c r="E69" s="54">
        <f>+[1]Main!$D537</f>
        <v>0</v>
      </c>
      <c r="F69" s="54">
        <f>+D69-E69</f>
        <v>0</v>
      </c>
      <c r="G69" s="1"/>
      <c r="H69" s="30"/>
      <c r="I69" s="30"/>
      <c r="J69" s="30"/>
    </row>
    <row r="70" spans="1:10" x14ac:dyDescent="0.2">
      <c r="A70" s="59" t="s">
        <v>68</v>
      </c>
      <c r="B70" s="59"/>
      <c r="C70" s="20"/>
      <c r="D70" s="54">
        <f>+[1]Main!$G592</f>
        <v>662144.32999999996</v>
      </c>
      <c r="E70" s="54">
        <f>+[1]Main!$D592</f>
        <v>662144.32999999996</v>
      </c>
      <c r="F70" s="54">
        <f>+D70-E70</f>
        <v>0</v>
      </c>
      <c r="G70" s="1"/>
      <c r="H70" s="30"/>
      <c r="I70" s="30"/>
      <c r="J70" s="30"/>
    </row>
    <row r="71" spans="1:10" ht="13.5" thickBot="1" x14ac:dyDescent="0.25">
      <c r="A71" s="80"/>
      <c r="B71" s="81"/>
      <c r="C71" s="82" t="s">
        <v>29</v>
      </c>
      <c r="D71" s="83">
        <f>SUM(D38:D70)</f>
        <v>9253318.7699999996</v>
      </c>
      <c r="E71" s="83">
        <f>SUM(E38:E70)</f>
        <v>3624902.77</v>
      </c>
      <c r="F71" s="83">
        <f>SUM(F38:F70)</f>
        <v>5628416</v>
      </c>
      <c r="G71" s="1"/>
      <c r="H71" s="30"/>
      <c r="I71" s="30"/>
      <c r="J71" s="30"/>
    </row>
    <row r="72" spans="1:10" ht="13.5" thickTop="1" x14ac:dyDescent="0.2">
      <c r="A72" s="84"/>
      <c r="B72" s="59"/>
      <c r="C72" s="85"/>
      <c r="D72" s="86"/>
      <c r="E72" s="86"/>
      <c r="F72" s="87"/>
      <c r="G72" s="1"/>
      <c r="H72" s="30"/>
      <c r="I72" s="30"/>
      <c r="J72" s="30"/>
    </row>
    <row r="73" spans="1:10" x14ac:dyDescent="0.2">
      <c r="A73" s="88" t="s">
        <v>40</v>
      </c>
      <c r="B73" s="78"/>
      <c r="C73" s="89"/>
      <c r="D73" s="90"/>
      <c r="E73" s="91"/>
      <c r="F73" s="92" t="s">
        <v>36</v>
      </c>
      <c r="G73" s="6"/>
      <c r="H73" s="57" t="s">
        <v>51</v>
      </c>
      <c r="I73" s="30"/>
      <c r="J73" s="57" t="s">
        <v>7</v>
      </c>
    </row>
    <row r="74" spans="1:10" x14ac:dyDescent="0.2">
      <c r="A74" s="93" t="s">
        <v>33</v>
      </c>
      <c r="B74" s="94"/>
      <c r="C74" s="95"/>
      <c r="D74" s="96"/>
      <c r="E74" s="96"/>
      <c r="F74" s="91"/>
      <c r="G74" s="6"/>
      <c r="H74" s="30"/>
      <c r="I74" s="30"/>
      <c r="J74" s="30"/>
    </row>
    <row r="75" spans="1:10" x14ac:dyDescent="0.2">
      <c r="A75" s="59" t="s">
        <v>34</v>
      </c>
      <c r="B75" s="59"/>
      <c r="C75" s="22"/>
      <c r="D75" s="27"/>
      <c r="E75" s="27"/>
      <c r="F75" s="97">
        <f>+[8]Main!$C20</f>
        <v>0</v>
      </c>
      <c r="G75" s="5"/>
      <c r="H75" s="57">
        <f>+[1]Main!G648</f>
        <v>662144.32999999996</v>
      </c>
      <c r="I75" s="30"/>
      <c r="J75" s="57">
        <f>+[1]Main!E648+[1]Main!F648</f>
        <v>0</v>
      </c>
    </row>
    <row r="76" spans="1:10" x14ac:dyDescent="0.2">
      <c r="A76" s="59" t="s">
        <v>66</v>
      </c>
      <c r="B76" s="59"/>
      <c r="C76" s="22"/>
      <c r="D76" s="27"/>
      <c r="E76" s="27"/>
      <c r="F76" s="97">
        <f>+[8]Main!$D20</f>
        <v>0</v>
      </c>
      <c r="G76" s="5"/>
      <c r="H76" s="57">
        <f>+D69+D70</f>
        <v>662144.32999999996</v>
      </c>
      <c r="I76" s="30"/>
      <c r="J76" s="57">
        <f>+F69+F70</f>
        <v>0</v>
      </c>
    </row>
    <row r="77" spans="1:10" x14ac:dyDescent="0.2">
      <c r="A77" s="32" t="s">
        <v>65</v>
      </c>
      <c r="B77" s="32"/>
      <c r="C77" s="22"/>
      <c r="D77" s="28"/>
      <c r="E77" s="28"/>
      <c r="F77" s="97">
        <f>+[8]Main!$E20</f>
        <v>0</v>
      </c>
      <c r="G77" s="1"/>
      <c r="H77" s="57">
        <f>+H75-H76</f>
        <v>0</v>
      </c>
      <c r="I77" s="30"/>
      <c r="J77" s="57">
        <f>+J75-J76</f>
        <v>0</v>
      </c>
    </row>
    <row r="78" spans="1:10" x14ac:dyDescent="0.2">
      <c r="A78" s="32" t="s">
        <v>67</v>
      </c>
      <c r="B78" s="32"/>
      <c r="C78" s="22"/>
      <c r="D78" s="28"/>
      <c r="E78" s="28"/>
      <c r="F78" s="97">
        <f>+[8]Main!$F20</f>
        <v>0</v>
      </c>
      <c r="G78" s="1"/>
      <c r="H78" s="30"/>
      <c r="I78" s="30"/>
      <c r="J78" s="30"/>
    </row>
    <row r="79" spans="1:10" x14ac:dyDescent="0.2">
      <c r="A79" s="88" t="s">
        <v>35</v>
      </c>
      <c r="B79" s="78"/>
      <c r="C79" s="89"/>
      <c r="D79" s="90"/>
      <c r="E79" s="91"/>
      <c r="F79" s="54">
        <f>+[8]Main!$C78</f>
        <v>13794.27</v>
      </c>
      <c r="G79" s="1"/>
      <c r="H79" s="30"/>
      <c r="I79" s="30"/>
      <c r="J79" s="30"/>
    </row>
    <row r="80" spans="1:10" ht="13.5" thickBot="1" x14ac:dyDescent="0.25">
      <c r="A80" s="98"/>
      <c r="B80" s="99"/>
      <c r="C80" s="100" t="s">
        <v>29</v>
      </c>
      <c r="D80" s="101"/>
      <c r="E80" s="102"/>
      <c r="F80" s="103">
        <f>SUM(F75:F79)</f>
        <v>13794.27</v>
      </c>
      <c r="G80" s="1"/>
      <c r="H80" s="30"/>
      <c r="I80" s="30"/>
      <c r="J80" s="30"/>
    </row>
    <row r="81" spans="1:10" ht="13.5" thickBot="1" x14ac:dyDescent="0.25">
      <c r="A81" s="104"/>
      <c r="B81" s="105"/>
      <c r="C81" s="106" t="s">
        <v>53</v>
      </c>
      <c r="D81" s="107"/>
      <c r="E81" s="108"/>
      <c r="F81" s="109">
        <f>+F80+F71</f>
        <v>5642210.2699999996</v>
      </c>
      <c r="G81" s="1"/>
      <c r="H81" s="57" t="s">
        <v>54</v>
      </c>
      <c r="I81" s="30"/>
      <c r="J81" s="30"/>
    </row>
    <row r="82" spans="1:10" x14ac:dyDescent="0.2">
      <c r="A82" s="11"/>
      <c r="B82" s="12"/>
      <c r="C82" s="9"/>
      <c r="D82" s="29"/>
      <c r="E82" s="29"/>
      <c r="F82" s="110"/>
      <c r="G82" s="1"/>
      <c r="H82" s="57">
        <f>+[8]Main!$G20</f>
        <v>0</v>
      </c>
      <c r="I82" s="30"/>
      <c r="J82" s="30"/>
    </row>
    <row r="83" spans="1:10" x14ac:dyDescent="0.2">
      <c r="A83" s="11"/>
      <c r="B83" s="12"/>
      <c r="C83" s="9"/>
      <c r="D83" s="29"/>
      <c r="E83" s="29"/>
      <c r="F83" s="110"/>
      <c r="G83" s="1"/>
      <c r="H83" s="57">
        <f>SUM(F75:F78)</f>
        <v>0</v>
      </c>
      <c r="I83" s="30"/>
      <c r="J83" s="30"/>
    </row>
    <row r="84" spans="1:10" x14ac:dyDescent="0.2">
      <c r="A84" s="1"/>
      <c r="B84" s="1"/>
      <c r="C84" s="7"/>
      <c r="D84" s="26"/>
      <c r="E84" s="26"/>
      <c r="F84" s="86">
        <f>+F80+F71</f>
        <v>5642210.2699999996</v>
      </c>
      <c r="G84" s="1"/>
      <c r="H84" s="57">
        <f>+H82-H83</f>
        <v>0</v>
      </c>
      <c r="I84" s="30"/>
      <c r="J84" s="30"/>
    </row>
    <row r="85" spans="1:10" x14ac:dyDescent="0.2">
      <c r="A85" s="1"/>
      <c r="B85" s="1"/>
      <c r="C85" s="7"/>
      <c r="D85" s="26"/>
      <c r="E85" s="26"/>
      <c r="F85" s="86">
        <f>+[1]Main!$F764</f>
        <v>5642210.2699999996</v>
      </c>
      <c r="G85" s="1"/>
      <c r="H85" s="30"/>
      <c r="I85" s="30"/>
      <c r="J85" s="30"/>
    </row>
    <row r="86" spans="1:10" x14ac:dyDescent="0.2">
      <c r="A86" s="1"/>
      <c r="B86" s="1"/>
      <c r="C86" s="7"/>
      <c r="D86" s="26"/>
      <c r="E86" s="86">
        <f>+E71+[1]Main!$E764</f>
        <v>0</v>
      </c>
      <c r="F86" s="86">
        <f>+F85-F84</f>
        <v>0</v>
      </c>
      <c r="G86" s="1"/>
      <c r="H86" s="30"/>
      <c r="I86" s="30"/>
      <c r="J86" s="30"/>
    </row>
    <row r="87" spans="1:10" x14ac:dyDescent="0.2">
      <c r="A87" s="59"/>
      <c r="B87" s="59"/>
      <c r="C87" s="85"/>
      <c r="D87" s="86"/>
      <c r="E87" s="86"/>
      <c r="F87" s="86"/>
      <c r="G87" s="59"/>
      <c r="H87" s="57"/>
      <c r="I87" s="57"/>
      <c r="J87" s="57"/>
    </row>
    <row r="88" spans="1:10" x14ac:dyDescent="0.2">
      <c r="A88" s="59"/>
      <c r="B88" s="59"/>
      <c r="C88" s="85"/>
      <c r="D88" s="86"/>
      <c r="E88" s="86"/>
      <c r="F88" s="86"/>
      <c r="G88" s="59"/>
      <c r="H88" s="57"/>
      <c r="I88" s="57"/>
      <c r="J88" s="57"/>
    </row>
    <row r="89" spans="1:10" x14ac:dyDescent="0.2">
      <c r="A89" s="59"/>
      <c r="B89" s="59"/>
      <c r="C89" s="85"/>
      <c r="D89" s="86"/>
      <c r="E89" s="86"/>
      <c r="F89" s="86"/>
      <c r="G89" s="59"/>
      <c r="H89" s="111" t="s">
        <v>55</v>
      </c>
      <c r="I89" s="57"/>
      <c r="J89" s="57"/>
    </row>
    <row r="90" spans="1:10" x14ac:dyDescent="0.2">
      <c r="G90" s="59"/>
      <c r="H90" s="113"/>
      <c r="I90" s="112"/>
      <c r="J90" s="112"/>
    </row>
    <row r="91" spans="1:10" x14ac:dyDescent="0.2">
      <c r="G91" s="59"/>
      <c r="H91" s="112"/>
      <c r="I91" s="112"/>
      <c r="J91" s="112"/>
    </row>
    <row r="92" spans="1:10" x14ac:dyDescent="0.2">
      <c r="G92" s="59"/>
      <c r="H92" s="112"/>
      <c r="I92" s="112"/>
      <c r="J92" s="112"/>
    </row>
    <row r="93" spans="1:10" x14ac:dyDescent="0.2">
      <c r="G93" s="59"/>
      <c r="H93" s="112"/>
      <c r="I93" s="112"/>
      <c r="J93" s="112"/>
    </row>
    <row r="94" spans="1:10" x14ac:dyDescent="0.2">
      <c r="G94" s="59"/>
      <c r="H94" s="112"/>
      <c r="I94" s="112"/>
      <c r="J94" s="112"/>
    </row>
    <row r="95" spans="1:10" x14ac:dyDescent="0.2">
      <c r="G95" s="59"/>
      <c r="H95" s="71"/>
      <c r="I95" s="112"/>
      <c r="J95" s="112"/>
    </row>
  </sheetData>
  <mergeCells count="1">
    <mergeCell ref="D14:E14"/>
  </mergeCells>
  <phoneticPr fontId="0" type="noConversion"/>
  <printOptions horizontalCentered="1" verticalCentered="1"/>
  <pageMargins left="0.5" right="0.25" top="0.5" bottom="0.5" header="0.5" footer="0.5"/>
  <pageSetup scale="89" orientation="portrait" horizontalDpi="1200" r:id="rId1"/>
  <headerFooter alignWithMargins="0">
    <oddHeader>&amp;R&amp;8Current as of: &amp;D</oddHeader>
    <oddFooter>&amp;L&amp;8USOE, Finance and Statistics&amp;R&amp;8&amp;F</oddFooter>
  </headerFooter>
  <picture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J96"/>
  <sheetViews>
    <sheetView topLeftCell="A28" workbookViewId="0">
      <selection activeCell="F86" sqref="F86"/>
    </sheetView>
  </sheetViews>
  <sheetFormatPr defaultColWidth="18.28515625" defaultRowHeight="12.75" x14ac:dyDescent="0.2"/>
  <cols>
    <col min="1" max="1" width="27" style="75" customWidth="1"/>
    <col min="2" max="2" width="16.7109375" style="75" customWidth="1"/>
    <col min="3" max="3" width="15.85546875" style="75" customWidth="1"/>
    <col min="4" max="4" width="16.28515625" style="75" customWidth="1"/>
    <col min="5" max="5" width="15.5703125" style="75" customWidth="1"/>
    <col min="6" max="6" width="17.42578125" style="75" customWidth="1"/>
    <col min="7" max="7" width="5.7109375" style="75" customWidth="1"/>
    <col min="8" max="8" width="21.5703125" style="75" customWidth="1"/>
    <col min="9" max="9" width="5" style="75" customWidth="1"/>
    <col min="10" max="10" width="20.85546875" style="75" customWidth="1"/>
    <col min="11" max="16384" width="18.28515625" style="75"/>
  </cols>
  <sheetData>
    <row r="1" spans="1:10" x14ac:dyDescent="0.2">
      <c r="A1" s="8"/>
      <c r="B1" s="8"/>
      <c r="C1" s="8"/>
      <c r="D1" s="8"/>
      <c r="E1" s="8"/>
      <c r="F1" s="8"/>
      <c r="G1" s="8"/>
      <c r="H1" s="8"/>
      <c r="I1" s="8"/>
      <c r="J1" s="8"/>
    </row>
    <row r="2" spans="1:10" x14ac:dyDescent="0.2">
      <c r="A2" s="8"/>
      <c r="B2" s="8"/>
      <c r="C2" s="8"/>
      <c r="D2" s="8"/>
      <c r="E2" s="8"/>
      <c r="F2" s="8"/>
      <c r="G2" s="8"/>
      <c r="H2" s="8"/>
      <c r="I2" s="8"/>
      <c r="J2" s="8"/>
    </row>
    <row r="3" spans="1:10" x14ac:dyDescent="0.2">
      <c r="A3" s="8"/>
      <c r="B3" s="8"/>
      <c r="C3" s="8"/>
      <c r="D3" s="8"/>
      <c r="E3" s="8"/>
      <c r="F3" s="8"/>
      <c r="G3" s="8"/>
      <c r="H3" s="8"/>
      <c r="I3" s="8"/>
      <c r="J3" s="8"/>
    </row>
    <row r="4" spans="1:10" x14ac:dyDescent="0.2">
      <c r="A4" s="8"/>
      <c r="B4" s="8"/>
      <c r="C4" s="8"/>
      <c r="D4" s="8"/>
      <c r="E4" s="8"/>
      <c r="F4" s="8"/>
      <c r="G4" s="8"/>
      <c r="H4" s="8"/>
      <c r="I4" s="8"/>
      <c r="J4" s="8"/>
    </row>
    <row r="5" spans="1:10" x14ac:dyDescent="0.2">
      <c r="A5" s="8"/>
      <c r="B5" s="8"/>
      <c r="C5" s="8"/>
      <c r="D5" s="8"/>
      <c r="E5" s="8"/>
      <c r="F5" s="8"/>
      <c r="G5" s="8"/>
      <c r="H5" s="8"/>
      <c r="I5" s="8"/>
      <c r="J5" s="8"/>
    </row>
    <row r="6" spans="1:10" x14ac:dyDescent="0.2">
      <c r="A6" s="8"/>
      <c r="B6" s="8"/>
      <c r="C6" s="8"/>
      <c r="D6" s="8"/>
      <c r="E6" s="8"/>
      <c r="F6" s="8"/>
      <c r="G6" s="8"/>
      <c r="H6" s="8"/>
      <c r="I6" s="8"/>
      <c r="J6" s="8"/>
    </row>
    <row r="7" spans="1:10" x14ac:dyDescent="0.2">
      <c r="A7" s="8"/>
      <c r="B7" s="8"/>
      <c r="C7" s="8"/>
      <c r="D7" s="8"/>
      <c r="E7" s="8"/>
      <c r="F7" s="8"/>
      <c r="G7" s="8"/>
      <c r="H7" s="8"/>
      <c r="I7" s="8"/>
      <c r="J7" s="8"/>
    </row>
    <row r="8" spans="1:10" x14ac:dyDescent="0.2">
      <c r="A8" s="8"/>
      <c r="B8" s="8"/>
      <c r="C8" s="8"/>
      <c r="D8" s="8"/>
      <c r="E8" s="8"/>
      <c r="F8" s="8"/>
      <c r="G8" s="8"/>
      <c r="H8" s="8"/>
      <c r="I8" s="8"/>
      <c r="J8" s="8"/>
    </row>
    <row r="9" spans="1:10" x14ac:dyDescent="0.2">
      <c r="A9" s="8"/>
      <c r="B9" s="8"/>
      <c r="C9" s="8"/>
      <c r="D9" s="8"/>
      <c r="E9" s="8"/>
      <c r="F9" s="8"/>
      <c r="G9" s="8"/>
      <c r="H9" s="8"/>
      <c r="I9" s="8"/>
      <c r="J9" s="8"/>
    </row>
    <row r="10" spans="1:10" x14ac:dyDescent="0.2">
      <c r="A10" s="8"/>
      <c r="B10" s="15"/>
      <c r="C10" s="8"/>
      <c r="D10" s="8"/>
      <c r="E10" s="8"/>
      <c r="F10" s="8"/>
      <c r="G10" s="8"/>
      <c r="H10" s="8"/>
      <c r="I10" s="8"/>
      <c r="J10" s="8"/>
    </row>
    <row r="11" spans="1:10" x14ac:dyDescent="0.2">
      <c r="A11" s="8"/>
      <c r="B11" s="8"/>
      <c r="C11" s="8"/>
      <c r="D11" s="8"/>
      <c r="E11" s="8"/>
      <c r="F11" s="8"/>
      <c r="G11" s="8"/>
      <c r="H11" s="8"/>
      <c r="I11" s="8"/>
      <c r="J11" s="8"/>
    </row>
    <row r="12" spans="1:10" x14ac:dyDescent="0.2">
      <c r="A12" s="32" t="s">
        <v>0</v>
      </c>
      <c r="B12" s="33">
        <v>3184</v>
      </c>
      <c r="C12" s="34" t="s">
        <v>1</v>
      </c>
      <c r="D12" s="35"/>
      <c r="E12" s="35"/>
      <c r="F12" s="35"/>
      <c r="G12" s="1"/>
      <c r="H12" s="30"/>
      <c r="I12" s="30"/>
      <c r="J12" s="30"/>
    </row>
    <row r="13" spans="1:10" x14ac:dyDescent="0.2">
      <c r="A13" s="32" t="s">
        <v>61</v>
      </c>
      <c r="B13" s="36">
        <f>+[1]Main!$C538</f>
        <v>1.3649999999999999E-3</v>
      </c>
      <c r="C13" s="34" t="s">
        <v>41</v>
      </c>
      <c r="D13" s="35"/>
      <c r="E13" s="35"/>
      <c r="F13" s="35"/>
      <c r="G13" s="1"/>
      <c r="H13" s="30"/>
      <c r="I13" s="30"/>
      <c r="J13" s="30"/>
    </row>
    <row r="14" spans="1:10" x14ac:dyDescent="0.2">
      <c r="A14" s="32" t="s">
        <v>62</v>
      </c>
      <c r="B14" s="36">
        <f>+[1]Main!$C593</f>
        <v>2.0230000000000001E-3</v>
      </c>
      <c r="C14" s="34" t="s">
        <v>95</v>
      </c>
      <c r="D14" s="35"/>
      <c r="E14" s="37"/>
      <c r="F14" s="35"/>
      <c r="G14" s="1"/>
      <c r="H14" s="30"/>
      <c r="I14" s="30"/>
      <c r="J14" s="30"/>
    </row>
    <row r="15" spans="1:10" x14ac:dyDescent="0.2">
      <c r="A15" s="38" t="s">
        <v>32</v>
      </c>
      <c r="B15" s="39">
        <f>[2]Sheet1!E20</f>
        <v>24086973300</v>
      </c>
      <c r="C15" s="21"/>
      <c r="D15" s="31"/>
      <c r="E15" s="31"/>
      <c r="F15" s="23"/>
      <c r="G15" s="1"/>
      <c r="H15" s="30"/>
      <c r="I15" s="30"/>
      <c r="J15" s="30"/>
    </row>
    <row r="16" spans="1:10" x14ac:dyDescent="0.2">
      <c r="A16" s="32" t="s">
        <v>2</v>
      </c>
      <c r="B16" s="40">
        <f>[2]Sheet1!F20</f>
        <v>0.96870000000000001</v>
      </c>
      <c r="C16" s="7"/>
      <c r="D16" s="41" t="s">
        <v>3</v>
      </c>
      <c r="E16" s="42" t="str">
        <f>+[3]main!B21</f>
        <v>Granite</v>
      </c>
      <c r="F16" s="43">
        <f>+[3]main!A21</f>
        <v>12</v>
      </c>
      <c r="G16" s="1"/>
      <c r="H16" s="30"/>
      <c r="I16" s="30"/>
      <c r="J16" s="30"/>
    </row>
    <row r="17" spans="1:10" x14ac:dyDescent="0.2">
      <c r="A17" s="32" t="s">
        <v>4</v>
      </c>
      <c r="B17" s="44">
        <f>[2]Sheet1!G20</f>
        <v>1.6750000000000001E-3</v>
      </c>
      <c r="C17" s="8"/>
      <c r="D17" s="24"/>
      <c r="E17" s="25"/>
      <c r="F17" s="24"/>
      <c r="G17" s="1"/>
      <c r="H17" s="30"/>
      <c r="I17" s="30"/>
      <c r="J17" s="30"/>
    </row>
    <row r="18" spans="1:10" x14ac:dyDescent="0.2">
      <c r="A18" s="32" t="s">
        <v>5</v>
      </c>
      <c r="B18" s="45">
        <f>[2]Sheet1!$C$76</f>
        <v>43499750</v>
      </c>
      <c r="C18" s="46"/>
      <c r="D18" s="47" t="s">
        <v>38</v>
      </c>
      <c r="E18" s="48" t="s">
        <v>7</v>
      </c>
      <c r="F18" s="47" t="s">
        <v>6</v>
      </c>
      <c r="G18" s="1"/>
      <c r="H18" s="30"/>
      <c r="I18" s="30"/>
      <c r="J18" s="30"/>
    </row>
    <row r="19" spans="1:10" x14ac:dyDescent="0.2">
      <c r="A19" s="32" t="s">
        <v>8</v>
      </c>
      <c r="B19" s="45">
        <f>+B18</f>
        <v>43499750</v>
      </c>
      <c r="C19" s="49"/>
      <c r="D19" s="50" t="s">
        <v>9</v>
      </c>
      <c r="E19" s="50" t="s">
        <v>37</v>
      </c>
      <c r="F19" s="50" t="s">
        <v>10</v>
      </c>
      <c r="G19" s="1"/>
      <c r="H19" s="30"/>
      <c r="I19" s="30"/>
      <c r="J19" s="30"/>
    </row>
    <row r="20" spans="1:10" x14ac:dyDescent="0.2">
      <c r="A20" s="32" t="s">
        <v>11</v>
      </c>
      <c r="B20" s="45">
        <v>0</v>
      </c>
      <c r="C20" s="51" t="s">
        <v>39</v>
      </c>
      <c r="D20" s="52" t="s">
        <v>12</v>
      </c>
      <c r="E20" s="52" t="s">
        <v>9</v>
      </c>
      <c r="F20" s="52" t="s">
        <v>9</v>
      </c>
      <c r="G20" s="1"/>
      <c r="H20" s="30"/>
      <c r="I20" s="30"/>
      <c r="J20" s="30"/>
    </row>
    <row r="21" spans="1:10" x14ac:dyDescent="0.2">
      <c r="A21" s="32" t="s">
        <v>70</v>
      </c>
      <c r="B21" s="45">
        <f>'[4]LRF FY17'!U18</f>
        <v>2764116</v>
      </c>
      <c r="C21" s="53"/>
      <c r="D21" s="54"/>
      <c r="E21" s="54"/>
      <c r="F21" s="54" t="s">
        <v>14</v>
      </c>
      <c r="G21" s="1"/>
      <c r="H21" s="30"/>
      <c r="I21" s="30"/>
      <c r="J21" s="30"/>
    </row>
    <row r="22" spans="1:10" x14ac:dyDescent="0.2">
      <c r="A22" s="55" t="s">
        <v>13</v>
      </c>
      <c r="B22" s="56"/>
      <c r="C22" s="53"/>
      <c r="D22" s="54"/>
      <c r="E22" s="54"/>
      <c r="F22" s="54"/>
      <c r="G22" s="2"/>
      <c r="H22" s="30"/>
      <c r="I22" s="30"/>
      <c r="J22" s="30"/>
    </row>
    <row r="23" spans="1:10" x14ac:dyDescent="0.2">
      <c r="A23" s="55" t="s">
        <v>15</v>
      </c>
      <c r="B23" s="56"/>
      <c r="C23" s="53"/>
      <c r="D23" s="54"/>
      <c r="E23" s="54"/>
      <c r="F23" s="54"/>
      <c r="G23" s="2"/>
      <c r="H23" s="57" t="s">
        <v>43</v>
      </c>
      <c r="I23" s="30"/>
      <c r="J23" s="57" t="s">
        <v>45</v>
      </c>
    </row>
    <row r="24" spans="1:10" x14ac:dyDescent="0.2">
      <c r="A24" s="58" t="s">
        <v>16</v>
      </c>
      <c r="B24" s="59"/>
      <c r="C24" s="60">
        <f>[3]main!C195-[3]main!F137</f>
        <v>63246.315999999999</v>
      </c>
      <c r="D24" s="61">
        <f>[3]main!E195-[3]main!H137</f>
        <v>201376269.22999999</v>
      </c>
      <c r="E24" s="62">
        <f>IF(B19&gt;D24,D24,B19)</f>
        <v>43499750</v>
      </c>
      <c r="F24" s="62">
        <f>D24-E24</f>
        <v>157876519.22999999</v>
      </c>
      <c r="G24" s="1"/>
      <c r="H24" s="57">
        <f>[3]main!H254</f>
        <v>220942499.97999999</v>
      </c>
      <c r="I24" s="30"/>
      <c r="J24" s="57">
        <f>'[5]Sheet 1'!E78</f>
        <v>274781168.31</v>
      </c>
    </row>
    <row r="25" spans="1:10" x14ac:dyDescent="0.2">
      <c r="A25" s="58" t="s">
        <v>17</v>
      </c>
      <c r="B25" s="59"/>
      <c r="C25" s="53">
        <f>[3]main!F137</f>
        <v>0</v>
      </c>
      <c r="D25" s="54">
        <f>[3]main!H137</f>
        <v>0</v>
      </c>
      <c r="E25" s="54">
        <f>IF(B18-SUM(E22:E24)&gt;D25,D25,B18-SUM(E22:E24))</f>
        <v>0</v>
      </c>
      <c r="F25" s="54">
        <f>D25-E25</f>
        <v>0</v>
      </c>
      <c r="G25" s="1"/>
      <c r="H25" s="57">
        <f>SUM(D24:D28)</f>
        <v>220942499.97999999</v>
      </c>
      <c r="I25" s="30"/>
      <c r="J25" s="57">
        <f>D39</f>
        <v>274781168.31</v>
      </c>
    </row>
    <row r="26" spans="1:10" x14ac:dyDescent="0.2">
      <c r="A26" s="58" t="s">
        <v>18</v>
      </c>
      <c r="B26" s="59"/>
      <c r="C26" s="53">
        <f>[3]main!F195</f>
        <v>6127.1729999999998</v>
      </c>
      <c r="D26" s="54">
        <f>[3]main!H195</f>
        <v>19508918.75</v>
      </c>
      <c r="E26" s="54">
        <f>IF(B19-SUM(E24:E25)&gt;D26,D26,B19-SUM(E24:E25))</f>
        <v>0</v>
      </c>
      <c r="F26" s="54">
        <f>D26-E26</f>
        <v>19508918.75</v>
      </c>
      <c r="G26" s="1"/>
      <c r="H26" s="57">
        <f>+H24-H25</f>
        <v>0</v>
      </c>
      <c r="I26" s="30"/>
      <c r="J26" s="57">
        <f>+J24-J25</f>
        <v>0</v>
      </c>
    </row>
    <row r="27" spans="1:10" x14ac:dyDescent="0.2">
      <c r="A27" s="58" t="s">
        <v>19</v>
      </c>
      <c r="B27" s="59"/>
      <c r="C27" s="53">
        <f>[3]main!C254</f>
        <v>0</v>
      </c>
      <c r="D27" s="54">
        <f>[3]main!E254</f>
        <v>0</v>
      </c>
      <c r="E27" s="54">
        <f>IF(B19-SUM(E24:E26)&gt;D27,D27,B19-SUM(E24:E26))</f>
        <v>0</v>
      </c>
      <c r="F27" s="54">
        <f>D27-E27</f>
        <v>0</v>
      </c>
      <c r="G27" s="1"/>
      <c r="H27" s="30"/>
      <c r="I27" s="30"/>
      <c r="J27" s="30"/>
    </row>
    <row r="28" spans="1:10" x14ac:dyDescent="0.2">
      <c r="A28" s="58" t="s">
        <v>42</v>
      </c>
      <c r="B28" s="59"/>
      <c r="C28" s="53">
        <f>[3]main!C78</f>
        <v>18</v>
      </c>
      <c r="D28" s="54">
        <f>[3]main!E78</f>
        <v>57312</v>
      </c>
      <c r="E28" s="54">
        <f>IF(B19-SUM(E24:E27)&gt;D28,D28,B19-SUM(E24:E27))</f>
        <v>0</v>
      </c>
      <c r="F28" s="54">
        <f>D28-E28</f>
        <v>57312</v>
      </c>
      <c r="G28" s="1"/>
      <c r="H28" s="30"/>
      <c r="I28" s="30"/>
      <c r="J28" s="30"/>
    </row>
    <row r="29" spans="1:10" x14ac:dyDescent="0.2">
      <c r="A29" s="55" t="s">
        <v>20</v>
      </c>
      <c r="B29" s="56"/>
      <c r="C29" s="63"/>
      <c r="D29" s="64"/>
      <c r="E29" s="64"/>
      <c r="F29" s="64" t="s">
        <v>14</v>
      </c>
      <c r="G29" s="1"/>
      <c r="H29" s="57" t="s">
        <v>44</v>
      </c>
      <c r="I29" s="30"/>
      <c r="J29" s="30"/>
    </row>
    <row r="30" spans="1:10" x14ac:dyDescent="0.2">
      <c r="A30" s="58" t="s">
        <v>21</v>
      </c>
      <c r="B30" s="59"/>
      <c r="C30" s="53">
        <f>'[6]Sheet 1'!C20</f>
        <v>7409.6980000000003</v>
      </c>
      <c r="D30" s="54">
        <f>'[6]Sheet 1'!E20</f>
        <v>23592478.43</v>
      </c>
      <c r="E30" s="54">
        <f>IF(B19-SUM(E24:E29)&gt;D30,D30,B19-SUM(E24:E29))</f>
        <v>0</v>
      </c>
      <c r="F30" s="54">
        <f t="shared" ref="F30:F38" si="0">D30-E30</f>
        <v>23592478.43</v>
      </c>
      <c r="G30" s="1"/>
      <c r="H30" s="57">
        <f>'[6]Sheet 1'!N136</f>
        <v>32094560.870000001</v>
      </c>
      <c r="I30" s="30"/>
      <c r="J30" s="30"/>
    </row>
    <row r="31" spans="1:10" x14ac:dyDescent="0.2">
      <c r="A31" s="59" t="s">
        <v>22</v>
      </c>
      <c r="B31" s="59"/>
      <c r="C31" s="53">
        <f>'[6]Sheet 1'!F20</f>
        <v>1377.55</v>
      </c>
      <c r="D31" s="54">
        <f>'[6]Sheet 1'!H20</f>
        <v>4386119.2</v>
      </c>
      <c r="E31" s="54">
        <f>IF(B19-SUM(E24:E30)&gt;D31,D31,B19-SUM(E24:E30))</f>
        <v>0</v>
      </c>
      <c r="F31" s="54">
        <f t="shared" si="0"/>
        <v>4386119.2</v>
      </c>
      <c r="G31" s="1"/>
      <c r="H31" s="57">
        <f>SUM(D30:D36)</f>
        <v>32094560.870000001</v>
      </c>
      <c r="I31" s="30"/>
      <c r="J31" s="30"/>
    </row>
    <row r="32" spans="1:10" x14ac:dyDescent="0.2">
      <c r="A32" s="59" t="s">
        <v>23</v>
      </c>
      <c r="B32" s="59"/>
      <c r="C32" s="53">
        <f>'[6]Sheet 1'!C78</f>
        <v>1005.48</v>
      </c>
      <c r="D32" s="54">
        <f>'[6]Sheet 1'!E78</f>
        <v>3201448.32</v>
      </c>
      <c r="E32" s="54">
        <f>IF(B19-SUM(E24:E31)&gt;D32,D32,B19-SUM(E24:E31))</f>
        <v>0</v>
      </c>
      <c r="F32" s="54">
        <f t="shared" si="0"/>
        <v>3201448.32</v>
      </c>
      <c r="G32" s="1"/>
      <c r="H32" s="57">
        <f>+H30-H31</f>
        <v>0</v>
      </c>
      <c r="I32" s="30"/>
      <c r="J32" s="30"/>
    </row>
    <row r="33" spans="1:10" x14ac:dyDescent="0.2">
      <c r="A33" s="58" t="s">
        <v>24</v>
      </c>
      <c r="B33" s="59"/>
      <c r="C33" s="53">
        <f>'[6]Sheet 1'!F78</f>
        <v>35.366999999999997</v>
      </c>
      <c r="D33" s="54">
        <f>'[6]Sheet 1'!H78</f>
        <v>112609.15</v>
      </c>
      <c r="E33" s="54">
        <f>IF(B19-SUM(E24:E32)&gt;D33,D33,B19-SUM(E24:E32))</f>
        <v>0</v>
      </c>
      <c r="F33" s="54">
        <f t="shared" si="0"/>
        <v>112609.15</v>
      </c>
      <c r="G33" s="1"/>
      <c r="H33" s="30"/>
      <c r="I33" s="30"/>
      <c r="J33" s="30"/>
    </row>
    <row r="34" spans="1:10" x14ac:dyDescent="0.2">
      <c r="A34" s="59" t="s">
        <v>71</v>
      </c>
      <c r="B34" s="59"/>
      <c r="C34" s="53">
        <f>'[6]Sheet 1'!C136</f>
        <v>191.08799999999999</v>
      </c>
      <c r="D34" s="54">
        <f>'[6]Sheet 1'!E136</f>
        <v>608425.41</v>
      </c>
      <c r="E34" s="54">
        <f>IF(B19-SUM(E24:E33)&gt;D34,D34,B19-SUM(E24:E33))</f>
        <v>0</v>
      </c>
      <c r="F34" s="54">
        <f t="shared" si="0"/>
        <v>608425.41</v>
      </c>
      <c r="G34" s="1"/>
      <c r="H34" s="30"/>
      <c r="I34" s="30"/>
      <c r="J34" s="30"/>
    </row>
    <row r="35" spans="1:10" x14ac:dyDescent="0.2">
      <c r="A35" s="59" t="s">
        <v>57</v>
      </c>
      <c r="B35" s="59"/>
      <c r="C35" s="53">
        <f>'[6]Sheet 1'!F136</f>
        <v>0</v>
      </c>
      <c r="D35" s="54">
        <f>'[6]Sheet 1'!H136</f>
        <v>0</v>
      </c>
      <c r="E35" s="54">
        <f>IF(B20-SUM(E25:E34)&gt;D35,D35,B20-SUM(E25:E34))</f>
        <v>0</v>
      </c>
      <c r="F35" s="54">
        <f t="shared" si="0"/>
        <v>0</v>
      </c>
      <c r="G35" s="1"/>
      <c r="H35" s="30"/>
      <c r="I35" s="30"/>
      <c r="J35" s="30"/>
    </row>
    <row r="36" spans="1:10" x14ac:dyDescent="0.2">
      <c r="A36" s="59" t="s">
        <v>64</v>
      </c>
      <c r="B36" s="59"/>
      <c r="C36" s="53">
        <f>'[6]Sheet 1'!I136</f>
        <v>60.765999999999998</v>
      </c>
      <c r="D36" s="54">
        <f>'[6]Sheet 1'!K136</f>
        <v>193480.36</v>
      </c>
      <c r="E36" s="54">
        <f>IF(B22-SUM(E26:E35)&gt;D36,D36,B22-SUM(E26:E35))</f>
        <v>0</v>
      </c>
      <c r="F36" s="54">
        <f t="shared" si="0"/>
        <v>193480.36</v>
      </c>
      <c r="G36" s="1"/>
      <c r="H36" s="57" t="s">
        <v>46</v>
      </c>
      <c r="I36" s="30"/>
      <c r="J36" s="30"/>
    </row>
    <row r="37" spans="1:10" x14ac:dyDescent="0.2">
      <c r="A37" s="59" t="s">
        <v>58</v>
      </c>
      <c r="B37" s="59"/>
      <c r="C37" s="53">
        <f>'[6]Sheet 1'!C194</f>
        <v>2639.605</v>
      </c>
      <c r="D37" s="54">
        <f>'[6]Sheet 1'!E194</f>
        <v>8404503.1899999995</v>
      </c>
      <c r="E37" s="54">
        <f>IF(B19-SUM(E24:E34)&gt;D37,D37,B19-SUM(E24:E34))</f>
        <v>0</v>
      </c>
      <c r="F37" s="54">
        <f t="shared" si="0"/>
        <v>8404503.1899999995</v>
      </c>
      <c r="G37" s="4"/>
      <c r="H37" s="57">
        <f>+'[6]Sheet 1'!E194</f>
        <v>8404503.1899999995</v>
      </c>
      <c r="I37" s="30"/>
      <c r="J37" s="30"/>
    </row>
    <row r="38" spans="1:10" x14ac:dyDescent="0.2">
      <c r="A38" s="58" t="s">
        <v>59</v>
      </c>
      <c r="B38" s="59"/>
      <c r="C38" s="53">
        <f>'[5]Sheet 1'!C20</f>
        <v>4189.5739999999996</v>
      </c>
      <c r="D38" s="54">
        <f>'[5]Sheet 1'!E20</f>
        <v>13339604.27</v>
      </c>
      <c r="E38" s="54">
        <f>IF(B19-SUM(E24:E37)&gt;D38,D38,B19-SUM(E24:E37))</f>
        <v>0</v>
      </c>
      <c r="F38" s="54">
        <f t="shared" si="0"/>
        <v>13339604.27</v>
      </c>
      <c r="G38" s="5"/>
      <c r="H38" s="57">
        <f>+D37</f>
        <v>8404503.1899999995</v>
      </c>
      <c r="I38" s="30"/>
      <c r="J38" s="30"/>
    </row>
    <row r="39" spans="1:10" x14ac:dyDescent="0.2">
      <c r="A39" s="65" t="s">
        <v>28</v>
      </c>
      <c r="B39" s="56"/>
      <c r="C39" s="66">
        <f>SUM(C24:C38)</f>
        <v>86300.616999999998</v>
      </c>
      <c r="D39" s="67">
        <f>SUM(D24:D38)</f>
        <v>274781168.31</v>
      </c>
      <c r="E39" s="67">
        <f>SUM(E24:E38)</f>
        <v>43499750</v>
      </c>
      <c r="F39" s="67">
        <f>SUM(F24:F38)</f>
        <v>231281418.31</v>
      </c>
      <c r="G39" s="1"/>
      <c r="H39" s="57">
        <f>+H37-H38</f>
        <v>0</v>
      </c>
      <c r="I39" s="30"/>
      <c r="J39" s="30"/>
    </row>
    <row r="40" spans="1:10" x14ac:dyDescent="0.2">
      <c r="A40" s="68" t="s">
        <v>26</v>
      </c>
      <c r="B40" s="56"/>
      <c r="C40" s="69"/>
      <c r="D40" s="54"/>
      <c r="E40" s="54"/>
      <c r="F40" s="54"/>
      <c r="G40" s="1"/>
      <c r="H40" s="57" t="s">
        <v>47</v>
      </c>
      <c r="I40" s="30"/>
      <c r="J40" s="57" t="s">
        <v>52</v>
      </c>
    </row>
    <row r="41" spans="1:10" x14ac:dyDescent="0.2">
      <c r="A41" s="58" t="s">
        <v>56</v>
      </c>
      <c r="B41" s="59"/>
      <c r="C41" s="20"/>
      <c r="D41" s="70">
        <f>[1]Main!F21</f>
        <v>796278.29</v>
      </c>
      <c r="E41" s="54">
        <f>IF($B19-SUM($E39)&gt;D41,D41,$B19-SUM($E39))</f>
        <v>0</v>
      </c>
      <c r="F41" s="54">
        <f t="shared" ref="F41:F59" si="1">D41-E41</f>
        <v>796278.29</v>
      </c>
      <c r="G41" s="1"/>
      <c r="H41" s="57">
        <f>[1]Main!G21</f>
        <v>5658459.1600000001</v>
      </c>
      <c r="I41" s="30"/>
      <c r="J41" s="57">
        <f>+[1]Main!D482</f>
        <v>46723334.159999996</v>
      </c>
    </row>
    <row r="42" spans="1:10" x14ac:dyDescent="0.2">
      <c r="A42" s="59" t="s">
        <v>25</v>
      </c>
      <c r="B42" s="59"/>
      <c r="C42" s="20"/>
      <c r="D42" s="70">
        <f>[1]Main!C21</f>
        <v>4862180.87</v>
      </c>
      <c r="E42" s="54">
        <f>IF($B19-SUM($E39:E41)&gt;D42,D42,B19-SUM($E39:E41))</f>
        <v>0</v>
      </c>
      <c r="F42" s="54">
        <f t="shared" si="1"/>
        <v>4862180.87</v>
      </c>
      <c r="G42" s="1"/>
      <c r="H42" s="57">
        <f>SUM(D41:D43)</f>
        <v>5658459.1600000001</v>
      </c>
      <c r="I42" s="30"/>
      <c r="J42" s="57">
        <f>SUM(D41:D68)-E54</f>
        <v>46723334.149999999</v>
      </c>
    </row>
    <row r="43" spans="1:10" x14ac:dyDescent="0.2">
      <c r="A43" s="71" t="s">
        <v>27</v>
      </c>
      <c r="B43" s="59"/>
      <c r="C43" s="20"/>
      <c r="D43" s="70">
        <f>[1]Main!D21</f>
        <v>0</v>
      </c>
      <c r="E43" s="54">
        <f>IF($B19-SUM($E39:E42)&gt;D43,D43,$B19-SUM($E39:E42))</f>
        <v>0</v>
      </c>
      <c r="F43" s="54">
        <f>D43-E43</f>
        <v>0</v>
      </c>
      <c r="G43" s="1"/>
      <c r="H43" s="57">
        <f>+H41-H42</f>
        <v>0</v>
      </c>
      <c r="I43" s="30"/>
      <c r="J43" s="57">
        <f>+J41-J42</f>
        <v>0.01</v>
      </c>
    </row>
    <row r="44" spans="1:10" x14ac:dyDescent="0.2">
      <c r="A44" s="72" t="s">
        <v>72</v>
      </c>
      <c r="B44" s="59"/>
      <c r="C44" s="20"/>
      <c r="D44" s="70">
        <f>[1]Main!E21</f>
        <v>0</v>
      </c>
      <c r="E44" s="54">
        <f>IF($B20-SUM($E40:E43)&gt;D44,D44,$B20-SUM($E40:E43))</f>
        <v>0</v>
      </c>
      <c r="F44" s="54">
        <f>D44-E44</f>
        <v>0</v>
      </c>
      <c r="G44" s="1"/>
      <c r="H44" s="30"/>
      <c r="I44" s="30"/>
      <c r="J44" s="30"/>
    </row>
    <row r="45" spans="1:10" x14ac:dyDescent="0.2">
      <c r="A45" s="72" t="s">
        <v>73</v>
      </c>
      <c r="B45" s="59"/>
      <c r="C45" s="20"/>
      <c r="D45" s="54">
        <f>+[1]Main!$F137</f>
        <v>526046</v>
      </c>
      <c r="E45" s="54">
        <f>IF($B19-SUM($E39:E43)&gt;D45,D45,$B19-SUM($E39:E43))</f>
        <v>0</v>
      </c>
      <c r="F45" s="54">
        <f t="shared" si="1"/>
        <v>526046</v>
      </c>
      <c r="G45" s="1"/>
      <c r="H45" s="30"/>
      <c r="I45" s="30"/>
      <c r="J45" s="30"/>
    </row>
    <row r="46" spans="1:10" x14ac:dyDescent="0.2">
      <c r="A46" s="71" t="s">
        <v>74</v>
      </c>
      <c r="B46" s="59"/>
      <c r="C46" s="20"/>
      <c r="D46" s="54">
        <f>+[1]Main!$C79</f>
        <v>3943200</v>
      </c>
      <c r="E46" s="54">
        <f>IF($B19-SUM($E39:E45)&gt;D46,D46,$B19-SUM($E39:E45))</f>
        <v>0</v>
      </c>
      <c r="F46" s="54">
        <f t="shared" si="1"/>
        <v>3943200</v>
      </c>
      <c r="G46" s="1"/>
      <c r="H46" s="30"/>
      <c r="I46" s="30"/>
      <c r="J46" s="30"/>
    </row>
    <row r="47" spans="1:10" x14ac:dyDescent="0.2">
      <c r="A47" s="71" t="s">
        <v>75</v>
      </c>
      <c r="B47" s="59"/>
      <c r="C47" s="20"/>
      <c r="D47" s="54">
        <f>+[1]Main!$D79</f>
        <v>102922</v>
      </c>
      <c r="E47" s="54">
        <f>IF($B19-SUM($E39:E46)&gt;D47,D47,$B19-SUM($E39:E46))</f>
        <v>0</v>
      </c>
      <c r="F47" s="54">
        <f t="shared" si="1"/>
        <v>102922</v>
      </c>
      <c r="G47" s="1"/>
      <c r="H47" s="30"/>
      <c r="I47" s="30"/>
      <c r="J47" s="30"/>
    </row>
    <row r="48" spans="1:10" x14ac:dyDescent="0.2">
      <c r="A48" s="71" t="s">
        <v>76</v>
      </c>
      <c r="B48" s="59"/>
      <c r="C48" s="20"/>
      <c r="D48" s="54">
        <f>+[1]Main!$E79</f>
        <v>4094168</v>
      </c>
      <c r="E48" s="54">
        <f>IF($B19-SUM($E39:E47)&gt;D48,D48,$B19-SUM($E39:E47))</f>
        <v>0</v>
      </c>
      <c r="F48" s="54">
        <f t="shared" si="1"/>
        <v>4094168</v>
      </c>
      <c r="G48" s="1"/>
      <c r="H48" s="30"/>
      <c r="I48" s="30"/>
      <c r="J48" s="30"/>
    </row>
    <row r="49" spans="1:10" x14ac:dyDescent="0.2">
      <c r="A49" s="71" t="s">
        <v>77</v>
      </c>
      <c r="B49" s="59"/>
      <c r="C49" s="20"/>
      <c r="D49" s="54">
        <f>[1]Main!F79</f>
        <v>1528451</v>
      </c>
      <c r="E49" s="54">
        <f>IF($B19-SUM($E39:E48)&gt;D49,D49,$B19-SUM($E39:E48))</f>
        <v>0</v>
      </c>
      <c r="F49" s="54">
        <f t="shared" si="1"/>
        <v>1528451</v>
      </c>
      <c r="G49" s="1"/>
      <c r="H49" s="57" t="s">
        <v>48</v>
      </c>
      <c r="I49" s="30"/>
      <c r="J49" s="30"/>
    </row>
    <row r="50" spans="1:10" x14ac:dyDescent="0.2">
      <c r="A50" s="71" t="s">
        <v>79</v>
      </c>
      <c r="B50" s="59"/>
      <c r="C50" s="20"/>
      <c r="D50" s="54">
        <f>[1]Main!G79</f>
        <v>0</v>
      </c>
      <c r="E50" s="54">
        <f>IF($B19-SUM($E39:E49)&gt;D50,D50,$B19-SUM($E39:E49))</f>
        <v>0</v>
      </c>
      <c r="F50" s="54">
        <f t="shared" si="1"/>
        <v>0</v>
      </c>
      <c r="G50" s="1"/>
      <c r="H50" s="57"/>
      <c r="I50" s="30"/>
      <c r="J50" s="30"/>
    </row>
    <row r="51" spans="1:10" x14ac:dyDescent="0.2">
      <c r="A51" s="71" t="s">
        <v>78</v>
      </c>
      <c r="B51" s="59"/>
      <c r="C51" s="20"/>
      <c r="D51" s="54">
        <f>[1]Main!G137</f>
        <v>245321.31</v>
      </c>
      <c r="E51" s="54">
        <f>IF($B19-SUM($E39:E50)&gt;D51,D51,$B19-SUM($E39:E50))</f>
        <v>0</v>
      </c>
      <c r="F51" s="54">
        <f t="shared" si="1"/>
        <v>245321.31</v>
      </c>
      <c r="G51" s="1"/>
      <c r="H51" s="73">
        <f>+[1]Main!D195</f>
        <v>10520108.310000001</v>
      </c>
      <c r="I51" s="30"/>
      <c r="J51" s="30"/>
    </row>
    <row r="52" spans="1:10" x14ac:dyDescent="0.2">
      <c r="A52" s="71" t="s">
        <v>80</v>
      </c>
      <c r="B52" s="59"/>
      <c r="C52" s="20"/>
      <c r="D52" s="54">
        <f>[1]Main!C195</f>
        <v>80000</v>
      </c>
      <c r="E52" s="54"/>
      <c r="F52" s="54">
        <f t="shared" si="1"/>
        <v>80000</v>
      </c>
      <c r="G52" s="1"/>
      <c r="H52" s="57">
        <f>+SUM(D45:D52)</f>
        <v>10520108.310000001</v>
      </c>
      <c r="I52" s="30"/>
      <c r="J52" s="30"/>
    </row>
    <row r="53" spans="1:10" x14ac:dyDescent="0.2">
      <c r="A53" s="71" t="s">
        <v>81</v>
      </c>
      <c r="B53" s="59"/>
      <c r="C53" s="20"/>
      <c r="D53" s="54">
        <f>[1]Main!C253</f>
        <v>4853314</v>
      </c>
      <c r="E53" s="54">
        <v>0</v>
      </c>
      <c r="F53" s="54">
        <f t="shared" si="1"/>
        <v>4853314</v>
      </c>
      <c r="G53" s="1"/>
      <c r="H53" s="57">
        <f>+H51-H52</f>
        <v>0</v>
      </c>
      <c r="I53" s="30"/>
      <c r="J53" s="30"/>
    </row>
    <row r="54" spans="1:10" x14ac:dyDescent="0.2">
      <c r="A54" s="71" t="s">
        <v>82</v>
      </c>
      <c r="B54" s="59"/>
      <c r="C54" s="20"/>
      <c r="D54" s="54">
        <f>+[7]Main!I20+[7]Main!J20</f>
        <v>4344588.05</v>
      </c>
      <c r="E54" s="74">
        <f>[7]Main!J20</f>
        <v>2495865.2200000002</v>
      </c>
      <c r="F54" s="54">
        <f t="shared" si="1"/>
        <v>1848722.83</v>
      </c>
      <c r="G54" s="1"/>
      <c r="H54" s="30"/>
      <c r="I54" s="30"/>
      <c r="J54" s="30"/>
    </row>
    <row r="55" spans="1:10" x14ac:dyDescent="0.2">
      <c r="A55" s="71" t="s">
        <v>83</v>
      </c>
      <c r="B55" s="59"/>
      <c r="C55" s="20"/>
      <c r="D55" s="54">
        <f>[1]Main!F253</f>
        <v>1027822</v>
      </c>
      <c r="E55" s="54">
        <v>0</v>
      </c>
      <c r="F55" s="54">
        <f t="shared" si="1"/>
        <v>1027822</v>
      </c>
      <c r="G55" s="1"/>
      <c r="H55" s="30"/>
      <c r="I55" s="30"/>
      <c r="J55" s="30"/>
    </row>
    <row r="56" spans="1:10" x14ac:dyDescent="0.2">
      <c r="A56" s="71" t="s">
        <v>84</v>
      </c>
      <c r="B56" s="59"/>
      <c r="C56" s="7"/>
      <c r="D56" s="54">
        <f>[1]Main!E253</f>
        <v>93652.95</v>
      </c>
      <c r="E56" s="54">
        <v>0</v>
      </c>
      <c r="F56" s="54">
        <f t="shared" si="1"/>
        <v>93652.95</v>
      </c>
      <c r="G56" s="1"/>
      <c r="H56" s="57" t="s">
        <v>49</v>
      </c>
      <c r="I56" s="30"/>
      <c r="J56" s="30"/>
    </row>
    <row r="57" spans="1:10" x14ac:dyDescent="0.2">
      <c r="A57" s="71" t="s">
        <v>85</v>
      </c>
      <c r="B57" s="59"/>
      <c r="C57" s="7"/>
      <c r="D57" s="54">
        <f>[1]Main!G253</f>
        <v>825339</v>
      </c>
      <c r="E57" s="54">
        <v>0</v>
      </c>
      <c r="F57" s="54">
        <f t="shared" si="1"/>
        <v>825339</v>
      </c>
      <c r="G57" s="1"/>
      <c r="H57" s="57">
        <f>+[1]Main!C482</f>
        <v>29452489.149999999</v>
      </c>
      <c r="I57" s="57"/>
      <c r="J57" s="57"/>
    </row>
    <row r="58" spans="1:10" x14ac:dyDescent="0.2">
      <c r="A58" s="71" t="s">
        <v>86</v>
      </c>
      <c r="B58" s="59"/>
      <c r="C58" s="20"/>
      <c r="D58" s="54">
        <f>[1]Main!C311</f>
        <v>386000</v>
      </c>
      <c r="E58" s="54">
        <v>0</v>
      </c>
      <c r="F58" s="54">
        <f t="shared" si="1"/>
        <v>386000</v>
      </c>
      <c r="G58" s="1"/>
      <c r="H58" s="57">
        <f>+SUM(D53:D63)-E54</f>
        <v>29452489.149999999</v>
      </c>
      <c r="I58" s="57"/>
      <c r="J58" s="57">
        <f>+H58-H57</f>
        <v>0</v>
      </c>
    </row>
    <row r="59" spans="1:10" x14ac:dyDescent="0.2">
      <c r="A59" s="71" t="s">
        <v>87</v>
      </c>
      <c r="C59" s="8"/>
      <c r="D59" s="76">
        <f>[1]Main!D311</f>
        <v>18464596.940000001</v>
      </c>
      <c r="E59" s="77">
        <v>0</v>
      </c>
      <c r="F59" s="77">
        <f t="shared" si="1"/>
        <v>18464596.940000001</v>
      </c>
      <c r="G59" s="5"/>
      <c r="H59" s="57">
        <f>+H57-H58</f>
        <v>0</v>
      </c>
      <c r="I59" s="57"/>
      <c r="J59" s="57"/>
    </row>
    <row r="60" spans="1:10" x14ac:dyDescent="0.2">
      <c r="A60" s="71" t="s">
        <v>88</v>
      </c>
      <c r="B60" s="59"/>
      <c r="C60" s="20"/>
      <c r="D60" s="54">
        <f>+[1]Main!$E311</f>
        <v>87326.01</v>
      </c>
      <c r="E60" s="54">
        <v>0</v>
      </c>
      <c r="F60" s="54">
        <f>D60-E60</f>
        <v>87326.01</v>
      </c>
      <c r="G60" s="4"/>
      <c r="H60" s="30"/>
      <c r="I60" s="30"/>
      <c r="J60" s="30"/>
    </row>
    <row r="61" spans="1:10" x14ac:dyDescent="0.2">
      <c r="A61" s="71" t="s">
        <v>89</v>
      </c>
      <c r="B61" s="59"/>
      <c r="C61" s="20"/>
      <c r="D61" s="54">
        <f>[1]Main!F311</f>
        <v>510981.7</v>
      </c>
      <c r="E61" s="54">
        <v>0</v>
      </c>
      <c r="F61" s="54">
        <f>D61-E61</f>
        <v>510981.7</v>
      </c>
      <c r="G61" s="4"/>
      <c r="H61" s="30"/>
      <c r="I61" s="30"/>
      <c r="J61" s="30"/>
    </row>
    <row r="62" spans="1:10" x14ac:dyDescent="0.2">
      <c r="A62" s="71" t="s">
        <v>90</v>
      </c>
      <c r="B62" s="59"/>
      <c r="C62" s="20"/>
      <c r="D62" s="54">
        <f>[1]Main!G311</f>
        <v>354628</v>
      </c>
      <c r="E62" s="54">
        <v>0</v>
      </c>
      <c r="F62" s="54">
        <f>D62-E62</f>
        <v>354628</v>
      </c>
      <c r="G62" s="1"/>
      <c r="H62" s="57" t="s">
        <v>50</v>
      </c>
      <c r="I62" s="30"/>
      <c r="J62" s="30"/>
    </row>
    <row r="63" spans="1:10" x14ac:dyDescent="0.2">
      <c r="A63" s="71" t="s">
        <v>93</v>
      </c>
      <c r="B63" s="59"/>
      <c r="C63" s="20"/>
      <c r="D63" s="54">
        <f>[1]Main!F368</f>
        <v>1000105.72</v>
      </c>
      <c r="E63" s="54">
        <v>0</v>
      </c>
      <c r="F63" s="54">
        <f>D63-E63</f>
        <v>1000105.72</v>
      </c>
      <c r="G63" s="1"/>
      <c r="H63" s="57"/>
      <c r="I63" s="30"/>
      <c r="J63" s="30"/>
    </row>
    <row r="64" spans="1:10" x14ac:dyDescent="0.2">
      <c r="A64" s="55" t="s">
        <v>30</v>
      </c>
      <c r="B64" s="78"/>
      <c r="C64" s="79"/>
      <c r="D64" s="64"/>
      <c r="E64" s="64"/>
      <c r="F64" s="64"/>
      <c r="G64" s="1"/>
      <c r="H64" s="57"/>
      <c r="I64" s="30"/>
      <c r="J64" s="30"/>
    </row>
    <row r="65" spans="1:10" x14ac:dyDescent="0.2">
      <c r="A65" s="71" t="s">
        <v>60</v>
      </c>
      <c r="B65" s="59"/>
      <c r="C65" s="20"/>
      <c r="D65" s="54">
        <f>[1]Main!C425</f>
        <v>651332</v>
      </c>
      <c r="E65" s="54">
        <v>0</v>
      </c>
      <c r="F65" s="54">
        <f>D65-E65</f>
        <v>651332</v>
      </c>
      <c r="G65" s="1"/>
      <c r="H65" s="57">
        <f>+[1]Main!G425</f>
        <v>1092277.53</v>
      </c>
      <c r="I65" s="30"/>
      <c r="J65" s="30"/>
    </row>
    <row r="66" spans="1:10" x14ac:dyDescent="0.2">
      <c r="A66" s="71" t="s">
        <v>63</v>
      </c>
      <c r="B66" s="59"/>
      <c r="C66" s="20"/>
      <c r="D66" s="54">
        <f>[1]Main!D425</f>
        <v>153069.9</v>
      </c>
      <c r="E66" s="54">
        <v>0</v>
      </c>
      <c r="F66" s="54">
        <f>D66-E66</f>
        <v>153069.9</v>
      </c>
      <c r="G66" s="4"/>
      <c r="H66" s="57">
        <f>SUM(D65:D68)</f>
        <v>1092277.53</v>
      </c>
      <c r="I66" s="30"/>
      <c r="J66" s="30"/>
    </row>
    <row r="67" spans="1:10" x14ac:dyDescent="0.2">
      <c r="A67" s="71" t="s">
        <v>91</v>
      </c>
      <c r="B67" s="59"/>
      <c r="C67" s="20"/>
      <c r="D67" s="54">
        <f>[1]Main!E425</f>
        <v>4268</v>
      </c>
      <c r="E67" s="54">
        <v>0</v>
      </c>
      <c r="F67" s="54">
        <f>D67-E67</f>
        <v>4268</v>
      </c>
      <c r="G67" s="4"/>
      <c r="H67" s="57">
        <f>+H65-H66</f>
        <v>0</v>
      </c>
      <c r="I67" s="30"/>
      <c r="J67" s="30"/>
    </row>
    <row r="68" spans="1:10" x14ac:dyDescent="0.2">
      <c r="A68" s="71" t="s">
        <v>92</v>
      </c>
      <c r="B68" s="59"/>
      <c r="C68" s="20"/>
      <c r="D68" s="54">
        <f>[1]Main!F425</f>
        <v>283607.63</v>
      </c>
      <c r="E68" s="54">
        <v>0</v>
      </c>
      <c r="F68" s="54">
        <f>D68-E68</f>
        <v>283607.63</v>
      </c>
      <c r="G68" s="1"/>
      <c r="H68" s="30"/>
      <c r="I68" s="30"/>
      <c r="J68" s="30"/>
    </row>
    <row r="69" spans="1:10" x14ac:dyDescent="0.2">
      <c r="A69" s="55" t="s">
        <v>31</v>
      </c>
      <c r="B69" s="78"/>
      <c r="C69" s="79"/>
      <c r="D69" s="64"/>
      <c r="E69" s="64"/>
      <c r="F69" s="64"/>
      <c r="G69" s="1"/>
      <c r="H69" s="30"/>
      <c r="I69" s="30"/>
      <c r="J69" s="30"/>
    </row>
    <row r="70" spans="1:10" x14ac:dyDescent="0.2">
      <c r="A70" s="58" t="s">
        <v>69</v>
      </c>
      <c r="B70" s="59"/>
      <c r="C70" s="20"/>
      <c r="D70" s="54">
        <f>+[1]Main!$G538</f>
        <v>53212039.409999996</v>
      </c>
      <c r="E70" s="54">
        <f>+[1]Main!$D538</f>
        <v>35449050.289999999</v>
      </c>
      <c r="F70" s="54">
        <f>+D70-E70</f>
        <v>17762989.120000001</v>
      </c>
      <c r="G70" s="1"/>
      <c r="H70" s="30"/>
      <c r="I70" s="30"/>
      <c r="J70" s="30"/>
    </row>
    <row r="71" spans="1:10" x14ac:dyDescent="0.2">
      <c r="A71" s="59" t="s">
        <v>68</v>
      </c>
      <c r="B71" s="59"/>
      <c r="C71" s="20"/>
      <c r="D71" s="54">
        <f>+[1]Main!$G593</f>
        <v>13303009.85</v>
      </c>
      <c r="E71" s="54">
        <f>+[1]Main!$D593</f>
        <v>10388000.08</v>
      </c>
      <c r="F71" s="54">
        <f>+D71-E71</f>
        <v>2915009.77</v>
      </c>
      <c r="G71" s="1"/>
      <c r="H71" s="30"/>
      <c r="I71" s="30"/>
      <c r="J71" s="30"/>
    </row>
    <row r="72" spans="1:10" ht="13.5" thickBot="1" x14ac:dyDescent="0.25">
      <c r="A72" s="80"/>
      <c r="B72" s="81"/>
      <c r="C72" s="82" t="s">
        <v>29</v>
      </c>
      <c r="D72" s="83">
        <f>SUM(D39:D71)</f>
        <v>390515416.94</v>
      </c>
      <c r="E72" s="83">
        <f>SUM(E39:E71)</f>
        <v>91832665.590000004</v>
      </c>
      <c r="F72" s="83">
        <f>SUM(F39:F71)</f>
        <v>298682751.35000002</v>
      </c>
      <c r="G72" s="1"/>
      <c r="H72" s="30"/>
      <c r="I72" s="30"/>
      <c r="J72" s="30"/>
    </row>
    <row r="73" spans="1:10" ht="13.5" thickTop="1" x14ac:dyDescent="0.2">
      <c r="A73" s="84"/>
      <c r="B73" s="59"/>
      <c r="C73" s="85"/>
      <c r="D73" s="86"/>
      <c r="E73" s="86"/>
      <c r="F73" s="87"/>
      <c r="G73" s="1"/>
      <c r="H73" s="30"/>
      <c r="I73" s="30"/>
      <c r="J73" s="30"/>
    </row>
    <row r="74" spans="1:10" x14ac:dyDescent="0.2">
      <c r="A74" s="88" t="s">
        <v>40</v>
      </c>
      <c r="B74" s="78"/>
      <c r="C74" s="89"/>
      <c r="D74" s="90"/>
      <c r="E74" s="91"/>
      <c r="F74" s="92" t="s">
        <v>36</v>
      </c>
      <c r="G74" s="6"/>
      <c r="H74" s="57" t="s">
        <v>51</v>
      </c>
      <c r="I74" s="30"/>
      <c r="J74" s="57" t="s">
        <v>7</v>
      </c>
    </row>
    <row r="75" spans="1:10" x14ac:dyDescent="0.2">
      <c r="A75" s="93" t="s">
        <v>33</v>
      </c>
      <c r="B75" s="94"/>
      <c r="C75" s="95"/>
      <c r="D75" s="96"/>
      <c r="E75" s="96"/>
      <c r="F75" s="91"/>
      <c r="G75" s="6"/>
      <c r="H75" s="30"/>
      <c r="I75" s="30"/>
      <c r="J75" s="30"/>
    </row>
    <row r="76" spans="1:10" x14ac:dyDescent="0.2">
      <c r="A76" s="59" t="s">
        <v>34</v>
      </c>
      <c r="B76" s="59"/>
      <c r="C76" s="22"/>
      <c r="D76" s="27"/>
      <c r="E76" s="27"/>
      <c r="F76" s="97">
        <f>+[8]Main!$C21</f>
        <v>0</v>
      </c>
      <c r="G76" s="5"/>
      <c r="H76" s="57">
        <f>+[1]Main!G649</f>
        <v>66515049.259999998</v>
      </c>
      <c r="I76" s="30"/>
      <c r="J76" s="57">
        <f>+[1]Main!E649+[1]Main!F649</f>
        <v>20677998.890000001</v>
      </c>
    </row>
    <row r="77" spans="1:10" x14ac:dyDescent="0.2">
      <c r="A77" s="59" t="s">
        <v>66</v>
      </c>
      <c r="B77" s="59"/>
      <c r="C77" s="22"/>
      <c r="D77" s="27"/>
      <c r="E77" s="27"/>
      <c r="F77" s="97">
        <f>+[8]Main!$D21</f>
        <v>0</v>
      </c>
      <c r="G77" s="5"/>
      <c r="H77" s="57">
        <f>+D70+D71</f>
        <v>66515049.259999998</v>
      </c>
      <c r="I77" s="30"/>
      <c r="J77" s="57">
        <f>+F70+F71</f>
        <v>20677998.890000001</v>
      </c>
    </row>
    <row r="78" spans="1:10" x14ac:dyDescent="0.2">
      <c r="A78" s="32" t="s">
        <v>65</v>
      </c>
      <c r="B78" s="32"/>
      <c r="C78" s="22"/>
      <c r="D78" s="28"/>
      <c r="E78" s="28"/>
      <c r="F78" s="97">
        <f>+[8]Main!$E21</f>
        <v>24807</v>
      </c>
      <c r="G78" s="1"/>
      <c r="H78" s="57">
        <f>+H76-H77</f>
        <v>0</v>
      </c>
      <c r="I78" s="30"/>
      <c r="J78" s="57">
        <f>+J76-J77</f>
        <v>0</v>
      </c>
    </row>
    <row r="79" spans="1:10" x14ac:dyDescent="0.2">
      <c r="A79" s="32" t="s">
        <v>67</v>
      </c>
      <c r="B79" s="32"/>
      <c r="C79" s="22"/>
      <c r="D79" s="28"/>
      <c r="E79" s="28"/>
      <c r="F79" s="97">
        <f>+[8]Main!$F21</f>
        <v>49252</v>
      </c>
      <c r="G79" s="1"/>
      <c r="H79" s="30"/>
      <c r="I79" s="30"/>
      <c r="J79" s="30"/>
    </row>
    <row r="80" spans="1:10" x14ac:dyDescent="0.2">
      <c r="A80" s="88" t="s">
        <v>35</v>
      </c>
      <c r="B80" s="78"/>
      <c r="C80" s="89"/>
      <c r="D80" s="90"/>
      <c r="E80" s="91"/>
      <c r="F80" s="54">
        <f>+[8]Main!$C79</f>
        <v>154677.21</v>
      </c>
      <c r="G80" s="1"/>
      <c r="H80" s="30"/>
      <c r="I80" s="30"/>
      <c r="J80" s="30"/>
    </row>
    <row r="81" spans="1:10" ht="13.5" thickBot="1" x14ac:dyDescent="0.25">
      <c r="A81" s="98"/>
      <c r="B81" s="99"/>
      <c r="C81" s="100" t="s">
        <v>29</v>
      </c>
      <c r="D81" s="101"/>
      <c r="E81" s="102"/>
      <c r="F81" s="103">
        <f>SUM(F76:F80)</f>
        <v>228736.21</v>
      </c>
      <c r="G81" s="1"/>
      <c r="H81" s="30"/>
      <c r="I81" s="30"/>
      <c r="J81" s="30"/>
    </row>
    <row r="82" spans="1:10" ht="13.5" thickBot="1" x14ac:dyDescent="0.25">
      <c r="A82" s="104"/>
      <c r="B82" s="105"/>
      <c r="C82" s="106" t="s">
        <v>53</v>
      </c>
      <c r="D82" s="107"/>
      <c r="E82" s="108"/>
      <c r="F82" s="109">
        <f>+F81+F72</f>
        <v>298911487.56</v>
      </c>
      <c r="G82" s="1"/>
      <c r="H82" s="57" t="s">
        <v>54</v>
      </c>
      <c r="I82" s="30"/>
      <c r="J82" s="30"/>
    </row>
    <row r="83" spans="1:10" x14ac:dyDescent="0.2">
      <c r="A83" s="11"/>
      <c r="B83" s="12"/>
      <c r="C83" s="9"/>
      <c r="D83" s="29"/>
      <c r="E83" s="29"/>
      <c r="F83" s="110"/>
      <c r="G83" s="1"/>
      <c r="H83" s="57">
        <f>+[8]Main!$G21</f>
        <v>74059</v>
      </c>
      <c r="I83" s="30"/>
      <c r="J83" s="30"/>
    </row>
    <row r="84" spans="1:10" x14ac:dyDescent="0.2">
      <c r="A84" s="11"/>
      <c r="B84" s="12"/>
      <c r="C84" s="9"/>
      <c r="D84" s="29"/>
      <c r="E84" s="29"/>
      <c r="F84" s="110"/>
      <c r="G84" s="1"/>
      <c r="H84" s="57">
        <f>SUM(F76:F79)</f>
        <v>74059</v>
      </c>
      <c r="I84" s="30"/>
      <c r="J84" s="30"/>
    </row>
    <row r="85" spans="1:10" x14ac:dyDescent="0.2">
      <c r="A85" s="1"/>
      <c r="B85" s="1"/>
      <c r="C85" s="7"/>
      <c r="D85" s="26"/>
      <c r="E85" s="26"/>
      <c r="F85" s="86">
        <f>+F81+F72</f>
        <v>298911487.56</v>
      </c>
      <c r="G85" s="1"/>
      <c r="H85" s="57">
        <f>+H83-H84</f>
        <v>0</v>
      </c>
      <c r="I85" s="30"/>
      <c r="J85" s="30"/>
    </row>
    <row r="86" spans="1:10" x14ac:dyDescent="0.2">
      <c r="A86" s="1"/>
      <c r="B86" s="1"/>
      <c r="C86" s="7"/>
      <c r="D86" s="26"/>
      <c r="E86" s="26"/>
      <c r="F86" s="86">
        <f>+[1]Main!$F765</f>
        <v>298911487.56999999</v>
      </c>
      <c r="G86" s="1"/>
      <c r="H86" s="30"/>
      <c r="I86" s="30"/>
      <c r="J86" s="30"/>
    </row>
    <row r="87" spans="1:10" x14ac:dyDescent="0.2">
      <c r="A87" s="1"/>
      <c r="B87" s="1"/>
      <c r="C87" s="7"/>
      <c r="D87" s="26"/>
      <c r="E87" s="86">
        <f>+E72+[1]Main!$E765</f>
        <v>0</v>
      </c>
      <c r="F87" s="86">
        <f>+F86-F85</f>
        <v>0.01</v>
      </c>
      <c r="G87" s="1"/>
      <c r="H87" s="30"/>
      <c r="I87" s="30"/>
      <c r="J87" s="30"/>
    </row>
    <row r="88" spans="1:10" x14ac:dyDescent="0.2">
      <c r="A88" s="59"/>
      <c r="B88" s="59"/>
      <c r="C88" s="85"/>
      <c r="D88" s="86"/>
      <c r="E88" s="86"/>
      <c r="F88" s="86"/>
      <c r="G88" s="59"/>
      <c r="H88" s="57"/>
      <c r="I88" s="57"/>
      <c r="J88" s="57"/>
    </row>
    <row r="89" spans="1:10" x14ac:dyDescent="0.2">
      <c r="A89" s="59"/>
      <c r="B89" s="59"/>
      <c r="C89" s="85"/>
      <c r="D89" s="86"/>
      <c r="E89" s="86"/>
      <c r="F89" s="86"/>
      <c r="G89" s="59"/>
      <c r="H89" s="57"/>
      <c r="I89" s="57"/>
      <c r="J89" s="57"/>
    </row>
    <row r="90" spans="1:10" x14ac:dyDescent="0.2">
      <c r="A90" s="59"/>
      <c r="B90" s="59"/>
      <c r="C90" s="85"/>
      <c r="D90" s="86"/>
      <c r="E90" s="86"/>
      <c r="F90" s="86"/>
      <c r="G90" s="59"/>
      <c r="H90" s="111" t="s">
        <v>55</v>
      </c>
      <c r="I90" s="57"/>
      <c r="J90" s="57"/>
    </row>
    <row r="91" spans="1:10" x14ac:dyDescent="0.2">
      <c r="G91" s="59"/>
      <c r="H91" s="113"/>
      <c r="I91" s="112"/>
      <c r="J91" s="112"/>
    </row>
    <row r="92" spans="1:10" x14ac:dyDescent="0.2">
      <c r="G92" s="59"/>
      <c r="H92" s="112"/>
      <c r="I92" s="112"/>
      <c r="J92" s="112"/>
    </row>
    <row r="93" spans="1:10" x14ac:dyDescent="0.2">
      <c r="G93" s="59"/>
      <c r="H93" s="112"/>
      <c r="I93" s="112"/>
      <c r="J93" s="112"/>
    </row>
    <row r="94" spans="1:10" x14ac:dyDescent="0.2">
      <c r="G94" s="59"/>
      <c r="H94" s="112"/>
      <c r="I94" s="112"/>
      <c r="J94" s="112"/>
    </row>
    <row r="95" spans="1:10" x14ac:dyDescent="0.2">
      <c r="G95" s="59"/>
      <c r="H95" s="112"/>
      <c r="I95" s="112"/>
      <c r="J95" s="112"/>
    </row>
    <row r="96" spans="1:10" x14ac:dyDescent="0.2">
      <c r="G96" s="59"/>
      <c r="H96" s="71"/>
      <c r="I96" s="112"/>
      <c r="J96" s="112"/>
    </row>
  </sheetData>
  <mergeCells count="1">
    <mergeCell ref="D15:E15"/>
  </mergeCells>
  <phoneticPr fontId="0" type="noConversion"/>
  <printOptions horizontalCentered="1" verticalCentered="1"/>
  <pageMargins left="0.5" right="0.25" top="0.5" bottom="0.5" header="0.5" footer="0.5"/>
  <pageSetup scale="89" orientation="portrait" horizontalDpi="1200" r:id="rId1"/>
  <headerFooter alignWithMargins="0">
    <oddHeader>&amp;R&amp;8Current as of: &amp;D</oddHeader>
    <oddFooter>&amp;L&amp;8USOE, Finance and Statistics&amp;R&amp;8&amp;F</oddFooter>
  </headerFooter>
  <picture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J98"/>
  <sheetViews>
    <sheetView topLeftCell="A34" workbookViewId="0">
      <selection activeCell="B20" sqref="B20"/>
    </sheetView>
  </sheetViews>
  <sheetFormatPr defaultColWidth="18.28515625" defaultRowHeight="12.75" x14ac:dyDescent="0.2"/>
  <cols>
    <col min="1" max="1" width="27" style="75" customWidth="1"/>
    <col min="2" max="2" width="16.7109375" style="75" customWidth="1"/>
    <col min="3" max="3" width="15.85546875" style="75" customWidth="1"/>
    <col min="4" max="4" width="16.28515625" style="75" customWidth="1"/>
    <col min="5" max="5" width="15.5703125" style="75" customWidth="1"/>
    <col min="6" max="6" width="17.42578125" style="75" customWidth="1"/>
    <col min="7" max="7" width="5.7109375" style="75" customWidth="1"/>
    <col min="8" max="8" width="21.5703125" style="75" customWidth="1"/>
    <col min="9" max="9" width="5" style="75" customWidth="1"/>
    <col min="10" max="10" width="20.85546875" style="75" customWidth="1"/>
    <col min="11" max="16384" width="18.28515625" style="75"/>
  </cols>
  <sheetData>
    <row r="1" spans="1:10" x14ac:dyDescent="0.2">
      <c r="A1" s="8"/>
      <c r="B1" s="8"/>
      <c r="C1" s="8"/>
      <c r="D1" s="8"/>
      <c r="E1" s="8"/>
      <c r="F1" s="8"/>
      <c r="G1" s="8"/>
      <c r="H1" s="8"/>
      <c r="I1" s="8"/>
      <c r="J1" s="8"/>
    </row>
    <row r="2" spans="1:10" x14ac:dyDescent="0.2">
      <c r="A2" s="8"/>
      <c r="B2" s="8"/>
      <c r="C2" s="8"/>
      <c r="D2" s="8"/>
      <c r="E2" s="8"/>
      <c r="F2" s="8"/>
      <c r="G2" s="8"/>
      <c r="H2" s="8"/>
      <c r="I2" s="8"/>
      <c r="J2" s="8"/>
    </row>
    <row r="3" spans="1:10" x14ac:dyDescent="0.2">
      <c r="A3" s="8"/>
      <c r="B3" s="8"/>
      <c r="C3" s="8"/>
      <c r="D3" s="8"/>
      <c r="E3" s="8"/>
      <c r="F3" s="8"/>
      <c r="G3" s="8"/>
      <c r="H3" s="8"/>
      <c r="I3" s="8"/>
      <c r="J3" s="8"/>
    </row>
    <row r="4" spans="1:10" x14ac:dyDescent="0.2">
      <c r="A4" s="8"/>
      <c r="B4" s="8"/>
      <c r="C4" s="8"/>
      <c r="D4" s="8"/>
      <c r="E4" s="8"/>
      <c r="F4" s="8"/>
      <c r="G4" s="8"/>
      <c r="H4" s="8"/>
      <c r="I4" s="8"/>
      <c r="J4" s="8"/>
    </row>
    <row r="5" spans="1:10" x14ac:dyDescent="0.2">
      <c r="A5" s="8"/>
      <c r="B5" s="8"/>
      <c r="C5" s="8"/>
      <c r="D5" s="8"/>
      <c r="E5" s="8"/>
      <c r="F5" s="8"/>
      <c r="G5" s="8"/>
      <c r="H5" s="8"/>
      <c r="I5" s="8"/>
      <c r="J5" s="8"/>
    </row>
    <row r="6" spans="1:10" x14ac:dyDescent="0.2">
      <c r="A6" s="8"/>
      <c r="B6" s="8"/>
      <c r="C6" s="8"/>
      <c r="D6" s="8"/>
      <c r="E6" s="8"/>
      <c r="F6" s="8"/>
      <c r="G6" s="8"/>
      <c r="H6" s="8"/>
      <c r="I6" s="8"/>
      <c r="J6" s="8"/>
    </row>
    <row r="7" spans="1:10" x14ac:dyDescent="0.2">
      <c r="A7" s="8"/>
      <c r="B7" s="8"/>
      <c r="C7" s="8"/>
      <c r="D7" s="8"/>
      <c r="E7" s="8"/>
      <c r="F7" s="8"/>
      <c r="G7" s="8"/>
      <c r="H7" s="8"/>
      <c r="I7" s="8"/>
      <c r="J7" s="8"/>
    </row>
    <row r="8" spans="1:10" x14ac:dyDescent="0.2">
      <c r="A8" s="8"/>
      <c r="B8" s="8"/>
      <c r="C8" s="8"/>
      <c r="D8" s="8"/>
      <c r="E8" s="8"/>
      <c r="F8" s="8"/>
      <c r="G8" s="8"/>
      <c r="H8" s="8"/>
      <c r="I8" s="8"/>
      <c r="J8" s="8"/>
    </row>
    <row r="9" spans="1:10" x14ac:dyDescent="0.2">
      <c r="A9" s="8"/>
      <c r="B9" s="8"/>
      <c r="C9" s="8"/>
      <c r="D9" s="8"/>
      <c r="E9" s="8"/>
      <c r="F9" s="8"/>
      <c r="G9" s="8"/>
      <c r="H9" s="8"/>
      <c r="I9" s="8"/>
      <c r="J9" s="8"/>
    </row>
    <row r="10" spans="1:10" x14ac:dyDescent="0.2">
      <c r="A10" s="8"/>
      <c r="B10" s="15"/>
      <c r="C10" s="8"/>
      <c r="D10" s="8"/>
      <c r="E10" s="8"/>
      <c r="F10" s="8"/>
      <c r="G10" s="8"/>
      <c r="H10" s="8"/>
      <c r="I10" s="8"/>
      <c r="J10" s="8"/>
    </row>
    <row r="11" spans="1:10" x14ac:dyDescent="0.2">
      <c r="A11" s="8"/>
      <c r="B11" s="8"/>
      <c r="C11" s="8"/>
      <c r="D11" s="8"/>
      <c r="E11" s="8"/>
      <c r="F11" s="8"/>
      <c r="G11" s="8"/>
      <c r="H11" s="8"/>
      <c r="I11" s="8"/>
      <c r="J11" s="8"/>
    </row>
    <row r="12" spans="1:10" x14ac:dyDescent="0.2">
      <c r="A12" s="8"/>
      <c r="B12" s="8"/>
      <c r="C12" s="8"/>
      <c r="D12" s="8"/>
      <c r="E12" s="8"/>
      <c r="F12" s="8"/>
      <c r="G12" s="8"/>
      <c r="H12" s="8"/>
      <c r="I12" s="8"/>
      <c r="J12" s="8"/>
    </row>
    <row r="13" spans="1:10" x14ac:dyDescent="0.2">
      <c r="A13" s="32" t="s">
        <v>0</v>
      </c>
      <c r="B13" s="33">
        <v>3184</v>
      </c>
      <c r="C13" s="34" t="s">
        <v>1</v>
      </c>
      <c r="D13" s="35"/>
      <c r="E13" s="35"/>
      <c r="F13" s="35"/>
      <c r="G13" s="1"/>
      <c r="H13" s="30"/>
      <c r="I13" s="30"/>
      <c r="J13" s="30"/>
    </row>
    <row r="14" spans="1:10" x14ac:dyDescent="0.2">
      <c r="A14" s="32" t="s">
        <v>61</v>
      </c>
      <c r="B14" s="36">
        <f>+[1]Main!$C539</f>
        <v>7.1599999999999995E-4</v>
      </c>
      <c r="C14" s="34" t="s">
        <v>41</v>
      </c>
      <c r="D14" s="35"/>
      <c r="E14" s="35"/>
      <c r="F14" s="35"/>
      <c r="G14" s="1"/>
      <c r="H14" s="30"/>
      <c r="I14" s="30"/>
      <c r="J14" s="30"/>
    </row>
    <row r="15" spans="1:10" x14ac:dyDescent="0.2">
      <c r="A15" s="32" t="s">
        <v>62</v>
      </c>
      <c r="B15" s="36">
        <f>+[1]Main!$C594</f>
        <v>1.248E-3</v>
      </c>
      <c r="C15" s="34" t="s">
        <v>95</v>
      </c>
      <c r="D15" s="35"/>
      <c r="E15" s="37"/>
      <c r="F15" s="35"/>
      <c r="G15" s="1"/>
      <c r="H15" s="30"/>
      <c r="I15" s="30"/>
      <c r="J15" s="30"/>
    </row>
    <row r="16" spans="1:10" x14ac:dyDescent="0.2">
      <c r="A16" s="38" t="s">
        <v>32</v>
      </c>
      <c r="B16" s="39">
        <f>[2]Sheet1!E21</f>
        <v>3443183358</v>
      </c>
      <c r="C16" s="21"/>
      <c r="D16" s="31"/>
      <c r="E16" s="31"/>
      <c r="F16" s="23"/>
      <c r="G16" s="1"/>
      <c r="H16" s="30"/>
      <c r="I16" s="30"/>
      <c r="J16" s="30"/>
    </row>
    <row r="17" spans="1:10" x14ac:dyDescent="0.2">
      <c r="A17" s="32" t="s">
        <v>2</v>
      </c>
      <c r="B17" s="40">
        <f>[2]Sheet1!F21</f>
        <v>0.9083</v>
      </c>
      <c r="C17" s="7"/>
      <c r="D17" s="41" t="s">
        <v>3</v>
      </c>
      <c r="E17" s="42" t="str">
        <f>+[3]main!B22</f>
        <v>Iron</v>
      </c>
      <c r="F17" s="43">
        <f>+[3]main!A22</f>
        <v>13</v>
      </c>
      <c r="G17" s="1"/>
      <c r="H17" s="30"/>
      <c r="I17" s="30"/>
      <c r="J17" s="30"/>
    </row>
    <row r="18" spans="1:10" x14ac:dyDescent="0.2">
      <c r="A18" s="32" t="s">
        <v>4</v>
      </c>
      <c r="B18" s="44">
        <f>[2]Sheet1!G21</f>
        <v>1.6750000000000001E-3</v>
      </c>
      <c r="C18" s="8"/>
      <c r="D18" s="24"/>
      <c r="E18" s="25"/>
      <c r="F18" s="24"/>
      <c r="G18" s="1"/>
      <c r="H18" s="30"/>
      <c r="I18" s="30"/>
      <c r="J18" s="30"/>
    </row>
    <row r="19" spans="1:10" x14ac:dyDescent="0.2">
      <c r="A19" s="32" t="s">
        <v>5</v>
      </c>
      <c r="B19" s="45">
        <f>[2]Sheet1!$C$77</f>
        <v>6691705</v>
      </c>
      <c r="C19" s="46"/>
      <c r="D19" s="47" t="s">
        <v>38</v>
      </c>
      <c r="E19" s="48" t="s">
        <v>7</v>
      </c>
      <c r="F19" s="47" t="s">
        <v>6</v>
      </c>
      <c r="G19" s="1"/>
      <c r="H19" s="30"/>
      <c r="I19" s="30"/>
      <c r="J19" s="30"/>
    </row>
    <row r="20" spans="1:10" x14ac:dyDescent="0.2">
      <c r="A20" s="32" t="s">
        <v>8</v>
      </c>
      <c r="B20" s="45">
        <f>+B19</f>
        <v>6691705</v>
      </c>
      <c r="C20" s="49"/>
      <c r="D20" s="50" t="s">
        <v>9</v>
      </c>
      <c r="E20" s="50" t="s">
        <v>37</v>
      </c>
      <c r="F20" s="50" t="s">
        <v>10</v>
      </c>
      <c r="G20" s="1"/>
      <c r="H20" s="30"/>
      <c r="I20" s="30"/>
      <c r="J20" s="30"/>
    </row>
    <row r="21" spans="1:10" x14ac:dyDescent="0.2">
      <c r="A21" s="32" t="s">
        <v>11</v>
      </c>
      <c r="B21" s="45">
        <v>0</v>
      </c>
      <c r="C21" s="51" t="s">
        <v>39</v>
      </c>
      <c r="D21" s="52" t="s">
        <v>12</v>
      </c>
      <c r="E21" s="52" t="s">
        <v>9</v>
      </c>
      <c r="F21" s="52" t="s">
        <v>9</v>
      </c>
      <c r="G21" s="1"/>
      <c r="H21" s="30"/>
      <c r="I21" s="30"/>
      <c r="J21" s="30"/>
    </row>
    <row r="22" spans="1:10" x14ac:dyDescent="0.2">
      <c r="A22" s="32" t="s">
        <v>70</v>
      </c>
      <c r="B22" s="45">
        <f>'[4]LRF FY17'!U19</f>
        <v>184589</v>
      </c>
      <c r="C22" s="53"/>
      <c r="D22" s="54"/>
      <c r="E22" s="54"/>
      <c r="F22" s="54" t="s">
        <v>14</v>
      </c>
      <c r="G22" s="1"/>
      <c r="H22" s="30"/>
      <c r="I22" s="30"/>
      <c r="J22" s="30"/>
    </row>
    <row r="23" spans="1:10" x14ac:dyDescent="0.2">
      <c r="A23" s="55" t="s">
        <v>13</v>
      </c>
      <c r="B23" s="56"/>
      <c r="C23" s="53"/>
      <c r="D23" s="54"/>
      <c r="E23" s="54"/>
      <c r="F23" s="54"/>
      <c r="G23" s="2"/>
      <c r="H23" s="30"/>
      <c r="I23" s="30"/>
      <c r="J23" s="30"/>
    </row>
    <row r="24" spans="1:10" x14ac:dyDescent="0.2">
      <c r="A24" s="55" t="s">
        <v>15</v>
      </c>
      <c r="B24" s="56"/>
      <c r="C24" s="53"/>
      <c r="D24" s="54"/>
      <c r="E24" s="54"/>
      <c r="F24" s="54"/>
      <c r="G24" s="2"/>
      <c r="H24" s="57" t="s">
        <v>43</v>
      </c>
      <c r="I24" s="30"/>
      <c r="J24" s="57" t="s">
        <v>45</v>
      </c>
    </row>
    <row r="25" spans="1:10" x14ac:dyDescent="0.2">
      <c r="A25" s="58" t="s">
        <v>16</v>
      </c>
      <c r="B25" s="59"/>
      <c r="C25" s="60">
        <f>[3]main!C196-[3]main!F138</f>
        <v>8576.4760000000006</v>
      </c>
      <c r="D25" s="61">
        <f>[3]main!E196-[3]main!H138</f>
        <v>27307498.030000001</v>
      </c>
      <c r="E25" s="62">
        <f>IF(B20&gt;D25,D25,B20)</f>
        <v>6691705</v>
      </c>
      <c r="F25" s="62">
        <f>D25-E25</f>
        <v>20615793.030000001</v>
      </c>
      <c r="G25" s="1"/>
      <c r="H25" s="57">
        <f>[3]main!H255</f>
        <v>30806491.210000001</v>
      </c>
      <c r="I25" s="30"/>
      <c r="J25" s="57">
        <f>'[5]Sheet 1'!E79</f>
        <v>39557666.460000001</v>
      </c>
    </row>
    <row r="26" spans="1:10" x14ac:dyDescent="0.2">
      <c r="A26" s="58" t="s">
        <v>17</v>
      </c>
      <c r="B26" s="59"/>
      <c r="C26" s="53">
        <f>[3]main!F138</f>
        <v>232.09200000000001</v>
      </c>
      <c r="D26" s="54">
        <f>[3]main!H138</f>
        <v>738980.28</v>
      </c>
      <c r="E26" s="54">
        <f>IF(B19-SUM(E23:E25)&gt;D26,D26,B19-SUM(E23:E25))</f>
        <v>0</v>
      </c>
      <c r="F26" s="54">
        <f>D26-E26</f>
        <v>738980.28</v>
      </c>
      <c r="G26" s="1"/>
      <c r="H26" s="57">
        <f>SUM(D25:D29)</f>
        <v>30806491.210000001</v>
      </c>
      <c r="I26" s="30"/>
      <c r="J26" s="57">
        <f>D40</f>
        <v>39557666.460000001</v>
      </c>
    </row>
    <row r="27" spans="1:10" x14ac:dyDescent="0.2">
      <c r="A27" s="58" t="s">
        <v>18</v>
      </c>
      <c r="B27" s="59"/>
      <c r="C27" s="53">
        <f>[3]main!F196</f>
        <v>863.83799999999997</v>
      </c>
      <c r="D27" s="54">
        <f>[3]main!H196</f>
        <v>2750460.9</v>
      </c>
      <c r="E27" s="54">
        <f>IF(B20-SUM(E25:E26)&gt;D27,D27,B20-SUM(E25:E26))</f>
        <v>0</v>
      </c>
      <c r="F27" s="54">
        <f>D27-E27</f>
        <v>2750460.9</v>
      </c>
      <c r="G27" s="1"/>
      <c r="H27" s="57">
        <f>+H25-H26</f>
        <v>0</v>
      </c>
      <c r="I27" s="30"/>
      <c r="J27" s="57">
        <f>+J25-J26</f>
        <v>0</v>
      </c>
    </row>
    <row r="28" spans="1:10" x14ac:dyDescent="0.2">
      <c r="A28" s="58" t="s">
        <v>19</v>
      </c>
      <c r="B28" s="59"/>
      <c r="C28" s="53">
        <f>[3]main!C255</f>
        <v>0</v>
      </c>
      <c r="D28" s="54">
        <f>[3]main!E255</f>
        <v>0</v>
      </c>
      <c r="E28" s="54">
        <f>IF(B20-SUM(E25:E27)&gt;D28,D28,B20-SUM(E25:E27))</f>
        <v>0</v>
      </c>
      <c r="F28" s="54">
        <f>D28-E28</f>
        <v>0</v>
      </c>
      <c r="G28" s="1"/>
      <c r="H28" s="30"/>
      <c r="I28" s="30"/>
      <c r="J28" s="30"/>
    </row>
    <row r="29" spans="1:10" x14ac:dyDescent="0.2">
      <c r="A29" s="58" t="s">
        <v>42</v>
      </c>
      <c r="B29" s="59"/>
      <c r="C29" s="53">
        <f>[3]main!C79</f>
        <v>3</v>
      </c>
      <c r="D29" s="54">
        <f>[3]main!E79</f>
        <v>9552</v>
      </c>
      <c r="E29" s="54">
        <f>IF(B20-SUM(E25:E28)&gt;D29,D29,B20-SUM(E25:E28))</f>
        <v>0</v>
      </c>
      <c r="F29" s="54">
        <f>D29-E29</f>
        <v>9552</v>
      </c>
      <c r="G29" s="1"/>
      <c r="H29" s="30"/>
      <c r="I29" s="30"/>
      <c r="J29" s="30"/>
    </row>
    <row r="30" spans="1:10" x14ac:dyDescent="0.2">
      <c r="A30" s="55" t="s">
        <v>20</v>
      </c>
      <c r="B30" s="56"/>
      <c r="C30" s="63"/>
      <c r="D30" s="64"/>
      <c r="E30" s="64"/>
      <c r="F30" s="64" t="s">
        <v>14</v>
      </c>
      <c r="G30" s="1"/>
      <c r="H30" s="57" t="s">
        <v>44</v>
      </c>
      <c r="I30" s="30"/>
      <c r="J30" s="30"/>
    </row>
    <row r="31" spans="1:10" x14ac:dyDescent="0.2">
      <c r="A31" s="58" t="s">
        <v>21</v>
      </c>
      <c r="B31" s="59"/>
      <c r="C31" s="53">
        <f>'[6]Sheet 1'!C21</f>
        <v>1240.7370000000001</v>
      </c>
      <c r="D31" s="54">
        <f>'[6]Sheet 1'!E21</f>
        <v>3950508.06</v>
      </c>
      <c r="E31" s="54">
        <f>IF(B20-SUM(E25:E30)&gt;D31,D31,B20-SUM(E25:E30))</f>
        <v>0</v>
      </c>
      <c r="F31" s="54">
        <f t="shared" ref="F31:F39" si="0">D31-E31</f>
        <v>3950508.06</v>
      </c>
      <c r="G31" s="1"/>
      <c r="H31" s="57">
        <f>'[6]Sheet 1'!N137</f>
        <v>5581603.2400000002</v>
      </c>
      <c r="I31" s="30"/>
      <c r="J31" s="30"/>
    </row>
    <row r="32" spans="1:10" x14ac:dyDescent="0.2">
      <c r="A32" s="59" t="s">
        <v>22</v>
      </c>
      <c r="B32" s="59"/>
      <c r="C32" s="53">
        <f>'[6]Sheet 1'!F21</f>
        <v>185.26</v>
      </c>
      <c r="D32" s="54">
        <f>'[6]Sheet 1'!H21</f>
        <v>589867.84</v>
      </c>
      <c r="E32" s="54">
        <f>IF(B20-SUM(E25:E31)&gt;D32,D32,B20-SUM(E25:E31))</f>
        <v>0</v>
      </c>
      <c r="F32" s="54">
        <f t="shared" si="0"/>
        <v>589867.84</v>
      </c>
      <c r="G32" s="1"/>
      <c r="H32" s="57">
        <f>SUM(D31:D37)</f>
        <v>5581603.2400000002</v>
      </c>
      <c r="I32" s="30"/>
      <c r="J32" s="30"/>
    </row>
    <row r="33" spans="1:10" x14ac:dyDescent="0.2">
      <c r="A33" s="59" t="s">
        <v>23</v>
      </c>
      <c r="B33" s="59"/>
      <c r="C33" s="53">
        <f>'[6]Sheet 1'!C79</f>
        <v>288.12</v>
      </c>
      <c r="D33" s="54">
        <f>'[6]Sheet 1'!E79</f>
        <v>917374.08</v>
      </c>
      <c r="E33" s="54">
        <f>IF(B20-SUM(E25:E32)&gt;D33,D33,B20-SUM(E25:E32))</f>
        <v>0</v>
      </c>
      <c r="F33" s="54">
        <f t="shared" si="0"/>
        <v>917374.08</v>
      </c>
      <c r="G33" s="1"/>
      <c r="H33" s="57">
        <f>+H31-H32</f>
        <v>0</v>
      </c>
      <c r="I33" s="30"/>
      <c r="J33" s="30"/>
    </row>
    <row r="34" spans="1:10" x14ac:dyDescent="0.2">
      <c r="A34" s="58" t="s">
        <v>24</v>
      </c>
      <c r="B34" s="59"/>
      <c r="C34" s="53">
        <f>'[6]Sheet 1'!F79</f>
        <v>6.2210000000000001</v>
      </c>
      <c r="D34" s="54">
        <f>'[6]Sheet 1'!H79</f>
        <v>19807.29</v>
      </c>
      <c r="E34" s="54">
        <f>IF(B20-SUM(E25:E33)&gt;D34,D34,B20-SUM(E25:E33))</f>
        <v>0</v>
      </c>
      <c r="F34" s="54">
        <f t="shared" si="0"/>
        <v>19807.29</v>
      </c>
      <c r="G34" s="1"/>
      <c r="H34" s="30"/>
      <c r="I34" s="30"/>
      <c r="J34" s="30"/>
    </row>
    <row r="35" spans="1:10" x14ac:dyDescent="0.2">
      <c r="A35" s="59" t="s">
        <v>71</v>
      </c>
      <c r="B35" s="59"/>
      <c r="C35" s="53">
        <f>'[6]Sheet 1'!C137</f>
        <v>30.388000000000002</v>
      </c>
      <c r="D35" s="54">
        <f>'[6]Sheet 1'!E137</f>
        <v>96754.04</v>
      </c>
      <c r="E35" s="54">
        <f>IF(B20-SUM(E25:E34)&gt;D35,D35,B20-SUM(E25:E34))</f>
        <v>0</v>
      </c>
      <c r="F35" s="54">
        <f t="shared" si="0"/>
        <v>96754.04</v>
      </c>
      <c r="G35" s="1"/>
      <c r="H35" s="30"/>
      <c r="I35" s="30"/>
      <c r="J35" s="30"/>
    </row>
    <row r="36" spans="1:10" x14ac:dyDescent="0.2">
      <c r="A36" s="59" t="s">
        <v>57</v>
      </c>
      <c r="B36" s="59"/>
      <c r="C36" s="53">
        <f>'[6]Sheet 1'!F137</f>
        <v>0</v>
      </c>
      <c r="D36" s="54">
        <f>'[6]Sheet 1'!H137</f>
        <v>0</v>
      </c>
      <c r="E36" s="54">
        <f>IF(B21-SUM(E26:E35)&gt;D36,D36,B21-SUM(E26:E35))</f>
        <v>0</v>
      </c>
      <c r="F36" s="54">
        <f t="shared" si="0"/>
        <v>0</v>
      </c>
      <c r="G36" s="1"/>
      <c r="H36" s="30"/>
      <c r="I36" s="30"/>
      <c r="J36" s="30"/>
    </row>
    <row r="37" spans="1:10" x14ac:dyDescent="0.2">
      <c r="A37" s="59" t="s">
        <v>64</v>
      </c>
      <c r="B37" s="59"/>
      <c r="C37" s="53">
        <f>'[6]Sheet 1'!I137</f>
        <v>2.29</v>
      </c>
      <c r="D37" s="54">
        <f>'[6]Sheet 1'!K137</f>
        <v>7291.93</v>
      </c>
      <c r="E37" s="54">
        <f>IF(B23-SUM(E27:E36)&gt;D37,D37,B23-SUM(E27:E36))</f>
        <v>0</v>
      </c>
      <c r="F37" s="54">
        <f t="shared" si="0"/>
        <v>7291.93</v>
      </c>
      <c r="G37" s="1"/>
      <c r="H37" s="57" t="s">
        <v>46</v>
      </c>
      <c r="I37" s="30"/>
      <c r="J37" s="30"/>
    </row>
    <row r="38" spans="1:10" x14ac:dyDescent="0.2">
      <c r="A38" s="59" t="s">
        <v>58</v>
      </c>
      <c r="B38" s="59"/>
      <c r="C38" s="53">
        <f>'[6]Sheet 1'!C195</f>
        <v>428.27600000000001</v>
      </c>
      <c r="D38" s="54">
        <f>'[6]Sheet 1'!E195</f>
        <v>1363631.65</v>
      </c>
      <c r="E38" s="54">
        <f>IF(B20-SUM(E25:E35)&gt;D38,D38,B20-SUM(E25:E35))</f>
        <v>0</v>
      </c>
      <c r="F38" s="54">
        <f t="shared" si="0"/>
        <v>1363631.65</v>
      </c>
      <c r="G38" s="4"/>
      <c r="H38" s="57">
        <f>+'[6]Sheet 1'!E195</f>
        <v>1363631.65</v>
      </c>
      <c r="I38" s="30"/>
      <c r="J38" s="30"/>
    </row>
    <row r="39" spans="1:10" x14ac:dyDescent="0.2">
      <c r="A39" s="58" t="s">
        <v>59</v>
      </c>
      <c r="B39" s="59"/>
      <c r="C39" s="53">
        <f>'[5]Sheet 1'!C21</f>
        <v>567.19200000000001</v>
      </c>
      <c r="D39" s="54">
        <f>'[5]Sheet 1'!E21</f>
        <v>1805940.36</v>
      </c>
      <c r="E39" s="54">
        <f>IF(B20-SUM(E25:E38)&gt;D39,D39,B20-SUM(E25:E38))</f>
        <v>0</v>
      </c>
      <c r="F39" s="54">
        <f t="shared" si="0"/>
        <v>1805940.36</v>
      </c>
      <c r="G39" s="5"/>
      <c r="H39" s="57">
        <f>+D38</f>
        <v>1363631.65</v>
      </c>
      <c r="I39" s="30"/>
      <c r="J39" s="30"/>
    </row>
    <row r="40" spans="1:10" x14ac:dyDescent="0.2">
      <c r="A40" s="65" t="s">
        <v>28</v>
      </c>
      <c r="B40" s="56"/>
      <c r="C40" s="66">
        <f>SUM(C25:C39)</f>
        <v>12423.89</v>
      </c>
      <c r="D40" s="67">
        <f>SUM(D25:D39)</f>
        <v>39557666.460000001</v>
      </c>
      <c r="E40" s="67">
        <f>SUM(E25:E39)</f>
        <v>6691705</v>
      </c>
      <c r="F40" s="67">
        <f>SUM(F25:F39)</f>
        <v>32865961.460000001</v>
      </c>
      <c r="G40" s="1"/>
      <c r="H40" s="57">
        <f>+H38-H39</f>
        <v>0</v>
      </c>
      <c r="I40" s="30"/>
      <c r="J40" s="30"/>
    </row>
    <row r="41" spans="1:10" x14ac:dyDescent="0.2">
      <c r="A41" s="68" t="s">
        <v>26</v>
      </c>
      <c r="B41" s="56"/>
      <c r="C41" s="69"/>
      <c r="D41" s="54"/>
      <c r="E41" s="54"/>
      <c r="F41" s="54"/>
      <c r="G41" s="1"/>
      <c r="H41" s="57" t="s">
        <v>47</v>
      </c>
      <c r="I41" s="30"/>
      <c r="J41" s="57" t="s">
        <v>52</v>
      </c>
    </row>
    <row r="42" spans="1:10" x14ac:dyDescent="0.2">
      <c r="A42" s="58" t="s">
        <v>56</v>
      </c>
      <c r="B42" s="59"/>
      <c r="C42" s="20"/>
      <c r="D42" s="70">
        <f>[1]Main!F22</f>
        <v>114628.94</v>
      </c>
      <c r="E42" s="54">
        <f>IF($B20-SUM($E40)&gt;D42,D42,$B20-SUM($E40))</f>
        <v>0</v>
      </c>
      <c r="F42" s="54">
        <f t="shared" ref="F42:F60" si="1">D42-E42</f>
        <v>114628.94</v>
      </c>
      <c r="G42" s="1"/>
      <c r="H42" s="57">
        <f>[1]Main!G22</f>
        <v>1594363.69</v>
      </c>
      <c r="I42" s="30"/>
      <c r="J42" s="57">
        <f>+[1]Main!D483</f>
        <v>7268517.2999999998</v>
      </c>
    </row>
    <row r="43" spans="1:10" x14ac:dyDescent="0.2">
      <c r="A43" s="59" t="s">
        <v>25</v>
      </c>
      <c r="B43" s="59"/>
      <c r="C43" s="20"/>
      <c r="D43" s="70">
        <f>[1]Main!C22</f>
        <v>1479734.75</v>
      </c>
      <c r="E43" s="54">
        <f>IF($B20-SUM($E40:E42)&gt;D43,D43,B20-SUM($E40:E42))</f>
        <v>0</v>
      </c>
      <c r="F43" s="54">
        <f t="shared" si="1"/>
        <v>1479734.75</v>
      </c>
      <c r="G43" s="1"/>
      <c r="H43" s="57">
        <f>SUM(D42:D44)</f>
        <v>1594363.69</v>
      </c>
      <c r="I43" s="30"/>
      <c r="J43" s="57">
        <f>SUM(D42:D69)-E55</f>
        <v>7268517.2999999998</v>
      </c>
    </row>
    <row r="44" spans="1:10" x14ac:dyDescent="0.2">
      <c r="A44" s="71" t="s">
        <v>27</v>
      </c>
      <c r="B44" s="59"/>
      <c r="C44" s="20"/>
      <c r="D44" s="70">
        <f>[1]Main!D22</f>
        <v>0</v>
      </c>
      <c r="E44" s="54">
        <f>IF($B20-SUM($E40:E43)&gt;D44,D44,$B20-SUM($E40:E43))</f>
        <v>0</v>
      </c>
      <c r="F44" s="54">
        <f>D44-E44</f>
        <v>0</v>
      </c>
      <c r="G44" s="1"/>
      <c r="H44" s="57">
        <f>+H42-H43</f>
        <v>0</v>
      </c>
      <c r="I44" s="30"/>
      <c r="J44" s="57">
        <f>+J42-J43</f>
        <v>0</v>
      </c>
    </row>
    <row r="45" spans="1:10" x14ac:dyDescent="0.2">
      <c r="A45" s="72" t="s">
        <v>72</v>
      </c>
      <c r="B45" s="59"/>
      <c r="C45" s="20"/>
      <c r="D45" s="70">
        <f>[1]Main!E22</f>
        <v>0</v>
      </c>
      <c r="E45" s="54">
        <f>IF($B21-SUM($E41:E44)&gt;D45,D45,$B21-SUM($E41:E44))</f>
        <v>0</v>
      </c>
      <c r="F45" s="54">
        <f>D45-E45</f>
        <v>0</v>
      </c>
      <c r="G45" s="1"/>
      <c r="H45" s="30"/>
      <c r="I45" s="30"/>
      <c r="J45" s="30"/>
    </row>
    <row r="46" spans="1:10" x14ac:dyDescent="0.2">
      <c r="A46" s="72" t="s">
        <v>73</v>
      </c>
      <c r="B46" s="59"/>
      <c r="C46" s="20"/>
      <c r="D46" s="54">
        <f>+[1]Main!$F138</f>
        <v>53367.93</v>
      </c>
      <c r="E46" s="54">
        <f>IF($B20-SUM($E40:E44)&gt;D46,D46,$B20-SUM($E40:E44))</f>
        <v>0</v>
      </c>
      <c r="F46" s="54">
        <f t="shared" si="1"/>
        <v>53367.93</v>
      </c>
      <c r="G46" s="1"/>
      <c r="H46" s="30"/>
      <c r="I46" s="30"/>
      <c r="J46" s="30"/>
    </row>
    <row r="47" spans="1:10" x14ac:dyDescent="0.2">
      <c r="A47" s="71" t="s">
        <v>74</v>
      </c>
      <c r="B47" s="59"/>
      <c r="C47" s="20"/>
      <c r="D47" s="54">
        <f>+[1]Main!$C80</f>
        <v>365336</v>
      </c>
      <c r="E47" s="54">
        <f>IF($B20-SUM($E40:E46)&gt;D47,D47,$B20-SUM($E40:E46))</f>
        <v>0</v>
      </c>
      <c r="F47" s="54">
        <f t="shared" si="1"/>
        <v>365336</v>
      </c>
      <c r="G47" s="1"/>
      <c r="H47" s="30"/>
      <c r="I47" s="30"/>
      <c r="J47" s="30"/>
    </row>
    <row r="48" spans="1:10" x14ac:dyDescent="0.2">
      <c r="A48" s="71" t="s">
        <v>75</v>
      </c>
      <c r="B48" s="59"/>
      <c r="C48" s="20"/>
      <c r="D48" s="54">
        <f>+[1]Main!$D80</f>
        <v>0</v>
      </c>
      <c r="E48" s="54">
        <f>IF($B20-SUM($E40:E47)&gt;D48,D48,$B20-SUM($E40:E47))</f>
        <v>0</v>
      </c>
      <c r="F48" s="54">
        <f t="shared" si="1"/>
        <v>0</v>
      </c>
      <c r="G48" s="1"/>
      <c r="H48" s="30"/>
      <c r="I48" s="30"/>
      <c r="J48" s="30"/>
    </row>
    <row r="49" spans="1:10" x14ac:dyDescent="0.2">
      <c r="A49" s="71" t="s">
        <v>76</v>
      </c>
      <c r="B49" s="59"/>
      <c r="C49" s="20"/>
      <c r="D49" s="54">
        <f>+[1]Main!$E80</f>
        <v>869177</v>
      </c>
      <c r="E49" s="54">
        <f>IF($B20-SUM($E40:E48)&gt;D49,D49,$B20-SUM($E40:E48))</f>
        <v>0</v>
      </c>
      <c r="F49" s="54">
        <f t="shared" si="1"/>
        <v>869177</v>
      </c>
      <c r="G49" s="1"/>
      <c r="H49" s="30"/>
      <c r="I49" s="30"/>
      <c r="J49" s="30"/>
    </row>
    <row r="50" spans="1:10" x14ac:dyDescent="0.2">
      <c r="A50" s="71" t="s">
        <v>77</v>
      </c>
      <c r="B50" s="59"/>
      <c r="C50" s="20"/>
      <c r="D50" s="54">
        <f>[1]Main!F80</f>
        <v>78639</v>
      </c>
      <c r="E50" s="54">
        <f>IF($B20-SUM($E40:E49)&gt;D50,D50,$B20-SUM($E40:E49))</f>
        <v>0</v>
      </c>
      <c r="F50" s="54">
        <f t="shared" si="1"/>
        <v>78639</v>
      </c>
      <c r="G50" s="1"/>
      <c r="H50" s="57" t="s">
        <v>48</v>
      </c>
      <c r="I50" s="30"/>
      <c r="J50" s="30"/>
    </row>
    <row r="51" spans="1:10" x14ac:dyDescent="0.2">
      <c r="A51" s="71" t="s">
        <v>79</v>
      </c>
      <c r="B51" s="59"/>
      <c r="C51" s="20"/>
      <c r="D51" s="54">
        <f>[1]Main!G80</f>
        <v>0</v>
      </c>
      <c r="E51" s="54">
        <f>IF($B20-SUM($E40:E50)&gt;D51,D51,$B20-SUM($E40:E50))</f>
        <v>0</v>
      </c>
      <c r="F51" s="54">
        <f t="shared" si="1"/>
        <v>0</v>
      </c>
      <c r="G51" s="1"/>
      <c r="H51" s="57"/>
      <c r="I51" s="30"/>
      <c r="J51" s="30"/>
    </row>
    <row r="52" spans="1:10" x14ac:dyDescent="0.2">
      <c r="A52" s="71" t="s">
        <v>78</v>
      </c>
      <c r="B52" s="59"/>
      <c r="C52" s="20"/>
      <c r="D52" s="54">
        <f>[1]Main!G138</f>
        <v>120739.86</v>
      </c>
      <c r="E52" s="54">
        <f>IF($B20-SUM($E40:E51)&gt;D52,D52,$B20-SUM($E40:E51))</f>
        <v>0</v>
      </c>
      <c r="F52" s="54">
        <f t="shared" si="1"/>
        <v>120739.86</v>
      </c>
      <c r="G52" s="1"/>
      <c r="H52" s="73">
        <f>+[1]Main!D196</f>
        <v>1487259.79</v>
      </c>
      <c r="I52" s="30"/>
      <c r="J52" s="30"/>
    </row>
    <row r="53" spans="1:10" x14ac:dyDescent="0.2">
      <c r="A53" s="71" t="s">
        <v>80</v>
      </c>
      <c r="B53" s="59"/>
      <c r="C53" s="20"/>
      <c r="D53" s="54">
        <f>[1]Main!C196</f>
        <v>0</v>
      </c>
      <c r="E53" s="54"/>
      <c r="F53" s="54">
        <f t="shared" si="1"/>
        <v>0</v>
      </c>
      <c r="G53" s="1"/>
      <c r="H53" s="57">
        <f>+SUM(D46:D53)</f>
        <v>1487259.79</v>
      </c>
      <c r="I53" s="30"/>
      <c r="J53" s="30"/>
    </row>
    <row r="54" spans="1:10" x14ac:dyDescent="0.2">
      <c r="A54" s="71" t="s">
        <v>81</v>
      </c>
      <c r="B54" s="59"/>
      <c r="C54" s="20"/>
      <c r="D54" s="54">
        <f>[1]Main!C254</f>
        <v>732502</v>
      </c>
      <c r="E54" s="54">
        <v>0</v>
      </c>
      <c r="F54" s="54">
        <f t="shared" si="1"/>
        <v>732502</v>
      </c>
      <c r="G54" s="1"/>
      <c r="H54" s="57">
        <f>+H52-H53</f>
        <v>0</v>
      </c>
      <c r="I54" s="30"/>
      <c r="J54" s="30"/>
    </row>
    <row r="55" spans="1:10" x14ac:dyDescent="0.2">
      <c r="A55" s="71" t="s">
        <v>82</v>
      </c>
      <c r="B55" s="59"/>
      <c r="C55" s="20"/>
      <c r="D55" s="54">
        <f>+[7]Main!I21+[7]Main!J21</f>
        <v>586891.75</v>
      </c>
      <c r="E55" s="74">
        <f>[7]Main!J21</f>
        <v>372193.46</v>
      </c>
      <c r="F55" s="54">
        <f t="shared" si="1"/>
        <v>214698.29</v>
      </c>
      <c r="G55" s="1"/>
      <c r="H55" s="30"/>
      <c r="I55" s="30"/>
      <c r="J55" s="30"/>
    </row>
    <row r="56" spans="1:10" x14ac:dyDescent="0.2">
      <c r="A56" s="71" t="s">
        <v>83</v>
      </c>
      <c r="B56" s="59"/>
      <c r="C56" s="20"/>
      <c r="D56" s="54">
        <f>[1]Main!F254</f>
        <v>139568</v>
      </c>
      <c r="E56" s="54">
        <v>0</v>
      </c>
      <c r="F56" s="54">
        <f t="shared" si="1"/>
        <v>139568</v>
      </c>
      <c r="G56" s="1"/>
      <c r="H56" s="30"/>
      <c r="I56" s="30"/>
      <c r="J56" s="30"/>
    </row>
    <row r="57" spans="1:10" x14ac:dyDescent="0.2">
      <c r="A57" s="71" t="s">
        <v>84</v>
      </c>
      <c r="B57" s="59"/>
      <c r="C57" s="7"/>
      <c r="D57" s="54">
        <f>[1]Main!E254</f>
        <v>15860.74</v>
      </c>
      <c r="E57" s="54">
        <v>0</v>
      </c>
      <c r="F57" s="54">
        <f t="shared" si="1"/>
        <v>15860.74</v>
      </c>
      <c r="G57" s="1"/>
      <c r="H57" s="57" t="s">
        <v>49</v>
      </c>
      <c r="I57" s="30"/>
      <c r="J57" s="30"/>
    </row>
    <row r="58" spans="1:10" x14ac:dyDescent="0.2">
      <c r="A58" s="71" t="s">
        <v>85</v>
      </c>
      <c r="B58" s="59"/>
      <c r="C58" s="7"/>
      <c r="D58" s="54">
        <f>[1]Main!G254</f>
        <v>124640</v>
      </c>
      <c r="E58" s="54">
        <v>0</v>
      </c>
      <c r="F58" s="54">
        <f t="shared" si="1"/>
        <v>124640</v>
      </c>
      <c r="G58" s="1"/>
      <c r="H58" s="57">
        <f>+[1]Main!C483</f>
        <v>4049673.92</v>
      </c>
      <c r="I58" s="57"/>
      <c r="J58" s="57"/>
    </row>
    <row r="59" spans="1:10" x14ac:dyDescent="0.2">
      <c r="A59" s="71" t="s">
        <v>86</v>
      </c>
      <c r="B59" s="59"/>
      <c r="C59" s="20"/>
      <c r="D59" s="54">
        <f>[1]Main!C312</f>
        <v>10000</v>
      </c>
      <c r="E59" s="54">
        <v>0</v>
      </c>
      <c r="F59" s="54">
        <f t="shared" si="1"/>
        <v>10000</v>
      </c>
      <c r="G59" s="1"/>
      <c r="H59" s="57">
        <f>+SUM(D54:D64)-E55</f>
        <v>4049673.92</v>
      </c>
      <c r="I59" s="57"/>
      <c r="J59" s="57">
        <f>+H59-H58</f>
        <v>0</v>
      </c>
    </row>
    <row r="60" spans="1:10" x14ac:dyDescent="0.2">
      <c r="A60" s="71" t="s">
        <v>87</v>
      </c>
      <c r="C60" s="8"/>
      <c r="D60" s="76">
        <f>[1]Main!D312</f>
        <v>2468570.23</v>
      </c>
      <c r="E60" s="77">
        <v>0</v>
      </c>
      <c r="F60" s="77">
        <f t="shared" si="1"/>
        <v>2468570.23</v>
      </c>
      <c r="G60" s="5"/>
      <c r="H60" s="57">
        <f>+H58-H59</f>
        <v>0</v>
      </c>
      <c r="I60" s="57"/>
      <c r="J60" s="57"/>
    </row>
    <row r="61" spans="1:10" x14ac:dyDescent="0.2">
      <c r="A61" s="71" t="s">
        <v>88</v>
      </c>
      <c r="B61" s="59"/>
      <c r="C61" s="20"/>
      <c r="D61" s="54">
        <f>+[1]Main!$E312</f>
        <v>12246.48</v>
      </c>
      <c r="E61" s="54">
        <v>0</v>
      </c>
      <c r="F61" s="54">
        <f>D61-E61</f>
        <v>12246.48</v>
      </c>
      <c r="G61" s="4"/>
      <c r="H61" s="30"/>
      <c r="I61" s="30"/>
      <c r="J61" s="30"/>
    </row>
    <row r="62" spans="1:10" x14ac:dyDescent="0.2">
      <c r="A62" s="71" t="s">
        <v>89</v>
      </c>
      <c r="B62" s="59"/>
      <c r="C62" s="20"/>
      <c r="D62" s="54">
        <f>[1]Main!F312</f>
        <v>78269.52</v>
      </c>
      <c r="E62" s="54">
        <v>0</v>
      </c>
      <c r="F62" s="54">
        <f>D62-E62</f>
        <v>78269.52</v>
      </c>
      <c r="G62" s="4"/>
      <c r="H62" s="30"/>
      <c r="I62" s="30"/>
      <c r="J62" s="30"/>
    </row>
    <row r="63" spans="1:10" x14ac:dyDescent="0.2">
      <c r="A63" s="71" t="s">
        <v>90</v>
      </c>
      <c r="B63" s="59"/>
      <c r="C63" s="20"/>
      <c r="D63" s="54">
        <f>[1]Main!G312</f>
        <v>102000</v>
      </c>
      <c r="E63" s="54">
        <v>0</v>
      </c>
      <c r="F63" s="54">
        <f>D63-E63</f>
        <v>102000</v>
      </c>
      <c r="G63" s="1"/>
      <c r="H63" s="57" t="s">
        <v>50</v>
      </c>
      <c r="I63" s="30"/>
      <c r="J63" s="30"/>
    </row>
    <row r="64" spans="1:10" x14ac:dyDescent="0.2">
      <c r="A64" s="71" t="s">
        <v>93</v>
      </c>
      <c r="B64" s="59"/>
      <c r="C64" s="20"/>
      <c r="D64" s="54">
        <f>[1]Main!F369</f>
        <v>151318.66</v>
      </c>
      <c r="E64" s="54">
        <v>0</v>
      </c>
      <c r="F64" s="54">
        <f>D64-E64</f>
        <v>151318.66</v>
      </c>
      <c r="G64" s="1"/>
      <c r="H64" s="57"/>
      <c r="I64" s="30"/>
      <c r="J64" s="30"/>
    </row>
    <row r="65" spans="1:10" x14ac:dyDescent="0.2">
      <c r="A65" s="55" t="s">
        <v>30</v>
      </c>
      <c r="B65" s="78"/>
      <c r="C65" s="79"/>
      <c r="D65" s="64"/>
      <c r="E65" s="64"/>
      <c r="F65" s="64"/>
      <c r="G65" s="1"/>
      <c r="H65" s="57"/>
      <c r="I65" s="30"/>
      <c r="J65" s="30"/>
    </row>
    <row r="66" spans="1:10" x14ac:dyDescent="0.2">
      <c r="A66" s="71" t="s">
        <v>60</v>
      </c>
      <c r="B66" s="59"/>
      <c r="C66" s="20"/>
      <c r="D66" s="54">
        <f>[1]Main!C426</f>
        <v>88528.29</v>
      </c>
      <c r="E66" s="54">
        <v>0</v>
      </c>
      <c r="F66" s="54">
        <f>D66-E66</f>
        <v>88528.29</v>
      </c>
      <c r="G66" s="1"/>
      <c r="H66" s="57">
        <f>+[1]Main!G426</f>
        <v>137219.9</v>
      </c>
      <c r="I66" s="30"/>
      <c r="J66" s="30"/>
    </row>
    <row r="67" spans="1:10" x14ac:dyDescent="0.2">
      <c r="A67" s="71" t="s">
        <v>63</v>
      </c>
      <c r="B67" s="59"/>
      <c r="C67" s="20"/>
      <c r="D67" s="54">
        <f>[1]Main!D426</f>
        <v>5768.93</v>
      </c>
      <c r="E67" s="54">
        <v>0</v>
      </c>
      <c r="F67" s="54">
        <f>D67-E67</f>
        <v>5768.93</v>
      </c>
      <c r="G67" s="4"/>
      <c r="H67" s="57">
        <f>SUM(D66:D69)</f>
        <v>137219.9</v>
      </c>
      <c r="I67" s="30"/>
      <c r="J67" s="30"/>
    </row>
    <row r="68" spans="1:10" x14ac:dyDescent="0.2">
      <c r="A68" s="71" t="s">
        <v>91</v>
      </c>
      <c r="B68" s="59"/>
      <c r="C68" s="20"/>
      <c r="D68" s="54">
        <f>[1]Main!E426</f>
        <v>0</v>
      </c>
      <c r="E68" s="54">
        <v>0</v>
      </c>
      <c r="F68" s="54">
        <f>D68-E68</f>
        <v>0</v>
      </c>
      <c r="G68" s="4"/>
      <c r="H68" s="57">
        <f>+H66-H67</f>
        <v>0</v>
      </c>
      <c r="I68" s="30"/>
      <c r="J68" s="30"/>
    </row>
    <row r="69" spans="1:10" x14ac:dyDescent="0.2">
      <c r="A69" s="71" t="s">
        <v>92</v>
      </c>
      <c r="B69" s="59"/>
      <c r="C69" s="20"/>
      <c r="D69" s="54">
        <f>[1]Main!F426</f>
        <v>42922.68</v>
      </c>
      <c r="E69" s="54">
        <v>0</v>
      </c>
      <c r="F69" s="54">
        <f>D69-E69</f>
        <v>42922.68</v>
      </c>
      <c r="G69" s="1"/>
      <c r="H69" s="30"/>
      <c r="I69" s="30"/>
      <c r="J69" s="30"/>
    </row>
    <row r="70" spans="1:10" x14ac:dyDescent="0.2">
      <c r="A70" s="55" t="s">
        <v>31</v>
      </c>
      <c r="B70" s="78"/>
      <c r="C70" s="79"/>
      <c r="D70" s="64"/>
      <c r="E70" s="64"/>
      <c r="F70" s="64"/>
      <c r="G70" s="1"/>
      <c r="H70" s="30"/>
      <c r="I70" s="30"/>
      <c r="J70" s="30"/>
    </row>
    <row r="71" spans="1:10" x14ac:dyDescent="0.2">
      <c r="A71" s="58" t="s">
        <v>69</v>
      </c>
      <c r="B71" s="59"/>
      <c r="C71" s="20"/>
      <c r="D71" s="54">
        <f>+[1]Main!$G539</f>
        <v>3830092.91</v>
      </c>
      <c r="E71" s="54">
        <f>+[1]Main!$D539</f>
        <v>2860454.22</v>
      </c>
      <c r="F71" s="54">
        <f>+D71-E71</f>
        <v>969638.69</v>
      </c>
      <c r="G71" s="1"/>
      <c r="H71" s="30"/>
      <c r="I71" s="30"/>
      <c r="J71" s="30"/>
    </row>
    <row r="72" spans="1:10" x14ac:dyDescent="0.2">
      <c r="A72" s="59" t="s">
        <v>68</v>
      </c>
      <c r="B72" s="59"/>
      <c r="C72" s="20"/>
      <c r="D72" s="54">
        <f>+[1]Main!$G594</f>
        <v>1915046.45</v>
      </c>
      <c r="E72" s="54">
        <f>+[1]Main!$D594</f>
        <v>1598019.12</v>
      </c>
      <c r="F72" s="54">
        <f>+D72-E72</f>
        <v>317027.33</v>
      </c>
      <c r="G72" s="1"/>
      <c r="H72" s="30"/>
      <c r="I72" s="30"/>
      <c r="J72" s="30"/>
    </row>
    <row r="73" spans="1:10" ht="13.5" thickBot="1" x14ac:dyDescent="0.25">
      <c r="A73" s="80"/>
      <c r="B73" s="81"/>
      <c r="C73" s="82" t="s">
        <v>29</v>
      </c>
      <c r="D73" s="83">
        <f>SUM(D40:D72)</f>
        <v>52943516.579999998</v>
      </c>
      <c r="E73" s="83">
        <f>SUM(E40:E72)</f>
        <v>11522371.800000001</v>
      </c>
      <c r="F73" s="83">
        <f>SUM(F40:F72)</f>
        <v>41421144.780000001</v>
      </c>
      <c r="G73" s="1"/>
      <c r="H73" s="30"/>
      <c r="I73" s="30"/>
      <c r="J73" s="30"/>
    </row>
    <row r="74" spans="1:10" ht="13.5" thickTop="1" x14ac:dyDescent="0.2">
      <c r="A74" s="84"/>
      <c r="B74" s="59"/>
      <c r="C74" s="85"/>
      <c r="D74" s="86"/>
      <c r="E74" s="86"/>
      <c r="F74" s="87"/>
      <c r="G74" s="1"/>
      <c r="H74" s="30"/>
      <c r="I74" s="30"/>
      <c r="J74" s="30"/>
    </row>
    <row r="75" spans="1:10" x14ac:dyDescent="0.2">
      <c r="A75" s="88" t="s">
        <v>40</v>
      </c>
      <c r="B75" s="78"/>
      <c r="C75" s="89"/>
      <c r="D75" s="90"/>
      <c r="E75" s="91"/>
      <c r="F75" s="92" t="s">
        <v>36</v>
      </c>
      <c r="G75" s="6"/>
      <c r="H75" s="57" t="s">
        <v>51</v>
      </c>
      <c r="I75" s="30"/>
      <c r="J75" s="57" t="s">
        <v>7</v>
      </c>
    </row>
    <row r="76" spans="1:10" x14ac:dyDescent="0.2">
      <c r="A76" s="93" t="s">
        <v>33</v>
      </c>
      <c r="B76" s="94"/>
      <c r="C76" s="95"/>
      <c r="D76" s="96"/>
      <c r="E76" s="96"/>
      <c r="F76" s="91"/>
      <c r="G76" s="6"/>
      <c r="H76" s="30"/>
      <c r="I76" s="30"/>
      <c r="J76" s="30"/>
    </row>
    <row r="77" spans="1:10" x14ac:dyDescent="0.2">
      <c r="A77" s="59" t="s">
        <v>34</v>
      </c>
      <c r="B77" s="59"/>
      <c r="C77" s="22"/>
      <c r="D77" s="27"/>
      <c r="E77" s="27"/>
      <c r="F77" s="97">
        <f>+[8]Main!$C22</f>
        <v>0</v>
      </c>
      <c r="G77" s="5"/>
      <c r="H77" s="57">
        <f>+[1]Main!G650</f>
        <v>5745139.3600000003</v>
      </c>
      <c r="I77" s="30"/>
      <c r="J77" s="57">
        <f>+[1]Main!E650+[1]Main!F650</f>
        <v>1286666.02</v>
      </c>
    </row>
    <row r="78" spans="1:10" x14ac:dyDescent="0.2">
      <c r="A78" s="59" t="s">
        <v>66</v>
      </c>
      <c r="B78" s="59"/>
      <c r="C78" s="22"/>
      <c r="D78" s="27"/>
      <c r="E78" s="27"/>
      <c r="F78" s="97">
        <f>+[8]Main!$D22</f>
        <v>0</v>
      </c>
      <c r="G78" s="5"/>
      <c r="H78" s="57">
        <f>+D71+D72</f>
        <v>5745139.3600000003</v>
      </c>
      <c r="I78" s="30"/>
      <c r="J78" s="57">
        <f>+F71+F72</f>
        <v>1286666.02</v>
      </c>
    </row>
    <row r="79" spans="1:10" x14ac:dyDescent="0.2">
      <c r="A79" s="32" t="s">
        <v>65</v>
      </c>
      <c r="B79" s="32"/>
      <c r="C79" s="22"/>
      <c r="D79" s="28"/>
      <c r="E79" s="28"/>
      <c r="F79" s="97">
        <f>+[8]Main!$E22</f>
        <v>46262</v>
      </c>
      <c r="G79" s="1"/>
      <c r="H79" s="57">
        <f>+H77-H78</f>
        <v>0</v>
      </c>
      <c r="I79" s="30"/>
      <c r="J79" s="57">
        <f>+J77-J78</f>
        <v>0</v>
      </c>
    </row>
    <row r="80" spans="1:10" x14ac:dyDescent="0.2">
      <c r="A80" s="32" t="s">
        <v>67</v>
      </c>
      <c r="B80" s="32"/>
      <c r="C80" s="22"/>
      <c r="D80" s="28"/>
      <c r="E80" s="28"/>
      <c r="F80" s="97">
        <f>+[8]Main!$F22</f>
        <v>91847</v>
      </c>
      <c r="G80" s="1"/>
      <c r="H80" s="30"/>
      <c r="I80" s="30"/>
      <c r="J80" s="30"/>
    </row>
    <row r="81" spans="1:10" x14ac:dyDescent="0.2">
      <c r="A81" s="88" t="s">
        <v>35</v>
      </c>
      <c r="B81" s="78"/>
      <c r="C81" s="89"/>
      <c r="D81" s="90"/>
      <c r="E81" s="91"/>
      <c r="F81" s="54">
        <f>+[8]Main!$C80</f>
        <v>29676</v>
      </c>
      <c r="G81" s="1"/>
      <c r="H81" s="30"/>
      <c r="I81" s="30"/>
      <c r="J81" s="30"/>
    </row>
    <row r="82" spans="1:10" ht="13.5" thickBot="1" x14ac:dyDescent="0.25">
      <c r="A82" s="98"/>
      <c r="B82" s="99"/>
      <c r="C82" s="100" t="s">
        <v>29</v>
      </c>
      <c r="D82" s="101"/>
      <c r="E82" s="102"/>
      <c r="F82" s="103">
        <f>SUM(F77:F81)</f>
        <v>167785</v>
      </c>
      <c r="G82" s="1"/>
      <c r="H82" s="30"/>
      <c r="I82" s="30"/>
      <c r="J82" s="30"/>
    </row>
    <row r="83" spans="1:10" ht="13.5" thickBot="1" x14ac:dyDescent="0.25">
      <c r="A83" s="104"/>
      <c r="B83" s="105"/>
      <c r="C83" s="106" t="s">
        <v>53</v>
      </c>
      <c r="D83" s="107"/>
      <c r="E83" s="108"/>
      <c r="F83" s="109">
        <f>+F82+F73</f>
        <v>41588929.780000001</v>
      </c>
      <c r="G83" s="1"/>
      <c r="H83" s="57" t="s">
        <v>54</v>
      </c>
      <c r="I83" s="30"/>
      <c r="J83" s="30"/>
    </row>
    <row r="84" spans="1:10" x14ac:dyDescent="0.2">
      <c r="A84" s="11"/>
      <c r="B84" s="12"/>
      <c r="C84" s="9"/>
      <c r="D84" s="29"/>
      <c r="E84" s="29"/>
      <c r="F84" s="110"/>
      <c r="G84" s="1"/>
      <c r="H84" s="57">
        <f>+[8]Main!$G22</f>
        <v>138109</v>
      </c>
      <c r="I84" s="30"/>
      <c r="J84" s="30"/>
    </row>
    <row r="85" spans="1:10" x14ac:dyDescent="0.2">
      <c r="A85" s="11"/>
      <c r="B85" s="12"/>
      <c r="C85" s="9"/>
      <c r="D85" s="29"/>
      <c r="E85" s="29"/>
      <c r="F85" s="110"/>
      <c r="G85" s="1"/>
      <c r="H85" s="57">
        <f>SUM(F77:F80)</f>
        <v>138109</v>
      </c>
      <c r="I85" s="30"/>
      <c r="J85" s="30"/>
    </row>
    <row r="86" spans="1:10" x14ac:dyDescent="0.2">
      <c r="A86" s="1"/>
      <c r="B86" s="1"/>
      <c r="C86" s="7"/>
      <c r="D86" s="26"/>
      <c r="E86" s="26"/>
      <c r="F86" s="86">
        <f>+F82+F73</f>
        <v>41588929.780000001</v>
      </c>
      <c r="G86" s="1"/>
      <c r="H86" s="57">
        <f>+H84-H85</f>
        <v>0</v>
      </c>
      <c r="I86" s="30"/>
      <c r="J86" s="30"/>
    </row>
    <row r="87" spans="1:10" x14ac:dyDescent="0.2">
      <c r="A87" s="1"/>
      <c r="B87" s="1"/>
      <c r="C87" s="7"/>
      <c r="D87" s="26"/>
      <c r="E87" s="26"/>
      <c r="F87" s="86">
        <f>+[1]Main!$F766</f>
        <v>41588929.780000001</v>
      </c>
      <c r="G87" s="1"/>
      <c r="H87" s="30"/>
      <c r="I87" s="30"/>
      <c r="J87" s="30"/>
    </row>
    <row r="88" spans="1:10" x14ac:dyDescent="0.2">
      <c r="A88" s="1"/>
      <c r="B88" s="1"/>
      <c r="C88" s="7"/>
      <c r="D88" s="26"/>
      <c r="E88" s="86">
        <f>+E73+[1]Main!$E766</f>
        <v>0</v>
      </c>
      <c r="F88" s="86">
        <f>+F87-F86</f>
        <v>0</v>
      </c>
      <c r="G88" s="1"/>
      <c r="H88" s="30"/>
      <c r="I88" s="30"/>
      <c r="J88" s="30"/>
    </row>
    <row r="89" spans="1:10" x14ac:dyDescent="0.2">
      <c r="A89" s="1"/>
      <c r="B89" s="1"/>
      <c r="C89" s="7"/>
      <c r="D89" s="26"/>
      <c r="E89" s="26"/>
      <c r="F89" s="26"/>
      <c r="G89" s="1"/>
      <c r="H89" s="30"/>
      <c r="I89" s="30"/>
      <c r="J89" s="30"/>
    </row>
    <row r="90" spans="1:10" x14ac:dyDescent="0.2">
      <c r="A90" s="59"/>
      <c r="B90" s="59"/>
      <c r="C90" s="85"/>
      <c r="D90" s="86"/>
      <c r="E90" s="86"/>
      <c r="F90" s="86"/>
      <c r="G90" s="59"/>
      <c r="H90" s="57"/>
      <c r="I90" s="57"/>
      <c r="J90" s="57"/>
    </row>
    <row r="91" spans="1:10" x14ac:dyDescent="0.2">
      <c r="A91" s="59"/>
      <c r="B91" s="59"/>
      <c r="C91" s="85"/>
      <c r="D91" s="86"/>
      <c r="E91" s="86"/>
      <c r="F91" s="86"/>
      <c r="G91" s="59"/>
      <c r="H91" s="111" t="s">
        <v>55</v>
      </c>
      <c r="I91" s="57"/>
      <c r="J91" s="57"/>
    </row>
    <row r="92" spans="1:10" x14ac:dyDescent="0.2">
      <c r="G92" s="59"/>
      <c r="H92" s="113"/>
      <c r="I92" s="112"/>
      <c r="J92" s="112"/>
    </row>
    <row r="93" spans="1:10" x14ac:dyDescent="0.2">
      <c r="G93" s="59"/>
      <c r="H93" s="112"/>
      <c r="I93" s="112"/>
      <c r="J93" s="112"/>
    </row>
    <row r="94" spans="1:10" x14ac:dyDescent="0.2">
      <c r="G94" s="59"/>
      <c r="H94" s="112"/>
      <c r="I94" s="112"/>
      <c r="J94" s="112"/>
    </row>
    <row r="95" spans="1:10" x14ac:dyDescent="0.2">
      <c r="G95" s="59"/>
      <c r="H95" s="112"/>
      <c r="I95" s="112"/>
      <c r="J95" s="112"/>
    </row>
    <row r="96" spans="1:10" x14ac:dyDescent="0.2">
      <c r="G96" s="59"/>
      <c r="H96" s="112"/>
      <c r="I96" s="112"/>
      <c r="J96" s="112"/>
    </row>
    <row r="97" spans="7:10" x14ac:dyDescent="0.2">
      <c r="G97" s="59"/>
      <c r="H97" s="71"/>
      <c r="I97" s="112"/>
      <c r="J97" s="112"/>
    </row>
    <row r="98" spans="7:10" x14ac:dyDescent="0.2">
      <c r="G98" s="59"/>
      <c r="H98" s="112"/>
      <c r="I98" s="112"/>
      <c r="J98" s="112"/>
    </row>
  </sheetData>
  <mergeCells count="1">
    <mergeCell ref="D16:E16"/>
  </mergeCells>
  <phoneticPr fontId="0" type="noConversion"/>
  <printOptions horizontalCentered="1" verticalCentered="1"/>
  <pageMargins left="0.5" right="0.25" top="0.5" bottom="0.5" header="0.5" footer="0.5"/>
  <pageSetup scale="89" orientation="portrait" horizontalDpi="1200" r:id="rId1"/>
  <headerFooter alignWithMargins="0">
    <oddHeader>&amp;R&amp;8Current as of: &amp;D</oddHeader>
    <oddFooter>&amp;L&amp;8USOE, Finance and Statistics&amp;R&amp;8&amp;F</oddFooter>
  </headerFooter>
  <picture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J98"/>
  <sheetViews>
    <sheetView topLeftCell="A43" workbookViewId="0">
      <selection activeCell="B21" sqref="B21"/>
    </sheetView>
  </sheetViews>
  <sheetFormatPr defaultColWidth="18.28515625" defaultRowHeight="12.75" x14ac:dyDescent="0.2"/>
  <cols>
    <col min="1" max="1" width="27" style="75" customWidth="1"/>
    <col min="2" max="2" width="16.7109375" style="75" customWidth="1"/>
    <col min="3" max="3" width="15.85546875" style="75" customWidth="1"/>
    <col min="4" max="4" width="16.28515625" style="75" customWidth="1"/>
    <col min="5" max="5" width="15.5703125" style="75" customWidth="1"/>
    <col min="6" max="6" width="17.42578125" style="75" customWidth="1"/>
    <col min="7" max="7" width="5.7109375" style="75" customWidth="1"/>
    <col min="8" max="8" width="21.5703125" style="75" customWidth="1"/>
    <col min="9" max="9" width="5" style="75" customWidth="1"/>
    <col min="10" max="10" width="20.85546875" style="75" customWidth="1"/>
    <col min="11" max="16384" width="18.28515625" style="75"/>
  </cols>
  <sheetData>
    <row r="1" spans="1:10" x14ac:dyDescent="0.2">
      <c r="A1" s="8"/>
      <c r="B1" s="8"/>
      <c r="C1" s="8"/>
      <c r="D1" s="8"/>
      <c r="E1" s="8"/>
      <c r="F1" s="8"/>
      <c r="G1" s="8"/>
      <c r="H1" s="8"/>
      <c r="I1" s="8"/>
      <c r="J1" s="8"/>
    </row>
    <row r="2" spans="1:10" x14ac:dyDescent="0.2">
      <c r="A2" s="8"/>
      <c r="B2" s="8"/>
      <c r="C2" s="8"/>
      <c r="D2" s="8"/>
      <c r="E2" s="8"/>
      <c r="F2" s="8"/>
      <c r="G2" s="8"/>
      <c r="H2" s="8"/>
      <c r="I2" s="8"/>
      <c r="J2" s="8"/>
    </row>
    <row r="3" spans="1:10" x14ac:dyDescent="0.2">
      <c r="A3" s="8"/>
      <c r="B3" s="8"/>
      <c r="C3" s="8"/>
      <c r="D3" s="8"/>
      <c r="E3" s="8"/>
      <c r="F3" s="8"/>
      <c r="G3" s="8"/>
      <c r="H3" s="8"/>
      <c r="I3" s="8"/>
      <c r="J3" s="8"/>
    </row>
    <row r="4" spans="1:10" x14ac:dyDescent="0.2">
      <c r="A4" s="8"/>
      <c r="B4" s="8"/>
      <c r="C4" s="8"/>
      <c r="D4" s="8"/>
      <c r="E4" s="8"/>
      <c r="F4" s="8"/>
      <c r="G4" s="8"/>
      <c r="H4" s="8"/>
      <c r="I4" s="8"/>
      <c r="J4" s="8"/>
    </row>
    <row r="5" spans="1:10" x14ac:dyDescent="0.2">
      <c r="A5" s="8"/>
      <c r="B5" s="8"/>
      <c r="C5" s="8"/>
      <c r="D5" s="8"/>
      <c r="E5" s="8"/>
      <c r="F5" s="8"/>
      <c r="G5" s="8"/>
      <c r="H5" s="8"/>
      <c r="I5" s="8"/>
      <c r="J5" s="8"/>
    </row>
    <row r="6" spans="1:10" x14ac:dyDescent="0.2">
      <c r="A6" s="8"/>
      <c r="B6" s="8"/>
      <c r="C6" s="8"/>
      <c r="D6" s="8"/>
      <c r="E6" s="8"/>
      <c r="F6" s="8"/>
      <c r="G6" s="8"/>
      <c r="H6" s="8"/>
      <c r="I6" s="8"/>
      <c r="J6" s="8"/>
    </row>
    <row r="7" spans="1:10" x14ac:dyDescent="0.2">
      <c r="A7" s="8"/>
      <c r="B7" s="8"/>
      <c r="C7" s="8"/>
      <c r="D7" s="8"/>
      <c r="E7" s="8"/>
      <c r="F7" s="8"/>
      <c r="G7" s="8"/>
      <c r="H7" s="8"/>
      <c r="I7" s="8"/>
      <c r="J7" s="8"/>
    </row>
    <row r="8" spans="1:10" x14ac:dyDescent="0.2">
      <c r="A8" s="8"/>
      <c r="B8" s="8"/>
      <c r="C8" s="8"/>
      <c r="D8" s="8"/>
      <c r="E8" s="8"/>
      <c r="F8" s="8"/>
      <c r="G8" s="8"/>
      <c r="H8" s="8"/>
      <c r="I8" s="8"/>
      <c r="J8" s="8"/>
    </row>
    <row r="9" spans="1:10" x14ac:dyDescent="0.2">
      <c r="A9" s="8"/>
      <c r="B9" s="8"/>
      <c r="C9" s="8"/>
      <c r="D9" s="8"/>
      <c r="E9" s="8"/>
      <c r="F9" s="8"/>
      <c r="G9" s="8"/>
      <c r="H9" s="8"/>
      <c r="I9" s="8"/>
      <c r="J9" s="8"/>
    </row>
    <row r="10" spans="1:10" x14ac:dyDescent="0.2">
      <c r="A10" s="8"/>
      <c r="B10" s="15"/>
      <c r="C10" s="8"/>
      <c r="D10" s="8"/>
      <c r="E10" s="8"/>
      <c r="F10" s="8"/>
      <c r="G10" s="8"/>
      <c r="H10" s="8"/>
      <c r="I10" s="8"/>
      <c r="J10" s="8"/>
    </row>
    <row r="11" spans="1:10" x14ac:dyDescent="0.2">
      <c r="A11" s="8"/>
      <c r="B11" s="8"/>
      <c r="C11" s="8"/>
      <c r="D11" s="8"/>
      <c r="E11" s="8"/>
      <c r="F11" s="8"/>
      <c r="G11" s="8"/>
      <c r="H11" s="8"/>
      <c r="I11" s="8"/>
      <c r="J11" s="8"/>
    </row>
    <row r="12" spans="1:10" x14ac:dyDescent="0.2">
      <c r="A12" s="8"/>
      <c r="B12" s="8"/>
      <c r="C12" s="8"/>
      <c r="D12" s="8"/>
      <c r="E12" s="8"/>
      <c r="F12" s="8"/>
      <c r="G12" s="8"/>
      <c r="H12" s="8"/>
      <c r="I12" s="8"/>
      <c r="J12" s="8"/>
    </row>
    <row r="13" spans="1:10" x14ac:dyDescent="0.2">
      <c r="A13" s="8"/>
      <c r="B13" s="8"/>
      <c r="C13" s="8"/>
      <c r="D13" s="8"/>
      <c r="E13" s="8"/>
      <c r="F13" s="8"/>
      <c r="G13" s="8"/>
      <c r="H13" s="8"/>
      <c r="I13" s="8"/>
      <c r="J13" s="8"/>
    </row>
    <row r="14" spans="1:10" x14ac:dyDescent="0.2">
      <c r="A14" s="32" t="s">
        <v>0</v>
      </c>
      <c r="B14" s="33">
        <v>3184</v>
      </c>
      <c r="C14" s="34" t="s">
        <v>1</v>
      </c>
      <c r="D14" s="35"/>
      <c r="E14" s="35"/>
      <c r="F14" s="35"/>
      <c r="G14" s="1"/>
      <c r="H14" s="30"/>
      <c r="I14" s="30"/>
      <c r="J14" s="30"/>
    </row>
    <row r="15" spans="1:10" x14ac:dyDescent="0.2">
      <c r="A15" s="32" t="s">
        <v>61</v>
      </c>
      <c r="B15" s="36">
        <f>+[1]Main!$C540</f>
        <v>1.6000000000000001E-3</v>
      </c>
      <c r="C15" s="34" t="s">
        <v>41</v>
      </c>
      <c r="D15" s="35"/>
      <c r="E15" s="35"/>
      <c r="F15" s="35"/>
      <c r="G15" s="1"/>
      <c r="H15" s="30"/>
      <c r="I15" s="30"/>
      <c r="J15" s="30"/>
    </row>
    <row r="16" spans="1:10" x14ac:dyDescent="0.2">
      <c r="A16" s="32" t="s">
        <v>62</v>
      </c>
      <c r="B16" s="36">
        <f>+[1]Main!$C595</f>
        <v>6.4400000000000004E-4</v>
      </c>
      <c r="C16" s="34" t="s">
        <v>95</v>
      </c>
      <c r="D16" s="35"/>
      <c r="E16" s="37"/>
      <c r="F16" s="35"/>
      <c r="G16" s="1"/>
      <c r="H16" s="30"/>
      <c r="I16" s="30"/>
      <c r="J16" s="30"/>
    </row>
    <row r="17" spans="1:10" x14ac:dyDescent="0.2">
      <c r="A17" s="38" t="s">
        <v>32</v>
      </c>
      <c r="B17" s="39">
        <f>[2]Sheet1!E22</f>
        <v>17424276158</v>
      </c>
      <c r="C17" s="21"/>
      <c r="D17" s="31"/>
      <c r="E17" s="31"/>
      <c r="F17" s="23"/>
      <c r="G17" s="1"/>
      <c r="H17" s="30"/>
      <c r="I17" s="30"/>
      <c r="J17" s="30"/>
    </row>
    <row r="18" spans="1:10" x14ac:dyDescent="0.2">
      <c r="A18" s="32" t="s">
        <v>2</v>
      </c>
      <c r="B18" s="40">
        <f>[2]Sheet1!F22</f>
        <v>0.97370000000000001</v>
      </c>
      <c r="C18" s="7"/>
      <c r="D18" s="41" t="s">
        <v>3</v>
      </c>
      <c r="E18" s="42" t="str">
        <f>+[3]main!B23</f>
        <v>Jordan</v>
      </c>
      <c r="F18" s="43">
        <f>+[3]main!A23</f>
        <v>14</v>
      </c>
      <c r="G18" s="1"/>
      <c r="H18" s="30"/>
      <c r="I18" s="30"/>
      <c r="J18" s="30"/>
    </row>
    <row r="19" spans="1:10" x14ac:dyDescent="0.2">
      <c r="A19" s="32" t="s">
        <v>4</v>
      </c>
      <c r="B19" s="44">
        <f>[2]Sheet1!G22</f>
        <v>1.6750000000000001E-3</v>
      </c>
      <c r="C19" s="8"/>
      <c r="D19" s="24"/>
      <c r="E19" s="25"/>
      <c r="F19" s="24"/>
      <c r="G19" s="1"/>
      <c r="H19" s="30"/>
      <c r="I19" s="30"/>
      <c r="J19" s="30"/>
    </row>
    <row r="20" spans="1:10" x14ac:dyDescent="0.2">
      <c r="A20" s="32" t="s">
        <v>5</v>
      </c>
      <c r="B20" s="45">
        <f>[2]Sheet1!$C$78</f>
        <v>31765701</v>
      </c>
      <c r="C20" s="46"/>
      <c r="D20" s="47" t="s">
        <v>38</v>
      </c>
      <c r="E20" s="48" t="s">
        <v>7</v>
      </c>
      <c r="F20" s="47" t="s">
        <v>6</v>
      </c>
      <c r="G20" s="1"/>
      <c r="H20" s="30"/>
      <c r="I20" s="30"/>
      <c r="J20" s="30"/>
    </row>
    <row r="21" spans="1:10" x14ac:dyDescent="0.2">
      <c r="A21" s="32" t="s">
        <v>8</v>
      </c>
      <c r="B21" s="45">
        <f>+B20</f>
        <v>31765701</v>
      </c>
      <c r="C21" s="49"/>
      <c r="D21" s="50" t="s">
        <v>9</v>
      </c>
      <c r="E21" s="50" t="s">
        <v>37</v>
      </c>
      <c r="F21" s="50" t="s">
        <v>10</v>
      </c>
      <c r="G21" s="1"/>
      <c r="H21" s="30"/>
      <c r="I21" s="30"/>
      <c r="J21" s="30"/>
    </row>
    <row r="22" spans="1:10" x14ac:dyDescent="0.2">
      <c r="A22" s="32" t="s">
        <v>11</v>
      </c>
      <c r="B22" s="45">
        <v>0</v>
      </c>
      <c r="C22" s="51" t="s">
        <v>39</v>
      </c>
      <c r="D22" s="52" t="s">
        <v>12</v>
      </c>
      <c r="E22" s="52" t="s">
        <v>9</v>
      </c>
      <c r="F22" s="52" t="s">
        <v>9</v>
      </c>
      <c r="G22" s="1"/>
      <c r="H22" s="30"/>
      <c r="I22" s="30"/>
      <c r="J22" s="30"/>
    </row>
    <row r="23" spans="1:10" x14ac:dyDescent="0.2">
      <c r="A23" s="32" t="s">
        <v>70</v>
      </c>
      <c r="B23" s="45">
        <f>'[4]LRF FY17'!U20</f>
        <v>2629637</v>
      </c>
      <c r="C23" s="53"/>
      <c r="D23" s="54"/>
      <c r="E23" s="54"/>
      <c r="F23" s="54" t="s">
        <v>14</v>
      </c>
      <c r="G23" s="1"/>
      <c r="H23" s="30"/>
      <c r="I23" s="30"/>
      <c r="J23" s="30"/>
    </row>
    <row r="24" spans="1:10" x14ac:dyDescent="0.2">
      <c r="A24" s="55" t="s">
        <v>13</v>
      </c>
      <c r="B24" s="56"/>
      <c r="C24" s="53"/>
      <c r="D24" s="54"/>
      <c r="E24" s="54"/>
      <c r="F24" s="54"/>
      <c r="G24" s="2"/>
      <c r="H24" s="30"/>
      <c r="I24" s="30"/>
      <c r="J24" s="30"/>
    </row>
    <row r="25" spans="1:10" x14ac:dyDescent="0.2">
      <c r="A25" s="55" t="s">
        <v>15</v>
      </c>
      <c r="B25" s="56"/>
      <c r="C25" s="53"/>
      <c r="D25" s="54"/>
      <c r="E25" s="54"/>
      <c r="F25" s="54"/>
      <c r="G25" s="2"/>
      <c r="H25" s="57" t="s">
        <v>43</v>
      </c>
      <c r="I25" s="30"/>
      <c r="J25" s="57" t="s">
        <v>45</v>
      </c>
    </row>
    <row r="26" spans="1:10" x14ac:dyDescent="0.2">
      <c r="A26" s="58" t="s">
        <v>16</v>
      </c>
      <c r="B26" s="59"/>
      <c r="C26" s="60">
        <f>[3]main!C197-[3]main!F139</f>
        <v>49658.599000000002</v>
      </c>
      <c r="D26" s="61">
        <f>[3]main!E197-[3]main!H139</f>
        <v>158112978.44</v>
      </c>
      <c r="E26" s="62">
        <f>IF(B21&gt;D26,D26,B21)</f>
        <v>31765701</v>
      </c>
      <c r="F26" s="62">
        <f>D26-E26</f>
        <v>126347277.44</v>
      </c>
      <c r="G26" s="1"/>
      <c r="H26" s="57">
        <f>[3]main!H256</f>
        <v>172209563.47</v>
      </c>
      <c r="I26" s="30"/>
      <c r="J26" s="57">
        <f>'[5]Sheet 1'!E80</f>
        <v>215532304.78</v>
      </c>
    </row>
    <row r="27" spans="1:10" x14ac:dyDescent="0.2">
      <c r="A27" s="58" t="s">
        <v>17</v>
      </c>
      <c r="B27" s="59"/>
      <c r="C27" s="53">
        <f>[3]main!F139</f>
        <v>0</v>
      </c>
      <c r="D27" s="54">
        <f>[3]main!H139</f>
        <v>0</v>
      </c>
      <c r="E27" s="54">
        <f>IF(B20-SUM(E24:E26)&gt;D27,D27,B20-SUM(E24:E26))</f>
        <v>0</v>
      </c>
      <c r="F27" s="54">
        <f>D27-E27</f>
        <v>0</v>
      </c>
      <c r="G27" s="1"/>
      <c r="H27" s="57">
        <f>SUM(D26:D30)</f>
        <v>172209563.47</v>
      </c>
      <c r="I27" s="30"/>
      <c r="J27" s="57">
        <f>D41</f>
        <v>215532304.78</v>
      </c>
    </row>
    <row r="28" spans="1:10" x14ac:dyDescent="0.2">
      <c r="A28" s="58" t="s">
        <v>18</v>
      </c>
      <c r="B28" s="59"/>
      <c r="C28" s="53">
        <f>[3]main!F197</f>
        <v>4401.3190000000004</v>
      </c>
      <c r="D28" s="54">
        <f>[3]main!H197</f>
        <v>14013801.029999999</v>
      </c>
      <c r="E28" s="54">
        <f>IF(B21-SUM(E26:E27)&gt;D28,D28,B21-SUM(E26:E27))</f>
        <v>0</v>
      </c>
      <c r="F28" s="54">
        <f>D28-E28</f>
        <v>14013801.029999999</v>
      </c>
      <c r="G28" s="1"/>
      <c r="H28" s="57">
        <f>+H26-H27</f>
        <v>0</v>
      </c>
      <c r="I28" s="30"/>
      <c r="J28" s="57">
        <f>+J26-J27</f>
        <v>0</v>
      </c>
    </row>
    <row r="29" spans="1:10" x14ac:dyDescent="0.2">
      <c r="A29" s="58" t="s">
        <v>19</v>
      </c>
      <c r="B29" s="59"/>
      <c r="C29" s="53">
        <f>[3]main!C256</f>
        <v>0</v>
      </c>
      <c r="D29" s="54">
        <f>[3]main!E256</f>
        <v>0</v>
      </c>
      <c r="E29" s="54">
        <f>IF(B21-SUM(E26:E28)&gt;D29,D29,B21-SUM(E26:E28))</f>
        <v>0</v>
      </c>
      <c r="F29" s="54">
        <f>D29-E29</f>
        <v>0</v>
      </c>
      <c r="G29" s="1"/>
      <c r="H29" s="30"/>
      <c r="I29" s="30"/>
      <c r="J29" s="30"/>
    </row>
    <row r="30" spans="1:10" x14ac:dyDescent="0.2">
      <c r="A30" s="58" t="s">
        <v>42</v>
      </c>
      <c r="B30" s="59"/>
      <c r="C30" s="53">
        <f>[3]main!C80</f>
        <v>26</v>
      </c>
      <c r="D30" s="54">
        <f>[3]main!E80</f>
        <v>82784</v>
      </c>
      <c r="E30" s="54">
        <f>IF(B21-SUM(E26:E29)&gt;D30,D30,B21-SUM(E26:E29))</f>
        <v>0</v>
      </c>
      <c r="F30" s="54">
        <f>D30-E30</f>
        <v>82784</v>
      </c>
      <c r="G30" s="1"/>
      <c r="H30" s="30"/>
      <c r="I30" s="30"/>
      <c r="J30" s="30"/>
    </row>
    <row r="31" spans="1:10" x14ac:dyDescent="0.2">
      <c r="A31" s="55" t="s">
        <v>20</v>
      </c>
      <c r="B31" s="56"/>
      <c r="C31" s="63"/>
      <c r="D31" s="64"/>
      <c r="E31" s="64"/>
      <c r="F31" s="64" t="s">
        <v>14</v>
      </c>
      <c r="G31" s="1"/>
      <c r="H31" s="57" t="s">
        <v>44</v>
      </c>
      <c r="I31" s="30"/>
      <c r="J31" s="30"/>
    </row>
    <row r="32" spans="1:10" x14ac:dyDescent="0.2">
      <c r="A32" s="58" t="s">
        <v>21</v>
      </c>
      <c r="B32" s="59"/>
      <c r="C32" s="53">
        <f>'[6]Sheet 1'!C22</f>
        <v>5665.7370000000001</v>
      </c>
      <c r="D32" s="54">
        <f>'[6]Sheet 1'!E22</f>
        <v>18039706.969999999</v>
      </c>
      <c r="E32" s="54">
        <f>IF(B21-SUM(E26:E31)&gt;D32,D32,B21-SUM(E26:E31))</f>
        <v>0</v>
      </c>
      <c r="F32" s="54">
        <f t="shared" ref="F32:F40" si="0">D32-E32</f>
        <v>18039706.969999999</v>
      </c>
      <c r="G32" s="1"/>
      <c r="H32" s="57">
        <f>'[6]Sheet 1'!N138</f>
        <v>26095709.030000001</v>
      </c>
      <c r="I32" s="30"/>
      <c r="J32" s="30"/>
    </row>
    <row r="33" spans="1:10" x14ac:dyDescent="0.2">
      <c r="A33" s="59" t="s">
        <v>22</v>
      </c>
      <c r="B33" s="59"/>
      <c r="C33" s="53">
        <f>'[6]Sheet 1'!F22</f>
        <v>1403.08</v>
      </c>
      <c r="D33" s="54">
        <f>'[6]Sheet 1'!H22</f>
        <v>4467406.72</v>
      </c>
      <c r="E33" s="54">
        <f>IF(B21-SUM(E26:E32)&gt;D33,D33,B21-SUM(E26:E32))</f>
        <v>0</v>
      </c>
      <c r="F33" s="54">
        <f t="shared" si="0"/>
        <v>4467406.72</v>
      </c>
      <c r="G33" s="1"/>
      <c r="H33" s="57">
        <f>SUM(D32:D38)</f>
        <v>26095709.030000001</v>
      </c>
      <c r="I33" s="30"/>
      <c r="J33" s="30"/>
    </row>
    <row r="34" spans="1:10" x14ac:dyDescent="0.2">
      <c r="A34" s="59" t="s">
        <v>23</v>
      </c>
      <c r="B34" s="59"/>
      <c r="C34" s="53">
        <f>'[6]Sheet 1'!C80</f>
        <v>926.1</v>
      </c>
      <c r="D34" s="54">
        <f>'[6]Sheet 1'!E80</f>
        <v>2948702.4</v>
      </c>
      <c r="E34" s="54">
        <f>IF(B21-SUM(E26:E33)&gt;D34,D34,B21-SUM(E26:E33))</f>
        <v>0</v>
      </c>
      <c r="F34" s="54">
        <f t="shared" si="0"/>
        <v>2948702.4</v>
      </c>
      <c r="G34" s="1"/>
      <c r="H34" s="57">
        <f>+H32-H33</f>
        <v>0</v>
      </c>
      <c r="I34" s="30"/>
      <c r="J34" s="30"/>
    </row>
    <row r="35" spans="1:10" x14ac:dyDescent="0.2">
      <c r="A35" s="58" t="s">
        <v>24</v>
      </c>
      <c r="B35" s="59"/>
      <c r="C35" s="53">
        <f>'[6]Sheet 1'!F80</f>
        <v>27.852</v>
      </c>
      <c r="D35" s="54">
        <f>'[6]Sheet 1'!H80</f>
        <v>88680.91</v>
      </c>
      <c r="E35" s="54">
        <f>IF(B21-SUM(E26:E34)&gt;D35,D35,B21-SUM(E26:E34))</f>
        <v>0</v>
      </c>
      <c r="F35" s="54">
        <f t="shared" si="0"/>
        <v>88680.91</v>
      </c>
      <c r="G35" s="1"/>
      <c r="H35" s="30"/>
      <c r="I35" s="30"/>
      <c r="J35" s="30"/>
    </row>
    <row r="36" spans="1:10" x14ac:dyDescent="0.2">
      <c r="A36" s="59" t="s">
        <v>71</v>
      </c>
      <c r="B36" s="59"/>
      <c r="C36" s="53">
        <f>'[6]Sheet 1'!C138</f>
        <v>149.65299999999999</v>
      </c>
      <c r="D36" s="54">
        <f>'[6]Sheet 1'!E138</f>
        <v>476494.9</v>
      </c>
      <c r="E36" s="54">
        <f>IF(B21-SUM(E26:E35)&gt;D36,D36,B21-SUM(E26:E35))</f>
        <v>0</v>
      </c>
      <c r="F36" s="54">
        <f t="shared" si="0"/>
        <v>476494.9</v>
      </c>
      <c r="G36" s="1"/>
      <c r="H36" s="30"/>
      <c r="I36" s="30"/>
      <c r="J36" s="30"/>
    </row>
    <row r="37" spans="1:10" x14ac:dyDescent="0.2">
      <c r="A37" s="59" t="s">
        <v>57</v>
      </c>
      <c r="B37" s="59"/>
      <c r="C37" s="53">
        <f>'[6]Sheet 1'!F138</f>
        <v>0</v>
      </c>
      <c r="D37" s="54">
        <f>'[6]Sheet 1'!H138</f>
        <v>0</v>
      </c>
      <c r="E37" s="54">
        <f>IF(B22-SUM(E27:E36)&gt;D37,D37,B22-SUM(E27:E36))</f>
        <v>0</v>
      </c>
      <c r="F37" s="54">
        <f t="shared" si="0"/>
        <v>0</v>
      </c>
      <c r="G37" s="1"/>
      <c r="H37" s="30"/>
      <c r="I37" s="30"/>
      <c r="J37" s="30"/>
    </row>
    <row r="38" spans="1:10" x14ac:dyDescent="0.2">
      <c r="A38" s="59" t="s">
        <v>64</v>
      </c>
      <c r="B38" s="59"/>
      <c r="C38" s="53">
        <f>'[6]Sheet 1'!I138</f>
        <v>23.466000000000001</v>
      </c>
      <c r="D38" s="54">
        <f>'[6]Sheet 1'!K138</f>
        <v>74717.13</v>
      </c>
      <c r="E38" s="54">
        <f>IF(B24-SUM(E28:E37)&gt;D38,D38,B24-SUM(E28:E37))</f>
        <v>0</v>
      </c>
      <c r="F38" s="54">
        <f t="shared" si="0"/>
        <v>74717.13</v>
      </c>
      <c r="G38" s="1"/>
      <c r="H38" s="57" t="s">
        <v>46</v>
      </c>
      <c r="I38" s="30"/>
      <c r="J38" s="30"/>
    </row>
    <row r="39" spans="1:10" x14ac:dyDescent="0.2">
      <c r="A39" s="59" t="s">
        <v>58</v>
      </c>
      <c r="B39" s="59"/>
      <c r="C39" s="53">
        <f>'[6]Sheet 1'!C196</f>
        <v>2270.0639999999999</v>
      </c>
      <c r="D39" s="54">
        <f>'[6]Sheet 1'!E196</f>
        <v>7227883.5</v>
      </c>
      <c r="E39" s="54">
        <f>IF(B21-SUM(E26:E36)&gt;D39,D39,B21-SUM(E26:E36))</f>
        <v>0</v>
      </c>
      <c r="F39" s="54">
        <f t="shared" si="0"/>
        <v>7227883.5</v>
      </c>
      <c r="G39" s="4"/>
      <c r="H39" s="57">
        <f>+'[6]Sheet 1'!E196</f>
        <v>7227883.5</v>
      </c>
      <c r="I39" s="30"/>
      <c r="J39" s="30"/>
    </row>
    <row r="40" spans="1:10" x14ac:dyDescent="0.2">
      <c r="A40" s="58" t="s">
        <v>59</v>
      </c>
      <c r="B40" s="59"/>
      <c r="C40" s="53">
        <f>'[5]Sheet 1'!C22</f>
        <v>3140.4360000000001</v>
      </c>
      <c r="D40" s="54">
        <f>'[5]Sheet 1'!E22</f>
        <v>9999148.7799999993</v>
      </c>
      <c r="E40" s="54">
        <f>IF(B21-SUM(E26:E39)&gt;D40,D40,B21-SUM(E26:E39))</f>
        <v>0</v>
      </c>
      <c r="F40" s="54">
        <f t="shared" si="0"/>
        <v>9999148.7799999993</v>
      </c>
      <c r="G40" s="5"/>
      <c r="H40" s="57">
        <f>+D39</f>
        <v>7227883.5</v>
      </c>
      <c r="I40" s="30"/>
      <c r="J40" s="30"/>
    </row>
    <row r="41" spans="1:10" x14ac:dyDescent="0.2">
      <c r="A41" s="65" t="s">
        <v>28</v>
      </c>
      <c r="B41" s="56"/>
      <c r="C41" s="66">
        <f>SUM(C26:C40)</f>
        <v>67692.305999999997</v>
      </c>
      <c r="D41" s="67">
        <f>SUM(D26:D40)</f>
        <v>215532304.78</v>
      </c>
      <c r="E41" s="67">
        <f>SUM(E26:E40)</f>
        <v>31765701</v>
      </c>
      <c r="F41" s="67">
        <f>SUM(F26:F40)</f>
        <v>183766603.78</v>
      </c>
      <c r="G41" s="1"/>
      <c r="H41" s="57">
        <f>+H39-H40</f>
        <v>0</v>
      </c>
      <c r="I41" s="30"/>
      <c r="J41" s="30"/>
    </row>
    <row r="42" spans="1:10" x14ac:dyDescent="0.2">
      <c r="A42" s="68" t="s">
        <v>26</v>
      </c>
      <c r="B42" s="56"/>
      <c r="C42" s="69"/>
      <c r="D42" s="54"/>
      <c r="E42" s="54"/>
      <c r="F42" s="54"/>
      <c r="G42" s="1"/>
      <c r="H42" s="57" t="s">
        <v>47</v>
      </c>
      <c r="I42" s="30"/>
      <c r="J42" s="57" t="s">
        <v>52</v>
      </c>
    </row>
    <row r="43" spans="1:10" x14ac:dyDescent="0.2">
      <c r="A43" s="58" t="s">
        <v>56</v>
      </c>
      <c r="B43" s="59"/>
      <c r="C43" s="20"/>
      <c r="D43" s="70">
        <f>[1]Main!F23</f>
        <v>624473.53</v>
      </c>
      <c r="E43" s="54">
        <f>IF($B21-SUM($E41)&gt;D43,D43,$B21-SUM($E41))</f>
        <v>0</v>
      </c>
      <c r="F43" s="54">
        <f t="shared" ref="F43:F61" si="1">D43-E43</f>
        <v>624473.53</v>
      </c>
      <c r="G43" s="1"/>
      <c r="H43" s="57">
        <f>[1]Main!G23</f>
        <v>7042345.7599999998</v>
      </c>
      <c r="I43" s="30"/>
      <c r="J43" s="57">
        <f>+[1]Main!D484</f>
        <v>32906953.600000001</v>
      </c>
    </row>
    <row r="44" spans="1:10" x14ac:dyDescent="0.2">
      <c r="A44" s="59" t="s">
        <v>25</v>
      </c>
      <c r="B44" s="59"/>
      <c r="C44" s="20"/>
      <c r="D44" s="70">
        <f>[1]Main!C23</f>
        <v>6417872.2300000004</v>
      </c>
      <c r="E44" s="54">
        <f>IF($B21-SUM($E41:E43)&gt;D44,D44,B21-SUM($E41:E43))</f>
        <v>0</v>
      </c>
      <c r="F44" s="54">
        <f t="shared" si="1"/>
        <v>6417872.2300000004</v>
      </c>
      <c r="G44" s="1"/>
      <c r="H44" s="57">
        <f>SUM(D43:D45)</f>
        <v>7042345.7599999998</v>
      </c>
      <c r="I44" s="30"/>
      <c r="J44" s="57">
        <f>SUM(D43:D70)-E56</f>
        <v>32906953.600000001</v>
      </c>
    </row>
    <row r="45" spans="1:10" x14ac:dyDescent="0.2">
      <c r="A45" s="71" t="s">
        <v>27</v>
      </c>
      <c r="B45" s="59"/>
      <c r="C45" s="20"/>
      <c r="D45" s="70">
        <f>[1]Main!D23</f>
        <v>0</v>
      </c>
      <c r="E45" s="54">
        <f>IF($B21-SUM($E41:E44)&gt;D45,D45,$B21-SUM($E41:E44))</f>
        <v>0</v>
      </c>
      <c r="F45" s="54">
        <f>D45-E45</f>
        <v>0</v>
      </c>
      <c r="G45" s="1"/>
      <c r="H45" s="57">
        <f>+H43-H44</f>
        <v>0</v>
      </c>
      <c r="I45" s="30"/>
      <c r="J45" s="57">
        <f>+J43-J44</f>
        <v>0</v>
      </c>
    </row>
    <row r="46" spans="1:10" x14ac:dyDescent="0.2">
      <c r="A46" s="72" t="s">
        <v>72</v>
      </c>
      <c r="B46" s="59"/>
      <c r="C46" s="20"/>
      <c r="D46" s="70">
        <f>[1]Main!E23</f>
        <v>0</v>
      </c>
      <c r="E46" s="54">
        <f>IF($B22-SUM($E42:E45)&gt;D46,D46,$B22-SUM($E42:E45))</f>
        <v>0</v>
      </c>
      <c r="F46" s="54">
        <f>D46-E46</f>
        <v>0</v>
      </c>
      <c r="G46" s="1"/>
      <c r="H46" s="30"/>
      <c r="I46" s="30"/>
      <c r="J46" s="30"/>
    </row>
    <row r="47" spans="1:10" x14ac:dyDescent="0.2">
      <c r="A47" s="72" t="s">
        <v>73</v>
      </c>
      <c r="B47" s="59"/>
      <c r="C47" s="20"/>
      <c r="D47" s="54">
        <f>+[1]Main!$F139</f>
        <v>381247.54</v>
      </c>
      <c r="E47" s="54">
        <f>IF($B21-SUM($E41:E45)&gt;D47,D47,$B21-SUM($E41:E45))</f>
        <v>0</v>
      </c>
      <c r="F47" s="54">
        <f t="shared" si="1"/>
        <v>381247.54</v>
      </c>
      <c r="G47" s="1"/>
      <c r="H47" s="30"/>
      <c r="I47" s="30"/>
      <c r="J47" s="30"/>
    </row>
    <row r="48" spans="1:10" x14ac:dyDescent="0.2">
      <c r="A48" s="71" t="s">
        <v>74</v>
      </c>
      <c r="B48" s="59"/>
      <c r="C48" s="20"/>
      <c r="D48" s="54">
        <f>+[1]Main!$C81</f>
        <v>1492485</v>
      </c>
      <c r="E48" s="54">
        <f>IF($B21-SUM($E41:E47)&gt;D48,D48,$B21-SUM($E41:E47))</f>
        <v>0</v>
      </c>
      <c r="F48" s="54">
        <f t="shared" si="1"/>
        <v>1492485</v>
      </c>
      <c r="G48" s="1"/>
      <c r="H48" s="30"/>
      <c r="I48" s="30"/>
      <c r="J48" s="30"/>
    </row>
    <row r="49" spans="1:10" x14ac:dyDescent="0.2">
      <c r="A49" s="71" t="s">
        <v>75</v>
      </c>
      <c r="B49" s="59"/>
      <c r="C49" s="20"/>
      <c r="D49" s="54">
        <f>+[1]Main!$D81</f>
        <v>115737</v>
      </c>
      <c r="E49" s="54">
        <f>IF($B21-SUM($E41:E48)&gt;D49,D49,$B21-SUM($E41:E48))</f>
        <v>0</v>
      </c>
      <c r="F49" s="54">
        <f t="shared" si="1"/>
        <v>115737</v>
      </c>
      <c r="G49" s="1"/>
      <c r="H49" s="30"/>
      <c r="I49" s="30"/>
      <c r="J49" s="30"/>
    </row>
    <row r="50" spans="1:10" x14ac:dyDescent="0.2">
      <c r="A50" s="71" t="s">
        <v>76</v>
      </c>
      <c r="B50" s="59"/>
      <c r="C50" s="20"/>
      <c r="D50" s="54">
        <f>+[1]Main!$E81</f>
        <v>480723</v>
      </c>
      <c r="E50" s="54">
        <f>IF($B21-SUM($E41:E49)&gt;D50,D50,$B21-SUM($E41:E49))</f>
        <v>0</v>
      </c>
      <c r="F50" s="54">
        <f t="shared" si="1"/>
        <v>480723</v>
      </c>
      <c r="G50" s="1"/>
      <c r="H50" s="30"/>
      <c r="I50" s="30"/>
      <c r="J50" s="30"/>
    </row>
    <row r="51" spans="1:10" x14ac:dyDescent="0.2">
      <c r="A51" s="71" t="s">
        <v>77</v>
      </c>
      <c r="B51" s="59"/>
      <c r="C51" s="20"/>
      <c r="D51" s="54">
        <f>[1]Main!F81</f>
        <v>373711</v>
      </c>
      <c r="E51" s="54">
        <f>IF($B21-SUM($E41:E50)&gt;D51,D51,$B21-SUM($E41:E50))</f>
        <v>0</v>
      </c>
      <c r="F51" s="54">
        <f t="shared" si="1"/>
        <v>373711</v>
      </c>
      <c r="G51" s="1"/>
      <c r="H51" s="57" t="s">
        <v>48</v>
      </c>
      <c r="I51" s="30"/>
      <c r="J51" s="30"/>
    </row>
    <row r="52" spans="1:10" x14ac:dyDescent="0.2">
      <c r="A52" s="71" t="s">
        <v>79</v>
      </c>
      <c r="B52" s="59"/>
      <c r="C52" s="20"/>
      <c r="D52" s="54">
        <f>[1]Main!G81</f>
        <v>0</v>
      </c>
      <c r="E52" s="54">
        <f>IF($B21-SUM($E41:E51)&gt;D52,D52,$B21-SUM($E41:E51))</f>
        <v>0</v>
      </c>
      <c r="F52" s="54">
        <f t="shared" si="1"/>
        <v>0</v>
      </c>
      <c r="G52" s="1"/>
      <c r="H52" s="57"/>
      <c r="I52" s="30"/>
      <c r="J52" s="30"/>
    </row>
    <row r="53" spans="1:10" x14ac:dyDescent="0.2">
      <c r="A53" s="71" t="s">
        <v>78</v>
      </c>
      <c r="B53" s="59"/>
      <c r="C53" s="20"/>
      <c r="D53" s="54">
        <f>[1]Main!G139</f>
        <v>401161.4</v>
      </c>
      <c r="E53" s="54">
        <f>IF($B21-SUM($E41:E52)&gt;D53,D53,$B21-SUM($E41:E52))</f>
        <v>0</v>
      </c>
      <c r="F53" s="54">
        <f t="shared" si="1"/>
        <v>401161.4</v>
      </c>
      <c r="G53" s="1"/>
      <c r="H53" s="73">
        <f>+[1]Main!D197</f>
        <v>3245064.94</v>
      </c>
      <c r="I53" s="30"/>
      <c r="J53" s="30"/>
    </row>
    <row r="54" spans="1:10" x14ac:dyDescent="0.2">
      <c r="A54" s="71" t="s">
        <v>80</v>
      </c>
      <c r="B54" s="59"/>
      <c r="C54" s="20"/>
      <c r="D54" s="54">
        <f>[1]Main!C197</f>
        <v>0</v>
      </c>
      <c r="E54" s="54"/>
      <c r="F54" s="54">
        <f t="shared" si="1"/>
        <v>0</v>
      </c>
      <c r="G54" s="1"/>
      <c r="H54" s="57">
        <f>+SUM(D47:D54)</f>
        <v>3245064.94</v>
      </c>
      <c r="I54" s="30"/>
      <c r="J54" s="30"/>
    </row>
    <row r="55" spans="1:10" x14ac:dyDescent="0.2">
      <c r="A55" s="71" t="s">
        <v>81</v>
      </c>
      <c r="B55" s="59"/>
      <c r="C55" s="20"/>
      <c r="D55" s="54">
        <f>[1]Main!C255</f>
        <v>3768827</v>
      </c>
      <c r="E55" s="54">
        <v>0</v>
      </c>
      <c r="F55" s="54">
        <f t="shared" si="1"/>
        <v>3768827</v>
      </c>
      <c r="G55" s="1"/>
      <c r="H55" s="57">
        <f>+H53-H54</f>
        <v>0</v>
      </c>
      <c r="I55" s="30"/>
      <c r="J55" s="30"/>
    </row>
    <row r="56" spans="1:10" x14ac:dyDescent="0.2">
      <c r="A56" s="71" t="s">
        <v>82</v>
      </c>
      <c r="B56" s="59"/>
      <c r="C56" s="20"/>
      <c r="D56" s="54">
        <f>+[7]Main!I22+[7]Main!J22</f>
        <v>2740122.15</v>
      </c>
      <c r="E56" s="74">
        <f>[7]Main!J22</f>
        <v>1748920.76</v>
      </c>
      <c r="F56" s="54">
        <f t="shared" si="1"/>
        <v>991201.39</v>
      </c>
      <c r="G56" s="1"/>
      <c r="H56" s="30"/>
      <c r="I56" s="30"/>
      <c r="J56" s="30"/>
    </row>
    <row r="57" spans="1:10" x14ac:dyDescent="0.2">
      <c r="A57" s="71" t="s">
        <v>83</v>
      </c>
      <c r="B57" s="59"/>
      <c r="C57" s="20"/>
      <c r="D57" s="54">
        <f>[1]Main!F255</f>
        <v>365064</v>
      </c>
      <c r="E57" s="54">
        <v>0</v>
      </c>
      <c r="F57" s="54">
        <f t="shared" si="1"/>
        <v>365064</v>
      </c>
      <c r="G57" s="1"/>
      <c r="H57" s="30"/>
      <c r="I57" s="30"/>
      <c r="J57" s="30"/>
    </row>
    <row r="58" spans="1:10" x14ac:dyDescent="0.2">
      <c r="A58" s="71" t="s">
        <v>84</v>
      </c>
      <c r="B58" s="59"/>
      <c r="C58" s="7"/>
      <c r="D58" s="54">
        <f>[1]Main!E255</f>
        <v>74011.77</v>
      </c>
      <c r="E58" s="54">
        <v>0</v>
      </c>
      <c r="F58" s="54">
        <f t="shared" si="1"/>
        <v>74011.77</v>
      </c>
      <c r="G58" s="1"/>
      <c r="H58" s="57" t="s">
        <v>49</v>
      </c>
      <c r="I58" s="30"/>
      <c r="J58" s="30"/>
    </row>
    <row r="59" spans="1:10" x14ac:dyDescent="0.2">
      <c r="A59" s="71" t="s">
        <v>85</v>
      </c>
      <c r="B59" s="59"/>
      <c r="C59" s="7"/>
      <c r="D59" s="54">
        <f>[1]Main!G255</f>
        <v>1151184</v>
      </c>
      <c r="E59" s="54">
        <v>0</v>
      </c>
      <c r="F59" s="54">
        <f t="shared" si="1"/>
        <v>1151184</v>
      </c>
      <c r="G59" s="1"/>
      <c r="H59" s="57">
        <f>+[1]Main!C484</f>
        <v>21866092.120000001</v>
      </c>
      <c r="I59" s="57"/>
      <c r="J59" s="57"/>
    </row>
    <row r="60" spans="1:10" x14ac:dyDescent="0.2">
      <c r="A60" s="71" t="s">
        <v>86</v>
      </c>
      <c r="B60" s="59"/>
      <c r="C60" s="20"/>
      <c r="D60" s="54">
        <f>[1]Main!C313</f>
        <v>310000</v>
      </c>
      <c r="E60" s="54">
        <v>0</v>
      </c>
      <c r="F60" s="54">
        <f t="shared" si="1"/>
        <v>310000</v>
      </c>
      <c r="G60" s="1"/>
      <c r="H60" s="57">
        <f>+SUM(D55:D65)-E56</f>
        <v>21866092.120000001</v>
      </c>
      <c r="I60" s="57"/>
      <c r="J60" s="57">
        <f>+H60-H59</f>
        <v>0</v>
      </c>
    </row>
    <row r="61" spans="1:10" x14ac:dyDescent="0.2">
      <c r="A61" s="71" t="s">
        <v>87</v>
      </c>
      <c r="C61" s="8"/>
      <c r="D61" s="76">
        <f>[1]Main!D313</f>
        <v>13585809.01</v>
      </c>
      <c r="E61" s="77">
        <v>0</v>
      </c>
      <c r="F61" s="77">
        <f t="shared" si="1"/>
        <v>13585809.01</v>
      </c>
      <c r="G61" s="5"/>
      <c r="H61" s="57">
        <f>+H59-H60</f>
        <v>0</v>
      </c>
      <c r="I61" s="57"/>
      <c r="J61" s="57"/>
    </row>
    <row r="62" spans="1:10" x14ac:dyDescent="0.2">
      <c r="A62" s="71" t="s">
        <v>88</v>
      </c>
      <c r="B62" s="59"/>
      <c r="C62" s="20"/>
      <c r="D62" s="54">
        <f>+[1]Main!$E313</f>
        <v>64387.040000000001</v>
      </c>
      <c r="E62" s="54">
        <v>0</v>
      </c>
      <c r="F62" s="54">
        <f>D62-E62</f>
        <v>64387.040000000001</v>
      </c>
      <c r="G62" s="4"/>
      <c r="H62" s="30"/>
      <c r="I62" s="30"/>
      <c r="J62" s="30"/>
    </row>
    <row r="63" spans="1:10" x14ac:dyDescent="0.2">
      <c r="A63" s="71" t="s">
        <v>89</v>
      </c>
      <c r="B63" s="59"/>
      <c r="C63" s="20"/>
      <c r="D63" s="54">
        <f>[1]Main!F313</f>
        <v>440080.1</v>
      </c>
      <c r="E63" s="54">
        <v>0</v>
      </c>
      <c r="F63" s="54">
        <f>D63-E63</f>
        <v>440080.1</v>
      </c>
      <c r="G63" s="4"/>
      <c r="H63" s="30"/>
      <c r="I63" s="30"/>
      <c r="J63" s="30"/>
    </row>
    <row r="64" spans="1:10" x14ac:dyDescent="0.2">
      <c r="A64" s="71" t="s">
        <v>90</v>
      </c>
      <c r="B64" s="59"/>
      <c r="C64" s="20"/>
      <c r="D64" s="54">
        <f>[1]Main!G313</f>
        <v>338800</v>
      </c>
      <c r="E64" s="54">
        <v>0</v>
      </c>
      <c r="F64" s="54">
        <f>D64-E64</f>
        <v>338800</v>
      </c>
      <c r="G64" s="1"/>
      <c r="H64" s="57" t="s">
        <v>50</v>
      </c>
      <c r="I64" s="30"/>
      <c r="J64" s="30"/>
    </row>
    <row r="65" spans="1:10" x14ac:dyDescent="0.2">
      <c r="A65" s="71" t="s">
        <v>93</v>
      </c>
      <c r="B65" s="59"/>
      <c r="C65" s="20"/>
      <c r="D65" s="54">
        <f>[1]Main!F370</f>
        <v>776727.81</v>
      </c>
      <c r="E65" s="54">
        <v>0</v>
      </c>
      <c r="F65" s="54">
        <f>D65-E65</f>
        <v>776727.81</v>
      </c>
      <c r="G65" s="1"/>
      <c r="H65" s="57"/>
      <c r="I65" s="30"/>
      <c r="J65" s="30"/>
    </row>
    <row r="66" spans="1:10" x14ac:dyDescent="0.2">
      <c r="A66" s="55" t="s">
        <v>30</v>
      </c>
      <c r="B66" s="78"/>
      <c r="C66" s="79"/>
      <c r="D66" s="64"/>
      <c r="E66" s="64"/>
      <c r="F66" s="64"/>
      <c r="G66" s="1"/>
      <c r="H66" s="57"/>
      <c r="I66" s="30"/>
      <c r="J66" s="30"/>
    </row>
    <row r="67" spans="1:10" x14ac:dyDescent="0.2">
      <c r="A67" s="71" t="s">
        <v>60</v>
      </c>
      <c r="B67" s="59"/>
      <c r="C67" s="20"/>
      <c r="D67" s="54">
        <f>[1]Main!C427</f>
        <v>471841.11</v>
      </c>
      <c r="E67" s="54">
        <v>0</v>
      </c>
      <c r="F67" s="54">
        <f>D67-E67</f>
        <v>471841.11</v>
      </c>
      <c r="G67" s="1"/>
      <c r="H67" s="57">
        <f>+[1]Main!G427</f>
        <v>753450.78</v>
      </c>
      <c r="I67" s="30"/>
      <c r="J67" s="30"/>
    </row>
    <row r="68" spans="1:10" x14ac:dyDescent="0.2">
      <c r="A68" s="71" t="s">
        <v>63</v>
      </c>
      <c r="B68" s="59"/>
      <c r="C68" s="20"/>
      <c r="D68" s="54">
        <f>[1]Main!D427</f>
        <v>59111.65</v>
      </c>
      <c r="E68" s="54">
        <v>0</v>
      </c>
      <c r="F68" s="54">
        <f>D68-E68</f>
        <v>59111.65</v>
      </c>
      <c r="G68" s="4"/>
      <c r="H68" s="57">
        <f>SUM(D67:D70)</f>
        <v>753450.78</v>
      </c>
      <c r="I68" s="30"/>
      <c r="J68" s="30"/>
    </row>
    <row r="69" spans="1:10" x14ac:dyDescent="0.2">
      <c r="A69" s="71" t="s">
        <v>91</v>
      </c>
      <c r="B69" s="59"/>
      <c r="C69" s="20"/>
      <c r="D69" s="54">
        <f>[1]Main!E427</f>
        <v>2232.19</v>
      </c>
      <c r="E69" s="54">
        <v>0</v>
      </c>
      <c r="F69" s="54">
        <f>D69-E69</f>
        <v>2232.19</v>
      </c>
      <c r="G69" s="4"/>
      <c r="H69" s="57">
        <f>+H67-H68</f>
        <v>0</v>
      </c>
      <c r="I69" s="30"/>
      <c r="J69" s="30"/>
    </row>
    <row r="70" spans="1:10" x14ac:dyDescent="0.2">
      <c r="A70" s="71" t="s">
        <v>92</v>
      </c>
      <c r="B70" s="59"/>
      <c r="C70" s="20"/>
      <c r="D70" s="54">
        <f>[1]Main!F427</f>
        <v>220265.83</v>
      </c>
      <c r="E70" s="54">
        <v>0</v>
      </c>
      <c r="F70" s="54">
        <f>D70-E70</f>
        <v>220265.83</v>
      </c>
      <c r="G70" s="1"/>
      <c r="H70" s="30"/>
      <c r="I70" s="30"/>
      <c r="J70" s="30"/>
    </row>
    <row r="71" spans="1:10" x14ac:dyDescent="0.2">
      <c r="A71" s="55" t="s">
        <v>31</v>
      </c>
      <c r="B71" s="78"/>
      <c r="C71" s="79"/>
      <c r="D71" s="64"/>
      <c r="E71" s="64"/>
      <c r="F71" s="64"/>
      <c r="G71" s="1"/>
      <c r="H71" s="30"/>
      <c r="I71" s="30"/>
      <c r="J71" s="30"/>
    </row>
    <row r="72" spans="1:10" x14ac:dyDescent="0.2">
      <c r="A72" s="58" t="s">
        <v>69</v>
      </c>
      <c r="B72" s="59"/>
      <c r="C72" s="20"/>
      <c r="D72" s="54">
        <f>+[1]Main!$G540</f>
        <v>41731026.189999998</v>
      </c>
      <c r="E72" s="54">
        <f>+[1]Main!$D540</f>
        <v>30343355.93</v>
      </c>
      <c r="F72" s="54">
        <f>+D72-E72</f>
        <v>11387670.26</v>
      </c>
      <c r="G72" s="1"/>
      <c r="H72" s="30"/>
      <c r="I72" s="30"/>
      <c r="J72" s="30"/>
    </row>
    <row r="73" spans="1:10" x14ac:dyDescent="0.2">
      <c r="A73" s="59" t="s">
        <v>68</v>
      </c>
      <c r="B73" s="59"/>
      <c r="C73" s="20"/>
      <c r="D73" s="54">
        <f>+[1]Main!$G595</f>
        <v>10432756.550000001</v>
      </c>
      <c r="E73" s="54">
        <f>+[1]Main!$D595</f>
        <v>7585838.9800000004</v>
      </c>
      <c r="F73" s="54">
        <f>+D73-E73</f>
        <v>2846917.57</v>
      </c>
      <c r="G73" s="1"/>
      <c r="H73" s="30"/>
      <c r="I73" s="30"/>
      <c r="J73" s="30"/>
    </row>
    <row r="74" spans="1:10" ht="13.5" thickBot="1" x14ac:dyDescent="0.25">
      <c r="A74" s="80"/>
      <c r="B74" s="81"/>
      <c r="C74" s="82" t="s">
        <v>29</v>
      </c>
      <c r="D74" s="83">
        <f>SUM(D41:D73)</f>
        <v>302351961.88</v>
      </c>
      <c r="E74" s="83">
        <f>SUM(E41:E73)</f>
        <v>71443816.670000002</v>
      </c>
      <c r="F74" s="83">
        <f>SUM(F41:F73)</f>
        <v>230908145.21000001</v>
      </c>
      <c r="G74" s="1"/>
      <c r="H74" s="30"/>
      <c r="I74" s="30"/>
      <c r="J74" s="30"/>
    </row>
    <row r="75" spans="1:10" ht="13.5" thickTop="1" x14ac:dyDescent="0.2">
      <c r="A75" s="84"/>
      <c r="B75" s="59"/>
      <c r="C75" s="85"/>
      <c r="D75" s="86"/>
      <c r="E75" s="86"/>
      <c r="F75" s="87"/>
      <c r="G75" s="1"/>
      <c r="H75" s="30"/>
      <c r="I75" s="30"/>
      <c r="J75" s="30"/>
    </row>
    <row r="76" spans="1:10" x14ac:dyDescent="0.2">
      <c r="A76" s="88" t="s">
        <v>40</v>
      </c>
      <c r="B76" s="78"/>
      <c r="C76" s="89"/>
      <c r="D76" s="90"/>
      <c r="E76" s="91"/>
      <c r="F76" s="92" t="s">
        <v>36</v>
      </c>
      <c r="G76" s="6"/>
      <c r="H76" s="57" t="s">
        <v>51</v>
      </c>
      <c r="I76" s="30"/>
      <c r="J76" s="57" t="s">
        <v>7</v>
      </c>
    </row>
    <row r="77" spans="1:10" x14ac:dyDescent="0.2">
      <c r="A77" s="93" t="s">
        <v>33</v>
      </c>
      <c r="B77" s="94"/>
      <c r="C77" s="95"/>
      <c r="D77" s="96"/>
      <c r="E77" s="96"/>
      <c r="F77" s="91"/>
      <c r="G77" s="6"/>
      <c r="H77" s="30"/>
      <c r="I77" s="30"/>
      <c r="J77" s="30"/>
    </row>
    <row r="78" spans="1:10" x14ac:dyDescent="0.2">
      <c r="A78" s="59" t="s">
        <v>34</v>
      </c>
      <c r="B78" s="59"/>
      <c r="C78" s="22"/>
      <c r="D78" s="27"/>
      <c r="E78" s="27"/>
      <c r="F78" s="97">
        <f>+[8]Main!$C23</f>
        <v>0</v>
      </c>
      <c r="G78" s="5"/>
      <c r="H78" s="57">
        <f>+[1]Main!G651</f>
        <v>52163782.740000002</v>
      </c>
      <c r="I78" s="30"/>
      <c r="J78" s="57">
        <f>+[1]Main!E651+[1]Main!F651</f>
        <v>14234587.83</v>
      </c>
    </row>
    <row r="79" spans="1:10" x14ac:dyDescent="0.2">
      <c r="A79" s="59" t="s">
        <v>66</v>
      </c>
      <c r="B79" s="59"/>
      <c r="C79" s="22"/>
      <c r="D79" s="27"/>
      <c r="E79" s="27"/>
      <c r="F79" s="97">
        <f>+[8]Main!$D23</f>
        <v>0</v>
      </c>
      <c r="G79" s="5"/>
      <c r="H79" s="57">
        <f>+D72+D73</f>
        <v>52163782.740000002</v>
      </c>
      <c r="I79" s="30"/>
      <c r="J79" s="57">
        <f>+F72+F73</f>
        <v>14234587.83</v>
      </c>
    </row>
    <row r="80" spans="1:10" x14ac:dyDescent="0.2">
      <c r="A80" s="32" t="s">
        <v>65</v>
      </c>
      <c r="B80" s="32"/>
      <c r="C80" s="22"/>
      <c r="D80" s="28"/>
      <c r="E80" s="28"/>
      <c r="F80" s="97">
        <f>+[8]Main!$E23</f>
        <v>31400</v>
      </c>
      <c r="G80" s="1"/>
      <c r="H80" s="57">
        <f>+H78-H79</f>
        <v>0</v>
      </c>
      <c r="I80" s="30"/>
      <c r="J80" s="57">
        <f>+J78-J79</f>
        <v>0</v>
      </c>
    </row>
    <row r="81" spans="1:10" x14ac:dyDescent="0.2">
      <c r="A81" s="32" t="s">
        <v>67</v>
      </c>
      <c r="B81" s="32"/>
      <c r="C81" s="22"/>
      <c r="D81" s="28"/>
      <c r="E81" s="28"/>
      <c r="F81" s="97">
        <f>+[8]Main!$F23</f>
        <v>62341</v>
      </c>
      <c r="G81" s="1"/>
      <c r="H81" s="30"/>
      <c r="I81" s="30"/>
      <c r="J81" s="30"/>
    </row>
    <row r="82" spans="1:10" x14ac:dyDescent="0.2">
      <c r="A82" s="88" t="s">
        <v>35</v>
      </c>
      <c r="B82" s="78"/>
      <c r="C82" s="89"/>
      <c r="D82" s="90"/>
      <c r="E82" s="91"/>
      <c r="F82" s="54">
        <f>+[8]Main!$C81</f>
        <v>121780.26</v>
      </c>
      <c r="G82" s="1"/>
      <c r="H82" s="30"/>
      <c r="I82" s="30"/>
      <c r="J82" s="30"/>
    </row>
    <row r="83" spans="1:10" ht="13.5" thickBot="1" x14ac:dyDescent="0.25">
      <c r="A83" s="98"/>
      <c r="B83" s="99"/>
      <c r="C83" s="100" t="s">
        <v>29</v>
      </c>
      <c r="D83" s="101"/>
      <c r="E83" s="102"/>
      <c r="F83" s="103">
        <f>SUM(F78:F82)</f>
        <v>215521.26</v>
      </c>
      <c r="G83" s="1"/>
      <c r="H83" s="30"/>
      <c r="I83" s="30"/>
      <c r="J83" s="30"/>
    </row>
    <row r="84" spans="1:10" ht="13.5" thickBot="1" x14ac:dyDescent="0.25">
      <c r="A84" s="104"/>
      <c r="B84" s="105"/>
      <c r="C84" s="106" t="s">
        <v>53</v>
      </c>
      <c r="D84" s="107"/>
      <c r="E84" s="108"/>
      <c r="F84" s="109">
        <f>+F83+F74</f>
        <v>231123666.47</v>
      </c>
      <c r="G84" s="1"/>
      <c r="H84" s="57" t="s">
        <v>54</v>
      </c>
      <c r="I84" s="30"/>
      <c r="J84" s="30"/>
    </row>
    <row r="85" spans="1:10" x14ac:dyDescent="0.2">
      <c r="A85" s="11"/>
      <c r="B85" s="12"/>
      <c r="C85" s="9"/>
      <c r="D85" s="29"/>
      <c r="E85" s="29"/>
      <c r="F85" s="110"/>
      <c r="G85" s="1"/>
      <c r="H85" s="57">
        <f>+[8]Main!$G23</f>
        <v>93741</v>
      </c>
      <c r="I85" s="30"/>
      <c r="J85" s="30"/>
    </row>
    <row r="86" spans="1:10" x14ac:dyDescent="0.2">
      <c r="A86" s="11"/>
      <c r="B86" s="12"/>
      <c r="C86" s="9"/>
      <c r="D86" s="29"/>
      <c r="E86" s="29"/>
      <c r="F86" s="110"/>
      <c r="G86" s="1"/>
      <c r="H86" s="57">
        <f>SUM(F78:F81)</f>
        <v>93741</v>
      </c>
      <c r="I86" s="30"/>
      <c r="J86" s="30"/>
    </row>
    <row r="87" spans="1:10" x14ac:dyDescent="0.2">
      <c r="A87" s="1"/>
      <c r="B87" s="1"/>
      <c r="C87" s="7"/>
      <c r="D87" s="26"/>
      <c r="E87" s="26"/>
      <c r="F87" s="86">
        <f>+F83+F74</f>
        <v>231123666.47</v>
      </c>
      <c r="G87" s="1"/>
      <c r="H87" s="57">
        <f>+H85-H86</f>
        <v>0</v>
      </c>
      <c r="I87" s="30"/>
      <c r="J87" s="30"/>
    </row>
    <row r="88" spans="1:10" x14ac:dyDescent="0.2">
      <c r="A88" s="1"/>
      <c r="B88" s="1"/>
      <c r="C88" s="7"/>
      <c r="D88" s="26"/>
      <c r="E88" s="26"/>
      <c r="F88" s="86">
        <f>+[1]Main!$F767</f>
        <v>231123666.47</v>
      </c>
      <c r="G88" s="1"/>
      <c r="H88" s="30"/>
      <c r="I88" s="30"/>
      <c r="J88" s="30"/>
    </row>
    <row r="89" spans="1:10" x14ac:dyDescent="0.2">
      <c r="A89" s="1"/>
      <c r="B89" s="1"/>
      <c r="C89" s="7"/>
      <c r="D89" s="26"/>
      <c r="E89" s="86">
        <f>+E74+[1]Main!$E767</f>
        <v>0</v>
      </c>
      <c r="F89" s="86">
        <f>+F88-F87</f>
        <v>0</v>
      </c>
      <c r="G89" s="1"/>
      <c r="H89" s="30"/>
      <c r="I89" s="30"/>
      <c r="J89" s="30"/>
    </row>
    <row r="90" spans="1:10" x14ac:dyDescent="0.2">
      <c r="A90" s="59"/>
      <c r="B90" s="59"/>
      <c r="C90" s="85"/>
      <c r="D90" s="86"/>
      <c r="E90" s="86"/>
      <c r="F90" s="86"/>
      <c r="G90" s="59"/>
      <c r="H90" s="57"/>
      <c r="I90" s="57"/>
      <c r="J90" s="57"/>
    </row>
    <row r="91" spans="1:10" x14ac:dyDescent="0.2">
      <c r="A91" s="59"/>
      <c r="B91" s="59"/>
      <c r="C91" s="85"/>
      <c r="D91" s="86"/>
      <c r="E91" s="86"/>
      <c r="F91" s="86"/>
      <c r="G91" s="59"/>
      <c r="H91" s="57"/>
      <c r="I91" s="57"/>
      <c r="J91" s="57"/>
    </row>
    <row r="92" spans="1:10" x14ac:dyDescent="0.2">
      <c r="A92" s="59"/>
      <c r="B92" s="59"/>
      <c r="C92" s="85"/>
      <c r="D92" s="86"/>
      <c r="E92" s="86"/>
      <c r="F92" s="86"/>
      <c r="G92" s="59"/>
      <c r="H92" s="111" t="s">
        <v>55</v>
      </c>
      <c r="I92" s="57"/>
      <c r="J92" s="57"/>
    </row>
    <row r="93" spans="1:10" x14ac:dyDescent="0.2">
      <c r="G93" s="59"/>
      <c r="H93" s="113"/>
      <c r="I93" s="112"/>
      <c r="J93" s="112"/>
    </row>
    <row r="94" spans="1:10" x14ac:dyDescent="0.2">
      <c r="G94" s="59"/>
      <c r="H94" s="112"/>
      <c r="I94" s="112"/>
      <c r="J94" s="112"/>
    </row>
    <row r="95" spans="1:10" x14ac:dyDescent="0.2">
      <c r="G95" s="59"/>
      <c r="H95" s="112"/>
      <c r="I95" s="112"/>
      <c r="J95" s="112"/>
    </row>
    <row r="96" spans="1:10" x14ac:dyDescent="0.2">
      <c r="G96" s="59"/>
      <c r="H96" s="112"/>
      <c r="I96" s="112"/>
      <c r="J96" s="112"/>
    </row>
    <row r="97" spans="7:10" x14ac:dyDescent="0.2">
      <c r="G97" s="59"/>
      <c r="H97" s="112"/>
      <c r="I97" s="112"/>
      <c r="J97" s="112"/>
    </row>
    <row r="98" spans="7:10" x14ac:dyDescent="0.2">
      <c r="G98" s="59"/>
      <c r="H98" s="71"/>
      <c r="I98" s="112"/>
      <c r="J98" s="112"/>
    </row>
  </sheetData>
  <mergeCells count="1">
    <mergeCell ref="D17:E17"/>
  </mergeCells>
  <phoneticPr fontId="0" type="noConversion"/>
  <printOptions horizontalCentered="1" verticalCentered="1"/>
  <pageMargins left="0.5" right="0.25" top="0.5" bottom="0.5" header="0.5" footer="0.5"/>
  <pageSetup scale="89" orientation="portrait" horizontalDpi="1200" r:id="rId1"/>
  <headerFooter alignWithMargins="0">
    <oddHeader>&amp;R&amp;8Current as of: &amp;D</oddHeader>
    <oddFooter>&amp;L&amp;8USOE, Finance and Statistics&amp;R&amp;8&amp;F</oddFooter>
  </headerFooter>
  <picture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J99"/>
  <sheetViews>
    <sheetView topLeftCell="A34" workbookViewId="0">
      <selection activeCell="B22" sqref="B22"/>
    </sheetView>
  </sheetViews>
  <sheetFormatPr defaultColWidth="18.28515625" defaultRowHeight="12.75" x14ac:dyDescent="0.2"/>
  <cols>
    <col min="1" max="1" width="27" style="75" customWidth="1"/>
    <col min="2" max="2" width="16.7109375" style="75" customWidth="1"/>
    <col min="3" max="3" width="15.85546875" style="75" customWidth="1"/>
    <col min="4" max="4" width="16.28515625" style="75" customWidth="1"/>
    <col min="5" max="5" width="15.5703125" style="75" customWidth="1"/>
    <col min="6" max="6" width="17.42578125" style="75" customWidth="1"/>
    <col min="7" max="7" width="5.7109375" style="75" customWidth="1"/>
    <col min="8" max="8" width="21.5703125" style="75" customWidth="1"/>
    <col min="9" max="9" width="5" style="75" customWidth="1"/>
    <col min="10" max="10" width="20.85546875" style="75" customWidth="1"/>
    <col min="11" max="16384" width="18.28515625" style="75"/>
  </cols>
  <sheetData>
    <row r="1" spans="1:10" x14ac:dyDescent="0.2">
      <c r="A1" s="8"/>
      <c r="B1" s="8"/>
      <c r="C1" s="8"/>
      <c r="D1" s="8"/>
      <c r="E1" s="8"/>
      <c r="F1" s="8"/>
      <c r="G1" s="8"/>
      <c r="H1" s="8"/>
      <c r="I1" s="8"/>
      <c r="J1" s="8"/>
    </row>
    <row r="2" spans="1:10" x14ac:dyDescent="0.2">
      <c r="A2" s="8"/>
      <c r="B2" s="8"/>
      <c r="C2" s="8"/>
      <c r="D2" s="8"/>
      <c r="E2" s="8"/>
      <c r="F2" s="8"/>
      <c r="G2" s="8"/>
      <c r="H2" s="8"/>
      <c r="I2" s="8"/>
      <c r="J2" s="8"/>
    </row>
    <row r="3" spans="1:10" x14ac:dyDescent="0.2">
      <c r="A3" s="8"/>
      <c r="B3" s="8"/>
      <c r="C3" s="8"/>
      <c r="D3" s="8"/>
      <c r="E3" s="8"/>
      <c r="F3" s="8"/>
      <c r="G3" s="8"/>
      <c r="H3" s="8"/>
      <c r="I3" s="8"/>
      <c r="J3" s="8"/>
    </row>
    <row r="4" spans="1:10" x14ac:dyDescent="0.2">
      <c r="A4" s="8"/>
      <c r="B4" s="8"/>
      <c r="C4" s="8"/>
      <c r="D4" s="8"/>
      <c r="E4" s="8"/>
      <c r="F4" s="8"/>
      <c r="G4" s="8"/>
      <c r="H4" s="8"/>
      <c r="I4" s="8"/>
      <c r="J4" s="8"/>
    </row>
    <row r="5" spans="1:10" x14ac:dyDescent="0.2">
      <c r="A5" s="8"/>
      <c r="B5" s="8"/>
      <c r="C5" s="8"/>
      <c r="D5" s="8"/>
      <c r="E5" s="8"/>
      <c r="F5" s="8"/>
      <c r="G5" s="8"/>
      <c r="H5" s="8"/>
      <c r="I5" s="8"/>
      <c r="J5" s="8"/>
    </row>
    <row r="6" spans="1:10" x14ac:dyDescent="0.2">
      <c r="A6" s="8"/>
      <c r="B6" s="8"/>
      <c r="C6" s="8"/>
      <c r="D6" s="8"/>
      <c r="E6" s="8"/>
      <c r="F6" s="8"/>
      <c r="G6" s="8"/>
      <c r="H6" s="8"/>
      <c r="I6" s="8"/>
      <c r="J6" s="8"/>
    </row>
    <row r="7" spans="1:10" x14ac:dyDescent="0.2">
      <c r="A7" s="8"/>
      <c r="B7" s="8"/>
      <c r="C7" s="8"/>
      <c r="D7" s="8"/>
      <c r="E7" s="8"/>
      <c r="F7" s="8"/>
      <c r="G7" s="8"/>
      <c r="H7" s="8"/>
      <c r="I7" s="8"/>
      <c r="J7" s="8"/>
    </row>
    <row r="8" spans="1:10" x14ac:dyDescent="0.2">
      <c r="A8" s="8"/>
      <c r="B8" s="8"/>
      <c r="C8" s="8"/>
      <c r="D8" s="8"/>
      <c r="E8" s="8"/>
      <c r="F8" s="8"/>
      <c r="G8" s="8"/>
      <c r="H8" s="8"/>
      <c r="I8" s="8"/>
      <c r="J8" s="8"/>
    </row>
    <row r="9" spans="1:10" x14ac:dyDescent="0.2">
      <c r="A9" s="8"/>
      <c r="B9" s="8"/>
      <c r="C9" s="8"/>
      <c r="D9" s="8"/>
      <c r="E9" s="8"/>
      <c r="F9" s="8"/>
      <c r="G9" s="8"/>
      <c r="H9" s="8"/>
      <c r="I9" s="8"/>
      <c r="J9" s="8"/>
    </row>
    <row r="10" spans="1:10" x14ac:dyDescent="0.2">
      <c r="A10" s="8"/>
      <c r="B10" s="15"/>
      <c r="C10" s="8"/>
      <c r="D10" s="8"/>
      <c r="E10" s="8"/>
      <c r="F10" s="8"/>
      <c r="G10" s="8"/>
      <c r="H10" s="8"/>
      <c r="I10" s="8"/>
      <c r="J10" s="8"/>
    </row>
    <row r="11" spans="1:10" x14ac:dyDescent="0.2">
      <c r="A11" s="8"/>
      <c r="B11" s="8"/>
      <c r="C11" s="8"/>
      <c r="D11" s="8"/>
      <c r="E11" s="8"/>
      <c r="F11" s="8"/>
      <c r="G11" s="8"/>
      <c r="H11" s="8"/>
      <c r="I11" s="8"/>
      <c r="J11" s="8"/>
    </row>
    <row r="12" spans="1:10" x14ac:dyDescent="0.2">
      <c r="A12" s="8"/>
      <c r="B12" s="8"/>
      <c r="C12" s="8"/>
      <c r="D12" s="8"/>
      <c r="E12" s="8"/>
      <c r="F12" s="8"/>
      <c r="G12" s="8"/>
      <c r="H12" s="8"/>
      <c r="I12" s="8"/>
      <c r="J12" s="8"/>
    </row>
    <row r="13" spans="1:10" x14ac:dyDescent="0.2">
      <c r="A13" s="8"/>
      <c r="B13" s="8"/>
      <c r="C13" s="8"/>
      <c r="D13" s="8"/>
      <c r="E13" s="8"/>
      <c r="F13" s="8"/>
      <c r="G13" s="8"/>
      <c r="H13" s="8"/>
      <c r="I13" s="8"/>
      <c r="J13" s="8"/>
    </row>
    <row r="14" spans="1:10" x14ac:dyDescent="0.2">
      <c r="A14" s="8"/>
      <c r="B14" s="8"/>
      <c r="C14" s="8"/>
      <c r="D14" s="8"/>
      <c r="E14" s="8"/>
      <c r="F14" s="8"/>
      <c r="G14" s="8"/>
      <c r="H14" s="8"/>
      <c r="I14" s="8"/>
      <c r="J14" s="8"/>
    </row>
    <row r="15" spans="1:10" x14ac:dyDescent="0.2">
      <c r="A15" s="32" t="s">
        <v>0</v>
      </c>
      <c r="B15" s="33">
        <v>3184</v>
      </c>
      <c r="C15" s="34" t="s">
        <v>1</v>
      </c>
      <c r="D15" s="35"/>
      <c r="E15" s="35"/>
      <c r="F15" s="35"/>
      <c r="G15" s="1"/>
      <c r="H15" s="30"/>
      <c r="I15" s="30"/>
      <c r="J15" s="30"/>
    </row>
    <row r="16" spans="1:10" x14ac:dyDescent="0.2">
      <c r="A16" s="32" t="s">
        <v>61</v>
      </c>
      <c r="B16" s="36">
        <f>+[1]Main!$C541</f>
        <v>4.0000000000000002E-4</v>
      </c>
      <c r="C16" s="34" t="s">
        <v>41</v>
      </c>
      <c r="D16" s="35"/>
      <c r="E16" s="35"/>
      <c r="F16" s="35"/>
      <c r="G16" s="1"/>
      <c r="H16" s="30"/>
      <c r="I16" s="30"/>
      <c r="J16" s="30"/>
    </row>
    <row r="17" spans="1:10" x14ac:dyDescent="0.2">
      <c r="A17" s="32" t="s">
        <v>62</v>
      </c>
      <c r="B17" s="36">
        <f>+[1]Main!$C596</f>
        <v>2.006E-3</v>
      </c>
      <c r="C17" s="34" t="s">
        <v>95</v>
      </c>
      <c r="D17" s="35"/>
      <c r="E17" s="37"/>
      <c r="F17" s="35"/>
      <c r="G17" s="1"/>
      <c r="H17" s="30"/>
      <c r="I17" s="30"/>
      <c r="J17" s="30"/>
    </row>
    <row r="18" spans="1:10" x14ac:dyDescent="0.2">
      <c r="A18" s="38" t="s">
        <v>32</v>
      </c>
      <c r="B18" s="39">
        <f>[2]Sheet1!E23</f>
        <v>869793342</v>
      </c>
      <c r="C18" s="21"/>
      <c r="D18" s="31"/>
      <c r="E18" s="31"/>
      <c r="F18" s="23"/>
      <c r="G18" s="1"/>
      <c r="H18" s="30"/>
      <c r="I18" s="30"/>
      <c r="J18" s="30"/>
    </row>
    <row r="19" spans="1:10" x14ac:dyDescent="0.2">
      <c r="A19" s="32" t="s">
        <v>2</v>
      </c>
      <c r="B19" s="40">
        <f>[2]Sheet1!F23</f>
        <v>0.96830000000000005</v>
      </c>
      <c r="C19" s="7"/>
      <c r="D19" s="41" t="s">
        <v>3</v>
      </c>
      <c r="E19" s="42" t="str">
        <f>+[3]main!B24</f>
        <v>Juab</v>
      </c>
      <c r="F19" s="43">
        <f>+[3]main!A24</f>
        <v>15</v>
      </c>
      <c r="G19" s="1"/>
      <c r="H19" s="30"/>
      <c r="I19" s="30"/>
      <c r="J19" s="30"/>
    </row>
    <row r="20" spans="1:10" x14ac:dyDescent="0.2">
      <c r="A20" s="32" t="s">
        <v>4</v>
      </c>
      <c r="B20" s="44">
        <f>[2]Sheet1!G23</f>
        <v>1.6750000000000001E-3</v>
      </c>
      <c r="C20" s="8"/>
      <c r="D20" s="24"/>
      <c r="E20" s="25"/>
      <c r="F20" s="24"/>
      <c r="G20" s="1"/>
      <c r="H20" s="30"/>
      <c r="I20" s="30"/>
      <c r="J20" s="30"/>
    </row>
    <row r="21" spans="1:10" x14ac:dyDescent="0.2">
      <c r="A21" s="32" t="s">
        <v>5</v>
      </c>
      <c r="B21" s="45">
        <f>[2]Sheet1!$C$79</f>
        <v>1554210</v>
      </c>
      <c r="C21" s="46"/>
      <c r="D21" s="47" t="s">
        <v>38</v>
      </c>
      <c r="E21" s="48" t="s">
        <v>7</v>
      </c>
      <c r="F21" s="47" t="s">
        <v>6</v>
      </c>
      <c r="G21" s="1"/>
      <c r="H21" s="30"/>
      <c r="I21" s="30"/>
      <c r="J21" s="30"/>
    </row>
    <row r="22" spans="1:10" x14ac:dyDescent="0.2">
      <c r="A22" s="32" t="s">
        <v>8</v>
      </c>
      <c r="B22" s="45">
        <f>+B21</f>
        <v>1554210</v>
      </c>
      <c r="C22" s="49"/>
      <c r="D22" s="50" t="s">
        <v>9</v>
      </c>
      <c r="E22" s="50" t="s">
        <v>37</v>
      </c>
      <c r="F22" s="50" t="s">
        <v>10</v>
      </c>
      <c r="G22" s="1"/>
      <c r="H22" s="30"/>
      <c r="I22" s="30"/>
      <c r="J22" s="30"/>
    </row>
    <row r="23" spans="1:10" x14ac:dyDescent="0.2">
      <c r="A23" s="32" t="s">
        <v>11</v>
      </c>
      <c r="B23" s="45">
        <v>0</v>
      </c>
      <c r="C23" s="51" t="s">
        <v>39</v>
      </c>
      <c r="D23" s="52" t="s">
        <v>12</v>
      </c>
      <c r="E23" s="52" t="s">
        <v>9</v>
      </c>
      <c r="F23" s="52" t="s">
        <v>9</v>
      </c>
      <c r="G23" s="1"/>
      <c r="H23" s="30"/>
      <c r="I23" s="30"/>
      <c r="J23" s="30"/>
    </row>
    <row r="24" spans="1:10" x14ac:dyDescent="0.2">
      <c r="A24" s="32" t="s">
        <v>70</v>
      </c>
      <c r="B24" s="45">
        <f>'[4]LRF FY17'!U21</f>
        <v>10790</v>
      </c>
      <c r="C24" s="53"/>
      <c r="D24" s="54"/>
      <c r="E24" s="54"/>
      <c r="F24" s="54" t="s">
        <v>14</v>
      </c>
      <c r="G24" s="1"/>
      <c r="H24" s="30"/>
      <c r="I24" s="30"/>
      <c r="J24" s="30"/>
    </row>
    <row r="25" spans="1:10" x14ac:dyDescent="0.2">
      <c r="A25" s="55" t="s">
        <v>13</v>
      </c>
      <c r="B25" s="56"/>
      <c r="C25" s="53"/>
      <c r="D25" s="54"/>
      <c r="E25" s="54"/>
      <c r="F25" s="54"/>
      <c r="G25" s="2"/>
      <c r="H25" s="30"/>
      <c r="I25" s="30"/>
      <c r="J25" s="30"/>
    </row>
    <row r="26" spans="1:10" x14ac:dyDescent="0.2">
      <c r="A26" s="55" t="s">
        <v>15</v>
      </c>
      <c r="B26" s="56"/>
      <c r="C26" s="53"/>
      <c r="D26" s="54"/>
      <c r="E26" s="54"/>
      <c r="F26" s="54"/>
      <c r="G26" s="2"/>
      <c r="H26" s="57" t="s">
        <v>43</v>
      </c>
      <c r="I26" s="30"/>
      <c r="J26" s="57" t="s">
        <v>45</v>
      </c>
    </row>
    <row r="27" spans="1:10" x14ac:dyDescent="0.2">
      <c r="A27" s="58" t="s">
        <v>16</v>
      </c>
      <c r="B27" s="59"/>
      <c r="C27" s="60">
        <f>[3]main!C198-[3]main!F140</f>
        <v>2400.915</v>
      </c>
      <c r="D27" s="61">
        <f>[3]main!E198-[3]main!H140</f>
        <v>7644513.0800000001</v>
      </c>
      <c r="E27" s="62">
        <f>IF(B22&gt;D27,D27,B22)</f>
        <v>1554210</v>
      </c>
      <c r="F27" s="62">
        <f>D27-E27</f>
        <v>6090303.0800000001</v>
      </c>
      <c r="G27" s="1"/>
      <c r="H27" s="57">
        <f>[3]main!H257</f>
        <v>8454803.5299999993</v>
      </c>
      <c r="I27" s="30"/>
      <c r="J27" s="57">
        <f>'[5]Sheet 1'!E81</f>
        <v>10683597.18</v>
      </c>
    </row>
    <row r="28" spans="1:10" x14ac:dyDescent="0.2">
      <c r="A28" s="58" t="s">
        <v>17</v>
      </c>
      <c r="B28" s="59"/>
      <c r="C28" s="53">
        <f>[3]main!F140</f>
        <v>0</v>
      </c>
      <c r="D28" s="54">
        <f>[3]main!H140</f>
        <v>0</v>
      </c>
      <c r="E28" s="54">
        <f>IF(B21-SUM(E25:E27)&gt;D28,D28,B21-SUM(E25:E27))</f>
        <v>0</v>
      </c>
      <c r="F28" s="54">
        <f>D28-E28</f>
        <v>0</v>
      </c>
      <c r="G28" s="1"/>
      <c r="H28" s="57">
        <f>SUM(D27:D31)</f>
        <v>8454803.5299999993</v>
      </c>
      <c r="I28" s="30"/>
      <c r="J28" s="57">
        <f>D42</f>
        <v>10683597.18</v>
      </c>
    </row>
    <row r="29" spans="1:10" x14ac:dyDescent="0.2">
      <c r="A29" s="58" t="s">
        <v>18</v>
      </c>
      <c r="B29" s="59"/>
      <c r="C29" s="53">
        <f>[3]main!F198</f>
        <v>194.488</v>
      </c>
      <c r="D29" s="54">
        <f>[3]main!H198</f>
        <v>619250.44999999995</v>
      </c>
      <c r="E29" s="54">
        <f>IF(B22-SUM(E27:E28)&gt;D29,D29,B22-SUM(E27:E28))</f>
        <v>0</v>
      </c>
      <c r="F29" s="54">
        <f>D29-E29</f>
        <v>619250.44999999995</v>
      </c>
      <c r="G29" s="1"/>
      <c r="H29" s="57">
        <f>+H27-H28</f>
        <v>0</v>
      </c>
      <c r="I29" s="30"/>
      <c r="J29" s="57">
        <f>+J27-J28</f>
        <v>0</v>
      </c>
    </row>
    <row r="30" spans="1:10" x14ac:dyDescent="0.2">
      <c r="A30" s="58" t="s">
        <v>19</v>
      </c>
      <c r="B30" s="59"/>
      <c r="C30" s="53">
        <f>[3]main!C257</f>
        <v>60</v>
      </c>
      <c r="D30" s="54">
        <f>[3]main!E257</f>
        <v>191040</v>
      </c>
      <c r="E30" s="54">
        <f>IF(B22-SUM(E27:E29)&gt;D30,D30,B22-SUM(E27:E29))</f>
        <v>0</v>
      </c>
      <c r="F30" s="54">
        <f>D30-E30</f>
        <v>191040</v>
      </c>
      <c r="G30" s="1"/>
      <c r="H30" s="30"/>
      <c r="I30" s="30"/>
      <c r="J30" s="30"/>
    </row>
    <row r="31" spans="1:10" x14ac:dyDescent="0.2">
      <c r="A31" s="58" t="s">
        <v>42</v>
      </c>
      <c r="B31" s="59"/>
      <c r="C31" s="53">
        <f>[3]main!C81</f>
        <v>0</v>
      </c>
      <c r="D31" s="54">
        <f>[3]main!E81</f>
        <v>0</v>
      </c>
      <c r="E31" s="54">
        <f>IF(B22-SUM(E27:E30)&gt;D31,D31,B22-SUM(E27:E30))</f>
        <v>0</v>
      </c>
      <c r="F31" s="54">
        <f>D31-E31</f>
        <v>0</v>
      </c>
      <c r="G31" s="1"/>
      <c r="H31" s="30"/>
      <c r="I31" s="30"/>
      <c r="J31" s="30"/>
    </row>
    <row r="32" spans="1:10" x14ac:dyDescent="0.2">
      <c r="A32" s="55" t="s">
        <v>20</v>
      </c>
      <c r="B32" s="56"/>
      <c r="C32" s="63"/>
      <c r="D32" s="64"/>
      <c r="E32" s="64"/>
      <c r="F32" s="64" t="s">
        <v>14</v>
      </c>
      <c r="G32" s="1"/>
      <c r="H32" s="57" t="s">
        <v>44</v>
      </c>
      <c r="I32" s="30"/>
      <c r="J32" s="30"/>
    </row>
    <row r="33" spans="1:10" x14ac:dyDescent="0.2">
      <c r="A33" s="58" t="s">
        <v>21</v>
      </c>
      <c r="B33" s="59"/>
      <c r="C33" s="53">
        <f>'[6]Sheet 1'!C23</f>
        <v>283.512</v>
      </c>
      <c r="D33" s="54">
        <f>'[6]Sheet 1'!E23</f>
        <v>902702.92</v>
      </c>
      <c r="E33" s="54">
        <f>IF(B22-SUM(E27:E32)&gt;D33,D33,B22-SUM(E27:E32))</f>
        <v>0</v>
      </c>
      <c r="F33" s="54">
        <f t="shared" ref="F33:F41" si="0">D33-E33</f>
        <v>902702.92</v>
      </c>
      <c r="G33" s="1"/>
      <c r="H33" s="57">
        <f>'[6]Sheet 1'!N139</f>
        <v>1268590.1100000001</v>
      </c>
      <c r="I33" s="30"/>
      <c r="J33" s="30"/>
    </row>
    <row r="34" spans="1:10" x14ac:dyDescent="0.2">
      <c r="A34" s="59" t="s">
        <v>22</v>
      </c>
      <c r="B34" s="59"/>
      <c r="C34" s="53">
        <f>'[6]Sheet 1'!F23</f>
        <v>49.88</v>
      </c>
      <c r="D34" s="54">
        <f>'[6]Sheet 1'!H23</f>
        <v>158817.92000000001</v>
      </c>
      <c r="E34" s="54">
        <f>IF(B22-SUM(E27:E33)&gt;D34,D34,B22-SUM(E27:E33))</f>
        <v>0</v>
      </c>
      <c r="F34" s="54">
        <f t="shared" si="0"/>
        <v>158817.92000000001</v>
      </c>
      <c r="G34" s="1"/>
      <c r="H34" s="57">
        <f>SUM(D33:D39)</f>
        <v>1268590.1100000001</v>
      </c>
      <c r="I34" s="30"/>
      <c r="J34" s="30"/>
    </row>
    <row r="35" spans="1:10" x14ac:dyDescent="0.2">
      <c r="A35" s="59" t="s">
        <v>23</v>
      </c>
      <c r="B35" s="59"/>
      <c r="C35" s="53">
        <f>'[6]Sheet 1'!C81</f>
        <v>54.39</v>
      </c>
      <c r="D35" s="54">
        <f>'[6]Sheet 1'!E81</f>
        <v>173177.76</v>
      </c>
      <c r="E35" s="54">
        <f>IF(B22-SUM(E27:E34)&gt;D35,D35,B22-SUM(E27:E34))</f>
        <v>0</v>
      </c>
      <c r="F35" s="54">
        <f t="shared" si="0"/>
        <v>173177.76</v>
      </c>
      <c r="G35" s="1"/>
      <c r="H35" s="57">
        <f>+H33-H34</f>
        <v>0</v>
      </c>
      <c r="I35" s="30"/>
      <c r="J35" s="30"/>
    </row>
    <row r="36" spans="1:10" x14ac:dyDescent="0.2">
      <c r="A36" s="58" t="s">
        <v>24</v>
      </c>
      <c r="B36" s="59"/>
      <c r="C36" s="53">
        <f>'[6]Sheet 1'!F81</f>
        <v>2.2349999999999999</v>
      </c>
      <c r="D36" s="54">
        <f>'[6]Sheet 1'!H81</f>
        <v>7115.39</v>
      </c>
      <c r="E36" s="54">
        <f>IF(B22-SUM(E27:E35)&gt;D36,D36,B22-SUM(E27:E35))</f>
        <v>0</v>
      </c>
      <c r="F36" s="54">
        <f t="shared" si="0"/>
        <v>7115.39</v>
      </c>
      <c r="G36" s="1"/>
      <c r="H36" s="30"/>
      <c r="I36" s="30"/>
      <c r="J36" s="30"/>
    </row>
    <row r="37" spans="1:10" x14ac:dyDescent="0.2">
      <c r="A37" s="59" t="s">
        <v>71</v>
      </c>
      <c r="B37" s="59"/>
      <c r="C37" s="53">
        <f>'[6]Sheet 1'!C139</f>
        <v>8.41</v>
      </c>
      <c r="D37" s="54">
        <f>'[6]Sheet 1'!E139</f>
        <v>26776.12</v>
      </c>
      <c r="E37" s="54">
        <f>IF(B22-SUM(E27:E36)&gt;D37,D37,B22-SUM(E27:E36))</f>
        <v>0</v>
      </c>
      <c r="F37" s="54">
        <f t="shared" si="0"/>
        <v>26776.12</v>
      </c>
      <c r="G37" s="1"/>
      <c r="H37" s="30"/>
      <c r="I37" s="30"/>
      <c r="J37" s="30"/>
    </row>
    <row r="38" spans="1:10" x14ac:dyDescent="0.2">
      <c r="A38" s="59" t="s">
        <v>57</v>
      </c>
      <c r="B38" s="59"/>
      <c r="C38" s="53">
        <f>'[6]Sheet 1'!F139</f>
        <v>0</v>
      </c>
      <c r="D38" s="54">
        <f>'[6]Sheet 1'!H139</f>
        <v>0</v>
      </c>
      <c r="E38" s="54">
        <f>IF(B23-SUM(E28:E37)&gt;D38,D38,B23-SUM(E28:E37))</f>
        <v>0</v>
      </c>
      <c r="F38" s="54">
        <f t="shared" si="0"/>
        <v>0</v>
      </c>
      <c r="G38" s="1"/>
      <c r="H38" s="30"/>
      <c r="I38" s="30"/>
      <c r="J38" s="30"/>
    </row>
    <row r="39" spans="1:10" x14ac:dyDescent="0.2">
      <c r="A39" s="59" t="s">
        <v>64</v>
      </c>
      <c r="B39" s="59"/>
      <c r="C39" s="53">
        <f>'[6]Sheet 1'!I139</f>
        <v>0</v>
      </c>
      <c r="D39" s="54">
        <f>'[6]Sheet 1'!K139</f>
        <v>0</v>
      </c>
      <c r="E39" s="54">
        <f>IF(B25-SUM(E29:E38)&gt;D39,D39,B25-SUM(E29:E38))</f>
        <v>0</v>
      </c>
      <c r="F39" s="54">
        <f t="shared" si="0"/>
        <v>0</v>
      </c>
      <c r="G39" s="1"/>
      <c r="H39" s="57" t="s">
        <v>46</v>
      </c>
      <c r="I39" s="30"/>
      <c r="J39" s="30"/>
    </row>
    <row r="40" spans="1:10" x14ac:dyDescent="0.2">
      <c r="A40" s="59" t="s">
        <v>58</v>
      </c>
      <c r="B40" s="59"/>
      <c r="C40" s="53">
        <f>'[6]Sheet 1'!C197</f>
        <v>146.50899999999999</v>
      </c>
      <c r="D40" s="54">
        <f>'[6]Sheet 1'!E197</f>
        <v>466484.65</v>
      </c>
      <c r="E40" s="54">
        <f>IF(B22-SUM(E27:E37)&gt;D40,D40,B22-SUM(E27:E37))</f>
        <v>0</v>
      </c>
      <c r="F40" s="54">
        <f t="shared" si="0"/>
        <v>466484.65</v>
      </c>
      <c r="G40" s="4"/>
      <c r="H40" s="57">
        <f>+'[6]Sheet 1'!E197</f>
        <v>466484.65</v>
      </c>
      <c r="I40" s="30"/>
      <c r="J40" s="30"/>
    </row>
    <row r="41" spans="1:10" x14ac:dyDescent="0.2">
      <c r="A41" s="58" t="s">
        <v>59</v>
      </c>
      <c r="B41" s="59"/>
      <c r="C41" s="53">
        <f>'[5]Sheet 1'!C23</f>
        <v>155.06200000000001</v>
      </c>
      <c r="D41" s="54">
        <f>'[5]Sheet 1'!E23</f>
        <v>493718.89</v>
      </c>
      <c r="E41" s="54">
        <f>IF(B22-SUM(E27:E40)&gt;D41,D41,B22-SUM(E27:E40))</f>
        <v>0</v>
      </c>
      <c r="F41" s="54">
        <f t="shared" si="0"/>
        <v>493718.89</v>
      </c>
      <c r="G41" s="5"/>
      <c r="H41" s="57">
        <f>+D40</f>
        <v>466484.65</v>
      </c>
      <c r="I41" s="30"/>
      <c r="J41" s="30"/>
    </row>
    <row r="42" spans="1:10" x14ac:dyDescent="0.2">
      <c r="A42" s="65" t="s">
        <v>28</v>
      </c>
      <c r="B42" s="56"/>
      <c r="C42" s="66">
        <f>SUM(C27:C41)</f>
        <v>3355.4009999999998</v>
      </c>
      <c r="D42" s="67">
        <f>SUM(D27:D41)</f>
        <v>10683597.18</v>
      </c>
      <c r="E42" s="67">
        <f>SUM(E27:E41)</f>
        <v>1554210</v>
      </c>
      <c r="F42" s="67">
        <f>SUM(F27:F41)</f>
        <v>9129387.1799999997</v>
      </c>
      <c r="G42" s="1"/>
      <c r="H42" s="57">
        <f>+H40-H41</f>
        <v>0</v>
      </c>
      <c r="I42" s="30"/>
      <c r="J42" s="30"/>
    </row>
    <row r="43" spans="1:10" x14ac:dyDescent="0.2">
      <c r="A43" s="68" t="s">
        <v>26</v>
      </c>
      <c r="B43" s="56"/>
      <c r="C43" s="69"/>
      <c r="D43" s="54"/>
      <c r="E43" s="54"/>
      <c r="F43" s="54"/>
      <c r="G43" s="1"/>
      <c r="H43" s="57" t="s">
        <v>47</v>
      </c>
      <c r="I43" s="30"/>
      <c r="J43" s="57" t="s">
        <v>52</v>
      </c>
    </row>
    <row r="44" spans="1:10" x14ac:dyDescent="0.2">
      <c r="A44" s="58" t="s">
        <v>56</v>
      </c>
      <c r="B44" s="59"/>
      <c r="C44" s="20"/>
      <c r="D44" s="70">
        <f>[1]Main!F24</f>
        <v>30966.06</v>
      </c>
      <c r="E44" s="54">
        <f>IF($B22-SUM($E42)&gt;D44,D44,$B22-SUM($E42))</f>
        <v>0</v>
      </c>
      <c r="F44" s="54">
        <f t="shared" ref="F44:F62" si="1">D44-E44</f>
        <v>30966.06</v>
      </c>
      <c r="G44" s="1"/>
      <c r="H44" s="57">
        <f>[1]Main!G24</f>
        <v>410299.48</v>
      </c>
      <c r="I44" s="30"/>
      <c r="J44" s="57">
        <f>+[1]Main!D485</f>
        <v>2038214.22</v>
      </c>
    </row>
    <row r="45" spans="1:10" x14ac:dyDescent="0.2">
      <c r="A45" s="59" t="s">
        <v>25</v>
      </c>
      <c r="B45" s="59"/>
      <c r="C45" s="20"/>
      <c r="D45" s="70">
        <f>[1]Main!C24</f>
        <v>366822.42</v>
      </c>
      <c r="E45" s="54">
        <f>IF($B22-SUM($E42:E44)&gt;D45,D45,B22-SUM($E42:E44))</f>
        <v>0</v>
      </c>
      <c r="F45" s="54">
        <f t="shared" si="1"/>
        <v>366822.42</v>
      </c>
      <c r="G45" s="1"/>
      <c r="H45" s="57">
        <f>SUM(D44:D46)</f>
        <v>410299.48</v>
      </c>
      <c r="I45" s="30"/>
      <c r="J45" s="57">
        <f>SUM(D44:D71)-E57</f>
        <v>2038214.22</v>
      </c>
    </row>
    <row r="46" spans="1:10" x14ac:dyDescent="0.2">
      <c r="A46" s="71" t="s">
        <v>27</v>
      </c>
      <c r="B46" s="59"/>
      <c r="C46" s="20"/>
      <c r="D46" s="70">
        <f>[1]Main!D24</f>
        <v>12511</v>
      </c>
      <c r="E46" s="54">
        <f>IF($B22-SUM($E42:E45)&gt;D46,D46,$B22-SUM($E42:E45))</f>
        <v>0</v>
      </c>
      <c r="F46" s="54">
        <f>D46-E46</f>
        <v>12511</v>
      </c>
      <c r="G46" s="1"/>
      <c r="H46" s="57">
        <f>+H44-H45</f>
        <v>0</v>
      </c>
      <c r="I46" s="30"/>
      <c r="J46" s="57">
        <f>+J44-J45</f>
        <v>0</v>
      </c>
    </row>
    <row r="47" spans="1:10" x14ac:dyDescent="0.2">
      <c r="A47" s="72" t="s">
        <v>72</v>
      </c>
      <c r="B47" s="59"/>
      <c r="C47" s="20"/>
      <c r="D47" s="70">
        <f>[1]Main!E24</f>
        <v>0</v>
      </c>
      <c r="E47" s="54">
        <f>IF($B23-SUM($E43:E46)&gt;D47,D47,$B23-SUM($E43:E46))</f>
        <v>0</v>
      </c>
      <c r="F47" s="54">
        <f>D47-E47</f>
        <v>0</v>
      </c>
      <c r="G47" s="1"/>
      <c r="H47" s="30"/>
      <c r="I47" s="30"/>
      <c r="J47" s="30"/>
    </row>
    <row r="48" spans="1:10" x14ac:dyDescent="0.2">
      <c r="A48" s="72" t="s">
        <v>73</v>
      </c>
      <c r="B48" s="59"/>
      <c r="C48" s="20"/>
      <c r="D48" s="54">
        <f>+[1]Main!$F140</f>
        <v>11762.81</v>
      </c>
      <c r="E48" s="54">
        <f>IF($B22-SUM($E42:E46)&gt;D48,D48,$B22-SUM($E42:E46))</f>
        <v>0</v>
      </c>
      <c r="F48" s="54">
        <f t="shared" si="1"/>
        <v>11762.81</v>
      </c>
      <c r="G48" s="1"/>
      <c r="H48" s="30"/>
      <c r="I48" s="30"/>
      <c r="J48" s="30"/>
    </row>
    <row r="49" spans="1:10" x14ac:dyDescent="0.2">
      <c r="A49" s="71" t="s">
        <v>74</v>
      </c>
      <c r="B49" s="59"/>
      <c r="C49" s="20"/>
      <c r="D49" s="54">
        <f>+[1]Main!$C82</f>
        <v>77420</v>
      </c>
      <c r="E49" s="54">
        <f>IF($B22-SUM($E42:E48)&gt;D49,D49,$B22-SUM($E42:E48))</f>
        <v>0</v>
      </c>
      <c r="F49" s="54">
        <f t="shared" si="1"/>
        <v>77420</v>
      </c>
      <c r="G49" s="1"/>
      <c r="H49" s="30"/>
      <c r="I49" s="30"/>
      <c r="J49" s="30"/>
    </row>
    <row r="50" spans="1:10" x14ac:dyDescent="0.2">
      <c r="A50" s="71" t="s">
        <v>75</v>
      </c>
      <c r="B50" s="59"/>
      <c r="C50" s="20"/>
      <c r="D50" s="54">
        <f>+[1]Main!$D82</f>
        <v>0</v>
      </c>
      <c r="E50" s="54">
        <f>IF($B22-SUM($E42:E49)&gt;D50,D50,$B22-SUM($E42:E49))</f>
        <v>0</v>
      </c>
      <c r="F50" s="54">
        <f t="shared" si="1"/>
        <v>0</v>
      </c>
      <c r="G50" s="1"/>
      <c r="H50" s="30"/>
      <c r="I50" s="30"/>
      <c r="J50" s="30"/>
    </row>
    <row r="51" spans="1:10" x14ac:dyDescent="0.2">
      <c r="A51" s="71" t="s">
        <v>76</v>
      </c>
      <c r="B51" s="59"/>
      <c r="C51" s="20"/>
      <c r="D51" s="54">
        <f>+[1]Main!$E82</f>
        <v>0</v>
      </c>
      <c r="E51" s="54">
        <f>IF($B22-SUM($E42:E50)&gt;D51,D51,$B22-SUM($E42:E50))</f>
        <v>0</v>
      </c>
      <c r="F51" s="54">
        <f t="shared" si="1"/>
        <v>0</v>
      </c>
      <c r="G51" s="1"/>
      <c r="H51" s="30"/>
      <c r="I51" s="30"/>
      <c r="J51" s="30"/>
    </row>
    <row r="52" spans="1:10" x14ac:dyDescent="0.2">
      <c r="A52" s="71" t="s">
        <v>77</v>
      </c>
      <c r="B52" s="59"/>
      <c r="C52" s="20"/>
      <c r="D52" s="54">
        <f>[1]Main!F82</f>
        <v>37923</v>
      </c>
      <c r="E52" s="54">
        <f>IF($B22-SUM($E42:E51)&gt;D52,D52,$B22-SUM($E42:E51))</f>
        <v>0</v>
      </c>
      <c r="F52" s="54">
        <f t="shared" si="1"/>
        <v>37923</v>
      </c>
      <c r="G52" s="1"/>
      <c r="H52" s="57" t="s">
        <v>48</v>
      </c>
      <c r="I52" s="30"/>
      <c r="J52" s="30"/>
    </row>
    <row r="53" spans="1:10" x14ac:dyDescent="0.2">
      <c r="A53" s="71" t="s">
        <v>79</v>
      </c>
      <c r="B53" s="59"/>
      <c r="C53" s="20"/>
      <c r="D53" s="54">
        <f>[1]Main!G82</f>
        <v>0</v>
      </c>
      <c r="E53" s="54">
        <f>IF($B22-SUM($E42:E52)&gt;D53,D53,$B22-SUM($E42:E52))</f>
        <v>0</v>
      </c>
      <c r="F53" s="54">
        <f t="shared" si="1"/>
        <v>0</v>
      </c>
      <c r="G53" s="1"/>
      <c r="H53" s="57"/>
      <c r="I53" s="30"/>
      <c r="J53" s="30"/>
    </row>
    <row r="54" spans="1:10" x14ac:dyDescent="0.2">
      <c r="A54" s="71" t="s">
        <v>78</v>
      </c>
      <c r="B54" s="59"/>
      <c r="C54" s="20"/>
      <c r="D54" s="54">
        <f>[1]Main!G140</f>
        <v>56182.58</v>
      </c>
      <c r="E54" s="54">
        <f>IF($B22-SUM($E42:E53)&gt;D54,D54,$B22-SUM($E42:E53))</f>
        <v>0</v>
      </c>
      <c r="F54" s="54">
        <f t="shared" si="1"/>
        <v>56182.58</v>
      </c>
      <c r="G54" s="1"/>
      <c r="H54" s="73">
        <f>+[1]Main!D198</f>
        <v>183288.39</v>
      </c>
      <c r="I54" s="30"/>
      <c r="J54" s="30"/>
    </row>
    <row r="55" spans="1:10" x14ac:dyDescent="0.2">
      <c r="A55" s="71" t="s">
        <v>80</v>
      </c>
      <c r="B55" s="59"/>
      <c r="C55" s="20"/>
      <c r="D55" s="54">
        <f>[1]Main!C198</f>
        <v>0</v>
      </c>
      <c r="E55" s="54"/>
      <c r="F55" s="54">
        <f t="shared" si="1"/>
        <v>0</v>
      </c>
      <c r="G55" s="1"/>
      <c r="H55" s="57">
        <f>+SUM(D48:D55)</f>
        <v>183288.39</v>
      </c>
      <c r="I55" s="30"/>
      <c r="J55" s="30"/>
    </row>
    <row r="56" spans="1:10" x14ac:dyDescent="0.2">
      <c r="A56" s="71" t="s">
        <v>81</v>
      </c>
      <c r="B56" s="59"/>
      <c r="C56" s="20"/>
      <c r="D56" s="54">
        <f>[1]Main!C256</f>
        <v>276190</v>
      </c>
      <c r="E56" s="54">
        <v>0</v>
      </c>
      <c r="F56" s="54">
        <f t="shared" si="1"/>
        <v>276190</v>
      </c>
      <c r="G56" s="1"/>
      <c r="H56" s="57">
        <f>+H54-H55</f>
        <v>0</v>
      </c>
      <c r="I56" s="30"/>
      <c r="J56" s="30"/>
    </row>
    <row r="57" spans="1:10" x14ac:dyDescent="0.2">
      <c r="A57" s="71" t="s">
        <v>82</v>
      </c>
      <c r="B57" s="59"/>
      <c r="C57" s="20"/>
      <c r="D57" s="54">
        <f>+[7]Main!I23+[7]Main!J23</f>
        <v>176872.29</v>
      </c>
      <c r="E57" s="74">
        <f>[7]Main!J23</f>
        <v>96562.3</v>
      </c>
      <c r="F57" s="54">
        <f t="shared" si="1"/>
        <v>80309.990000000005</v>
      </c>
      <c r="G57" s="1"/>
      <c r="H57" s="30"/>
      <c r="I57" s="30"/>
      <c r="J57" s="30"/>
    </row>
    <row r="58" spans="1:10" x14ac:dyDescent="0.2">
      <c r="A58" s="71" t="s">
        <v>83</v>
      </c>
      <c r="B58" s="59"/>
      <c r="C58" s="20"/>
      <c r="D58" s="54">
        <f>[1]Main!F256</f>
        <v>49809</v>
      </c>
      <c r="E58" s="54">
        <v>0</v>
      </c>
      <c r="F58" s="54">
        <f t="shared" si="1"/>
        <v>49809</v>
      </c>
      <c r="G58" s="1"/>
      <c r="H58" s="30"/>
      <c r="I58" s="30"/>
      <c r="J58" s="30"/>
    </row>
    <row r="59" spans="1:10" x14ac:dyDescent="0.2">
      <c r="A59" s="71" t="s">
        <v>84</v>
      </c>
      <c r="B59" s="59"/>
      <c r="C59" s="7"/>
      <c r="D59" s="54">
        <f>[1]Main!E256</f>
        <v>7076.43</v>
      </c>
      <c r="E59" s="54">
        <v>0</v>
      </c>
      <c r="F59" s="54">
        <f t="shared" si="1"/>
        <v>7076.43</v>
      </c>
      <c r="G59" s="1"/>
      <c r="H59" s="57" t="s">
        <v>49</v>
      </c>
      <c r="I59" s="30"/>
      <c r="J59" s="30"/>
    </row>
    <row r="60" spans="1:10" x14ac:dyDescent="0.2">
      <c r="A60" s="71" t="s">
        <v>85</v>
      </c>
      <c r="B60" s="59"/>
      <c r="C60" s="7"/>
      <c r="D60" s="54">
        <f>[1]Main!G256</f>
        <v>43712</v>
      </c>
      <c r="E60" s="54">
        <v>0</v>
      </c>
      <c r="F60" s="54">
        <f t="shared" si="1"/>
        <v>43712</v>
      </c>
      <c r="G60" s="1"/>
      <c r="H60" s="57">
        <f>+[1]Main!C485</f>
        <v>1406835.39</v>
      </c>
      <c r="I60" s="57"/>
      <c r="J60" s="57"/>
    </row>
    <row r="61" spans="1:10" x14ac:dyDescent="0.2">
      <c r="A61" s="71" t="s">
        <v>86</v>
      </c>
      <c r="B61" s="59"/>
      <c r="C61" s="20"/>
      <c r="D61" s="54">
        <f>[1]Main!C314</f>
        <v>0</v>
      </c>
      <c r="E61" s="54">
        <v>0</v>
      </c>
      <c r="F61" s="54">
        <f t="shared" si="1"/>
        <v>0</v>
      </c>
      <c r="G61" s="1"/>
      <c r="H61" s="57">
        <f>+SUM(D56:D66)-E57</f>
        <v>1406835.39</v>
      </c>
      <c r="I61" s="57"/>
      <c r="J61" s="57">
        <f>+H61-H60</f>
        <v>0</v>
      </c>
    </row>
    <row r="62" spans="1:10" x14ac:dyDescent="0.2">
      <c r="A62" s="71" t="s">
        <v>87</v>
      </c>
      <c r="C62" s="8"/>
      <c r="D62" s="76">
        <f>[1]Main!D314</f>
        <v>615292.26</v>
      </c>
      <c r="E62" s="77">
        <v>0</v>
      </c>
      <c r="F62" s="77">
        <f t="shared" si="1"/>
        <v>615292.26</v>
      </c>
      <c r="G62" s="5"/>
      <c r="H62" s="57">
        <f>+H60-H61</f>
        <v>0</v>
      </c>
      <c r="I62" s="57"/>
      <c r="J62" s="57"/>
    </row>
    <row r="63" spans="1:10" x14ac:dyDescent="0.2">
      <c r="A63" s="71" t="s">
        <v>88</v>
      </c>
      <c r="B63" s="59"/>
      <c r="C63" s="20"/>
      <c r="D63" s="54">
        <f>+[1]Main!$E314</f>
        <v>3518.79</v>
      </c>
      <c r="E63" s="54">
        <v>0</v>
      </c>
      <c r="F63" s="54">
        <f>D63-E63</f>
        <v>3518.79</v>
      </c>
      <c r="G63" s="4"/>
      <c r="H63" s="30"/>
      <c r="I63" s="30"/>
      <c r="J63" s="30"/>
    </row>
    <row r="64" spans="1:10" x14ac:dyDescent="0.2">
      <c r="A64" s="71" t="s">
        <v>89</v>
      </c>
      <c r="B64" s="59"/>
      <c r="C64" s="20"/>
      <c r="D64" s="54">
        <f>[1]Main!F314</f>
        <v>22404.639999999999</v>
      </c>
      <c r="E64" s="54">
        <v>0</v>
      </c>
      <c r="F64" s="54">
        <f>D64-E64</f>
        <v>22404.639999999999</v>
      </c>
      <c r="G64" s="4"/>
      <c r="H64" s="30"/>
      <c r="I64" s="30"/>
      <c r="J64" s="30"/>
    </row>
    <row r="65" spans="1:10" x14ac:dyDescent="0.2">
      <c r="A65" s="71" t="s">
        <v>90</v>
      </c>
      <c r="B65" s="59"/>
      <c r="C65" s="20"/>
      <c r="D65" s="54">
        <f>[1]Main!G314</f>
        <v>251193</v>
      </c>
      <c r="E65" s="54">
        <v>0</v>
      </c>
      <c r="F65" s="54">
        <f>D65-E65</f>
        <v>251193</v>
      </c>
      <c r="G65" s="1"/>
      <c r="H65" s="57" t="s">
        <v>50</v>
      </c>
      <c r="I65" s="30"/>
      <c r="J65" s="30"/>
    </row>
    <row r="66" spans="1:10" x14ac:dyDescent="0.2">
      <c r="A66" s="71" t="s">
        <v>93</v>
      </c>
      <c r="B66" s="59"/>
      <c r="C66" s="20"/>
      <c r="D66" s="54">
        <f>[1]Main!F371</f>
        <v>57329.279999999999</v>
      </c>
      <c r="E66" s="54">
        <v>0</v>
      </c>
      <c r="F66" s="54">
        <f>D66-E66</f>
        <v>57329.279999999999</v>
      </c>
      <c r="G66" s="1"/>
      <c r="H66" s="57"/>
      <c r="I66" s="30"/>
      <c r="J66" s="30"/>
    </row>
    <row r="67" spans="1:10" x14ac:dyDescent="0.2">
      <c r="A67" s="55" t="s">
        <v>30</v>
      </c>
      <c r="B67" s="78"/>
      <c r="C67" s="79"/>
      <c r="D67" s="64"/>
      <c r="E67" s="64"/>
      <c r="F67" s="64"/>
      <c r="G67" s="1"/>
      <c r="H67" s="57"/>
      <c r="I67" s="30"/>
      <c r="J67" s="30"/>
    </row>
    <row r="68" spans="1:10" x14ac:dyDescent="0.2">
      <c r="A68" s="71" t="s">
        <v>60</v>
      </c>
      <c r="B68" s="59"/>
      <c r="C68" s="20"/>
      <c r="D68" s="54">
        <f>[1]Main!C428</f>
        <v>21520.23</v>
      </c>
      <c r="E68" s="54">
        <v>0</v>
      </c>
      <c r="F68" s="54">
        <f>D68-E68</f>
        <v>21520.23</v>
      </c>
      <c r="G68" s="1"/>
      <c r="H68" s="57">
        <f>+[1]Main!G428</f>
        <v>37790.959999999999</v>
      </c>
      <c r="I68" s="30"/>
      <c r="J68" s="30"/>
    </row>
    <row r="69" spans="1:10" x14ac:dyDescent="0.2">
      <c r="A69" s="71" t="s">
        <v>63</v>
      </c>
      <c r="B69" s="59"/>
      <c r="C69" s="20"/>
      <c r="D69" s="54">
        <f>[1]Main!D428</f>
        <v>0</v>
      </c>
      <c r="E69" s="54">
        <v>0</v>
      </c>
      <c r="F69" s="54">
        <f>D69-E69</f>
        <v>0</v>
      </c>
      <c r="G69" s="4"/>
      <c r="H69" s="57">
        <f>SUM(D68:D71)</f>
        <v>37790.959999999999</v>
      </c>
      <c r="I69" s="30"/>
      <c r="J69" s="30"/>
    </row>
    <row r="70" spans="1:10" x14ac:dyDescent="0.2">
      <c r="A70" s="71" t="s">
        <v>91</v>
      </c>
      <c r="B70" s="59"/>
      <c r="C70" s="20"/>
      <c r="D70" s="54">
        <f>[1]Main!E428</f>
        <v>0</v>
      </c>
      <c r="E70" s="54">
        <v>0</v>
      </c>
      <c r="F70" s="54">
        <f>D70-E70</f>
        <v>0</v>
      </c>
      <c r="G70" s="4"/>
      <c r="H70" s="57">
        <f>+H68-H69</f>
        <v>0</v>
      </c>
      <c r="I70" s="30"/>
      <c r="J70" s="30"/>
    </row>
    <row r="71" spans="1:10" x14ac:dyDescent="0.2">
      <c r="A71" s="71" t="s">
        <v>92</v>
      </c>
      <c r="B71" s="59"/>
      <c r="C71" s="20"/>
      <c r="D71" s="54">
        <f>[1]Main!F428</f>
        <v>16270.73</v>
      </c>
      <c r="E71" s="54">
        <v>0</v>
      </c>
      <c r="F71" s="54">
        <f>D71-E71</f>
        <v>16270.73</v>
      </c>
      <c r="G71" s="1"/>
      <c r="H71" s="30"/>
      <c r="I71" s="30"/>
      <c r="J71" s="30"/>
    </row>
    <row r="72" spans="1:10" x14ac:dyDescent="0.2">
      <c r="A72" s="55" t="s">
        <v>31</v>
      </c>
      <c r="B72" s="78"/>
      <c r="C72" s="79"/>
      <c r="D72" s="64"/>
      <c r="E72" s="64"/>
      <c r="F72" s="64"/>
      <c r="G72" s="1"/>
      <c r="H72" s="30"/>
      <c r="I72" s="30"/>
      <c r="J72" s="30"/>
    </row>
    <row r="73" spans="1:10" x14ac:dyDescent="0.2">
      <c r="A73" s="58" t="s">
        <v>69</v>
      </c>
      <c r="B73" s="59"/>
      <c r="C73" s="20"/>
      <c r="D73" s="54">
        <f>+[1]Main!$G541</f>
        <v>527680.71</v>
      </c>
      <c r="E73" s="54">
        <f>+[1]Main!$D541</f>
        <v>371154.69</v>
      </c>
      <c r="F73" s="54">
        <f>+D73-E73</f>
        <v>156526.01999999999</v>
      </c>
      <c r="G73" s="1"/>
      <c r="H73" s="30"/>
      <c r="I73" s="30"/>
      <c r="J73" s="30"/>
    </row>
    <row r="74" spans="1:10" x14ac:dyDescent="0.2">
      <c r="A74" s="59" t="s">
        <v>68</v>
      </c>
      <c r="B74" s="59"/>
      <c r="C74" s="20"/>
      <c r="D74" s="54">
        <f>+[1]Main!$G596</f>
        <v>517334.03</v>
      </c>
      <c r="E74" s="54">
        <f>+[1]Main!$D596</f>
        <v>371154.69</v>
      </c>
      <c r="F74" s="54">
        <f>+D74-E74</f>
        <v>146179.34</v>
      </c>
      <c r="G74" s="1"/>
      <c r="H74" s="30"/>
      <c r="I74" s="30"/>
      <c r="J74" s="30"/>
    </row>
    <row r="75" spans="1:10" ht="13.5" thickBot="1" x14ac:dyDescent="0.25">
      <c r="A75" s="80"/>
      <c r="B75" s="81"/>
      <c r="C75" s="82" t="s">
        <v>29</v>
      </c>
      <c r="D75" s="83">
        <f>SUM(D42:D74)</f>
        <v>13863388.439999999</v>
      </c>
      <c r="E75" s="83">
        <f>SUM(E42:E74)</f>
        <v>2393081.6800000002</v>
      </c>
      <c r="F75" s="83">
        <f>SUM(F42:F74)</f>
        <v>11470306.76</v>
      </c>
      <c r="G75" s="1"/>
      <c r="H75" s="30"/>
      <c r="I75" s="30"/>
      <c r="J75" s="30"/>
    </row>
    <row r="76" spans="1:10" ht="13.5" thickTop="1" x14ac:dyDescent="0.2">
      <c r="A76" s="84"/>
      <c r="B76" s="59"/>
      <c r="C76" s="85"/>
      <c r="D76" s="86"/>
      <c r="E76" s="86"/>
      <c r="F76" s="87"/>
      <c r="G76" s="1"/>
      <c r="H76" s="30"/>
      <c r="I76" s="30"/>
      <c r="J76" s="30"/>
    </row>
    <row r="77" spans="1:10" x14ac:dyDescent="0.2">
      <c r="A77" s="88" t="s">
        <v>40</v>
      </c>
      <c r="B77" s="78"/>
      <c r="C77" s="89"/>
      <c r="D77" s="90"/>
      <c r="E77" s="91"/>
      <c r="F77" s="92" t="s">
        <v>36</v>
      </c>
      <c r="G77" s="6"/>
      <c r="H77" s="57" t="s">
        <v>51</v>
      </c>
      <c r="I77" s="30"/>
      <c r="J77" s="57" t="s">
        <v>7</v>
      </c>
    </row>
    <row r="78" spans="1:10" x14ac:dyDescent="0.2">
      <c r="A78" s="93" t="s">
        <v>33</v>
      </c>
      <c r="B78" s="94"/>
      <c r="C78" s="95"/>
      <c r="D78" s="96"/>
      <c r="E78" s="96"/>
      <c r="F78" s="91"/>
      <c r="G78" s="6"/>
      <c r="H78" s="30"/>
      <c r="I78" s="30"/>
      <c r="J78" s="30"/>
    </row>
    <row r="79" spans="1:10" x14ac:dyDescent="0.2">
      <c r="A79" s="59" t="s">
        <v>34</v>
      </c>
      <c r="B79" s="59"/>
      <c r="C79" s="22"/>
      <c r="D79" s="27"/>
      <c r="E79" s="27"/>
      <c r="F79" s="97">
        <f>+[8]Main!$C24</f>
        <v>0</v>
      </c>
      <c r="G79" s="5"/>
      <c r="H79" s="57">
        <f>+[1]Main!G652</f>
        <v>1045014.74</v>
      </c>
      <c r="I79" s="30"/>
      <c r="J79" s="57">
        <f>+[1]Main!E652+[1]Main!F652</f>
        <v>302705.36</v>
      </c>
    </row>
    <row r="80" spans="1:10" x14ac:dyDescent="0.2">
      <c r="A80" s="59" t="s">
        <v>66</v>
      </c>
      <c r="B80" s="59"/>
      <c r="C80" s="22"/>
      <c r="D80" s="27"/>
      <c r="E80" s="27"/>
      <c r="F80" s="97">
        <f>+[8]Main!$D24</f>
        <v>0</v>
      </c>
      <c r="G80" s="5"/>
      <c r="H80" s="57">
        <f>+D73+D74</f>
        <v>1045014.74</v>
      </c>
      <c r="I80" s="30"/>
      <c r="J80" s="57">
        <f>+F73+F74</f>
        <v>302705.36</v>
      </c>
    </row>
    <row r="81" spans="1:10" x14ac:dyDescent="0.2">
      <c r="A81" s="32" t="s">
        <v>65</v>
      </c>
      <c r="B81" s="32"/>
      <c r="C81" s="22"/>
      <c r="D81" s="28"/>
      <c r="E81" s="28"/>
      <c r="F81" s="97">
        <f>+[8]Main!$E24</f>
        <v>14415</v>
      </c>
      <c r="G81" s="1"/>
      <c r="H81" s="57">
        <f>+H79-H80</f>
        <v>0</v>
      </c>
      <c r="I81" s="30"/>
      <c r="J81" s="57">
        <f>+J79-J80</f>
        <v>0</v>
      </c>
    </row>
    <row r="82" spans="1:10" x14ac:dyDescent="0.2">
      <c r="A82" s="32" t="s">
        <v>67</v>
      </c>
      <c r="B82" s="32"/>
      <c r="C82" s="22"/>
      <c r="D82" s="28"/>
      <c r="E82" s="28"/>
      <c r="F82" s="97">
        <f>+[8]Main!$F24</f>
        <v>28619</v>
      </c>
      <c r="G82" s="1"/>
      <c r="H82" s="30"/>
      <c r="I82" s="30"/>
      <c r="J82" s="30"/>
    </row>
    <row r="83" spans="1:10" x14ac:dyDescent="0.2">
      <c r="A83" s="88" t="s">
        <v>35</v>
      </c>
      <c r="B83" s="78"/>
      <c r="C83" s="89"/>
      <c r="D83" s="90"/>
      <c r="E83" s="91"/>
      <c r="F83" s="54">
        <f>+[8]Main!$C82</f>
        <v>15834.14</v>
      </c>
      <c r="G83" s="1"/>
      <c r="H83" s="30"/>
      <c r="I83" s="30"/>
      <c r="J83" s="30"/>
    </row>
    <row r="84" spans="1:10" ht="13.5" thickBot="1" x14ac:dyDescent="0.25">
      <c r="A84" s="98"/>
      <c r="B84" s="99"/>
      <c r="C84" s="100" t="s">
        <v>29</v>
      </c>
      <c r="D84" s="101"/>
      <c r="E84" s="102"/>
      <c r="F84" s="103">
        <f>SUM(F79:F83)</f>
        <v>58868.14</v>
      </c>
      <c r="G84" s="1"/>
      <c r="H84" s="30"/>
      <c r="I84" s="30"/>
      <c r="J84" s="30"/>
    </row>
    <row r="85" spans="1:10" ht="13.5" thickBot="1" x14ac:dyDescent="0.25">
      <c r="A85" s="104"/>
      <c r="B85" s="105"/>
      <c r="C85" s="106" t="s">
        <v>53</v>
      </c>
      <c r="D85" s="107"/>
      <c r="E85" s="108"/>
      <c r="F85" s="109">
        <f>+F84+F75</f>
        <v>11529174.9</v>
      </c>
      <c r="G85" s="1"/>
      <c r="H85" s="57" t="s">
        <v>54</v>
      </c>
      <c r="I85" s="30"/>
      <c r="J85" s="30"/>
    </row>
    <row r="86" spans="1:10" x14ac:dyDescent="0.2">
      <c r="A86" s="11"/>
      <c r="B86" s="12"/>
      <c r="C86" s="9"/>
      <c r="D86" s="29"/>
      <c r="E86" s="29"/>
      <c r="F86" s="110"/>
      <c r="G86" s="1"/>
      <c r="H86" s="57">
        <f>+[8]Main!$G24</f>
        <v>43034</v>
      </c>
      <c r="I86" s="30"/>
      <c r="J86" s="30"/>
    </row>
    <row r="87" spans="1:10" x14ac:dyDescent="0.2">
      <c r="A87" s="11"/>
      <c r="B87" s="12"/>
      <c r="C87" s="9"/>
      <c r="D87" s="29"/>
      <c r="E87" s="29"/>
      <c r="F87" s="110"/>
      <c r="G87" s="1"/>
      <c r="H87" s="57">
        <f>SUM(F79:F82)</f>
        <v>43034</v>
      </c>
      <c r="I87" s="30"/>
      <c r="J87" s="30"/>
    </row>
    <row r="88" spans="1:10" x14ac:dyDescent="0.2">
      <c r="A88" s="1"/>
      <c r="B88" s="1"/>
      <c r="C88" s="7"/>
      <c r="D88" s="26"/>
      <c r="E88" s="26"/>
      <c r="F88" s="86">
        <f>+F84+F75</f>
        <v>11529174.9</v>
      </c>
      <c r="G88" s="1"/>
      <c r="H88" s="57">
        <f>+H86-H87</f>
        <v>0</v>
      </c>
      <c r="I88" s="30"/>
      <c r="J88" s="30"/>
    </row>
    <row r="89" spans="1:10" x14ac:dyDescent="0.2">
      <c r="A89" s="1"/>
      <c r="B89" s="1"/>
      <c r="C89" s="7"/>
      <c r="D89" s="26"/>
      <c r="E89" s="26"/>
      <c r="F89" s="86">
        <f>+[1]Main!$F768</f>
        <v>11529174.9</v>
      </c>
      <c r="G89" s="1"/>
      <c r="H89" s="30"/>
      <c r="I89" s="30"/>
      <c r="J89" s="30"/>
    </row>
    <row r="90" spans="1:10" x14ac:dyDescent="0.2">
      <c r="A90" s="1"/>
      <c r="B90" s="1"/>
      <c r="C90" s="7"/>
      <c r="D90" s="26"/>
      <c r="E90" s="86">
        <f>+E75+[1]Main!$E768</f>
        <v>0</v>
      </c>
      <c r="F90" s="86">
        <f>+F89-F88</f>
        <v>0</v>
      </c>
      <c r="G90" s="1"/>
      <c r="H90" s="30"/>
      <c r="I90" s="30"/>
      <c r="J90" s="30"/>
    </row>
    <row r="91" spans="1:10" x14ac:dyDescent="0.2">
      <c r="A91" s="59"/>
      <c r="B91" s="59"/>
      <c r="C91" s="85"/>
      <c r="D91" s="86"/>
      <c r="E91" s="86"/>
      <c r="F91" s="86"/>
      <c r="G91" s="59"/>
      <c r="H91" s="57"/>
      <c r="I91" s="57"/>
      <c r="J91" s="57"/>
    </row>
    <row r="92" spans="1:10" x14ac:dyDescent="0.2">
      <c r="A92" s="59"/>
      <c r="B92" s="59"/>
      <c r="C92" s="85"/>
      <c r="D92" s="86"/>
      <c r="E92" s="86"/>
      <c r="F92" s="86"/>
      <c r="G92" s="59"/>
      <c r="H92" s="57"/>
      <c r="I92" s="57"/>
      <c r="J92" s="57"/>
    </row>
    <row r="93" spans="1:10" x14ac:dyDescent="0.2">
      <c r="A93" s="59"/>
      <c r="B93" s="59"/>
      <c r="C93" s="85"/>
      <c r="D93" s="86"/>
      <c r="E93" s="86"/>
      <c r="F93" s="86"/>
      <c r="G93" s="59"/>
      <c r="H93" s="111" t="s">
        <v>55</v>
      </c>
      <c r="I93" s="57"/>
      <c r="J93" s="57"/>
    </row>
    <row r="94" spans="1:10" x14ac:dyDescent="0.2">
      <c r="G94" s="59"/>
      <c r="H94" s="113"/>
      <c r="I94" s="112"/>
      <c r="J94" s="112"/>
    </row>
    <row r="95" spans="1:10" x14ac:dyDescent="0.2">
      <c r="G95" s="59"/>
      <c r="H95" s="112"/>
      <c r="I95" s="112"/>
      <c r="J95" s="112"/>
    </row>
    <row r="96" spans="1:10" x14ac:dyDescent="0.2">
      <c r="G96" s="59"/>
      <c r="H96" s="112"/>
      <c r="I96" s="112"/>
      <c r="J96" s="112"/>
    </row>
    <row r="97" spans="7:10" x14ac:dyDescent="0.2">
      <c r="G97" s="59"/>
      <c r="H97" s="112"/>
      <c r="I97" s="112"/>
      <c r="J97" s="112"/>
    </row>
    <row r="98" spans="7:10" x14ac:dyDescent="0.2">
      <c r="G98" s="59"/>
      <c r="H98" s="112"/>
      <c r="I98" s="112"/>
      <c r="J98" s="112"/>
    </row>
    <row r="99" spans="7:10" x14ac:dyDescent="0.2">
      <c r="G99" s="59"/>
      <c r="H99" s="71"/>
      <c r="I99" s="112"/>
      <c r="J99" s="112"/>
    </row>
  </sheetData>
  <mergeCells count="1">
    <mergeCell ref="D18:E18"/>
  </mergeCells>
  <phoneticPr fontId="0" type="noConversion"/>
  <printOptions horizontalCentered="1" verticalCentered="1"/>
  <pageMargins left="0.5" right="0.25" top="0.5" bottom="0.5" header="0.5" footer="0.5"/>
  <pageSetup scale="89" orientation="portrait" horizontalDpi="1200" r:id="rId1"/>
  <headerFooter alignWithMargins="0">
    <oddHeader>&amp;R&amp;8Current as of: &amp;D</oddHeader>
    <oddFooter>&amp;L&amp;8USOE, Finance and Statistics&amp;R&amp;8&amp;F</oddFooter>
  </headerFooter>
  <picture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J100"/>
  <sheetViews>
    <sheetView topLeftCell="A40" workbookViewId="0">
      <selection activeCell="B23" sqref="B23"/>
    </sheetView>
  </sheetViews>
  <sheetFormatPr defaultColWidth="18.28515625" defaultRowHeight="12.75" x14ac:dyDescent="0.2"/>
  <cols>
    <col min="1" max="1" width="27" style="75" customWidth="1"/>
    <col min="2" max="2" width="16.7109375" style="75" customWidth="1"/>
    <col min="3" max="3" width="15.85546875" style="75" customWidth="1"/>
    <col min="4" max="4" width="16.28515625" style="75" customWidth="1"/>
    <col min="5" max="5" width="15.5703125" style="75" customWidth="1"/>
    <col min="6" max="6" width="17.42578125" style="75" customWidth="1"/>
    <col min="7" max="7" width="5.7109375" style="75" customWidth="1"/>
    <col min="8" max="8" width="21.5703125" style="75" customWidth="1"/>
    <col min="9" max="9" width="5" style="75" customWidth="1"/>
    <col min="10" max="10" width="20.85546875" style="75" customWidth="1"/>
    <col min="11" max="16384" width="18.28515625" style="75"/>
  </cols>
  <sheetData>
    <row r="1" spans="1:10" x14ac:dyDescent="0.2">
      <c r="A1" s="8"/>
      <c r="B1" s="8"/>
      <c r="C1" s="8"/>
      <c r="D1" s="8"/>
      <c r="E1" s="8"/>
      <c r="F1" s="8"/>
      <c r="G1" s="8"/>
      <c r="H1" s="8"/>
      <c r="I1" s="8"/>
      <c r="J1" s="8"/>
    </row>
    <row r="2" spans="1:10" x14ac:dyDescent="0.2">
      <c r="A2" s="8"/>
      <c r="B2" s="8"/>
      <c r="C2" s="8"/>
      <c r="D2" s="8"/>
      <c r="E2" s="8"/>
      <c r="F2" s="8"/>
      <c r="G2" s="8"/>
      <c r="H2" s="8"/>
      <c r="I2" s="8"/>
      <c r="J2" s="8"/>
    </row>
    <row r="3" spans="1:10" x14ac:dyDescent="0.2">
      <c r="A3" s="8"/>
      <c r="B3" s="8"/>
      <c r="C3" s="8"/>
      <c r="D3" s="8"/>
      <c r="E3" s="8"/>
      <c r="F3" s="8"/>
      <c r="G3" s="8"/>
      <c r="H3" s="8"/>
      <c r="I3" s="8"/>
      <c r="J3" s="8"/>
    </row>
    <row r="4" spans="1:10" x14ac:dyDescent="0.2">
      <c r="A4" s="8"/>
      <c r="B4" s="8"/>
      <c r="C4" s="8"/>
      <c r="D4" s="8"/>
      <c r="E4" s="8"/>
      <c r="F4" s="8"/>
      <c r="G4" s="8"/>
      <c r="H4" s="8"/>
      <c r="I4" s="8"/>
      <c r="J4" s="8"/>
    </row>
    <row r="5" spans="1:10" x14ac:dyDescent="0.2">
      <c r="A5" s="8"/>
      <c r="B5" s="8"/>
      <c r="C5" s="8"/>
      <c r="D5" s="8"/>
      <c r="E5" s="8"/>
      <c r="F5" s="8"/>
      <c r="G5" s="8"/>
      <c r="H5" s="8"/>
      <c r="I5" s="8"/>
      <c r="J5" s="8"/>
    </row>
    <row r="6" spans="1:10" x14ac:dyDescent="0.2">
      <c r="A6" s="8"/>
      <c r="B6" s="8"/>
      <c r="C6" s="8"/>
      <c r="D6" s="8"/>
      <c r="E6" s="8"/>
      <c r="F6" s="8"/>
      <c r="G6" s="8"/>
      <c r="H6" s="8"/>
      <c r="I6" s="8"/>
      <c r="J6" s="8"/>
    </row>
    <row r="7" spans="1:10" x14ac:dyDescent="0.2">
      <c r="A7" s="8"/>
      <c r="B7" s="8"/>
      <c r="C7" s="8"/>
      <c r="D7" s="8"/>
      <c r="E7" s="8"/>
      <c r="F7" s="8"/>
      <c r="G7" s="8"/>
      <c r="H7" s="8"/>
      <c r="I7" s="8"/>
      <c r="J7" s="8"/>
    </row>
    <row r="8" spans="1:10" x14ac:dyDescent="0.2">
      <c r="A8" s="8"/>
      <c r="B8" s="8"/>
      <c r="C8" s="8"/>
      <c r="D8" s="8"/>
      <c r="E8" s="8"/>
      <c r="F8" s="8"/>
      <c r="G8" s="8"/>
      <c r="H8" s="8"/>
      <c r="I8" s="8"/>
      <c r="J8" s="8"/>
    </row>
    <row r="9" spans="1:10" x14ac:dyDescent="0.2">
      <c r="A9" s="8"/>
      <c r="B9" s="8"/>
      <c r="C9" s="8"/>
      <c r="D9" s="8"/>
      <c r="E9" s="8"/>
      <c r="F9" s="8"/>
      <c r="G9" s="8"/>
      <c r="H9" s="8"/>
      <c r="I9" s="8"/>
      <c r="J9" s="8"/>
    </row>
    <row r="10" spans="1:10" x14ac:dyDescent="0.2">
      <c r="A10" s="8"/>
      <c r="B10" s="15"/>
      <c r="C10" s="8"/>
      <c r="D10" s="8"/>
      <c r="E10" s="8"/>
      <c r="F10" s="8"/>
      <c r="G10" s="8"/>
      <c r="H10" s="8"/>
      <c r="I10" s="8"/>
      <c r="J10" s="8"/>
    </row>
    <row r="11" spans="1:10" x14ac:dyDescent="0.2">
      <c r="A11" s="8"/>
      <c r="B11" s="8"/>
      <c r="C11" s="8"/>
      <c r="D11" s="8"/>
      <c r="E11" s="8"/>
      <c r="F11" s="8"/>
      <c r="G11" s="8"/>
      <c r="H11" s="8"/>
      <c r="I11" s="8"/>
      <c r="J11" s="8"/>
    </row>
    <row r="12" spans="1:10" x14ac:dyDescent="0.2">
      <c r="A12" s="8"/>
      <c r="B12" s="8"/>
      <c r="C12" s="8"/>
      <c r="D12" s="8"/>
      <c r="E12" s="8"/>
      <c r="F12" s="8"/>
      <c r="G12" s="8"/>
      <c r="H12" s="8"/>
      <c r="I12" s="8"/>
      <c r="J12" s="8"/>
    </row>
    <row r="13" spans="1:10" x14ac:dyDescent="0.2">
      <c r="A13" s="8"/>
      <c r="B13" s="8"/>
      <c r="C13" s="8"/>
      <c r="D13" s="8"/>
      <c r="E13" s="8"/>
      <c r="F13" s="8"/>
      <c r="G13" s="8"/>
      <c r="H13" s="8"/>
      <c r="I13" s="8"/>
      <c r="J13" s="8"/>
    </row>
    <row r="14" spans="1:10" x14ac:dyDescent="0.2">
      <c r="A14" s="8"/>
      <c r="B14" s="8"/>
      <c r="C14" s="8"/>
      <c r="D14" s="8"/>
      <c r="E14" s="8"/>
      <c r="F14" s="8"/>
      <c r="G14" s="8"/>
      <c r="H14" s="8"/>
      <c r="I14" s="8"/>
      <c r="J14" s="8"/>
    </row>
    <row r="15" spans="1:10" x14ac:dyDescent="0.2">
      <c r="A15" s="8"/>
      <c r="B15" s="8"/>
      <c r="C15" s="8"/>
      <c r="D15" s="8"/>
      <c r="E15" s="8"/>
      <c r="F15" s="8"/>
      <c r="G15" s="8"/>
      <c r="H15" s="8"/>
      <c r="I15" s="8"/>
      <c r="J15" s="8"/>
    </row>
    <row r="16" spans="1:10" x14ac:dyDescent="0.2">
      <c r="A16" s="32" t="s">
        <v>0</v>
      </c>
      <c r="B16" s="33">
        <v>3184</v>
      </c>
      <c r="C16" s="34" t="s">
        <v>1</v>
      </c>
      <c r="D16" s="35"/>
      <c r="E16" s="35"/>
      <c r="F16" s="35"/>
      <c r="G16" s="1"/>
      <c r="H16" s="30"/>
      <c r="I16" s="30"/>
      <c r="J16" s="30"/>
    </row>
    <row r="17" spans="1:10" x14ac:dyDescent="0.2">
      <c r="A17" s="32" t="s">
        <v>61</v>
      </c>
      <c r="B17" s="36">
        <f>+[1]Main!$C542</f>
        <v>1.0330000000000001E-3</v>
      </c>
      <c r="C17" s="34" t="s">
        <v>41</v>
      </c>
      <c r="D17" s="35"/>
      <c r="E17" s="35"/>
      <c r="F17" s="35"/>
      <c r="G17" s="1"/>
      <c r="H17" s="30"/>
      <c r="I17" s="30"/>
      <c r="J17" s="30"/>
    </row>
    <row r="18" spans="1:10" x14ac:dyDescent="0.2">
      <c r="A18" s="32" t="s">
        <v>62</v>
      </c>
      <c r="B18" s="36">
        <f>+[1]Main!$C597</f>
        <v>1.7730000000000001E-3</v>
      </c>
      <c r="C18" s="34" t="s">
        <v>95</v>
      </c>
      <c r="D18" s="35"/>
      <c r="E18" s="37"/>
      <c r="F18" s="35"/>
      <c r="G18" s="1"/>
      <c r="H18" s="30"/>
      <c r="I18" s="30"/>
      <c r="J18" s="30"/>
    </row>
    <row r="19" spans="1:10" x14ac:dyDescent="0.2">
      <c r="A19" s="38" t="s">
        <v>32</v>
      </c>
      <c r="B19" s="39">
        <f>[2]Sheet1!E24</f>
        <v>1234823270</v>
      </c>
      <c r="C19" s="21"/>
      <c r="D19" s="31"/>
      <c r="E19" s="31"/>
      <c r="F19" s="23"/>
      <c r="G19" s="1"/>
      <c r="H19" s="30"/>
      <c r="I19" s="30"/>
      <c r="J19" s="30"/>
    </row>
    <row r="20" spans="1:10" x14ac:dyDescent="0.2">
      <c r="A20" s="32" t="s">
        <v>2</v>
      </c>
      <c r="B20" s="40">
        <f>[2]Sheet1!F24</f>
        <v>0.87670000000000003</v>
      </c>
      <c r="C20" s="7"/>
      <c r="D20" s="41" t="s">
        <v>3</v>
      </c>
      <c r="E20" s="42" t="str">
        <f>+[3]main!B25</f>
        <v>Kane</v>
      </c>
      <c r="F20" s="43">
        <f>+[3]main!A25</f>
        <v>16</v>
      </c>
      <c r="G20" s="1"/>
      <c r="H20" s="30"/>
      <c r="I20" s="30"/>
      <c r="J20" s="30"/>
    </row>
    <row r="21" spans="1:10" x14ac:dyDescent="0.2">
      <c r="A21" s="32" t="s">
        <v>4</v>
      </c>
      <c r="B21" s="44">
        <f>[2]Sheet1!G24</f>
        <v>1.6750000000000001E-3</v>
      </c>
      <c r="C21" s="8"/>
      <c r="D21" s="24"/>
      <c r="E21" s="25"/>
      <c r="F21" s="24"/>
      <c r="G21" s="1"/>
      <c r="H21" s="30"/>
      <c r="I21" s="30"/>
      <c r="J21" s="30"/>
    </row>
    <row r="22" spans="1:10" x14ac:dyDescent="0.2">
      <c r="A22" s="32" t="s">
        <v>5</v>
      </c>
      <c r="B22" s="45">
        <f>[2]Sheet1!$C$80</f>
        <v>2132602</v>
      </c>
      <c r="C22" s="46"/>
      <c r="D22" s="47" t="s">
        <v>38</v>
      </c>
      <c r="E22" s="48" t="s">
        <v>7</v>
      </c>
      <c r="F22" s="47" t="s">
        <v>6</v>
      </c>
      <c r="G22" s="1"/>
      <c r="H22" s="30"/>
      <c r="I22" s="30"/>
      <c r="J22" s="30"/>
    </row>
    <row r="23" spans="1:10" x14ac:dyDescent="0.2">
      <c r="A23" s="32" t="s">
        <v>8</v>
      </c>
      <c r="B23" s="45">
        <f>+B22</f>
        <v>2132602</v>
      </c>
      <c r="C23" s="49"/>
      <c r="D23" s="50" t="s">
        <v>9</v>
      </c>
      <c r="E23" s="50" t="s">
        <v>37</v>
      </c>
      <c r="F23" s="50" t="s">
        <v>10</v>
      </c>
      <c r="G23" s="1"/>
      <c r="H23" s="30"/>
      <c r="I23" s="30"/>
      <c r="J23" s="30"/>
    </row>
    <row r="24" spans="1:10" x14ac:dyDescent="0.2">
      <c r="A24" s="32" t="s">
        <v>11</v>
      </c>
      <c r="B24" s="45">
        <v>0</v>
      </c>
      <c r="C24" s="51" t="s">
        <v>39</v>
      </c>
      <c r="D24" s="52" t="s">
        <v>12</v>
      </c>
      <c r="E24" s="52" t="s">
        <v>9</v>
      </c>
      <c r="F24" s="52" t="s">
        <v>9</v>
      </c>
      <c r="G24" s="1"/>
      <c r="H24" s="30"/>
      <c r="I24" s="30"/>
      <c r="J24" s="30"/>
    </row>
    <row r="25" spans="1:10" x14ac:dyDescent="0.2">
      <c r="A25" s="32" t="s">
        <v>70</v>
      </c>
      <c r="B25" s="45">
        <f>'[4]LRF FY17'!U22</f>
        <v>8498</v>
      </c>
      <c r="C25" s="53"/>
      <c r="D25" s="54"/>
      <c r="E25" s="54"/>
      <c r="F25" s="54" t="s">
        <v>14</v>
      </c>
      <c r="G25" s="1"/>
      <c r="H25" s="30"/>
      <c r="I25" s="30"/>
      <c r="J25" s="30"/>
    </row>
    <row r="26" spans="1:10" x14ac:dyDescent="0.2">
      <c r="A26" s="55" t="s">
        <v>13</v>
      </c>
      <c r="B26" s="56"/>
      <c r="C26" s="53"/>
      <c r="D26" s="54"/>
      <c r="E26" s="54"/>
      <c r="F26" s="54"/>
      <c r="G26" s="2"/>
      <c r="H26" s="30"/>
      <c r="I26" s="30"/>
      <c r="J26" s="30"/>
    </row>
    <row r="27" spans="1:10" x14ac:dyDescent="0.2">
      <c r="A27" s="55" t="s">
        <v>15</v>
      </c>
      <c r="B27" s="56"/>
      <c r="C27" s="53"/>
      <c r="D27" s="54"/>
      <c r="E27" s="54"/>
      <c r="F27" s="54"/>
      <c r="G27" s="2"/>
      <c r="H27" s="57" t="s">
        <v>43</v>
      </c>
      <c r="I27" s="30"/>
      <c r="J27" s="57" t="s">
        <v>45</v>
      </c>
    </row>
    <row r="28" spans="1:10" x14ac:dyDescent="0.2">
      <c r="A28" s="58" t="s">
        <v>16</v>
      </c>
      <c r="B28" s="59"/>
      <c r="C28" s="60">
        <f>[3]main!C199-[3]main!F141</f>
        <v>1201.2349999999999</v>
      </c>
      <c r="D28" s="61">
        <f>[3]main!E199-[3]main!H141</f>
        <v>3824732.73</v>
      </c>
      <c r="E28" s="62">
        <f>IF(B23&gt;D28,D28,B23)</f>
        <v>2132602</v>
      </c>
      <c r="F28" s="62">
        <f>D28-E28</f>
        <v>1692130.73</v>
      </c>
      <c r="G28" s="1"/>
      <c r="H28" s="57">
        <f>[3]main!H258</f>
        <v>6889249.5300000003</v>
      </c>
      <c r="I28" s="30"/>
      <c r="J28" s="57">
        <f>'[5]Sheet 1'!E82</f>
        <v>8440650.3599999994</v>
      </c>
    </row>
    <row r="29" spans="1:10" x14ac:dyDescent="0.2">
      <c r="A29" s="58" t="s">
        <v>17</v>
      </c>
      <c r="B29" s="59"/>
      <c r="C29" s="53">
        <f>[3]main!F141</f>
        <v>719.87</v>
      </c>
      <c r="D29" s="54">
        <f>[3]main!H141</f>
        <v>2292067.04</v>
      </c>
      <c r="E29" s="54">
        <f>IF(B22-SUM(E26:E28)&gt;D29,D29,B22-SUM(E26:E28))</f>
        <v>0</v>
      </c>
      <c r="F29" s="54">
        <f>D29-E29</f>
        <v>2292067.04</v>
      </c>
      <c r="G29" s="1"/>
      <c r="H29" s="57">
        <f>SUM(D28:D32)</f>
        <v>6889249.5300000003</v>
      </c>
      <c r="I29" s="30"/>
      <c r="J29" s="57">
        <f>D43</f>
        <v>8440650.3599999994</v>
      </c>
    </row>
    <row r="30" spans="1:10" x14ac:dyDescent="0.2">
      <c r="A30" s="58" t="s">
        <v>18</v>
      </c>
      <c r="B30" s="59"/>
      <c r="C30" s="53">
        <f>[3]main!F199</f>
        <v>172.60400000000001</v>
      </c>
      <c r="D30" s="54">
        <f>[3]main!H199</f>
        <v>549569.76</v>
      </c>
      <c r="E30" s="54">
        <f>IF(B23-SUM(E28:E29)&gt;D30,D30,B23-SUM(E28:E29))</f>
        <v>0</v>
      </c>
      <c r="F30" s="54">
        <f>D30-E30</f>
        <v>549569.76</v>
      </c>
      <c r="G30" s="1"/>
      <c r="H30" s="57">
        <f>+H28-H29</f>
        <v>0</v>
      </c>
      <c r="I30" s="30"/>
      <c r="J30" s="57">
        <f>+J28-J29</f>
        <v>0</v>
      </c>
    </row>
    <row r="31" spans="1:10" x14ac:dyDescent="0.2">
      <c r="A31" s="58" t="s">
        <v>19</v>
      </c>
      <c r="B31" s="59"/>
      <c r="C31" s="53">
        <f>[3]main!C258</f>
        <v>70</v>
      </c>
      <c r="D31" s="54">
        <f>[3]main!E258</f>
        <v>222880</v>
      </c>
      <c r="E31" s="54">
        <f>IF(B23-SUM(E28:E30)&gt;D31,D31,B23-SUM(E28:E30))</f>
        <v>0</v>
      </c>
      <c r="F31" s="54">
        <f>D31-E31</f>
        <v>222880</v>
      </c>
      <c r="G31" s="1"/>
      <c r="H31" s="30"/>
      <c r="I31" s="30"/>
      <c r="J31" s="30"/>
    </row>
    <row r="32" spans="1:10" x14ac:dyDescent="0.2">
      <c r="A32" s="58" t="s">
        <v>42</v>
      </c>
      <c r="B32" s="59"/>
      <c r="C32" s="53">
        <f>[3]main!C82</f>
        <v>0</v>
      </c>
      <c r="D32" s="54">
        <f>[3]main!E82</f>
        <v>0</v>
      </c>
      <c r="E32" s="54">
        <f>IF(B23-SUM(E28:E31)&gt;D32,D32,B23-SUM(E28:E31))</f>
        <v>0</v>
      </c>
      <c r="F32" s="54">
        <f>D32-E32</f>
        <v>0</v>
      </c>
      <c r="G32" s="1"/>
      <c r="H32" s="30"/>
      <c r="I32" s="30"/>
      <c r="J32" s="30"/>
    </row>
    <row r="33" spans="1:10" x14ac:dyDescent="0.2">
      <c r="A33" s="55" t="s">
        <v>20</v>
      </c>
      <c r="B33" s="56"/>
      <c r="C33" s="63"/>
      <c r="D33" s="64"/>
      <c r="E33" s="64"/>
      <c r="F33" s="64" t="s">
        <v>14</v>
      </c>
      <c r="G33" s="1"/>
      <c r="H33" s="57" t="s">
        <v>44</v>
      </c>
      <c r="I33" s="30"/>
      <c r="J33" s="30"/>
    </row>
    <row r="34" spans="1:10" x14ac:dyDescent="0.2">
      <c r="A34" s="58" t="s">
        <v>21</v>
      </c>
      <c r="B34" s="59"/>
      <c r="C34" s="53">
        <f>'[6]Sheet 1'!C24</f>
        <v>199.68799999999999</v>
      </c>
      <c r="D34" s="54">
        <f>'[6]Sheet 1'!E24</f>
        <v>635807.75</v>
      </c>
      <c r="E34" s="54">
        <f>IF(B23-SUM(E28:E33)&gt;D34,D34,B23-SUM(E28:E33))</f>
        <v>0</v>
      </c>
      <c r="F34" s="54">
        <f t="shared" ref="F34:F42" si="0">D34-E34</f>
        <v>635807.75</v>
      </c>
      <c r="G34" s="1"/>
      <c r="H34" s="57">
        <f>'[6]Sheet 1'!N140</f>
        <v>826044.25</v>
      </c>
      <c r="I34" s="30"/>
      <c r="J34" s="30"/>
    </row>
    <row r="35" spans="1:10" x14ac:dyDescent="0.2">
      <c r="A35" s="59" t="s">
        <v>22</v>
      </c>
      <c r="B35" s="59"/>
      <c r="C35" s="53">
        <f>'[6]Sheet 1'!F24</f>
        <v>8.9</v>
      </c>
      <c r="D35" s="54">
        <f>'[6]Sheet 1'!H24</f>
        <v>28337.599999999999</v>
      </c>
      <c r="E35" s="54">
        <f>IF(B23-SUM(E28:E34)&gt;D35,D35,B23-SUM(E28:E34))</f>
        <v>0</v>
      </c>
      <c r="F35" s="54">
        <f t="shared" si="0"/>
        <v>28337.599999999999</v>
      </c>
      <c r="G35" s="1"/>
      <c r="H35" s="57">
        <f>SUM(D34:D40)</f>
        <v>826044.25</v>
      </c>
      <c r="I35" s="30"/>
      <c r="J35" s="30"/>
    </row>
    <row r="36" spans="1:10" x14ac:dyDescent="0.2">
      <c r="A36" s="59" t="s">
        <v>23</v>
      </c>
      <c r="B36" s="59"/>
      <c r="C36" s="53">
        <f>'[6]Sheet 1'!C82</f>
        <v>42.63</v>
      </c>
      <c r="D36" s="54">
        <f>'[6]Sheet 1'!E82</f>
        <v>135733.92000000001</v>
      </c>
      <c r="E36" s="54">
        <f>IF(B23-SUM(E28:E35)&gt;D36,D36,B23-SUM(E28:E35))</f>
        <v>0</v>
      </c>
      <c r="F36" s="54">
        <f t="shared" si="0"/>
        <v>135733.92000000001</v>
      </c>
      <c r="G36" s="1"/>
      <c r="H36" s="57">
        <f>+H34-H35</f>
        <v>0</v>
      </c>
      <c r="I36" s="30"/>
      <c r="J36" s="30"/>
    </row>
    <row r="37" spans="1:10" x14ac:dyDescent="0.2">
      <c r="A37" s="58" t="s">
        <v>24</v>
      </c>
      <c r="B37" s="59"/>
      <c r="C37" s="53">
        <f>'[6]Sheet 1'!F82</f>
        <v>1.5680000000000001</v>
      </c>
      <c r="D37" s="54">
        <f>'[6]Sheet 1'!H82</f>
        <v>4993.2700000000004</v>
      </c>
      <c r="E37" s="54">
        <f>IF(B23-SUM(E28:E36)&gt;D37,D37,B23-SUM(E28:E36))</f>
        <v>0</v>
      </c>
      <c r="F37" s="54">
        <f t="shared" si="0"/>
        <v>4993.2700000000004</v>
      </c>
      <c r="G37" s="1"/>
      <c r="H37" s="30"/>
      <c r="I37" s="30"/>
      <c r="J37" s="30"/>
    </row>
    <row r="38" spans="1:10" x14ac:dyDescent="0.2">
      <c r="A38" s="59" t="s">
        <v>71</v>
      </c>
      <c r="B38" s="59"/>
      <c r="C38" s="53">
        <f>'[6]Sheet 1'!C140</f>
        <v>4.7350000000000003</v>
      </c>
      <c r="D38" s="54">
        <f>'[6]Sheet 1'!E140</f>
        <v>15075.63</v>
      </c>
      <c r="E38" s="54">
        <f>IF(B23-SUM(E28:E37)&gt;D38,D38,B23-SUM(E28:E37))</f>
        <v>0</v>
      </c>
      <c r="F38" s="54">
        <f t="shared" si="0"/>
        <v>15075.63</v>
      </c>
      <c r="G38" s="1"/>
      <c r="H38" s="30"/>
      <c r="I38" s="30"/>
      <c r="J38" s="30"/>
    </row>
    <row r="39" spans="1:10" x14ac:dyDescent="0.2">
      <c r="A39" s="59" t="s">
        <v>57</v>
      </c>
      <c r="B39" s="59"/>
      <c r="C39" s="53">
        <f>'[6]Sheet 1'!F140</f>
        <v>0</v>
      </c>
      <c r="D39" s="54">
        <f>'[6]Sheet 1'!H140</f>
        <v>0</v>
      </c>
      <c r="E39" s="54">
        <f>IF(B24-SUM(E29:E38)&gt;D39,D39,B24-SUM(E29:E38))</f>
        <v>0</v>
      </c>
      <c r="F39" s="54">
        <f t="shared" si="0"/>
        <v>0</v>
      </c>
      <c r="G39" s="1"/>
      <c r="H39" s="30"/>
      <c r="I39" s="30"/>
      <c r="J39" s="30"/>
    </row>
    <row r="40" spans="1:10" x14ac:dyDescent="0.2">
      <c r="A40" s="59" t="s">
        <v>64</v>
      </c>
      <c r="B40" s="59"/>
      <c r="C40" s="53">
        <f>'[6]Sheet 1'!I140</f>
        <v>1.915</v>
      </c>
      <c r="D40" s="54">
        <f>'[6]Sheet 1'!K140</f>
        <v>6096.08</v>
      </c>
      <c r="E40" s="54">
        <f>IF(B26-SUM(E30:E39)&gt;D40,D40,B26-SUM(E30:E39))</f>
        <v>0</v>
      </c>
      <c r="F40" s="54">
        <f t="shared" si="0"/>
        <v>6096.08</v>
      </c>
      <c r="G40" s="1"/>
      <c r="H40" s="57" t="s">
        <v>46</v>
      </c>
      <c r="I40" s="30"/>
      <c r="J40" s="30"/>
    </row>
    <row r="41" spans="1:10" x14ac:dyDescent="0.2">
      <c r="A41" s="59" t="s">
        <v>58</v>
      </c>
      <c r="B41" s="59"/>
      <c r="C41" s="53">
        <f>'[6]Sheet 1'!C198</f>
        <v>146.99700000000001</v>
      </c>
      <c r="D41" s="54">
        <f>'[6]Sheet 1'!E198</f>
        <v>468037.19</v>
      </c>
      <c r="E41" s="54">
        <f>IF(B23-SUM(E28:E38)&gt;D41,D41,B23-SUM(E28:E38))</f>
        <v>0</v>
      </c>
      <c r="F41" s="54">
        <f t="shared" si="0"/>
        <v>468037.19</v>
      </c>
      <c r="G41" s="4"/>
      <c r="H41" s="57">
        <f>+'[6]Sheet 1'!E198</f>
        <v>468037.19</v>
      </c>
      <c r="I41" s="30"/>
      <c r="J41" s="30"/>
    </row>
    <row r="42" spans="1:10" x14ac:dyDescent="0.2">
      <c r="A42" s="58" t="s">
        <v>59</v>
      </c>
      <c r="B42" s="59"/>
      <c r="C42" s="53">
        <f>'[5]Sheet 1'!C24</f>
        <v>80.816000000000003</v>
      </c>
      <c r="D42" s="54">
        <f>'[5]Sheet 1'!E24</f>
        <v>257319.39</v>
      </c>
      <c r="E42" s="54">
        <f>IF(B23-SUM(E28:E41)&gt;D42,D42,B23-SUM(E28:E41))</f>
        <v>0</v>
      </c>
      <c r="F42" s="54">
        <f t="shared" si="0"/>
        <v>257319.39</v>
      </c>
      <c r="G42" s="5"/>
      <c r="H42" s="57">
        <f>+D41</f>
        <v>468037.19</v>
      </c>
      <c r="I42" s="30"/>
      <c r="J42" s="30"/>
    </row>
    <row r="43" spans="1:10" x14ac:dyDescent="0.2">
      <c r="A43" s="65" t="s">
        <v>28</v>
      </c>
      <c r="B43" s="56"/>
      <c r="C43" s="66">
        <f>SUM(C28:C42)</f>
        <v>2650.9580000000001</v>
      </c>
      <c r="D43" s="67">
        <f>SUM(D28:D42)</f>
        <v>8440650.3599999994</v>
      </c>
      <c r="E43" s="67">
        <f>SUM(E28:E42)</f>
        <v>2132602</v>
      </c>
      <c r="F43" s="67">
        <f>SUM(F28:F42)</f>
        <v>6308048.3600000003</v>
      </c>
      <c r="G43" s="1"/>
      <c r="H43" s="57">
        <f>+H41-H42</f>
        <v>0</v>
      </c>
      <c r="I43" s="30"/>
      <c r="J43" s="30"/>
    </row>
    <row r="44" spans="1:10" x14ac:dyDescent="0.2">
      <c r="A44" s="68" t="s">
        <v>26</v>
      </c>
      <c r="B44" s="56"/>
      <c r="C44" s="69"/>
      <c r="D44" s="54"/>
      <c r="E44" s="54"/>
      <c r="F44" s="54"/>
      <c r="G44" s="1"/>
      <c r="H44" s="57" t="s">
        <v>47</v>
      </c>
      <c r="I44" s="30"/>
      <c r="J44" s="57" t="s">
        <v>52</v>
      </c>
    </row>
    <row r="45" spans="1:10" x14ac:dyDescent="0.2">
      <c r="A45" s="58" t="s">
        <v>56</v>
      </c>
      <c r="B45" s="59"/>
      <c r="C45" s="20"/>
      <c r="D45" s="70">
        <f>[1]Main!F25</f>
        <v>24464.959999999999</v>
      </c>
      <c r="E45" s="54">
        <f>IF($B23-SUM($E43)&gt;D45,D45,$B23-SUM($E43))</f>
        <v>0</v>
      </c>
      <c r="F45" s="54">
        <f t="shared" ref="F45:F63" si="1">D45-E45</f>
        <v>24464.959999999999</v>
      </c>
      <c r="G45" s="1"/>
      <c r="H45" s="57">
        <f>[1]Main!G25</f>
        <v>358504.98</v>
      </c>
      <c r="I45" s="30"/>
      <c r="J45" s="57">
        <f>+[1]Main!D486</f>
        <v>1359773.99</v>
      </c>
    </row>
    <row r="46" spans="1:10" x14ac:dyDescent="0.2">
      <c r="A46" s="59" t="s">
        <v>25</v>
      </c>
      <c r="B46" s="59"/>
      <c r="C46" s="20"/>
      <c r="D46" s="70">
        <f>[1]Main!C25</f>
        <v>334040.02</v>
      </c>
      <c r="E46" s="54">
        <f>IF($B23-SUM($E43:E45)&gt;D46,D46,B23-SUM($E43:E45))</f>
        <v>0</v>
      </c>
      <c r="F46" s="54">
        <f t="shared" si="1"/>
        <v>334040.02</v>
      </c>
      <c r="G46" s="1"/>
      <c r="H46" s="57">
        <f>SUM(D45:D47)</f>
        <v>358504.98</v>
      </c>
      <c r="I46" s="30"/>
      <c r="J46" s="57">
        <f>SUM(D45:D72)-E58</f>
        <v>1359773.99</v>
      </c>
    </row>
    <row r="47" spans="1:10" x14ac:dyDescent="0.2">
      <c r="A47" s="71" t="s">
        <v>27</v>
      </c>
      <c r="B47" s="59"/>
      <c r="C47" s="20"/>
      <c r="D47" s="70">
        <f>[1]Main!D25</f>
        <v>0</v>
      </c>
      <c r="E47" s="54">
        <f>IF($B23-SUM($E43:E46)&gt;D47,D47,$B23-SUM($E43:E46))</f>
        <v>0</v>
      </c>
      <c r="F47" s="54">
        <f>D47-E47</f>
        <v>0</v>
      </c>
      <c r="G47" s="1"/>
      <c r="H47" s="57">
        <f>+H45-H46</f>
        <v>0</v>
      </c>
      <c r="I47" s="30"/>
      <c r="J47" s="57">
        <f>+J45-J46</f>
        <v>0</v>
      </c>
    </row>
    <row r="48" spans="1:10" x14ac:dyDescent="0.2">
      <c r="A48" s="72" t="s">
        <v>72</v>
      </c>
      <c r="B48" s="59"/>
      <c r="C48" s="20"/>
      <c r="D48" s="70">
        <f>[1]Main!E25</f>
        <v>0</v>
      </c>
      <c r="E48" s="54">
        <f>IF($B24-SUM($E44:E47)&gt;D48,D48,$B24-SUM($E44:E47))</f>
        <v>0</v>
      </c>
      <c r="F48" s="54">
        <f>D48-E48</f>
        <v>0</v>
      </c>
      <c r="G48" s="1"/>
      <c r="H48" s="30"/>
      <c r="I48" s="30"/>
      <c r="J48" s="30"/>
    </row>
    <row r="49" spans="1:10" x14ac:dyDescent="0.2">
      <c r="A49" s="72" t="s">
        <v>73</v>
      </c>
      <c r="B49" s="59"/>
      <c r="C49" s="20"/>
      <c r="D49" s="54">
        <f>+[1]Main!$F141</f>
        <v>5781.52</v>
      </c>
      <c r="E49" s="54">
        <f>IF($B23-SUM($E43:E47)&gt;D49,D49,$B23-SUM($E43:E47))</f>
        <v>0</v>
      </c>
      <c r="F49" s="54">
        <f t="shared" si="1"/>
        <v>5781.52</v>
      </c>
      <c r="G49" s="1"/>
      <c r="H49" s="30"/>
      <c r="I49" s="30"/>
      <c r="J49" s="30"/>
    </row>
    <row r="50" spans="1:10" x14ac:dyDescent="0.2">
      <c r="A50" s="71" t="s">
        <v>74</v>
      </c>
      <c r="B50" s="59"/>
      <c r="C50" s="20"/>
      <c r="D50" s="54">
        <f>+[1]Main!$C83</f>
        <v>102064</v>
      </c>
      <c r="E50" s="54">
        <f>IF($B23-SUM($E43:E49)&gt;D50,D50,$B23-SUM($E43:E49))</f>
        <v>0</v>
      </c>
      <c r="F50" s="54">
        <f t="shared" si="1"/>
        <v>102064</v>
      </c>
      <c r="G50" s="1"/>
      <c r="H50" s="30"/>
      <c r="I50" s="30"/>
      <c r="J50" s="30"/>
    </row>
    <row r="51" spans="1:10" x14ac:dyDescent="0.2">
      <c r="A51" s="71" t="s">
        <v>75</v>
      </c>
      <c r="B51" s="59"/>
      <c r="C51" s="20"/>
      <c r="D51" s="54">
        <f>+[1]Main!$D83</f>
        <v>0</v>
      </c>
      <c r="E51" s="54">
        <f>IF($B23-SUM($E43:E50)&gt;D51,D51,$B23-SUM($E43:E50))</f>
        <v>0</v>
      </c>
      <c r="F51" s="54">
        <f t="shared" si="1"/>
        <v>0</v>
      </c>
      <c r="G51" s="1"/>
      <c r="H51" s="30"/>
      <c r="I51" s="30"/>
      <c r="J51" s="30"/>
    </row>
    <row r="52" spans="1:10" x14ac:dyDescent="0.2">
      <c r="A52" s="71" t="s">
        <v>76</v>
      </c>
      <c r="B52" s="59"/>
      <c r="C52" s="20"/>
      <c r="D52" s="54">
        <f>+[1]Main!$E83</f>
        <v>0</v>
      </c>
      <c r="E52" s="54">
        <f>IF($B23-SUM($E43:E51)&gt;D52,D52,$B23-SUM($E43:E51))</f>
        <v>0</v>
      </c>
      <c r="F52" s="54">
        <f t="shared" si="1"/>
        <v>0</v>
      </c>
      <c r="G52" s="1"/>
      <c r="H52" s="30"/>
      <c r="I52" s="30"/>
      <c r="J52" s="30"/>
    </row>
    <row r="53" spans="1:10" x14ac:dyDescent="0.2">
      <c r="A53" s="71" t="s">
        <v>77</v>
      </c>
      <c r="B53" s="59"/>
      <c r="C53" s="20"/>
      <c r="D53" s="54">
        <f>[1]Main!F83</f>
        <v>89205</v>
      </c>
      <c r="E53" s="54">
        <f>IF($B23-SUM($E43:E52)&gt;D53,D53,$B23-SUM($E43:E52))</f>
        <v>0</v>
      </c>
      <c r="F53" s="54">
        <f t="shared" si="1"/>
        <v>89205</v>
      </c>
      <c r="G53" s="1"/>
      <c r="H53" s="57" t="s">
        <v>48</v>
      </c>
      <c r="I53" s="30"/>
      <c r="J53" s="30"/>
    </row>
    <row r="54" spans="1:10" x14ac:dyDescent="0.2">
      <c r="A54" s="71" t="s">
        <v>79</v>
      </c>
      <c r="B54" s="59"/>
      <c r="C54" s="20"/>
      <c r="D54" s="54">
        <f>[1]Main!G83</f>
        <v>0</v>
      </c>
      <c r="E54" s="54">
        <f>IF($B23-SUM($E43:E53)&gt;D54,D54,$B23-SUM($E43:E53))</f>
        <v>0</v>
      </c>
      <c r="F54" s="54">
        <f t="shared" si="1"/>
        <v>0</v>
      </c>
      <c r="G54" s="1"/>
      <c r="H54" s="57"/>
      <c r="I54" s="30"/>
      <c r="J54" s="30"/>
    </row>
    <row r="55" spans="1:10" x14ac:dyDescent="0.2">
      <c r="A55" s="71" t="s">
        <v>78</v>
      </c>
      <c r="B55" s="59"/>
      <c r="C55" s="20"/>
      <c r="D55" s="54">
        <f>[1]Main!G141</f>
        <v>15810.1</v>
      </c>
      <c r="E55" s="54">
        <f>IF($B23-SUM($E43:E54)&gt;D55,D55,$B23-SUM($E43:E54))</f>
        <v>0</v>
      </c>
      <c r="F55" s="54">
        <f t="shared" si="1"/>
        <v>15810.1</v>
      </c>
      <c r="G55" s="1"/>
      <c r="H55" s="73">
        <f>+[1]Main!D199</f>
        <v>212860.62</v>
      </c>
      <c r="I55" s="30"/>
      <c r="J55" s="30"/>
    </row>
    <row r="56" spans="1:10" x14ac:dyDescent="0.2">
      <c r="A56" s="71" t="s">
        <v>80</v>
      </c>
      <c r="B56" s="59"/>
      <c r="C56" s="20"/>
      <c r="D56" s="54">
        <f>[1]Main!C199</f>
        <v>0</v>
      </c>
      <c r="E56" s="54"/>
      <c r="F56" s="54">
        <f t="shared" si="1"/>
        <v>0</v>
      </c>
      <c r="G56" s="1"/>
      <c r="H56" s="57">
        <f>+SUM(D49:D56)</f>
        <v>212860.62</v>
      </c>
      <c r="I56" s="30"/>
      <c r="J56" s="30"/>
    </row>
    <row r="57" spans="1:10" x14ac:dyDescent="0.2">
      <c r="A57" s="71" t="s">
        <v>81</v>
      </c>
      <c r="B57" s="59"/>
      <c r="C57" s="20"/>
      <c r="D57" s="54">
        <f>[1]Main!C257</f>
        <v>192009</v>
      </c>
      <c r="E57" s="54">
        <v>0</v>
      </c>
      <c r="F57" s="54">
        <f t="shared" si="1"/>
        <v>192009</v>
      </c>
      <c r="G57" s="1"/>
      <c r="H57" s="57">
        <f>+H55-H56</f>
        <v>0</v>
      </c>
      <c r="I57" s="30"/>
      <c r="J57" s="30"/>
    </row>
    <row r="58" spans="1:10" x14ac:dyDescent="0.2">
      <c r="A58" s="71" t="s">
        <v>82</v>
      </c>
      <c r="B58" s="59"/>
      <c r="C58" s="20"/>
      <c r="D58" s="54">
        <f>+[7]Main!I24+[7]Main!J24</f>
        <v>191908.07</v>
      </c>
      <c r="E58" s="74">
        <f>[7]Main!J24</f>
        <v>145798.06</v>
      </c>
      <c r="F58" s="54">
        <f t="shared" si="1"/>
        <v>46110.01</v>
      </c>
      <c r="G58" s="1"/>
      <c r="H58" s="30"/>
      <c r="I58" s="30"/>
      <c r="J58" s="30"/>
    </row>
    <row r="59" spans="1:10" x14ac:dyDescent="0.2">
      <c r="A59" s="71" t="s">
        <v>83</v>
      </c>
      <c r="B59" s="59"/>
      <c r="C59" s="20"/>
      <c r="D59" s="54">
        <f>[1]Main!F257</f>
        <v>42931</v>
      </c>
      <c r="E59" s="54">
        <v>0</v>
      </c>
      <c r="F59" s="54">
        <f t="shared" si="1"/>
        <v>42931</v>
      </c>
      <c r="G59" s="1"/>
      <c r="H59" s="30"/>
      <c r="I59" s="30"/>
      <c r="J59" s="30"/>
    </row>
    <row r="60" spans="1:10" x14ac:dyDescent="0.2">
      <c r="A60" s="71" t="s">
        <v>84</v>
      </c>
      <c r="B60" s="59"/>
      <c r="C60" s="7"/>
      <c r="D60" s="54">
        <f>[1]Main!E257</f>
        <v>5393.47</v>
      </c>
      <c r="E60" s="54">
        <v>0</v>
      </c>
      <c r="F60" s="54">
        <f t="shared" si="1"/>
        <v>5393.47</v>
      </c>
      <c r="G60" s="1"/>
      <c r="H60" s="57" t="s">
        <v>49</v>
      </c>
      <c r="I60" s="30"/>
      <c r="J60" s="30"/>
    </row>
    <row r="61" spans="1:10" x14ac:dyDescent="0.2">
      <c r="A61" s="71" t="s">
        <v>85</v>
      </c>
      <c r="B61" s="59"/>
      <c r="C61" s="7"/>
      <c r="D61" s="54">
        <f>[1]Main!G257</f>
        <v>0</v>
      </c>
      <c r="E61" s="54">
        <v>0</v>
      </c>
      <c r="F61" s="54">
        <f t="shared" si="1"/>
        <v>0</v>
      </c>
      <c r="G61" s="1"/>
      <c r="H61" s="57">
        <f>+[1]Main!C486</f>
        <v>757007.92</v>
      </c>
      <c r="I61" s="57"/>
      <c r="J61" s="57"/>
    </row>
    <row r="62" spans="1:10" x14ac:dyDescent="0.2">
      <c r="A62" s="71" t="s">
        <v>86</v>
      </c>
      <c r="B62" s="59"/>
      <c r="C62" s="20"/>
      <c r="D62" s="54">
        <f>[1]Main!C315</f>
        <v>0</v>
      </c>
      <c r="E62" s="54">
        <v>0</v>
      </c>
      <c r="F62" s="54">
        <f t="shared" si="1"/>
        <v>0</v>
      </c>
      <c r="G62" s="1"/>
      <c r="H62" s="57">
        <f>+SUM(D57:D67)-E58</f>
        <v>757007.92</v>
      </c>
      <c r="I62" s="57"/>
      <c r="J62" s="57">
        <f>+H62-H61</f>
        <v>0</v>
      </c>
    </row>
    <row r="63" spans="1:10" x14ac:dyDescent="0.2">
      <c r="A63" s="71" t="s">
        <v>87</v>
      </c>
      <c r="C63" s="8"/>
      <c r="D63" s="76">
        <f>[1]Main!D315</f>
        <v>419076.03</v>
      </c>
      <c r="E63" s="77">
        <v>0</v>
      </c>
      <c r="F63" s="77">
        <f t="shared" si="1"/>
        <v>419076.03</v>
      </c>
      <c r="G63" s="5"/>
      <c r="H63" s="57">
        <f>+H61-H62</f>
        <v>0</v>
      </c>
      <c r="I63" s="57"/>
      <c r="J63" s="57"/>
    </row>
    <row r="64" spans="1:10" x14ac:dyDescent="0.2">
      <c r="A64" s="71" t="s">
        <v>88</v>
      </c>
      <c r="B64" s="59"/>
      <c r="C64" s="20"/>
      <c r="D64" s="54">
        <f>+[1]Main!$E315</f>
        <v>3155.07</v>
      </c>
      <c r="E64" s="54">
        <v>0</v>
      </c>
      <c r="F64" s="54">
        <f>D64-E64</f>
        <v>3155.07</v>
      </c>
      <c r="G64" s="4"/>
      <c r="H64" s="30"/>
      <c r="I64" s="30"/>
      <c r="J64" s="30"/>
    </row>
    <row r="65" spans="1:10" x14ac:dyDescent="0.2">
      <c r="A65" s="71" t="s">
        <v>89</v>
      </c>
      <c r="B65" s="59"/>
      <c r="C65" s="20"/>
      <c r="D65" s="54">
        <f>[1]Main!F315</f>
        <v>8343.31</v>
      </c>
      <c r="E65" s="54">
        <v>0</v>
      </c>
      <c r="F65" s="54">
        <f>D65-E65</f>
        <v>8343.31</v>
      </c>
      <c r="G65" s="4"/>
      <c r="H65" s="30"/>
      <c r="I65" s="30"/>
      <c r="J65" s="30"/>
    </row>
    <row r="66" spans="1:10" x14ac:dyDescent="0.2">
      <c r="A66" s="71" t="s">
        <v>90</v>
      </c>
      <c r="B66" s="59"/>
      <c r="C66" s="20"/>
      <c r="D66" s="54">
        <f>[1]Main!G315</f>
        <v>0</v>
      </c>
      <c r="E66" s="54">
        <v>0</v>
      </c>
      <c r="F66" s="54">
        <f>D66-E66</f>
        <v>0</v>
      </c>
      <c r="G66" s="1"/>
      <c r="H66" s="57" t="s">
        <v>50</v>
      </c>
      <c r="I66" s="30"/>
      <c r="J66" s="30"/>
    </row>
    <row r="67" spans="1:10" x14ac:dyDescent="0.2">
      <c r="A67" s="71" t="s">
        <v>93</v>
      </c>
      <c r="B67" s="59"/>
      <c r="C67" s="20"/>
      <c r="D67" s="54">
        <f>[1]Main!F372</f>
        <v>39990.03</v>
      </c>
      <c r="E67" s="54">
        <v>0</v>
      </c>
      <c r="F67" s="54">
        <f>D67-E67</f>
        <v>39990.03</v>
      </c>
      <c r="G67" s="1"/>
      <c r="H67" s="57"/>
      <c r="I67" s="30"/>
      <c r="J67" s="30"/>
    </row>
    <row r="68" spans="1:10" x14ac:dyDescent="0.2">
      <c r="A68" s="55" t="s">
        <v>30</v>
      </c>
      <c r="B68" s="78"/>
      <c r="C68" s="79"/>
      <c r="D68" s="64"/>
      <c r="E68" s="64"/>
      <c r="F68" s="64"/>
      <c r="G68" s="1"/>
      <c r="H68" s="57"/>
      <c r="I68" s="30"/>
      <c r="J68" s="30"/>
    </row>
    <row r="69" spans="1:10" x14ac:dyDescent="0.2">
      <c r="A69" s="71" t="s">
        <v>60</v>
      </c>
      <c r="B69" s="59"/>
      <c r="C69" s="20"/>
      <c r="D69" s="54">
        <f>[1]Main!C429</f>
        <v>15223.67</v>
      </c>
      <c r="E69" s="54">
        <v>0</v>
      </c>
      <c r="F69" s="54">
        <f>D69-E69</f>
        <v>15223.67</v>
      </c>
      <c r="G69" s="1"/>
      <c r="H69" s="57">
        <f>+[1]Main!G429</f>
        <v>31400.47</v>
      </c>
      <c r="I69" s="30"/>
      <c r="J69" s="30"/>
    </row>
    <row r="70" spans="1:10" x14ac:dyDescent="0.2">
      <c r="A70" s="71" t="s">
        <v>63</v>
      </c>
      <c r="B70" s="59"/>
      <c r="C70" s="20"/>
      <c r="D70" s="54">
        <f>[1]Main!D429</f>
        <v>4822.8500000000004</v>
      </c>
      <c r="E70" s="54">
        <v>0</v>
      </c>
      <c r="F70" s="54">
        <f>D70-E70</f>
        <v>4822.8500000000004</v>
      </c>
      <c r="G70" s="4"/>
      <c r="H70" s="57">
        <f>SUM(D69:D72)</f>
        <v>31400.47</v>
      </c>
      <c r="I70" s="30"/>
      <c r="J70" s="30"/>
    </row>
    <row r="71" spans="1:10" x14ac:dyDescent="0.2">
      <c r="A71" s="71" t="s">
        <v>91</v>
      </c>
      <c r="B71" s="59"/>
      <c r="C71" s="20"/>
      <c r="D71" s="54">
        <f>[1]Main!E429</f>
        <v>0</v>
      </c>
      <c r="E71" s="54">
        <v>0</v>
      </c>
      <c r="F71" s="54">
        <f>D71-E71</f>
        <v>0</v>
      </c>
      <c r="G71" s="4"/>
      <c r="H71" s="57">
        <f>+H69-H70</f>
        <v>0</v>
      </c>
      <c r="I71" s="30"/>
      <c r="J71" s="30"/>
    </row>
    <row r="72" spans="1:10" x14ac:dyDescent="0.2">
      <c r="A72" s="71" t="s">
        <v>92</v>
      </c>
      <c r="B72" s="59"/>
      <c r="C72" s="20"/>
      <c r="D72" s="54">
        <f>[1]Main!F429</f>
        <v>11353.95</v>
      </c>
      <c r="E72" s="54">
        <v>0</v>
      </c>
      <c r="F72" s="54">
        <f>D72-E72</f>
        <v>11353.95</v>
      </c>
      <c r="G72" s="1"/>
      <c r="H72" s="30"/>
      <c r="I72" s="30"/>
      <c r="J72" s="30"/>
    </row>
    <row r="73" spans="1:10" x14ac:dyDescent="0.2">
      <c r="A73" s="55" t="s">
        <v>31</v>
      </c>
      <c r="B73" s="78"/>
      <c r="C73" s="79"/>
      <c r="D73" s="64"/>
      <c r="E73" s="64"/>
      <c r="F73" s="64"/>
      <c r="G73" s="1"/>
      <c r="H73" s="30"/>
      <c r="I73" s="30"/>
      <c r="J73" s="30"/>
    </row>
    <row r="74" spans="1:10" x14ac:dyDescent="0.2">
      <c r="A74" s="58" t="s">
        <v>69</v>
      </c>
      <c r="B74" s="59"/>
      <c r="C74" s="20"/>
      <c r="D74" s="54">
        <f>+[1]Main!$G542</f>
        <v>1315210.49</v>
      </c>
      <c r="E74" s="54">
        <f>+[1]Main!$D542</f>
        <v>1315210.49</v>
      </c>
      <c r="F74" s="54">
        <f>+D74-E74</f>
        <v>0</v>
      </c>
      <c r="G74" s="1"/>
      <c r="H74" s="30"/>
      <c r="I74" s="30"/>
      <c r="J74" s="30"/>
    </row>
    <row r="75" spans="1:10" x14ac:dyDescent="0.2">
      <c r="A75" s="59" t="s">
        <v>68</v>
      </c>
      <c r="B75" s="59"/>
      <c r="C75" s="20"/>
      <c r="D75" s="54">
        <f>+[1]Main!$G597</f>
        <v>509278.02</v>
      </c>
      <c r="E75" s="54">
        <f>+[1]Main!$D597</f>
        <v>509278.02</v>
      </c>
      <c r="F75" s="54">
        <f>+D75-E75</f>
        <v>0</v>
      </c>
      <c r="G75" s="1"/>
      <c r="H75" s="30"/>
      <c r="I75" s="30"/>
      <c r="J75" s="30"/>
    </row>
    <row r="76" spans="1:10" ht="13.5" thickBot="1" x14ac:dyDescent="0.25">
      <c r="A76" s="80"/>
      <c r="B76" s="81"/>
      <c r="C76" s="82" t="s">
        <v>29</v>
      </c>
      <c r="D76" s="83">
        <f>SUM(D43:D75)</f>
        <v>11770710.92</v>
      </c>
      <c r="E76" s="83">
        <f>SUM(E43:E75)</f>
        <v>4102888.57</v>
      </c>
      <c r="F76" s="83">
        <f>SUM(F43:F75)</f>
        <v>7667822.3499999996</v>
      </c>
      <c r="G76" s="1"/>
      <c r="H76" s="30"/>
      <c r="I76" s="30"/>
      <c r="J76" s="30"/>
    </row>
    <row r="77" spans="1:10" ht="13.5" thickTop="1" x14ac:dyDescent="0.2">
      <c r="A77" s="84"/>
      <c r="B77" s="59"/>
      <c r="C77" s="85"/>
      <c r="D77" s="86"/>
      <c r="E77" s="86"/>
      <c r="F77" s="87"/>
      <c r="G77" s="1"/>
      <c r="H77" s="30"/>
      <c r="I77" s="30"/>
      <c r="J77" s="30"/>
    </row>
    <row r="78" spans="1:10" x14ac:dyDescent="0.2">
      <c r="A78" s="88" t="s">
        <v>40</v>
      </c>
      <c r="B78" s="78"/>
      <c r="C78" s="89"/>
      <c r="D78" s="90"/>
      <c r="E78" s="91"/>
      <c r="F78" s="92" t="s">
        <v>36</v>
      </c>
      <c r="G78" s="6"/>
      <c r="H78" s="57" t="s">
        <v>51</v>
      </c>
      <c r="I78" s="30"/>
      <c r="J78" s="57" t="s">
        <v>7</v>
      </c>
    </row>
    <row r="79" spans="1:10" x14ac:dyDescent="0.2">
      <c r="A79" s="93" t="s">
        <v>33</v>
      </c>
      <c r="B79" s="94"/>
      <c r="C79" s="95"/>
      <c r="D79" s="96"/>
      <c r="E79" s="96"/>
      <c r="F79" s="91"/>
      <c r="G79" s="6"/>
      <c r="H79" s="30"/>
      <c r="I79" s="30"/>
      <c r="J79" s="30"/>
    </row>
    <row r="80" spans="1:10" x14ac:dyDescent="0.2">
      <c r="A80" s="59" t="s">
        <v>34</v>
      </c>
      <c r="B80" s="59"/>
      <c r="C80" s="22"/>
      <c r="D80" s="27"/>
      <c r="E80" s="27"/>
      <c r="F80" s="97">
        <f>+[8]Main!$C25</f>
        <v>0</v>
      </c>
      <c r="G80" s="5"/>
      <c r="H80" s="57">
        <f>+[1]Main!G653</f>
        <v>1824488.51</v>
      </c>
      <c r="I80" s="30"/>
      <c r="J80" s="57">
        <f>+[1]Main!E653+[1]Main!F653</f>
        <v>0</v>
      </c>
    </row>
    <row r="81" spans="1:10" x14ac:dyDescent="0.2">
      <c r="A81" s="59" t="s">
        <v>66</v>
      </c>
      <c r="B81" s="59"/>
      <c r="C81" s="22"/>
      <c r="D81" s="27"/>
      <c r="E81" s="27"/>
      <c r="F81" s="97">
        <f>+[8]Main!$D25</f>
        <v>0</v>
      </c>
      <c r="G81" s="5"/>
      <c r="H81" s="57">
        <f>+D74+D75</f>
        <v>1824488.51</v>
      </c>
      <c r="I81" s="30"/>
      <c r="J81" s="57">
        <f>+F74+F75</f>
        <v>0</v>
      </c>
    </row>
    <row r="82" spans="1:10" x14ac:dyDescent="0.2">
      <c r="A82" s="32" t="s">
        <v>65</v>
      </c>
      <c r="B82" s="32"/>
      <c r="C82" s="22"/>
      <c r="D82" s="28"/>
      <c r="E82" s="28"/>
      <c r="F82" s="97">
        <f>+[8]Main!$E25</f>
        <v>0</v>
      </c>
      <c r="G82" s="1"/>
      <c r="H82" s="57">
        <f>+H80-H81</f>
        <v>0</v>
      </c>
      <c r="I82" s="30"/>
      <c r="J82" s="57">
        <f>+J80-J81</f>
        <v>0</v>
      </c>
    </row>
    <row r="83" spans="1:10" x14ac:dyDescent="0.2">
      <c r="A83" s="32" t="s">
        <v>67</v>
      </c>
      <c r="B83" s="32"/>
      <c r="C83" s="22"/>
      <c r="D83" s="28"/>
      <c r="E83" s="28"/>
      <c r="F83" s="97">
        <f>+[8]Main!$F25</f>
        <v>0</v>
      </c>
      <c r="G83" s="1"/>
      <c r="H83" s="30"/>
      <c r="I83" s="30"/>
      <c r="J83" s="30"/>
    </row>
    <row r="84" spans="1:10" x14ac:dyDescent="0.2">
      <c r="A84" s="88" t="s">
        <v>35</v>
      </c>
      <c r="B84" s="78"/>
      <c r="C84" s="89"/>
      <c r="D84" s="90"/>
      <c r="E84" s="91"/>
      <c r="F84" s="54">
        <f>+[8]Main!$C83</f>
        <v>13280.58</v>
      </c>
      <c r="G84" s="1"/>
      <c r="H84" s="30"/>
      <c r="I84" s="30"/>
      <c r="J84" s="30"/>
    </row>
    <row r="85" spans="1:10" ht="13.5" thickBot="1" x14ac:dyDescent="0.25">
      <c r="A85" s="98"/>
      <c r="B85" s="99"/>
      <c r="C85" s="100" t="s">
        <v>29</v>
      </c>
      <c r="D85" s="101"/>
      <c r="E85" s="102"/>
      <c r="F85" s="103">
        <f>SUM(F80:F84)</f>
        <v>13280.58</v>
      </c>
      <c r="G85" s="1"/>
      <c r="H85" s="30"/>
      <c r="I85" s="30"/>
      <c r="J85" s="30"/>
    </row>
    <row r="86" spans="1:10" ht="13.5" thickBot="1" x14ac:dyDescent="0.25">
      <c r="A86" s="104"/>
      <c r="B86" s="105"/>
      <c r="C86" s="106" t="s">
        <v>53</v>
      </c>
      <c r="D86" s="107"/>
      <c r="E86" s="108"/>
      <c r="F86" s="109">
        <f>+F85+F76</f>
        <v>7681102.9299999997</v>
      </c>
      <c r="G86" s="1"/>
      <c r="H86" s="57" t="s">
        <v>54</v>
      </c>
      <c r="I86" s="30"/>
      <c r="J86" s="30"/>
    </row>
    <row r="87" spans="1:10" x14ac:dyDescent="0.2">
      <c r="A87" s="11"/>
      <c r="B87" s="12"/>
      <c r="C87" s="9"/>
      <c r="D87" s="29"/>
      <c r="E87" s="29"/>
      <c r="F87" s="110"/>
      <c r="G87" s="1"/>
      <c r="H87" s="57">
        <f>+[8]Main!$G25</f>
        <v>0</v>
      </c>
      <c r="I87" s="30"/>
      <c r="J87" s="30"/>
    </row>
    <row r="88" spans="1:10" x14ac:dyDescent="0.2">
      <c r="A88" s="11"/>
      <c r="B88" s="12"/>
      <c r="C88" s="9"/>
      <c r="D88" s="29"/>
      <c r="E88" s="29"/>
      <c r="F88" s="110"/>
      <c r="G88" s="1"/>
      <c r="H88" s="57">
        <f>SUM(F80:F83)</f>
        <v>0</v>
      </c>
      <c r="I88" s="30"/>
      <c r="J88" s="30"/>
    </row>
    <row r="89" spans="1:10" x14ac:dyDescent="0.2">
      <c r="A89" s="1"/>
      <c r="B89" s="1"/>
      <c r="C89" s="7"/>
      <c r="D89" s="26"/>
      <c r="E89" s="26"/>
      <c r="F89" s="86">
        <f>+F85+F76</f>
        <v>7681102.9299999997</v>
      </c>
      <c r="G89" s="1"/>
      <c r="H89" s="57">
        <f>+H87-H88</f>
        <v>0</v>
      </c>
      <c r="I89" s="30"/>
      <c r="J89" s="30"/>
    </row>
    <row r="90" spans="1:10" x14ac:dyDescent="0.2">
      <c r="A90" s="1"/>
      <c r="B90" s="1"/>
      <c r="C90" s="7"/>
      <c r="D90" s="26"/>
      <c r="E90" s="26"/>
      <c r="F90" s="86">
        <f>+[1]Main!$F769</f>
        <v>7681102.9299999997</v>
      </c>
      <c r="G90" s="1"/>
      <c r="H90" s="30"/>
      <c r="I90" s="30"/>
      <c r="J90" s="30"/>
    </row>
    <row r="91" spans="1:10" x14ac:dyDescent="0.2">
      <c r="A91" s="1"/>
      <c r="B91" s="1"/>
      <c r="C91" s="7"/>
      <c r="D91" s="26"/>
      <c r="E91" s="86">
        <f>+E76+[1]Main!$E769</f>
        <v>0</v>
      </c>
      <c r="F91" s="86">
        <f>+F90-F89</f>
        <v>0</v>
      </c>
      <c r="G91" s="1"/>
      <c r="H91" s="30"/>
      <c r="I91" s="30"/>
      <c r="J91" s="30"/>
    </row>
    <row r="92" spans="1:10" x14ac:dyDescent="0.2">
      <c r="A92" s="59"/>
      <c r="B92" s="59"/>
      <c r="C92" s="85"/>
      <c r="D92" s="86"/>
      <c r="E92" s="86"/>
      <c r="F92" s="86"/>
      <c r="G92" s="59"/>
      <c r="H92" s="57"/>
      <c r="I92" s="57"/>
      <c r="J92" s="57"/>
    </row>
    <row r="93" spans="1:10" x14ac:dyDescent="0.2">
      <c r="A93" s="59"/>
      <c r="B93" s="59"/>
      <c r="C93" s="85"/>
      <c r="D93" s="86"/>
      <c r="E93" s="86"/>
      <c r="F93" s="86"/>
      <c r="G93" s="59"/>
      <c r="H93" s="57"/>
      <c r="I93" s="57"/>
      <c r="J93" s="57"/>
    </row>
    <row r="94" spans="1:10" x14ac:dyDescent="0.2">
      <c r="A94" s="59"/>
      <c r="B94" s="59"/>
      <c r="C94" s="85"/>
      <c r="D94" s="86"/>
      <c r="E94" s="86"/>
      <c r="F94" s="86"/>
      <c r="G94" s="59"/>
      <c r="H94" s="111" t="s">
        <v>55</v>
      </c>
      <c r="I94" s="57"/>
      <c r="J94" s="57"/>
    </row>
    <row r="95" spans="1:10" x14ac:dyDescent="0.2">
      <c r="G95" s="59"/>
      <c r="H95" s="113"/>
      <c r="I95" s="112"/>
      <c r="J95" s="112"/>
    </row>
    <row r="96" spans="1:10" x14ac:dyDescent="0.2">
      <c r="G96" s="59"/>
      <c r="H96" s="112"/>
      <c r="I96" s="112"/>
      <c r="J96" s="112"/>
    </row>
    <row r="97" spans="7:10" x14ac:dyDescent="0.2">
      <c r="G97" s="59"/>
      <c r="H97" s="112"/>
      <c r="I97" s="112"/>
      <c r="J97" s="112"/>
    </row>
    <row r="98" spans="7:10" x14ac:dyDescent="0.2">
      <c r="G98" s="59"/>
      <c r="H98" s="112"/>
      <c r="I98" s="112"/>
      <c r="J98" s="112"/>
    </row>
    <row r="99" spans="7:10" x14ac:dyDescent="0.2">
      <c r="G99" s="59"/>
      <c r="H99" s="112"/>
      <c r="I99" s="112"/>
      <c r="J99" s="112"/>
    </row>
    <row r="100" spans="7:10" x14ac:dyDescent="0.2">
      <c r="G100" s="59"/>
      <c r="H100" s="71"/>
      <c r="I100" s="112"/>
      <c r="J100" s="112"/>
    </row>
  </sheetData>
  <mergeCells count="1">
    <mergeCell ref="D19:E19"/>
  </mergeCells>
  <phoneticPr fontId="0" type="noConversion"/>
  <printOptions horizontalCentered="1" verticalCentered="1"/>
  <pageMargins left="0.5" right="0.25" top="0.5" bottom="0.5" header="0.5" footer="0.5"/>
  <pageSetup scale="89" orientation="portrait" horizontalDpi="1200" r:id="rId1"/>
  <headerFooter alignWithMargins="0">
    <oddHeader>&amp;R&amp;8Current as of: &amp;D</oddHeader>
    <oddFooter>&amp;L&amp;8USOE, Finance and Statistics&amp;R&amp;8&amp;F</oddFooter>
  </headerFooter>
  <picture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J101"/>
  <sheetViews>
    <sheetView topLeftCell="A43" workbookViewId="0">
      <selection activeCell="B24" sqref="B24"/>
    </sheetView>
  </sheetViews>
  <sheetFormatPr defaultColWidth="18.28515625" defaultRowHeight="12.75" x14ac:dyDescent="0.2"/>
  <cols>
    <col min="1" max="1" width="27" style="75" customWidth="1"/>
    <col min="2" max="2" width="16.7109375" style="75" customWidth="1"/>
    <col min="3" max="3" width="15.85546875" style="75" customWidth="1"/>
    <col min="4" max="4" width="16.28515625" style="75" customWidth="1"/>
    <col min="5" max="5" width="15.5703125" style="75" customWidth="1"/>
    <col min="6" max="6" width="17.42578125" style="75" customWidth="1"/>
    <col min="7" max="7" width="5.7109375" style="75" customWidth="1"/>
    <col min="8" max="8" width="21.5703125" style="75" customWidth="1"/>
    <col min="9" max="9" width="5" style="75" customWidth="1"/>
    <col min="10" max="10" width="20.85546875" style="75" customWidth="1"/>
    <col min="11" max="16384" width="18.28515625" style="75"/>
  </cols>
  <sheetData>
    <row r="1" spans="1:10" x14ac:dyDescent="0.2">
      <c r="A1" s="8"/>
      <c r="B1" s="8"/>
      <c r="C1" s="8"/>
      <c r="D1" s="8"/>
      <c r="E1" s="8"/>
      <c r="F1" s="8"/>
      <c r="G1" s="8"/>
      <c r="H1" s="8"/>
      <c r="I1" s="8"/>
      <c r="J1" s="8"/>
    </row>
    <row r="2" spans="1:10" x14ac:dyDescent="0.2">
      <c r="A2" s="8"/>
      <c r="B2" s="8"/>
      <c r="C2" s="8"/>
      <c r="D2" s="8"/>
      <c r="E2" s="8"/>
      <c r="F2" s="8"/>
      <c r="G2" s="8"/>
      <c r="H2" s="8"/>
      <c r="I2" s="8"/>
      <c r="J2" s="8"/>
    </row>
    <row r="3" spans="1:10" x14ac:dyDescent="0.2">
      <c r="A3" s="8"/>
      <c r="B3" s="8"/>
      <c r="C3" s="8"/>
      <c r="D3" s="8"/>
      <c r="E3" s="8"/>
      <c r="F3" s="8"/>
      <c r="G3" s="8"/>
      <c r="H3" s="8"/>
      <c r="I3" s="8"/>
      <c r="J3" s="8"/>
    </row>
    <row r="4" spans="1:10" x14ac:dyDescent="0.2">
      <c r="A4" s="8"/>
      <c r="B4" s="8"/>
      <c r="C4" s="8"/>
      <c r="D4" s="8"/>
      <c r="E4" s="8"/>
      <c r="F4" s="8"/>
      <c r="G4" s="8"/>
      <c r="H4" s="8"/>
      <c r="I4" s="8"/>
      <c r="J4" s="8"/>
    </row>
    <row r="5" spans="1:10" x14ac:dyDescent="0.2">
      <c r="A5" s="8"/>
      <c r="B5" s="8"/>
      <c r="C5" s="8"/>
      <c r="D5" s="8"/>
      <c r="E5" s="8"/>
      <c r="F5" s="8"/>
      <c r="G5" s="8"/>
      <c r="H5" s="8"/>
      <c r="I5" s="8"/>
      <c r="J5" s="8"/>
    </row>
    <row r="6" spans="1:10" x14ac:dyDescent="0.2">
      <c r="A6" s="8"/>
      <c r="B6" s="8"/>
      <c r="C6" s="8"/>
      <c r="D6" s="8"/>
      <c r="E6" s="8"/>
      <c r="F6" s="8"/>
      <c r="G6" s="8"/>
      <c r="H6" s="8"/>
      <c r="I6" s="8"/>
      <c r="J6" s="8"/>
    </row>
    <row r="7" spans="1:10" x14ac:dyDescent="0.2">
      <c r="A7" s="8"/>
      <c r="B7" s="8"/>
      <c r="C7" s="8"/>
      <c r="D7" s="8"/>
      <c r="E7" s="8"/>
      <c r="F7" s="8"/>
      <c r="G7" s="8"/>
      <c r="H7" s="8"/>
      <c r="I7" s="8"/>
      <c r="J7" s="8"/>
    </row>
    <row r="8" spans="1:10" x14ac:dyDescent="0.2">
      <c r="A8" s="8"/>
      <c r="B8" s="8"/>
      <c r="C8" s="8"/>
      <c r="D8" s="8"/>
      <c r="E8" s="8"/>
      <c r="F8" s="8"/>
      <c r="G8" s="8"/>
      <c r="H8" s="8"/>
      <c r="I8" s="8"/>
      <c r="J8" s="8"/>
    </row>
    <row r="9" spans="1:10" x14ac:dyDescent="0.2">
      <c r="A9" s="8"/>
      <c r="B9" s="8"/>
      <c r="C9" s="8"/>
      <c r="D9" s="8"/>
      <c r="E9" s="8"/>
      <c r="F9" s="8"/>
      <c r="G9" s="8"/>
      <c r="H9" s="8"/>
      <c r="I9" s="8"/>
      <c r="J9" s="8"/>
    </row>
    <row r="10" spans="1:10" x14ac:dyDescent="0.2">
      <c r="A10" s="8"/>
      <c r="B10" s="15"/>
      <c r="C10" s="8"/>
      <c r="D10" s="8"/>
      <c r="E10" s="8"/>
      <c r="F10" s="8"/>
      <c r="G10" s="8"/>
      <c r="H10" s="8"/>
      <c r="I10" s="8"/>
      <c r="J10" s="8"/>
    </row>
    <row r="11" spans="1:10" x14ac:dyDescent="0.2">
      <c r="A11" s="8"/>
      <c r="B11" s="8"/>
      <c r="C11" s="8"/>
      <c r="D11" s="8"/>
      <c r="E11" s="8"/>
      <c r="F11" s="8"/>
      <c r="G11" s="8"/>
      <c r="H11" s="8"/>
      <c r="I11" s="8"/>
      <c r="J11" s="8"/>
    </row>
    <row r="12" spans="1:10" x14ac:dyDescent="0.2">
      <c r="A12" s="8"/>
      <c r="B12" s="8"/>
      <c r="C12" s="8"/>
      <c r="D12" s="8"/>
      <c r="E12" s="8"/>
      <c r="F12" s="8"/>
      <c r="G12" s="8"/>
      <c r="H12" s="8"/>
      <c r="I12" s="8"/>
      <c r="J12" s="8"/>
    </row>
    <row r="13" spans="1:10" x14ac:dyDescent="0.2">
      <c r="A13" s="8"/>
      <c r="B13" s="8"/>
      <c r="C13" s="8"/>
      <c r="D13" s="8"/>
      <c r="E13" s="8"/>
      <c r="F13" s="8"/>
      <c r="G13" s="8"/>
      <c r="H13" s="8"/>
      <c r="I13" s="8"/>
      <c r="J13" s="8"/>
    </row>
    <row r="14" spans="1:10" x14ac:dyDescent="0.2">
      <c r="A14" s="8"/>
      <c r="B14" s="8"/>
      <c r="C14" s="8"/>
      <c r="D14" s="8"/>
      <c r="E14" s="8"/>
      <c r="F14" s="8"/>
      <c r="G14" s="8"/>
      <c r="H14" s="8"/>
      <c r="I14" s="8"/>
      <c r="J14" s="8"/>
    </row>
    <row r="15" spans="1:10" x14ac:dyDescent="0.2">
      <c r="A15" s="8"/>
      <c r="B15" s="8"/>
      <c r="C15" s="8"/>
      <c r="D15" s="8"/>
      <c r="E15" s="8"/>
      <c r="F15" s="8"/>
      <c r="G15" s="8"/>
      <c r="H15" s="8"/>
      <c r="I15" s="8"/>
      <c r="J15" s="8"/>
    </row>
    <row r="16" spans="1:10" x14ac:dyDescent="0.2">
      <c r="A16" s="8"/>
      <c r="B16" s="8"/>
      <c r="C16" s="8"/>
      <c r="D16" s="8"/>
      <c r="E16" s="8"/>
      <c r="F16" s="8"/>
      <c r="G16" s="8"/>
      <c r="H16" s="8"/>
      <c r="I16" s="8"/>
      <c r="J16" s="8"/>
    </row>
    <row r="17" spans="1:10" x14ac:dyDescent="0.2">
      <c r="A17" s="32" t="s">
        <v>0</v>
      </c>
      <c r="B17" s="33">
        <v>3184</v>
      </c>
      <c r="C17" s="34" t="s">
        <v>1</v>
      </c>
      <c r="D17" s="35"/>
      <c r="E17" s="35"/>
      <c r="F17" s="35"/>
      <c r="G17" s="1"/>
      <c r="H17" s="30"/>
      <c r="I17" s="30"/>
      <c r="J17" s="30"/>
    </row>
    <row r="18" spans="1:10" x14ac:dyDescent="0.2">
      <c r="A18" s="32" t="s">
        <v>61</v>
      </c>
      <c r="B18" s="36">
        <f>+[1]Main!$C543</f>
        <v>8.0599999999999997E-4</v>
      </c>
      <c r="C18" s="34" t="s">
        <v>41</v>
      </c>
      <c r="D18" s="35"/>
      <c r="E18" s="35"/>
      <c r="F18" s="35"/>
      <c r="G18" s="1"/>
      <c r="H18" s="30"/>
      <c r="I18" s="30"/>
      <c r="J18" s="30"/>
    </row>
    <row r="19" spans="1:10" x14ac:dyDescent="0.2">
      <c r="A19" s="32" t="s">
        <v>62</v>
      </c>
      <c r="B19" s="36">
        <f>+[1]Main!$C598</f>
        <v>1.92E-3</v>
      </c>
      <c r="C19" s="34" t="s">
        <v>95</v>
      </c>
      <c r="D19" s="35"/>
      <c r="E19" s="37"/>
      <c r="F19" s="35"/>
      <c r="G19" s="1"/>
      <c r="H19" s="30"/>
      <c r="I19" s="30"/>
      <c r="J19" s="30"/>
    </row>
    <row r="20" spans="1:10" x14ac:dyDescent="0.2">
      <c r="A20" s="38" t="s">
        <v>32</v>
      </c>
      <c r="B20" s="39">
        <f>[2]Sheet1!E25</f>
        <v>2410655112</v>
      </c>
      <c r="C20" s="21"/>
      <c r="D20" s="31"/>
      <c r="E20" s="31"/>
      <c r="F20" s="23"/>
      <c r="G20" s="1"/>
      <c r="H20" s="30"/>
      <c r="I20" s="30"/>
      <c r="J20" s="30"/>
    </row>
    <row r="21" spans="1:10" x14ac:dyDescent="0.2">
      <c r="A21" s="32" t="s">
        <v>2</v>
      </c>
      <c r="B21" s="40">
        <f>[2]Sheet1!F25</f>
        <v>0.98509999999999998</v>
      </c>
      <c r="C21" s="7"/>
      <c r="D21" s="41" t="s">
        <v>3</v>
      </c>
      <c r="E21" s="42" t="str">
        <f>+[3]main!B26</f>
        <v>Millard</v>
      </c>
      <c r="F21" s="43">
        <f>+[3]main!A26</f>
        <v>17</v>
      </c>
      <c r="G21" s="1"/>
      <c r="H21" s="30"/>
      <c r="I21" s="30"/>
      <c r="J21" s="30"/>
    </row>
    <row r="22" spans="1:10" x14ac:dyDescent="0.2">
      <c r="A22" s="32" t="s">
        <v>4</v>
      </c>
      <c r="B22" s="44">
        <f>[2]Sheet1!G25</f>
        <v>1.6750000000000001E-3</v>
      </c>
      <c r="C22" s="8"/>
      <c r="D22" s="24"/>
      <c r="E22" s="25"/>
      <c r="F22" s="24"/>
      <c r="G22" s="1"/>
      <c r="H22" s="30"/>
      <c r="I22" s="30"/>
      <c r="J22" s="30"/>
    </row>
    <row r="23" spans="1:10" x14ac:dyDescent="0.2">
      <c r="A23" s="32" t="s">
        <v>5</v>
      </c>
      <c r="B23" s="45">
        <f>[2]Sheet1!$C$81</f>
        <v>4311692</v>
      </c>
      <c r="C23" s="46"/>
      <c r="D23" s="47" t="s">
        <v>38</v>
      </c>
      <c r="E23" s="48" t="s">
        <v>7</v>
      </c>
      <c r="F23" s="47" t="s">
        <v>6</v>
      </c>
      <c r="G23" s="1"/>
      <c r="H23" s="30"/>
      <c r="I23" s="30"/>
      <c r="J23" s="30"/>
    </row>
    <row r="24" spans="1:10" x14ac:dyDescent="0.2">
      <c r="A24" s="32" t="s">
        <v>8</v>
      </c>
      <c r="B24" s="45">
        <f>+B23</f>
        <v>4311692</v>
      </c>
      <c r="C24" s="49"/>
      <c r="D24" s="50" t="s">
        <v>9</v>
      </c>
      <c r="E24" s="50" t="s">
        <v>37</v>
      </c>
      <c r="F24" s="50" t="s">
        <v>10</v>
      </c>
      <c r="G24" s="1"/>
      <c r="H24" s="30"/>
      <c r="I24" s="30"/>
      <c r="J24" s="30"/>
    </row>
    <row r="25" spans="1:10" x14ac:dyDescent="0.2">
      <c r="A25" s="32" t="s">
        <v>11</v>
      </c>
      <c r="B25" s="45">
        <v>0</v>
      </c>
      <c r="C25" s="51" t="s">
        <v>39</v>
      </c>
      <c r="D25" s="52" t="s">
        <v>12</v>
      </c>
      <c r="E25" s="52" t="s">
        <v>9</v>
      </c>
      <c r="F25" s="52" t="s">
        <v>9</v>
      </c>
      <c r="G25" s="1"/>
      <c r="H25" s="30"/>
      <c r="I25" s="30"/>
      <c r="J25" s="30"/>
    </row>
    <row r="26" spans="1:10" x14ac:dyDescent="0.2">
      <c r="A26" s="32" t="s">
        <v>70</v>
      </c>
      <c r="B26" s="45">
        <f>'[4]LRF FY17'!U23</f>
        <v>39936</v>
      </c>
      <c r="C26" s="53"/>
      <c r="D26" s="54"/>
      <c r="E26" s="54"/>
      <c r="F26" s="54" t="s">
        <v>14</v>
      </c>
      <c r="G26" s="1"/>
      <c r="H26" s="30"/>
      <c r="I26" s="30"/>
      <c r="J26" s="30"/>
    </row>
    <row r="27" spans="1:10" x14ac:dyDescent="0.2">
      <c r="A27" s="55" t="s">
        <v>13</v>
      </c>
      <c r="B27" s="56"/>
      <c r="C27" s="53"/>
      <c r="D27" s="54"/>
      <c r="E27" s="54"/>
      <c r="F27" s="54"/>
      <c r="G27" s="2"/>
      <c r="H27" s="30"/>
      <c r="I27" s="30"/>
      <c r="J27" s="30"/>
    </row>
    <row r="28" spans="1:10" x14ac:dyDescent="0.2">
      <c r="A28" s="55" t="s">
        <v>15</v>
      </c>
      <c r="B28" s="56"/>
      <c r="C28" s="53"/>
      <c r="D28" s="54"/>
      <c r="E28" s="54"/>
      <c r="F28" s="54"/>
      <c r="G28" s="2"/>
      <c r="H28" s="57" t="s">
        <v>43</v>
      </c>
      <c r="I28" s="30"/>
      <c r="J28" s="57" t="s">
        <v>45</v>
      </c>
    </row>
    <row r="29" spans="1:10" x14ac:dyDescent="0.2">
      <c r="A29" s="58" t="s">
        <v>16</v>
      </c>
      <c r="B29" s="59"/>
      <c r="C29" s="60">
        <f>[3]main!C200-[3]main!F142</f>
        <v>2613.1590000000001</v>
      </c>
      <c r="D29" s="61">
        <f>[3]main!E200-[3]main!H142</f>
        <v>8320297.5599999996</v>
      </c>
      <c r="E29" s="62">
        <f>IF(B24&gt;D29,D29,B24)</f>
        <v>4311692</v>
      </c>
      <c r="F29" s="62">
        <f>D29-E29</f>
        <v>4008605.56</v>
      </c>
      <c r="G29" s="1"/>
      <c r="H29" s="57">
        <f>[3]main!H259</f>
        <v>10984596.6</v>
      </c>
      <c r="I29" s="30"/>
      <c r="J29" s="57">
        <f>'[5]Sheet 1'!E83</f>
        <v>14123328.74</v>
      </c>
    </row>
    <row r="30" spans="1:10" x14ac:dyDescent="0.2">
      <c r="A30" s="58" t="s">
        <v>17</v>
      </c>
      <c r="B30" s="59"/>
      <c r="C30" s="53">
        <f>[3]main!F142</f>
        <v>471.161</v>
      </c>
      <c r="D30" s="54">
        <f>[3]main!H142</f>
        <v>1500178.02</v>
      </c>
      <c r="E30" s="54">
        <f>IF(B23-SUM(E27:E29)&gt;D30,D30,B23-SUM(E27:E29))</f>
        <v>0</v>
      </c>
      <c r="F30" s="54">
        <f>D30-E30</f>
        <v>1500178.02</v>
      </c>
      <c r="G30" s="1"/>
      <c r="H30" s="57">
        <f>SUM(D29:D33)</f>
        <v>10984596.6</v>
      </c>
      <c r="I30" s="30"/>
      <c r="J30" s="57">
        <f>D44</f>
        <v>14123328.74</v>
      </c>
    </row>
    <row r="31" spans="1:10" x14ac:dyDescent="0.2">
      <c r="A31" s="58" t="s">
        <v>18</v>
      </c>
      <c r="B31" s="59"/>
      <c r="C31" s="53">
        <f>[3]main!F200</f>
        <v>305.61599999999999</v>
      </c>
      <c r="D31" s="54">
        <f>[3]main!H200</f>
        <v>973081.02</v>
      </c>
      <c r="E31" s="54">
        <f>IF(B24-SUM(E29:E30)&gt;D31,D31,B24-SUM(E29:E30))</f>
        <v>0</v>
      </c>
      <c r="F31" s="54">
        <f>D31-E31</f>
        <v>973081.02</v>
      </c>
      <c r="G31" s="1"/>
      <c r="H31" s="57">
        <f>+H29-H30</f>
        <v>0</v>
      </c>
      <c r="I31" s="30"/>
      <c r="J31" s="57">
        <f>+J29-J30</f>
        <v>0</v>
      </c>
    </row>
    <row r="32" spans="1:10" x14ac:dyDescent="0.2">
      <c r="A32" s="58" t="s">
        <v>19</v>
      </c>
      <c r="B32" s="59"/>
      <c r="C32" s="53">
        <f>[3]main!C259</f>
        <v>60</v>
      </c>
      <c r="D32" s="54">
        <f>[3]main!E259</f>
        <v>191040</v>
      </c>
      <c r="E32" s="54">
        <f>IF(B24-SUM(E29:E31)&gt;D32,D32,B24-SUM(E29:E31))</f>
        <v>0</v>
      </c>
      <c r="F32" s="54">
        <f>D32-E32</f>
        <v>191040</v>
      </c>
      <c r="G32" s="1"/>
      <c r="H32" s="30"/>
      <c r="I32" s="30"/>
      <c r="J32" s="30"/>
    </row>
    <row r="33" spans="1:10" x14ac:dyDescent="0.2">
      <c r="A33" s="58" t="s">
        <v>42</v>
      </c>
      <c r="B33" s="59"/>
      <c r="C33" s="53">
        <f>[3]main!C83</f>
        <v>0</v>
      </c>
      <c r="D33" s="54">
        <f>[3]main!E83</f>
        <v>0</v>
      </c>
      <c r="E33" s="54">
        <f>IF(B24-SUM(E29:E32)&gt;D33,D33,B24-SUM(E29:E32))</f>
        <v>0</v>
      </c>
      <c r="F33" s="54">
        <f>D33-E33</f>
        <v>0</v>
      </c>
      <c r="G33" s="1"/>
      <c r="H33" s="30"/>
      <c r="I33" s="30"/>
      <c r="J33" s="30"/>
    </row>
    <row r="34" spans="1:10" x14ac:dyDescent="0.2">
      <c r="A34" s="55" t="s">
        <v>20</v>
      </c>
      <c r="B34" s="56"/>
      <c r="C34" s="63"/>
      <c r="D34" s="64"/>
      <c r="E34" s="64"/>
      <c r="F34" s="64" t="s">
        <v>14</v>
      </c>
      <c r="G34" s="1"/>
      <c r="H34" s="57" t="s">
        <v>44</v>
      </c>
      <c r="I34" s="30"/>
      <c r="J34" s="30"/>
    </row>
    <row r="35" spans="1:10" x14ac:dyDescent="0.2">
      <c r="A35" s="58" t="s">
        <v>21</v>
      </c>
      <c r="B35" s="59"/>
      <c r="C35" s="53">
        <f>'[6]Sheet 1'!C25</f>
        <v>458.34500000000003</v>
      </c>
      <c r="D35" s="54">
        <f>'[6]Sheet 1'!E25</f>
        <v>1459371.03</v>
      </c>
      <c r="E35" s="54">
        <f>IF(B24-SUM(E29:E34)&gt;D35,D35,B24-SUM(E29:E34))</f>
        <v>0</v>
      </c>
      <c r="F35" s="54">
        <f t="shared" ref="F35:F43" si="0">D35-E35</f>
        <v>1459371.03</v>
      </c>
      <c r="G35" s="1"/>
      <c r="H35" s="57">
        <f>'[6]Sheet 1'!N141</f>
        <v>1872796.28</v>
      </c>
      <c r="I35" s="30"/>
      <c r="J35" s="30"/>
    </row>
    <row r="36" spans="1:10" x14ac:dyDescent="0.2">
      <c r="A36" s="59" t="s">
        <v>22</v>
      </c>
      <c r="B36" s="59"/>
      <c r="C36" s="53">
        <f>'[6]Sheet 1'!F25</f>
        <v>35.15</v>
      </c>
      <c r="D36" s="54">
        <f>'[6]Sheet 1'!H25</f>
        <v>111917.6</v>
      </c>
      <c r="E36" s="54">
        <f>IF(B24-SUM(E29:E35)&gt;D36,D36,B24-SUM(E29:E35))</f>
        <v>0</v>
      </c>
      <c r="F36" s="54">
        <f t="shared" si="0"/>
        <v>111917.6</v>
      </c>
      <c r="G36" s="1"/>
      <c r="H36" s="57">
        <f>SUM(D35:D41)</f>
        <v>1872796.28</v>
      </c>
      <c r="I36" s="30"/>
      <c r="J36" s="30"/>
    </row>
    <row r="37" spans="1:10" x14ac:dyDescent="0.2">
      <c r="A37" s="59" t="s">
        <v>23</v>
      </c>
      <c r="B37" s="59"/>
      <c r="C37" s="53">
        <f>'[6]Sheet 1'!C83</f>
        <v>80.849999999999994</v>
      </c>
      <c r="D37" s="54">
        <f>'[6]Sheet 1'!E83</f>
        <v>257426.4</v>
      </c>
      <c r="E37" s="54">
        <f>IF(B24-SUM(E29:E36)&gt;D37,D37,B24-SUM(E29:E36))</f>
        <v>0</v>
      </c>
      <c r="F37" s="54">
        <f t="shared" si="0"/>
        <v>257426.4</v>
      </c>
      <c r="G37" s="1"/>
      <c r="H37" s="57">
        <f>+H35-H36</f>
        <v>0</v>
      </c>
      <c r="I37" s="30"/>
      <c r="J37" s="30"/>
    </row>
    <row r="38" spans="1:10" x14ac:dyDescent="0.2">
      <c r="A38" s="58" t="s">
        <v>24</v>
      </c>
      <c r="B38" s="59"/>
      <c r="C38" s="53">
        <f>'[6]Sheet 1'!F83</f>
        <v>2.726</v>
      </c>
      <c r="D38" s="54">
        <f>'[6]Sheet 1'!H83</f>
        <v>8679.77</v>
      </c>
      <c r="E38" s="54">
        <f>IF(B24-SUM(E29:E37)&gt;D38,D38,B24-SUM(E29:E37))</f>
        <v>0</v>
      </c>
      <c r="F38" s="54">
        <f t="shared" si="0"/>
        <v>8679.77</v>
      </c>
      <c r="G38" s="1"/>
      <c r="H38" s="30"/>
      <c r="I38" s="30"/>
      <c r="J38" s="30"/>
    </row>
    <row r="39" spans="1:10" x14ac:dyDescent="0.2">
      <c r="A39" s="59" t="s">
        <v>71</v>
      </c>
      <c r="B39" s="59"/>
      <c r="C39" s="53">
        <f>'[6]Sheet 1'!C141</f>
        <v>11.119</v>
      </c>
      <c r="D39" s="54">
        <f>'[6]Sheet 1'!E141</f>
        <v>35401.480000000003</v>
      </c>
      <c r="E39" s="54">
        <f>IF(B24-SUM(E29:E38)&gt;D39,D39,B24-SUM(E29:E38))</f>
        <v>0</v>
      </c>
      <c r="F39" s="54">
        <f t="shared" si="0"/>
        <v>35401.480000000003</v>
      </c>
      <c r="G39" s="1"/>
      <c r="H39" s="30"/>
      <c r="I39" s="30"/>
      <c r="J39" s="30"/>
    </row>
    <row r="40" spans="1:10" x14ac:dyDescent="0.2">
      <c r="A40" s="59" t="s">
        <v>57</v>
      </c>
      <c r="B40" s="59"/>
      <c r="C40" s="53">
        <f>'[6]Sheet 1'!F141</f>
        <v>0</v>
      </c>
      <c r="D40" s="54">
        <f>'[6]Sheet 1'!H141</f>
        <v>0</v>
      </c>
      <c r="E40" s="54">
        <f>IF(B25-SUM(E30:E39)&gt;D40,D40,B25-SUM(E30:E39))</f>
        <v>0</v>
      </c>
      <c r="F40" s="54">
        <f t="shared" si="0"/>
        <v>0</v>
      </c>
      <c r="G40" s="1"/>
      <c r="H40" s="30"/>
      <c r="I40" s="30"/>
      <c r="J40" s="30"/>
    </row>
    <row r="41" spans="1:10" x14ac:dyDescent="0.2">
      <c r="A41" s="59" t="s">
        <v>64</v>
      </c>
      <c r="B41" s="59"/>
      <c r="C41" s="53">
        <f>'[6]Sheet 1'!I141</f>
        <v>0</v>
      </c>
      <c r="D41" s="54">
        <f>'[6]Sheet 1'!K141</f>
        <v>0</v>
      </c>
      <c r="E41" s="54">
        <f>IF(B27-SUM(E31:E40)&gt;D41,D41,B27-SUM(E31:E40))</f>
        <v>0</v>
      </c>
      <c r="F41" s="54">
        <f t="shared" si="0"/>
        <v>0</v>
      </c>
      <c r="G41" s="1"/>
      <c r="H41" s="57" t="s">
        <v>46</v>
      </c>
      <c r="I41" s="30"/>
      <c r="J41" s="30"/>
    </row>
    <row r="42" spans="1:10" x14ac:dyDescent="0.2">
      <c r="A42" s="59" t="s">
        <v>58</v>
      </c>
      <c r="B42" s="59"/>
      <c r="C42" s="53">
        <f>'[6]Sheet 1'!C199</f>
        <v>229.649</v>
      </c>
      <c r="D42" s="54">
        <f>'[6]Sheet 1'!E199</f>
        <v>731204.43</v>
      </c>
      <c r="E42" s="54">
        <f>IF(B24-SUM(E29:E39)&gt;D42,D42,B24-SUM(E29:E39))</f>
        <v>0</v>
      </c>
      <c r="F42" s="54">
        <f t="shared" si="0"/>
        <v>731204.43</v>
      </c>
      <c r="G42" s="4"/>
      <c r="H42" s="57">
        <f>+'[6]Sheet 1'!E199</f>
        <v>731204.43</v>
      </c>
      <c r="I42" s="30"/>
      <c r="J42" s="30"/>
    </row>
    <row r="43" spans="1:10" x14ac:dyDescent="0.2">
      <c r="A43" s="58" t="s">
        <v>59</v>
      </c>
      <c r="B43" s="59"/>
      <c r="C43" s="53">
        <f>'[5]Sheet 1'!C25</f>
        <v>167.94300000000001</v>
      </c>
      <c r="D43" s="54">
        <f>'[5]Sheet 1'!E25</f>
        <v>534731.43000000005</v>
      </c>
      <c r="E43" s="54">
        <f>IF(B24-SUM(E29:E42)&gt;D43,D43,B24-SUM(E29:E42))</f>
        <v>0</v>
      </c>
      <c r="F43" s="54">
        <f t="shared" si="0"/>
        <v>534731.43000000005</v>
      </c>
      <c r="G43" s="5"/>
      <c r="H43" s="57">
        <f>+D42</f>
        <v>731204.43</v>
      </c>
      <c r="I43" s="30"/>
      <c r="J43" s="30"/>
    </row>
    <row r="44" spans="1:10" x14ac:dyDescent="0.2">
      <c r="A44" s="65" t="s">
        <v>28</v>
      </c>
      <c r="B44" s="56"/>
      <c r="C44" s="66">
        <f>SUM(C29:C43)</f>
        <v>4435.7179999999998</v>
      </c>
      <c r="D44" s="67">
        <f>SUM(D29:D43)</f>
        <v>14123328.74</v>
      </c>
      <c r="E44" s="67">
        <f>SUM(E29:E43)</f>
        <v>4311692</v>
      </c>
      <c r="F44" s="67">
        <f>SUM(F29:F43)</f>
        <v>9811636.7400000002</v>
      </c>
      <c r="G44" s="1"/>
      <c r="H44" s="57">
        <f>+H42-H43</f>
        <v>0</v>
      </c>
      <c r="I44" s="30"/>
      <c r="J44" s="30"/>
    </row>
    <row r="45" spans="1:10" x14ac:dyDescent="0.2">
      <c r="A45" s="68" t="s">
        <v>26</v>
      </c>
      <c r="B45" s="56"/>
      <c r="C45" s="69"/>
      <c r="D45" s="54"/>
      <c r="E45" s="54"/>
      <c r="F45" s="54"/>
      <c r="G45" s="1"/>
      <c r="H45" s="57" t="s">
        <v>47</v>
      </c>
      <c r="I45" s="30"/>
      <c r="J45" s="57" t="s">
        <v>52</v>
      </c>
    </row>
    <row r="46" spans="1:10" x14ac:dyDescent="0.2">
      <c r="A46" s="58" t="s">
        <v>56</v>
      </c>
      <c r="B46" s="59"/>
      <c r="C46" s="20"/>
      <c r="D46" s="70">
        <f>[1]Main!F26</f>
        <v>40936.01</v>
      </c>
      <c r="E46" s="54">
        <f>IF($B24-SUM($E44)&gt;D46,D46,$B24-SUM($E44))</f>
        <v>0</v>
      </c>
      <c r="F46" s="54">
        <f t="shared" ref="F46:F64" si="1">D46-E46</f>
        <v>40936.01</v>
      </c>
      <c r="G46" s="1"/>
      <c r="H46" s="57">
        <f>[1]Main!G26</f>
        <v>712309.76000000001</v>
      </c>
      <c r="I46" s="30"/>
      <c r="J46" s="57">
        <f>+[1]Main!D487</f>
        <v>2771562.33</v>
      </c>
    </row>
    <row r="47" spans="1:10" x14ac:dyDescent="0.2">
      <c r="A47" s="59" t="s">
        <v>25</v>
      </c>
      <c r="B47" s="59"/>
      <c r="C47" s="20"/>
      <c r="D47" s="70">
        <f>[1]Main!C26</f>
        <v>671373.75</v>
      </c>
      <c r="E47" s="54">
        <f>IF($B24-SUM($E44:E46)&gt;D47,D47,B24-SUM($E44:E46))</f>
        <v>0</v>
      </c>
      <c r="F47" s="54">
        <f t="shared" si="1"/>
        <v>671373.75</v>
      </c>
      <c r="G47" s="1"/>
      <c r="H47" s="57">
        <f>SUM(D46:D48)</f>
        <v>712309.76000000001</v>
      </c>
      <c r="I47" s="30"/>
      <c r="J47" s="57">
        <f>SUM(D46:D73)-E59</f>
        <v>2771562.32</v>
      </c>
    </row>
    <row r="48" spans="1:10" x14ac:dyDescent="0.2">
      <c r="A48" s="71" t="s">
        <v>27</v>
      </c>
      <c r="B48" s="59"/>
      <c r="C48" s="20"/>
      <c r="D48" s="70">
        <f>[1]Main!D26</f>
        <v>0</v>
      </c>
      <c r="E48" s="54">
        <f>IF($B24-SUM($E44:E47)&gt;D48,D48,$B24-SUM($E44:E47))</f>
        <v>0</v>
      </c>
      <c r="F48" s="54">
        <f>D48-E48</f>
        <v>0</v>
      </c>
      <c r="G48" s="1"/>
      <c r="H48" s="57">
        <f>+H46-H47</f>
        <v>0</v>
      </c>
      <c r="I48" s="30"/>
      <c r="J48" s="57">
        <f>+J46-J47</f>
        <v>0.01</v>
      </c>
    </row>
    <row r="49" spans="1:10" x14ac:dyDescent="0.2">
      <c r="A49" s="72" t="s">
        <v>72</v>
      </c>
      <c r="B49" s="59"/>
      <c r="C49" s="20"/>
      <c r="D49" s="70">
        <f>[1]Main!E26</f>
        <v>0</v>
      </c>
      <c r="E49" s="54">
        <f>IF($B25-SUM($E45:E48)&gt;D49,D49,$B25-SUM($E45:E48))</f>
        <v>0</v>
      </c>
      <c r="F49" s="54">
        <f>D49-E49</f>
        <v>0</v>
      </c>
      <c r="G49" s="1"/>
      <c r="H49" s="30"/>
      <c r="I49" s="30"/>
      <c r="J49" s="30"/>
    </row>
    <row r="50" spans="1:10" x14ac:dyDescent="0.2">
      <c r="A50" s="72" t="s">
        <v>73</v>
      </c>
      <c r="B50" s="59"/>
      <c r="C50" s="20"/>
      <c r="D50" s="54">
        <f>+[1]Main!$F142</f>
        <v>12922.5</v>
      </c>
      <c r="E50" s="54">
        <f>IF($B24-SUM($E44:E48)&gt;D50,D50,$B24-SUM($E44:E48))</f>
        <v>0</v>
      </c>
      <c r="F50" s="54">
        <f t="shared" si="1"/>
        <v>12922.5</v>
      </c>
      <c r="G50" s="1"/>
      <c r="H50" s="30"/>
      <c r="I50" s="30"/>
      <c r="J50" s="30"/>
    </row>
    <row r="51" spans="1:10" x14ac:dyDescent="0.2">
      <c r="A51" s="71" t="s">
        <v>74</v>
      </c>
      <c r="B51" s="59"/>
      <c r="C51" s="20"/>
      <c r="D51" s="54">
        <f>+[1]Main!$C84</f>
        <v>112725</v>
      </c>
      <c r="E51" s="54">
        <f>IF($B24-SUM($E44:E50)&gt;D51,D51,$B24-SUM($E44:E50))</f>
        <v>0</v>
      </c>
      <c r="F51" s="54">
        <f t="shared" si="1"/>
        <v>112725</v>
      </c>
      <c r="G51" s="1"/>
      <c r="H51" s="30"/>
      <c r="I51" s="30"/>
      <c r="J51" s="30"/>
    </row>
    <row r="52" spans="1:10" x14ac:dyDescent="0.2">
      <c r="A52" s="71" t="s">
        <v>75</v>
      </c>
      <c r="B52" s="59"/>
      <c r="C52" s="20"/>
      <c r="D52" s="54">
        <f>+[1]Main!$D84</f>
        <v>0</v>
      </c>
      <c r="E52" s="54">
        <f>IF($B24-SUM($E44:E51)&gt;D52,D52,$B24-SUM($E44:E51))</f>
        <v>0</v>
      </c>
      <c r="F52" s="54">
        <f t="shared" si="1"/>
        <v>0</v>
      </c>
      <c r="G52" s="1"/>
      <c r="H52" s="30"/>
      <c r="I52" s="30"/>
      <c r="J52" s="30"/>
    </row>
    <row r="53" spans="1:10" x14ac:dyDescent="0.2">
      <c r="A53" s="71" t="s">
        <v>76</v>
      </c>
      <c r="B53" s="59"/>
      <c r="C53" s="20"/>
      <c r="D53" s="54">
        <f>+[1]Main!$E84</f>
        <v>0</v>
      </c>
      <c r="E53" s="54">
        <f>IF($B24-SUM($E44:E52)&gt;D53,D53,$B24-SUM($E44:E52))</f>
        <v>0</v>
      </c>
      <c r="F53" s="54">
        <f t="shared" si="1"/>
        <v>0</v>
      </c>
      <c r="G53" s="1"/>
      <c r="H53" s="30"/>
      <c r="I53" s="30"/>
      <c r="J53" s="30"/>
    </row>
    <row r="54" spans="1:10" x14ac:dyDescent="0.2">
      <c r="A54" s="71" t="s">
        <v>77</v>
      </c>
      <c r="B54" s="59"/>
      <c r="C54" s="20"/>
      <c r="D54" s="54">
        <f>[1]Main!F84</f>
        <v>49301</v>
      </c>
      <c r="E54" s="54">
        <f>IF($B24-SUM($E44:E53)&gt;D54,D54,$B24-SUM($E44:E53))</f>
        <v>0</v>
      </c>
      <c r="F54" s="54">
        <f t="shared" si="1"/>
        <v>49301</v>
      </c>
      <c r="G54" s="1"/>
      <c r="H54" s="57" t="s">
        <v>48</v>
      </c>
      <c r="I54" s="30"/>
      <c r="J54" s="30"/>
    </row>
    <row r="55" spans="1:10" x14ac:dyDescent="0.2">
      <c r="A55" s="71" t="s">
        <v>79</v>
      </c>
      <c r="B55" s="59"/>
      <c r="C55" s="20"/>
      <c r="D55" s="54">
        <f>[1]Main!G84</f>
        <v>0</v>
      </c>
      <c r="E55" s="54">
        <f>IF($B24-SUM($E44:E54)&gt;D55,D55,$B24-SUM($E44:E54))</f>
        <v>0</v>
      </c>
      <c r="F55" s="54">
        <f t="shared" si="1"/>
        <v>0</v>
      </c>
      <c r="G55" s="1"/>
      <c r="H55" s="57"/>
      <c r="I55" s="30"/>
      <c r="J55" s="30"/>
    </row>
    <row r="56" spans="1:10" x14ac:dyDescent="0.2">
      <c r="A56" s="71" t="s">
        <v>78</v>
      </c>
      <c r="B56" s="59"/>
      <c r="C56" s="20"/>
      <c r="D56" s="54">
        <f>[1]Main!G142</f>
        <v>66364.009999999995</v>
      </c>
      <c r="E56" s="54">
        <f>IF($B24-SUM($E44:E55)&gt;D56,D56,$B24-SUM($E44:E55))</f>
        <v>0</v>
      </c>
      <c r="F56" s="54">
        <f t="shared" si="1"/>
        <v>66364.009999999995</v>
      </c>
      <c r="G56" s="1"/>
      <c r="H56" s="73">
        <f>+[1]Main!D200</f>
        <v>241312.51</v>
      </c>
      <c r="I56" s="30"/>
      <c r="J56" s="30"/>
    </row>
    <row r="57" spans="1:10" x14ac:dyDescent="0.2">
      <c r="A57" s="71" t="s">
        <v>80</v>
      </c>
      <c r="B57" s="59"/>
      <c r="C57" s="20"/>
      <c r="D57" s="54">
        <f>[1]Main!C200</f>
        <v>0</v>
      </c>
      <c r="E57" s="54"/>
      <c r="F57" s="54">
        <f t="shared" si="1"/>
        <v>0</v>
      </c>
      <c r="G57" s="1"/>
      <c r="H57" s="57">
        <f>+SUM(D50:D57)</f>
        <v>241312.51</v>
      </c>
      <c r="I57" s="30"/>
      <c r="J57" s="30"/>
    </row>
    <row r="58" spans="1:10" x14ac:dyDescent="0.2">
      <c r="A58" s="71" t="s">
        <v>81</v>
      </c>
      <c r="B58" s="59"/>
      <c r="C58" s="20"/>
      <c r="D58" s="54">
        <f>[1]Main!C258</f>
        <v>303550</v>
      </c>
      <c r="E58" s="54">
        <v>0</v>
      </c>
      <c r="F58" s="54">
        <f t="shared" si="1"/>
        <v>303550</v>
      </c>
      <c r="G58" s="1"/>
      <c r="H58" s="57">
        <f>+H56-H57</f>
        <v>0</v>
      </c>
      <c r="I58" s="30"/>
      <c r="J58" s="30"/>
    </row>
    <row r="59" spans="1:10" x14ac:dyDescent="0.2">
      <c r="A59" s="71" t="s">
        <v>82</v>
      </c>
      <c r="B59" s="59"/>
      <c r="C59" s="20"/>
      <c r="D59" s="54">
        <f>+[7]Main!I25+[7]Main!J25</f>
        <v>330653.39</v>
      </c>
      <c r="E59" s="74">
        <f>[7]Main!J25</f>
        <v>256197.58</v>
      </c>
      <c r="F59" s="54">
        <f t="shared" si="1"/>
        <v>74455.81</v>
      </c>
      <c r="G59" s="1"/>
      <c r="H59" s="30"/>
      <c r="I59" s="30"/>
      <c r="J59" s="30"/>
    </row>
    <row r="60" spans="1:10" x14ac:dyDescent="0.2">
      <c r="A60" s="71" t="s">
        <v>83</v>
      </c>
      <c r="B60" s="59"/>
      <c r="C60" s="20"/>
      <c r="D60" s="54">
        <f>[1]Main!F258</f>
        <v>68040</v>
      </c>
      <c r="E60" s="54">
        <v>0</v>
      </c>
      <c r="F60" s="54">
        <f t="shared" si="1"/>
        <v>68040</v>
      </c>
      <c r="G60" s="1"/>
      <c r="H60" s="30"/>
      <c r="I60" s="30"/>
      <c r="J60" s="30"/>
    </row>
    <row r="61" spans="1:10" x14ac:dyDescent="0.2">
      <c r="A61" s="71" t="s">
        <v>84</v>
      </c>
      <c r="B61" s="59"/>
      <c r="C61" s="7"/>
      <c r="D61" s="54">
        <f>[1]Main!E258</f>
        <v>7514.24</v>
      </c>
      <c r="E61" s="54">
        <v>0</v>
      </c>
      <c r="F61" s="54">
        <f t="shared" si="1"/>
        <v>7514.24</v>
      </c>
      <c r="G61" s="1"/>
      <c r="H61" s="57" t="s">
        <v>49</v>
      </c>
      <c r="I61" s="30"/>
      <c r="J61" s="30"/>
    </row>
    <row r="62" spans="1:10" x14ac:dyDescent="0.2">
      <c r="A62" s="71" t="s">
        <v>85</v>
      </c>
      <c r="B62" s="59"/>
      <c r="C62" s="7"/>
      <c r="D62" s="54">
        <f>[1]Main!G258</f>
        <v>73492</v>
      </c>
      <c r="E62" s="54">
        <v>0</v>
      </c>
      <c r="F62" s="54">
        <f t="shared" si="1"/>
        <v>73492</v>
      </c>
      <c r="G62" s="1"/>
      <c r="H62" s="57">
        <f>+[1]Main!C487</f>
        <v>1768887.92</v>
      </c>
      <c r="I62" s="57"/>
      <c r="J62" s="57"/>
    </row>
    <row r="63" spans="1:10" x14ac:dyDescent="0.2">
      <c r="A63" s="71" t="s">
        <v>86</v>
      </c>
      <c r="B63" s="59"/>
      <c r="C63" s="20"/>
      <c r="D63" s="54">
        <f>[1]Main!C316</f>
        <v>0</v>
      </c>
      <c r="E63" s="54">
        <v>0</v>
      </c>
      <c r="F63" s="54">
        <f t="shared" si="1"/>
        <v>0</v>
      </c>
      <c r="G63" s="1"/>
      <c r="H63" s="57">
        <f>+SUM(D58:D68)-E59</f>
        <v>1768887.92</v>
      </c>
      <c r="I63" s="57"/>
      <c r="J63" s="57">
        <f>+H63-H62</f>
        <v>0</v>
      </c>
    </row>
    <row r="64" spans="1:10" x14ac:dyDescent="0.2">
      <c r="A64" s="71" t="s">
        <v>87</v>
      </c>
      <c r="C64" s="8"/>
      <c r="D64" s="76">
        <f>[1]Main!D316</f>
        <v>855989.34</v>
      </c>
      <c r="E64" s="77">
        <v>0</v>
      </c>
      <c r="F64" s="77">
        <f t="shared" si="1"/>
        <v>855989.34</v>
      </c>
      <c r="G64" s="5"/>
      <c r="H64" s="57">
        <f>+H62-H63</f>
        <v>0</v>
      </c>
      <c r="I64" s="57"/>
      <c r="J64" s="57"/>
    </row>
    <row r="65" spans="1:10" x14ac:dyDescent="0.2">
      <c r="A65" s="71" t="s">
        <v>88</v>
      </c>
      <c r="B65" s="59"/>
      <c r="C65" s="20"/>
      <c r="D65" s="54">
        <f>+[1]Main!$E316</f>
        <v>4893.72</v>
      </c>
      <c r="E65" s="54">
        <v>0</v>
      </c>
      <c r="F65" s="54">
        <f>D65-E65</f>
        <v>4893.72</v>
      </c>
      <c r="G65" s="4"/>
      <c r="H65" s="30"/>
      <c r="I65" s="30"/>
      <c r="J65" s="30"/>
    </row>
    <row r="66" spans="1:10" x14ac:dyDescent="0.2">
      <c r="A66" s="71" t="s">
        <v>89</v>
      </c>
      <c r="B66" s="59"/>
      <c r="C66" s="20"/>
      <c r="D66" s="54">
        <f>[1]Main!F316</f>
        <v>6187.92</v>
      </c>
      <c r="E66" s="54">
        <v>0</v>
      </c>
      <c r="F66" s="54">
        <f>D66-E66</f>
        <v>6187.92</v>
      </c>
      <c r="G66" s="4"/>
      <c r="H66" s="30"/>
      <c r="I66" s="30"/>
      <c r="J66" s="30"/>
    </row>
    <row r="67" spans="1:10" x14ac:dyDescent="0.2">
      <c r="A67" s="71" t="s">
        <v>90</v>
      </c>
      <c r="B67" s="59"/>
      <c r="C67" s="20"/>
      <c r="D67" s="54">
        <f>[1]Main!G316</f>
        <v>311800</v>
      </c>
      <c r="E67" s="54">
        <v>0</v>
      </c>
      <c r="F67" s="54">
        <f>D67-E67</f>
        <v>311800</v>
      </c>
      <c r="G67" s="1"/>
      <c r="H67" s="57" t="s">
        <v>50</v>
      </c>
      <c r="I67" s="30"/>
      <c r="J67" s="30"/>
    </row>
    <row r="68" spans="1:10" x14ac:dyDescent="0.2">
      <c r="A68" s="71" t="s">
        <v>93</v>
      </c>
      <c r="B68" s="59"/>
      <c r="C68" s="20"/>
      <c r="D68" s="54">
        <f>[1]Main!F373</f>
        <v>62964.89</v>
      </c>
      <c r="E68" s="54">
        <v>0</v>
      </c>
      <c r="F68" s="54">
        <f>D68-E68</f>
        <v>62964.89</v>
      </c>
      <c r="G68" s="1"/>
      <c r="H68" s="57"/>
      <c r="I68" s="30"/>
      <c r="J68" s="30"/>
    </row>
    <row r="69" spans="1:10" x14ac:dyDescent="0.2">
      <c r="A69" s="55" t="s">
        <v>30</v>
      </c>
      <c r="B69" s="78"/>
      <c r="C69" s="79"/>
      <c r="D69" s="64"/>
      <c r="E69" s="64"/>
      <c r="F69" s="64"/>
      <c r="G69" s="1"/>
      <c r="H69" s="57"/>
      <c r="I69" s="30"/>
      <c r="J69" s="30"/>
    </row>
    <row r="70" spans="1:10" x14ac:dyDescent="0.2">
      <c r="A70" s="71" t="s">
        <v>60</v>
      </c>
      <c r="B70" s="59"/>
      <c r="C70" s="20"/>
      <c r="D70" s="54">
        <f>[1]Main!C430</f>
        <v>31183.35</v>
      </c>
      <c r="E70" s="54">
        <v>0</v>
      </c>
      <c r="F70" s="54">
        <f>D70-E70</f>
        <v>31183.35</v>
      </c>
      <c r="G70" s="1"/>
      <c r="H70" s="57">
        <f>+[1]Main!G430</f>
        <v>49052.13</v>
      </c>
      <c r="I70" s="30"/>
      <c r="J70" s="30"/>
    </row>
    <row r="71" spans="1:10" x14ac:dyDescent="0.2">
      <c r="A71" s="71" t="s">
        <v>63</v>
      </c>
      <c r="B71" s="59"/>
      <c r="C71" s="20"/>
      <c r="D71" s="54">
        <f>[1]Main!D430</f>
        <v>0</v>
      </c>
      <c r="E71" s="54">
        <v>0</v>
      </c>
      <c r="F71" s="54">
        <f>D71-E71</f>
        <v>0</v>
      </c>
      <c r="G71" s="4"/>
      <c r="H71" s="57">
        <f>SUM(D70:D73)</f>
        <v>49052.13</v>
      </c>
      <c r="I71" s="30"/>
      <c r="J71" s="30"/>
    </row>
    <row r="72" spans="1:10" x14ac:dyDescent="0.2">
      <c r="A72" s="71" t="s">
        <v>91</v>
      </c>
      <c r="B72" s="59"/>
      <c r="C72" s="20"/>
      <c r="D72" s="54">
        <f>[1]Main!E430</f>
        <v>0</v>
      </c>
      <c r="E72" s="54">
        <v>0</v>
      </c>
      <c r="F72" s="54">
        <f>D72-E72</f>
        <v>0</v>
      </c>
      <c r="G72" s="4"/>
      <c r="H72" s="57">
        <f>+H70-H71</f>
        <v>0</v>
      </c>
      <c r="I72" s="30"/>
      <c r="J72" s="30"/>
    </row>
    <row r="73" spans="1:10" x14ac:dyDescent="0.2">
      <c r="A73" s="71" t="s">
        <v>92</v>
      </c>
      <c r="B73" s="59"/>
      <c r="C73" s="20"/>
      <c r="D73" s="54">
        <f>[1]Main!F430</f>
        <v>17868.78</v>
      </c>
      <c r="E73" s="54">
        <v>0</v>
      </c>
      <c r="F73" s="54">
        <f>D73-E73</f>
        <v>17868.78</v>
      </c>
      <c r="G73" s="1"/>
      <c r="H73" s="30"/>
      <c r="I73" s="30"/>
      <c r="J73" s="30"/>
    </row>
    <row r="74" spans="1:10" x14ac:dyDescent="0.2">
      <c r="A74" s="55" t="s">
        <v>31</v>
      </c>
      <c r="B74" s="78"/>
      <c r="C74" s="79"/>
      <c r="D74" s="64"/>
      <c r="E74" s="64"/>
      <c r="F74" s="64"/>
      <c r="G74" s="1"/>
      <c r="H74" s="30"/>
      <c r="I74" s="30"/>
      <c r="J74" s="30"/>
    </row>
    <row r="75" spans="1:10" x14ac:dyDescent="0.2">
      <c r="A75" s="58" t="s">
        <v>69</v>
      </c>
      <c r="B75" s="59"/>
      <c r="C75" s="20"/>
      <c r="D75" s="54">
        <f>+[1]Main!$G543</f>
        <v>2074760.39</v>
      </c>
      <c r="E75" s="54">
        <f>+[1]Main!$D543</f>
        <v>2074760.39</v>
      </c>
      <c r="F75" s="54">
        <f>+D75-E75</f>
        <v>0</v>
      </c>
      <c r="G75" s="1"/>
      <c r="H75" s="30"/>
      <c r="I75" s="30"/>
      <c r="J75" s="30"/>
    </row>
    <row r="76" spans="1:10" x14ac:dyDescent="0.2">
      <c r="A76" s="59" t="s">
        <v>68</v>
      </c>
      <c r="B76" s="59"/>
      <c r="C76" s="20"/>
      <c r="D76" s="54">
        <f>+[1]Main!$G598</f>
        <v>1029657.76</v>
      </c>
      <c r="E76" s="54">
        <f>+[1]Main!$D598</f>
        <v>1029657.76</v>
      </c>
      <c r="F76" s="54">
        <f>+D76-E76</f>
        <v>0</v>
      </c>
      <c r="G76" s="1"/>
      <c r="H76" s="30"/>
      <c r="I76" s="30"/>
      <c r="J76" s="30"/>
    </row>
    <row r="77" spans="1:10" ht="13.5" thickBot="1" x14ac:dyDescent="0.25">
      <c r="A77" s="80"/>
      <c r="B77" s="81"/>
      <c r="C77" s="82" t="s">
        <v>29</v>
      </c>
      <c r="D77" s="83">
        <f>SUM(D44:D76)</f>
        <v>20255506.789999999</v>
      </c>
      <c r="E77" s="83">
        <f>SUM(E44:E76)</f>
        <v>7672307.7300000004</v>
      </c>
      <c r="F77" s="83">
        <f>SUM(F44:F76)</f>
        <v>12583199.060000001</v>
      </c>
      <c r="G77" s="1"/>
      <c r="H77" s="30"/>
      <c r="I77" s="30"/>
      <c r="J77" s="30"/>
    </row>
    <row r="78" spans="1:10" ht="13.5" thickTop="1" x14ac:dyDescent="0.2">
      <c r="A78" s="84"/>
      <c r="B78" s="59"/>
      <c r="C78" s="85"/>
      <c r="D78" s="86"/>
      <c r="E78" s="86"/>
      <c r="F78" s="87"/>
      <c r="G78" s="1"/>
      <c r="H78" s="30"/>
      <c r="I78" s="30"/>
      <c r="J78" s="30"/>
    </row>
    <row r="79" spans="1:10" x14ac:dyDescent="0.2">
      <c r="A79" s="88" t="s">
        <v>40</v>
      </c>
      <c r="B79" s="78"/>
      <c r="C79" s="89"/>
      <c r="D79" s="90"/>
      <c r="E79" s="91"/>
      <c r="F79" s="92" t="s">
        <v>36</v>
      </c>
      <c r="G79" s="6"/>
      <c r="H79" s="57" t="s">
        <v>51</v>
      </c>
      <c r="I79" s="30"/>
      <c r="J79" s="57" t="s">
        <v>7</v>
      </c>
    </row>
    <row r="80" spans="1:10" x14ac:dyDescent="0.2">
      <c r="A80" s="93" t="s">
        <v>33</v>
      </c>
      <c r="B80" s="94"/>
      <c r="C80" s="95"/>
      <c r="D80" s="96"/>
      <c r="E80" s="96"/>
      <c r="F80" s="91"/>
      <c r="G80" s="6"/>
      <c r="H80" s="30"/>
      <c r="I80" s="30"/>
      <c r="J80" s="30"/>
    </row>
    <row r="81" spans="1:10" x14ac:dyDescent="0.2">
      <c r="A81" s="59" t="s">
        <v>34</v>
      </c>
      <c r="B81" s="59"/>
      <c r="C81" s="22"/>
      <c r="D81" s="27"/>
      <c r="E81" s="27"/>
      <c r="F81" s="97">
        <f>+[8]Main!$C26</f>
        <v>0</v>
      </c>
      <c r="G81" s="5"/>
      <c r="H81" s="57">
        <f>+[1]Main!G654</f>
        <v>3104418.15</v>
      </c>
      <c r="I81" s="30"/>
      <c r="J81" s="57">
        <f>+[1]Main!E654+[1]Main!F654</f>
        <v>0</v>
      </c>
    </row>
    <row r="82" spans="1:10" x14ac:dyDescent="0.2">
      <c r="A82" s="59" t="s">
        <v>66</v>
      </c>
      <c r="B82" s="59"/>
      <c r="C82" s="22"/>
      <c r="D82" s="27"/>
      <c r="E82" s="27"/>
      <c r="F82" s="97">
        <f>+[8]Main!$D26</f>
        <v>0</v>
      </c>
      <c r="G82" s="5"/>
      <c r="H82" s="57">
        <f>+D75+D76</f>
        <v>3104418.15</v>
      </c>
      <c r="I82" s="30"/>
      <c r="J82" s="57">
        <f>+F75+F76</f>
        <v>0</v>
      </c>
    </row>
    <row r="83" spans="1:10" x14ac:dyDescent="0.2">
      <c r="A83" s="32" t="s">
        <v>65</v>
      </c>
      <c r="B83" s="32"/>
      <c r="C83" s="22"/>
      <c r="D83" s="28"/>
      <c r="E83" s="28"/>
      <c r="F83" s="97">
        <f>+[8]Main!$E26</f>
        <v>0</v>
      </c>
      <c r="G83" s="1"/>
      <c r="H83" s="57">
        <f>+H81-H82</f>
        <v>0</v>
      </c>
      <c r="I83" s="30"/>
      <c r="J83" s="57">
        <f>+J81-J82</f>
        <v>0</v>
      </c>
    </row>
    <row r="84" spans="1:10" x14ac:dyDescent="0.2">
      <c r="A84" s="32" t="s">
        <v>67</v>
      </c>
      <c r="B84" s="32"/>
      <c r="C84" s="22"/>
      <c r="D84" s="28"/>
      <c r="E84" s="28"/>
      <c r="F84" s="97">
        <f>+[8]Main!$F26</f>
        <v>0</v>
      </c>
      <c r="G84" s="1"/>
      <c r="H84" s="30"/>
      <c r="I84" s="30"/>
      <c r="J84" s="30"/>
    </row>
    <row r="85" spans="1:10" x14ac:dyDescent="0.2">
      <c r="A85" s="88" t="s">
        <v>35</v>
      </c>
      <c r="B85" s="78"/>
      <c r="C85" s="89"/>
      <c r="D85" s="90"/>
      <c r="E85" s="91"/>
      <c r="F85" s="54">
        <f>+[8]Main!$C84</f>
        <v>16664.099999999999</v>
      </c>
      <c r="G85" s="1"/>
      <c r="H85" s="30"/>
      <c r="I85" s="30"/>
      <c r="J85" s="30"/>
    </row>
    <row r="86" spans="1:10" ht="13.5" thickBot="1" x14ac:dyDescent="0.25">
      <c r="A86" s="98"/>
      <c r="B86" s="99"/>
      <c r="C86" s="100" t="s">
        <v>29</v>
      </c>
      <c r="D86" s="101"/>
      <c r="E86" s="102"/>
      <c r="F86" s="103">
        <f>SUM(F81:F85)</f>
        <v>16664.099999999999</v>
      </c>
      <c r="G86" s="1"/>
      <c r="H86" s="30"/>
      <c r="I86" s="30"/>
      <c r="J86" s="30"/>
    </row>
    <row r="87" spans="1:10" ht="13.5" thickBot="1" x14ac:dyDescent="0.25">
      <c r="A87" s="104"/>
      <c r="B87" s="105"/>
      <c r="C87" s="106" t="s">
        <v>53</v>
      </c>
      <c r="D87" s="107"/>
      <c r="E87" s="108"/>
      <c r="F87" s="109">
        <f>+F86+F77</f>
        <v>12599863.16</v>
      </c>
      <c r="G87" s="1"/>
      <c r="H87" s="57" t="s">
        <v>54</v>
      </c>
      <c r="I87" s="30"/>
      <c r="J87" s="30"/>
    </row>
    <row r="88" spans="1:10" x14ac:dyDescent="0.2">
      <c r="A88" s="11"/>
      <c r="B88" s="12"/>
      <c r="C88" s="9"/>
      <c r="D88" s="29"/>
      <c r="E88" s="29"/>
      <c r="F88" s="110"/>
      <c r="G88" s="1"/>
      <c r="H88" s="57">
        <f>+[8]Main!$G26</f>
        <v>0</v>
      </c>
      <c r="I88" s="30"/>
      <c r="J88" s="30"/>
    </row>
    <row r="89" spans="1:10" x14ac:dyDescent="0.2">
      <c r="A89" s="11"/>
      <c r="B89" s="12"/>
      <c r="C89" s="9"/>
      <c r="D89" s="29"/>
      <c r="E89" s="29"/>
      <c r="F89" s="110"/>
      <c r="G89" s="1"/>
      <c r="H89" s="57">
        <f>SUM(F81:F84)</f>
        <v>0</v>
      </c>
      <c r="I89" s="30"/>
      <c r="J89" s="30"/>
    </row>
    <row r="90" spans="1:10" x14ac:dyDescent="0.2">
      <c r="A90" s="1"/>
      <c r="B90" s="1"/>
      <c r="C90" s="7"/>
      <c r="D90" s="26"/>
      <c r="E90" s="26"/>
      <c r="F90" s="86">
        <f>+F86+F77</f>
        <v>12599863.16</v>
      </c>
      <c r="G90" s="1"/>
      <c r="H90" s="57">
        <f>+H88-H89</f>
        <v>0</v>
      </c>
      <c r="I90" s="30"/>
      <c r="J90" s="30"/>
    </row>
    <row r="91" spans="1:10" x14ac:dyDescent="0.2">
      <c r="A91" s="1"/>
      <c r="B91" s="1"/>
      <c r="C91" s="7"/>
      <c r="D91" s="26"/>
      <c r="E91" s="26"/>
      <c r="F91" s="86">
        <f>+[1]Main!$F770</f>
        <v>12599863.17</v>
      </c>
      <c r="G91" s="1"/>
      <c r="H91" s="30"/>
      <c r="I91" s="30"/>
      <c r="J91" s="30"/>
    </row>
    <row r="92" spans="1:10" x14ac:dyDescent="0.2">
      <c r="A92" s="1"/>
      <c r="B92" s="1"/>
      <c r="C92" s="7"/>
      <c r="D92" s="26"/>
      <c r="E92" s="86">
        <f>+E77+[1]Main!$E770</f>
        <v>0</v>
      </c>
      <c r="F92" s="86">
        <f>+F91-F90</f>
        <v>0.01</v>
      </c>
      <c r="G92" s="1"/>
      <c r="H92" s="30"/>
      <c r="I92" s="30"/>
      <c r="J92" s="30"/>
    </row>
    <row r="93" spans="1:10" x14ac:dyDescent="0.2">
      <c r="A93" s="59"/>
      <c r="B93" s="59"/>
      <c r="C93" s="85"/>
      <c r="D93" s="86"/>
      <c r="E93" s="86"/>
      <c r="F93" s="86"/>
      <c r="G93" s="59"/>
      <c r="H93" s="57"/>
      <c r="I93" s="57"/>
      <c r="J93" s="57"/>
    </row>
    <row r="94" spans="1:10" x14ac:dyDescent="0.2">
      <c r="A94" s="59"/>
      <c r="B94" s="59"/>
      <c r="C94" s="85"/>
      <c r="D94" s="86"/>
      <c r="E94" s="86"/>
      <c r="F94" s="86"/>
      <c r="G94" s="59"/>
      <c r="H94" s="57"/>
      <c r="I94" s="57"/>
      <c r="J94" s="57"/>
    </row>
    <row r="95" spans="1:10" x14ac:dyDescent="0.2">
      <c r="A95" s="59"/>
      <c r="B95" s="59"/>
      <c r="C95" s="85"/>
      <c r="D95" s="86"/>
      <c r="E95" s="86"/>
      <c r="F95" s="86"/>
      <c r="G95" s="59"/>
      <c r="H95" s="111" t="s">
        <v>55</v>
      </c>
      <c r="I95" s="57"/>
      <c r="J95" s="57"/>
    </row>
    <row r="96" spans="1:10" x14ac:dyDescent="0.2">
      <c r="G96" s="59"/>
      <c r="H96" s="113"/>
      <c r="I96" s="112"/>
      <c r="J96" s="112"/>
    </row>
    <row r="97" spans="7:10" x14ac:dyDescent="0.2">
      <c r="G97" s="59"/>
      <c r="H97" s="112"/>
      <c r="I97" s="112"/>
      <c r="J97" s="112"/>
    </row>
    <row r="98" spans="7:10" x14ac:dyDescent="0.2">
      <c r="G98" s="59"/>
      <c r="H98" s="112"/>
      <c r="I98" s="112"/>
      <c r="J98" s="112"/>
    </row>
    <row r="99" spans="7:10" x14ac:dyDescent="0.2">
      <c r="G99" s="59"/>
      <c r="H99" s="112"/>
      <c r="I99" s="112"/>
      <c r="J99" s="112"/>
    </row>
    <row r="100" spans="7:10" x14ac:dyDescent="0.2">
      <c r="G100" s="59"/>
      <c r="H100" s="112"/>
      <c r="I100" s="112"/>
      <c r="J100" s="112"/>
    </row>
    <row r="101" spans="7:10" x14ac:dyDescent="0.2">
      <c r="G101" s="59"/>
      <c r="H101" s="71"/>
      <c r="I101" s="112"/>
      <c r="J101" s="112"/>
    </row>
  </sheetData>
  <mergeCells count="1">
    <mergeCell ref="D20:E20"/>
  </mergeCells>
  <phoneticPr fontId="0" type="noConversion"/>
  <printOptions horizontalCentered="1" verticalCentered="1"/>
  <pageMargins left="0.5" right="0.25" top="0.5" bottom="0.5" header="0.5" footer="0.5"/>
  <pageSetup scale="89" orientation="portrait" horizontalDpi="1200" r:id="rId1"/>
  <headerFooter alignWithMargins="0">
    <oddHeader>&amp;R&amp;8Current as of: &amp;D</oddHeader>
    <oddFooter>&amp;L&amp;8USOE, Finance and Statistics&amp;R&amp;8&amp;F</oddFooter>
  </headerFooter>
  <picture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J102"/>
  <sheetViews>
    <sheetView topLeftCell="A40" workbookViewId="0">
      <selection activeCell="B25" sqref="B25"/>
    </sheetView>
  </sheetViews>
  <sheetFormatPr defaultColWidth="18.28515625" defaultRowHeight="12.75" x14ac:dyDescent="0.2"/>
  <cols>
    <col min="1" max="1" width="27" style="75" customWidth="1"/>
    <col min="2" max="2" width="16.7109375" style="75" customWidth="1"/>
    <col min="3" max="3" width="15.85546875" style="75" customWidth="1"/>
    <col min="4" max="4" width="16.28515625" style="75" customWidth="1"/>
    <col min="5" max="5" width="15.5703125" style="75" customWidth="1"/>
    <col min="6" max="6" width="17.42578125" style="75" customWidth="1"/>
    <col min="7" max="7" width="5.7109375" style="75" customWidth="1"/>
    <col min="8" max="8" width="21.5703125" style="75" customWidth="1"/>
    <col min="9" max="9" width="5" style="75" customWidth="1"/>
    <col min="10" max="10" width="20.85546875" style="75" customWidth="1"/>
    <col min="11" max="16384" width="18.28515625" style="75"/>
  </cols>
  <sheetData>
    <row r="1" spans="1:10" x14ac:dyDescent="0.2">
      <c r="A1" s="8"/>
      <c r="B1" s="8"/>
      <c r="C1" s="8"/>
      <c r="D1" s="8"/>
      <c r="E1" s="8"/>
      <c r="F1" s="8"/>
      <c r="G1" s="8"/>
      <c r="H1" s="8"/>
      <c r="I1" s="8"/>
      <c r="J1" s="8"/>
    </row>
    <row r="2" spans="1:10" x14ac:dyDescent="0.2">
      <c r="A2" s="8"/>
      <c r="B2" s="8"/>
      <c r="C2" s="8"/>
      <c r="D2" s="8"/>
      <c r="E2" s="8"/>
      <c r="F2" s="8"/>
      <c r="G2" s="8"/>
      <c r="H2" s="8"/>
      <c r="I2" s="8"/>
      <c r="J2" s="8"/>
    </row>
    <row r="3" spans="1:10" x14ac:dyDescent="0.2">
      <c r="A3" s="8"/>
      <c r="B3" s="8"/>
      <c r="C3" s="8"/>
      <c r="D3" s="8"/>
      <c r="E3" s="8"/>
      <c r="F3" s="8"/>
      <c r="G3" s="8"/>
      <c r="H3" s="8"/>
      <c r="I3" s="8"/>
      <c r="J3" s="8"/>
    </row>
    <row r="4" spans="1:10" x14ac:dyDescent="0.2">
      <c r="A4" s="8"/>
      <c r="B4" s="8"/>
      <c r="C4" s="8"/>
      <c r="D4" s="8"/>
      <c r="E4" s="8"/>
      <c r="F4" s="8"/>
      <c r="G4" s="8"/>
      <c r="H4" s="8"/>
      <c r="I4" s="8"/>
      <c r="J4" s="8"/>
    </row>
    <row r="5" spans="1:10" x14ac:dyDescent="0.2">
      <c r="A5" s="8"/>
      <c r="B5" s="8"/>
      <c r="C5" s="8"/>
      <c r="D5" s="8"/>
      <c r="E5" s="8"/>
      <c r="F5" s="8"/>
      <c r="G5" s="8"/>
      <c r="H5" s="8"/>
      <c r="I5" s="8"/>
      <c r="J5" s="8"/>
    </row>
    <row r="6" spans="1:10" x14ac:dyDescent="0.2">
      <c r="A6" s="8"/>
      <c r="B6" s="8"/>
      <c r="C6" s="8"/>
      <c r="D6" s="8"/>
      <c r="E6" s="8"/>
      <c r="F6" s="8"/>
      <c r="G6" s="8"/>
      <c r="H6" s="8"/>
      <c r="I6" s="8"/>
      <c r="J6" s="8"/>
    </row>
    <row r="7" spans="1:10" x14ac:dyDescent="0.2">
      <c r="A7" s="8"/>
      <c r="B7" s="8"/>
      <c r="C7" s="8"/>
      <c r="D7" s="8"/>
      <c r="E7" s="8"/>
      <c r="F7" s="8"/>
      <c r="G7" s="8"/>
      <c r="H7" s="8"/>
      <c r="I7" s="8"/>
      <c r="J7" s="8"/>
    </row>
    <row r="8" spans="1:10" x14ac:dyDescent="0.2">
      <c r="A8" s="8"/>
      <c r="B8" s="8"/>
      <c r="C8" s="8"/>
      <c r="D8" s="8"/>
      <c r="E8" s="8"/>
      <c r="F8" s="8"/>
      <c r="G8" s="8"/>
      <c r="H8" s="8"/>
      <c r="I8" s="8"/>
      <c r="J8" s="8"/>
    </row>
    <row r="9" spans="1:10" x14ac:dyDescent="0.2">
      <c r="A9" s="8"/>
      <c r="B9" s="8"/>
      <c r="C9" s="8"/>
      <c r="D9" s="8"/>
      <c r="E9" s="8"/>
      <c r="F9" s="8"/>
      <c r="G9" s="8"/>
      <c r="H9" s="8"/>
      <c r="I9" s="8"/>
      <c r="J9" s="8"/>
    </row>
    <row r="10" spans="1:10" x14ac:dyDescent="0.2">
      <c r="A10" s="8"/>
      <c r="B10" s="15"/>
      <c r="C10" s="8"/>
      <c r="D10" s="8"/>
      <c r="E10" s="8"/>
      <c r="F10" s="8"/>
      <c r="G10" s="8"/>
      <c r="H10" s="8"/>
      <c r="I10" s="8"/>
      <c r="J10" s="8"/>
    </row>
    <row r="11" spans="1:10" x14ac:dyDescent="0.2">
      <c r="A11" s="8"/>
      <c r="B11" s="8"/>
      <c r="C11" s="8"/>
      <c r="D11" s="8"/>
      <c r="E11" s="8"/>
      <c r="F11" s="8"/>
      <c r="G11" s="8"/>
      <c r="H11" s="8"/>
      <c r="I11" s="8"/>
      <c r="J11" s="8"/>
    </row>
    <row r="12" spans="1:10" x14ac:dyDescent="0.2">
      <c r="A12" s="8"/>
      <c r="B12" s="8"/>
      <c r="C12" s="8"/>
      <c r="D12" s="8"/>
      <c r="E12" s="8"/>
      <c r="F12" s="8"/>
      <c r="G12" s="8"/>
      <c r="H12" s="8"/>
      <c r="I12" s="8"/>
      <c r="J12" s="8"/>
    </row>
    <row r="13" spans="1:10" x14ac:dyDescent="0.2">
      <c r="A13" s="8"/>
      <c r="B13" s="8"/>
      <c r="C13" s="8"/>
      <c r="D13" s="8"/>
      <c r="E13" s="8"/>
      <c r="F13" s="8"/>
      <c r="G13" s="8"/>
      <c r="H13" s="8"/>
      <c r="I13" s="8"/>
      <c r="J13" s="8"/>
    </row>
    <row r="14" spans="1:10" x14ac:dyDescent="0.2">
      <c r="A14" s="8"/>
      <c r="B14" s="8"/>
      <c r="C14" s="8"/>
      <c r="D14" s="8"/>
      <c r="E14" s="8"/>
      <c r="F14" s="8"/>
      <c r="G14" s="8"/>
      <c r="H14" s="8"/>
      <c r="I14" s="8"/>
      <c r="J14" s="8"/>
    </row>
    <row r="15" spans="1:10" x14ac:dyDescent="0.2">
      <c r="A15" s="8"/>
      <c r="B15" s="8"/>
      <c r="C15" s="8"/>
      <c r="D15" s="8"/>
      <c r="E15" s="8"/>
      <c r="F15" s="8"/>
      <c r="G15" s="8"/>
      <c r="H15" s="8"/>
      <c r="I15" s="8"/>
      <c r="J15" s="8"/>
    </row>
    <row r="16" spans="1:10" x14ac:dyDescent="0.2">
      <c r="A16" s="8"/>
      <c r="B16" s="8"/>
      <c r="C16" s="8"/>
      <c r="D16" s="8"/>
      <c r="E16" s="8"/>
      <c r="F16" s="8"/>
      <c r="G16" s="8"/>
      <c r="H16" s="8"/>
      <c r="I16" s="8"/>
      <c r="J16" s="8"/>
    </row>
    <row r="17" spans="1:10" x14ac:dyDescent="0.2">
      <c r="A17" s="8"/>
      <c r="B17" s="8"/>
      <c r="C17" s="8"/>
      <c r="D17" s="8"/>
      <c r="E17" s="8"/>
      <c r="F17" s="8"/>
      <c r="G17" s="8"/>
      <c r="H17" s="8"/>
      <c r="I17" s="8"/>
      <c r="J17" s="8"/>
    </row>
    <row r="18" spans="1:10" x14ac:dyDescent="0.2">
      <c r="A18" s="32" t="s">
        <v>0</v>
      </c>
      <c r="B18" s="33">
        <v>3184</v>
      </c>
      <c r="C18" s="34" t="s">
        <v>1</v>
      </c>
      <c r="D18" s="35"/>
      <c r="E18" s="35"/>
      <c r="F18" s="35"/>
      <c r="G18" s="1"/>
      <c r="H18" s="30"/>
      <c r="I18" s="30"/>
      <c r="J18" s="30"/>
    </row>
    <row r="19" spans="1:10" x14ac:dyDescent="0.2">
      <c r="A19" s="32" t="s">
        <v>61</v>
      </c>
      <c r="B19" s="36">
        <f>+[1]Main!$C544</f>
        <v>0</v>
      </c>
      <c r="C19" s="34" t="s">
        <v>41</v>
      </c>
      <c r="D19" s="35"/>
      <c r="E19" s="35"/>
      <c r="F19" s="35"/>
      <c r="G19" s="1"/>
      <c r="H19" s="30"/>
      <c r="I19" s="30"/>
      <c r="J19" s="30"/>
    </row>
    <row r="20" spans="1:10" x14ac:dyDescent="0.2">
      <c r="A20" s="32" t="s">
        <v>62</v>
      </c>
      <c r="B20" s="36">
        <f>+[1]Main!$C599</f>
        <v>2.2200000000000002E-3</v>
      </c>
      <c r="C20" s="34" t="s">
        <v>95</v>
      </c>
      <c r="D20" s="35"/>
      <c r="E20" s="37"/>
      <c r="F20" s="35"/>
      <c r="G20" s="1"/>
      <c r="H20" s="30"/>
      <c r="I20" s="30"/>
      <c r="J20" s="30"/>
    </row>
    <row r="21" spans="1:10" x14ac:dyDescent="0.2">
      <c r="A21" s="38" t="s">
        <v>32</v>
      </c>
      <c r="B21" s="39">
        <f>[2]Sheet1!E26</f>
        <v>1024332899</v>
      </c>
      <c r="C21" s="21"/>
      <c r="D21" s="31"/>
      <c r="E21" s="31"/>
      <c r="F21" s="23"/>
      <c r="G21" s="1"/>
      <c r="H21" s="30"/>
      <c r="I21" s="30"/>
      <c r="J21" s="30"/>
    </row>
    <row r="22" spans="1:10" x14ac:dyDescent="0.2">
      <c r="A22" s="32" t="s">
        <v>2</v>
      </c>
      <c r="B22" s="40">
        <f>[2]Sheet1!F26</f>
        <v>0.89639999999999997</v>
      </c>
      <c r="C22" s="7"/>
      <c r="D22" s="41" t="s">
        <v>3</v>
      </c>
      <c r="E22" s="42" t="str">
        <f>+[3]main!B27</f>
        <v>Morgan</v>
      </c>
      <c r="F22" s="43">
        <f>+[3]main!A27</f>
        <v>18</v>
      </c>
      <c r="G22" s="1"/>
      <c r="H22" s="30"/>
      <c r="I22" s="30"/>
      <c r="J22" s="30"/>
    </row>
    <row r="23" spans="1:10" x14ac:dyDescent="0.2">
      <c r="A23" s="32" t="s">
        <v>4</v>
      </c>
      <c r="B23" s="44">
        <f>[2]Sheet1!G26</f>
        <v>1.6750000000000001E-3</v>
      </c>
      <c r="C23" s="8"/>
      <c r="D23" s="24"/>
      <c r="E23" s="25"/>
      <c r="F23" s="24"/>
      <c r="G23" s="1"/>
      <c r="H23" s="30"/>
      <c r="I23" s="30"/>
      <c r="J23" s="30"/>
    </row>
    <row r="24" spans="1:10" x14ac:dyDescent="0.2">
      <c r="A24" s="32" t="s">
        <v>5</v>
      </c>
      <c r="B24" s="45">
        <f>[2]Sheet1!$C$82</f>
        <v>1857174</v>
      </c>
      <c r="C24" s="46"/>
      <c r="D24" s="47" t="s">
        <v>38</v>
      </c>
      <c r="E24" s="48" t="s">
        <v>7</v>
      </c>
      <c r="F24" s="47" t="s">
        <v>6</v>
      </c>
      <c r="G24" s="1"/>
      <c r="H24" s="30"/>
      <c r="I24" s="30"/>
      <c r="J24" s="30"/>
    </row>
    <row r="25" spans="1:10" x14ac:dyDescent="0.2">
      <c r="A25" s="32" t="s">
        <v>8</v>
      </c>
      <c r="B25" s="45">
        <f>+B24</f>
        <v>1857174</v>
      </c>
      <c r="C25" s="49"/>
      <c r="D25" s="50" t="s">
        <v>9</v>
      </c>
      <c r="E25" s="50" t="s">
        <v>37</v>
      </c>
      <c r="F25" s="50" t="s">
        <v>10</v>
      </c>
      <c r="G25" s="1"/>
      <c r="H25" s="30"/>
      <c r="I25" s="30"/>
      <c r="J25" s="30"/>
    </row>
    <row r="26" spans="1:10" x14ac:dyDescent="0.2">
      <c r="A26" s="32" t="s">
        <v>11</v>
      </c>
      <c r="B26" s="45">
        <v>0</v>
      </c>
      <c r="C26" s="51" t="s">
        <v>39</v>
      </c>
      <c r="D26" s="52" t="s">
        <v>12</v>
      </c>
      <c r="E26" s="52" t="s">
        <v>9</v>
      </c>
      <c r="F26" s="52" t="s">
        <v>9</v>
      </c>
      <c r="G26" s="1"/>
      <c r="H26" s="30"/>
      <c r="I26" s="30"/>
      <c r="J26" s="30"/>
    </row>
    <row r="27" spans="1:10" x14ac:dyDescent="0.2">
      <c r="A27" s="32" t="s">
        <v>70</v>
      </c>
      <c r="B27" s="45">
        <f>'[4]LRF FY17'!U24</f>
        <v>16070</v>
      </c>
      <c r="C27" s="53"/>
      <c r="D27" s="54"/>
      <c r="E27" s="54"/>
      <c r="F27" s="54" t="s">
        <v>14</v>
      </c>
      <c r="G27" s="1"/>
      <c r="H27" s="30"/>
      <c r="I27" s="30"/>
      <c r="J27" s="30"/>
    </row>
    <row r="28" spans="1:10" x14ac:dyDescent="0.2">
      <c r="A28" s="55" t="s">
        <v>13</v>
      </c>
      <c r="B28" s="56"/>
      <c r="C28" s="53"/>
      <c r="D28" s="54"/>
      <c r="E28" s="54"/>
      <c r="F28" s="54"/>
      <c r="G28" s="2"/>
      <c r="H28" s="30"/>
      <c r="I28" s="30"/>
      <c r="J28" s="30"/>
    </row>
    <row r="29" spans="1:10" x14ac:dyDescent="0.2">
      <c r="A29" s="55" t="s">
        <v>15</v>
      </c>
      <c r="B29" s="56"/>
      <c r="C29" s="53"/>
      <c r="D29" s="54"/>
      <c r="E29" s="54"/>
      <c r="F29" s="54"/>
      <c r="G29" s="2"/>
      <c r="H29" s="57" t="s">
        <v>43</v>
      </c>
      <c r="I29" s="30"/>
      <c r="J29" s="57" t="s">
        <v>45</v>
      </c>
    </row>
    <row r="30" spans="1:10" x14ac:dyDescent="0.2">
      <c r="A30" s="58" t="s">
        <v>16</v>
      </c>
      <c r="B30" s="59"/>
      <c r="C30" s="60">
        <f>[3]main!C201-[3]main!F143</f>
        <v>2868.6239999999998</v>
      </c>
      <c r="D30" s="61">
        <f>[3]main!E201-[3]main!H143</f>
        <v>9133698.8599999994</v>
      </c>
      <c r="E30" s="62">
        <f>IF(B25&gt;D30,D30,B25)</f>
        <v>1857174</v>
      </c>
      <c r="F30" s="62">
        <f>D30-E30</f>
        <v>7276524.8600000003</v>
      </c>
      <c r="G30" s="1"/>
      <c r="H30" s="57">
        <f>[3]main!H260</f>
        <v>10052117.550000001</v>
      </c>
      <c r="I30" s="30"/>
      <c r="J30" s="57">
        <f>'[5]Sheet 1'!E84</f>
        <v>12078982.73</v>
      </c>
    </row>
    <row r="31" spans="1:10" x14ac:dyDescent="0.2">
      <c r="A31" s="58" t="s">
        <v>17</v>
      </c>
      <c r="B31" s="59"/>
      <c r="C31" s="53">
        <f>[3]main!F143</f>
        <v>0</v>
      </c>
      <c r="D31" s="54">
        <f>[3]main!H143</f>
        <v>0</v>
      </c>
      <c r="E31" s="54">
        <f>IF(B24-SUM(E28:E30)&gt;D31,D31,B24-SUM(E28:E30))</f>
        <v>0</v>
      </c>
      <c r="F31" s="54">
        <f>D31-E31</f>
        <v>0</v>
      </c>
      <c r="G31" s="1"/>
      <c r="H31" s="57">
        <f>SUM(D30:D34)</f>
        <v>10052117.550000001</v>
      </c>
      <c r="I31" s="30"/>
      <c r="J31" s="57">
        <f>D45</f>
        <v>12078982.73</v>
      </c>
    </row>
    <row r="32" spans="1:10" x14ac:dyDescent="0.2">
      <c r="A32" s="58" t="s">
        <v>18</v>
      </c>
      <c r="B32" s="59"/>
      <c r="C32" s="53">
        <f>[3]main!F201</f>
        <v>228.44800000000001</v>
      </c>
      <c r="D32" s="54">
        <f>[3]main!H201</f>
        <v>727378.69</v>
      </c>
      <c r="E32" s="54">
        <f>IF(B25-SUM(E30:E31)&gt;D32,D32,B25-SUM(E30:E31))</f>
        <v>0</v>
      </c>
      <c r="F32" s="54">
        <f>D32-E32</f>
        <v>727378.69</v>
      </c>
      <c r="G32" s="1"/>
      <c r="H32" s="57">
        <f>+H30-H31</f>
        <v>0</v>
      </c>
      <c r="I32" s="30"/>
      <c r="J32" s="57">
        <f>+J30-J31</f>
        <v>0</v>
      </c>
    </row>
    <row r="33" spans="1:10" x14ac:dyDescent="0.2">
      <c r="A33" s="58" t="s">
        <v>19</v>
      </c>
      <c r="B33" s="59"/>
      <c r="C33" s="53">
        <f>[3]main!C260</f>
        <v>60</v>
      </c>
      <c r="D33" s="54">
        <f>[3]main!E260</f>
        <v>191040</v>
      </c>
      <c r="E33" s="54">
        <f>IF(B25-SUM(E30:E32)&gt;D33,D33,B25-SUM(E30:E32))</f>
        <v>0</v>
      </c>
      <c r="F33" s="54">
        <f>D33-E33</f>
        <v>191040</v>
      </c>
      <c r="G33" s="1"/>
      <c r="H33" s="30"/>
      <c r="I33" s="30"/>
      <c r="J33" s="30"/>
    </row>
    <row r="34" spans="1:10" x14ac:dyDescent="0.2">
      <c r="A34" s="58" t="s">
        <v>42</v>
      </c>
      <c r="B34" s="59"/>
      <c r="C34" s="53">
        <f>[3]main!C84</f>
        <v>0</v>
      </c>
      <c r="D34" s="54">
        <f>[3]main!E84</f>
        <v>0</v>
      </c>
      <c r="E34" s="54">
        <f>IF(B25-SUM(E30:E33)&gt;D34,D34,B25-SUM(E30:E33))</f>
        <v>0</v>
      </c>
      <c r="F34" s="54">
        <f>D34-E34</f>
        <v>0</v>
      </c>
      <c r="G34" s="1"/>
      <c r="H34" s="30"/>
      <c r="I34" s="30"/>
      <c r="J34" s="30"/>
    </row>
    <row r="35" spans="1:10" x14ac:dyDescent="0.2">
      <c r="A35" s="55" t="s">
        <v>20</v>
      </c>
      <c r="B35" s="56"/>
      <c r="C35" s="63"/>
      <c r="D35" s="64"/>
      <c r="E35" s="64"/>
      <c r="F35" s="64" t="s">
        <v>14</v>
      </c>
      <c r="G35" s="1"/>
      <c r="H35" s="57" t="s">
        <v>44</v>
      </c>
      <c r="I35" s="30"/>
      <c r="J35" s="30"/>
    </row>
    <row r="36" spans="1:10" x14ac:dyDescent="0.2">
      <c r="A36" s="58" t="s">
        <v>21</v>
      </c>
      <c r="B36" s="59"/>
      <c r="C36" s="53">
        <f>'[6]Sheet 1'!C26</f>
        <v>210.15299999999999</v>
      </c>
      <c r="D36" s="54">
        <f>'[6]Sheet 1'!E26</f>
        <v>669126.86</v>
      </c>
      <c r="E36" s="54">
        <f>IF(B25-SUM(E30:E35)&gt;D36,D36,B25-SUM(E30:E35))</f>
        <v>0</v>
      </c>
      <c r="F36" s="54">
        <f t="shared" ref="F36:F44" si="0">D36-E36</f>
        <v>669126.86</v>
      </c>
      <c r="G36" s="1"/>
      <c r="H36" s="57">
        <f>'[6]Sheet 1'!N142</f>
        <v>949590.94</v>
      </c>
      <c r="I36" s="30"/>
      <c r="J36" s="30"/>
    </row>
    <row r="37" spans="1:10" x14ac:dyDescent="0.2">
      <c r="A37" s="59" t="s">
        <v>22</v>
      </c>
      <c r="B37" s="59"/>
      <c r="C37" s="53">
        <f>'[6]Sheet 1'!F26</f>
        <v>32.47</v>
      </c>
      <c r="D37" s="54">
        <f>'[6]Sheet 1'!H26</f>
        <v>103384.48</v>
      </c>
      <c r="E37" s="54">
        <f>IF(B25-SUM(E30:E36)&gt;D37,D37,B25-SUM(E30:E36))</f>
        <v>0</v>
      </c>
      <c r="F37" s="54">
        <f t="shared" si="0"/>
        <v>103384.48</v>
      </c>
      <c r="G37" s="1"/>
      <c r="H37" s="57">
        <f>SUM(D36:D42)</f>
        <v>949590.94</v>
      </c>
      <c r="I37" s="30"/>
      <c r="J37" s="30"/>
    </row>
    <row r="38" spans="1:10" x14ac:dyDescent="0.2">
      <c r="A38" s="59" t="s">
        <v>23</v>
      </c>
      <c r="B38" s="59"/>
      <c r="C38" s="53">
        <f>'[6]Sheet 1'!C84</f>
        <v>44.1</v>
      </c>
      <c r="D38" s="54">
        <f>'[6]Sheet 1'!E84</f>
        <v>140414.39999999999</v>
      </c>
      <c r="E38" s="54">
        <f>IF(B25-SUM(E30:E37)&gt;D38,D38,B25-SUM(E30:E37))</f>
        <v>0</v>
      </c>
      <c r="F38" s="54">
        <f t="shared" si="0"/>
        <v>140414.39999999999</v>
      </c>
      <c r="G38" s="1"/>
      <c r="H38" s="57">
        <f>+H36-H37</f>
        <v>0</v>
      </c>
      <c r="I38" s="30"/>
      <c r="J38" s="30"/>
    </row>
    <row r="39" spans="1:10" x14ac:dyDescent="0.2">
      <c r="A39" s="58" t="s">
        <v>24</v>
      </c>
      <c r="B39" s="59"/>
      <c r="C39" s="53">
        <f>'[6]Sheet 1'!F84</f>
        <v>2.0640000000000001</v>
      </c>
      <c r="D39" s="54">
        <f>'[6]Sheet 1'!H84</f>
        <v>6571.25</v>
      </c>
      <c r="E39" s="54">
        <f>IF(B25-SUM(E30:E38)&gt;D39,D39,B25-SUM(E30:E38))</f>
        <v>0</v>
      </c>
      <c r="F39" s="54">
        <f t="shared" si="0"/>
        <v>6571.25</v>
      </c>
      <c r="G39" s="1"/>
      <c r="H39" s="30"/>
      <c r="I39" s="30"/>
      <c r="J39" s="30"/>
    </row>
    <row r="40" spans="1:10" x14ac:dyDescent="0.2">
      <c r="A40" s="59" t="s">
        <v>71</v>
      </c>
      <c r="B40" s="59"/>
      <c r="C40" s="53">
        <f>'[6]Sheet 1'!C142</f>
        <v>7.4669999999999996</v>
      </c>
      <c r="D40" s="54">
        <f>'[6]Sheet 1'!E142</f>
        <v>23775.99</v>
      </c>
      <c r="E40" s="54">
        <f>IF(B25-SUM(E30:E39)&gt;D40,D40,B25-SUM(E30:E39))</f>
        <v>0</v>
      </c>
      <c r="F40" s="54">
        <f t="shared" si="0"/>
        <v>23775.99</v>
      </c>
      <c r="G40" s="1"/>
      <c r="H40" s="30"/>
      <c r="I40" s="30"/>
      <c r="J40" s="30"/>
    </row>
    <row r="41" spans="1:10" x14ac:dyDescent="0.2">
      <c r="A41" s="59" t="s">
        <v>57</v>
      </c>
      <c r="B41" s="59"/>
      <c r="C41" s="53">
        <f>'[6]Sheet 1'!F142</f>
        <v>0</v>
      </c>
      <c r="D41" s="54">
        <f>'[6]Sheet 1'!H142</f>
        <v>0</v>
      </c>
      <c r="E41" s="54">
        <f>IF(B26-SUM(E31:E40)&gt;D41,D41,B26-SUM(E31:E40))</f>
        <v>0</v>
      </c>
      <c r="F41" s="54">
        <f t="shared" si="0"/>
        <v>0</v>
      </c>
      <c r="G41" s="1"/>
      <c r="H41" s="30"/>
      <c r="I41" s="30"/>
      <c r="J41" s="30"/>
    </row>
    <row r="42" spans="1:10" x14ac:dyDescent="0.2">
      <c r="A42" s="59" t="s">
        <v>64</v>
      </c>
      <c r="B42" s="59"/>
      <c r="C42" s="53">
        <f>'[6]Sheet 1'!I142</f>
        <v>1.984</v>
      </c>
      <c r="D42" s="54">
        <f>'[6]Sheet 1'!K142</f>
        <v>6317.96</v>
      </c>
      <c r="E42" s="54">
        <f>IF(B28-SUM(E32:E41)&gt;D42,D42,B28-SUM(E32:E41))</f>
        <v>0</v>
      </c>
      <c r="F42" s="54">
        <f t="shared" si="0"/>
        <v>6317.96</v>
      </c>
      <c r="G42" s="1"/>
      <c r="H42" s="57" t="s">
        <v>46</v>
      </c>
      <c r="I42" s="30"/>
      <c r="J42" s="30"/>
    </row>
    <row r="43" spans="1:10" x14ac:dyDescent="0.2">
      <c r="A43" s="59" t="s">
        <v>58</v>
      </c>
      <c r="B43" s="59"/>
      <c r="C43" s="53">
        <f>'[6]Sheet 1'!C200</f>
        <v>150.505</v>
      </c>
      <c r="D43" s="54">
        <f>'[6]Sheet 1'!E200</f>
        <v>479208.41</v>
      </c>
      <c r="E43" s="54">
        <f>IF(B25-SUM(E30:E40)&gt;D43,D43,B25-SUM(E30:E40))</f>
        <v>0</v>
      </c>
      <c r="F43" s="54">
        <f t="shared" si="0"/>
        <v>479208.41</v>
      </c>
      <c r="G43" s="4"/>
      <c r="H43" s="57">
        <f>+'[6]Sheet 1'!E200</f>
        <v>479208.41</v>
      </c>
      <c r="I43" s="30"/>
      <c r="J43" s="30"/>
    </row>
    <row r="44" spans="1:10" x14ac:dyDescent="0.2">
      <c r="A44" s="58" t="s">
        <v>59</v>
      </c>
      <c r="B44" s="59"/>
      <c r="C44" s="53">
        <f>'[5]Sheet 1'!C26</f>
        <v>187.83500000000001</v>
      </c>
      <c r="D44" s="54">
        <f>'[5]Sheet 1'!E26</f>
        <v>598065.82999999996</v>
      </c>
      <c r="E44" s="54">
        <f>IF(B25-SUM(E30:E43)&gt;D44,D44,B25-SUM(E30:E43))</f>
        <v>0</v>
      </c>
      <c r="F44" s="54">
        <f t="shared" si="0"/>
        <v>598065.82999999996</v>
      </c>
      <c r="G44" s="5"/>
      <c r="H44" s="57">
        <f>+D43</f>
        <v>479208.41</v>
      </c>
      <c r="I44" s="30"/>
      <c r="J44" s="30"/>
    </row>
    <row r="45" spans="1:10" x14ac:dyDescent="0.2">
      <c r="A45" s="65" t="s">
        <v>28</v>
      </c>
      <c r="B45" s="56"/>
      <c r="C45" s="66">
        <f>SUM(C30:C44)</f>
        <v>3793.65</v>
      </c>
      <c r="D45" s="67">
        <f>SUM(D30:D44)</f>
        <v>12078982.73</v>
      </c>
      <c r="E45" s="67">
        <f>SUM(E30:E44)</f>
        <v>1857174</v>
      </c>
      <c r="F45" s="67">
        <f>SUM(F30:F44)</f>
        <v>10221808.73</v>
      </c>
      <c r="G45" s="1"/>
      <c r="H45" s="57">
        <f>+H43-H44</f>
        <v>0</v>
      </c>
      <c r="I45" s="30"/>
      <c r="J45" s="30"/>
    </row>
    <row r="46" spans="1:10" x14ac:dyDescent="0.2">
      <c r="A46" s="68" t="s">
        <v>26</v>
      </c>
      <c r="B46" s="56"/>
      <c r="C46" s="69"/>
      <c r="D46" s="54"/>
      <c r="E46" s="54"/>
      <c r="F46" s="54"/>
      <c r="G46" s="1"/>
      <c r="H46" s="57" t="s">
        <v>47</v>
      </c>
      <c r="I46" s="30"/>
      <c r="J46" s="57" t="s">
        <v>52</v>
      </c>
    </row>
    <row r="47" spans="1:10" x14ac:dyDescent="0.2">
      <c r="A47" s="58" t="s">
        <v>56</v>
      </c>
      <c r="B47" s="59"/>
      <c r="C47" s="20"/>
      <c r="D47" s="70">
        <f>[1]Main!F27</f>
        <v>35010.54</v>
      </c>
      <c r="E47" s="54">
        <f>IF($B25-SUM($E45)&gt;D47,D47,$B25-SUM($E45))</f>
        <v>0</v>
      </c>
      <c r="F47" s="54">
        <f t="shared" ref="F47:F65" si="1">D47-E47</f>
        <v>35010.54</v>
      </c>
      <c r="G47" s="1"/>
      <c r="H47" s="57">
        <f>[1]Main!G27</f>
        <v>655739.65</v>
      </c>
      <c r="I47" s="30"/>
      <c r="J47" s="57">
        <f>+[1]Main!D488</f>
        <v>2012340.43</v>
      </c>
    </row>
    <row r="48" spans="1:10" x14ac:dyDescent="0.2">
      <c r="A48" s="59" t="s">
        <v>25</v>
      </c>
      <c r="B48" s="59"/>
      <c r="C48" s="20"/>
      <c r="D48" s="70">
        <f>[1]Main!C27</f>
        <v>620729.11</v>
      </c>
      <c r="E48" s="54">
        <f>IF($B25-SUM($E45:E47)&gt;D48,D48,B25-SUM($E45:E47))</f>
        <v>0</v>
      </c>
      <c r="F48" s="54">
        <f t="shared" si="1"/>
        <v>620729.11</v>
      </c>
      <c r="G48" s="1"/>
      <c r="H48" s="57">
        <f>SUM(D47:D49)</f>
        <v>655739.65</v>
      </c>
      <c r="I48" s="30"/>
      <c r="J48" s="57">
        <f>SUM(D47:D74)-E60</f>
        <v>2012340.43</v>
      </c>
    </row>
    <row r="49" spans="1:10" x14ac:dyDescent="0.2">
      <c r="A49" s="71" t="s">
        <v>27</v>
      </c>
      <c r="B49" s="59"/>
      <c r="C49" s="20"/>
      <c r="D49" s="70">
        <f>[1]Main!D27</f>
        <v>0</v>
      </c>
      <c r="E49" s="54">
        <f>IF($B25-SUM($E45:E48)&gt;D49,D49,$B25-SUM($E45:E48))</f>
        <v>0</v>
      </c>
      <c r="F49" s="54">
        <f>D49-E49</f>
        <v>0</v>
      </c>
      <c r="G49" s="1"/>
      <c r="H49" s="57">
        <f>+H47-H48</f>
        <v>0</v>
      </c>
      <c r="I49" s="30"/>
      <c r="J49" s="57">
        <f>+J47-J48</f>
        <v>0</v>
      </c>
    </row>
    <row r="50" spans="1:10" x14ac:dyDescent="0.2">
      <c r="A50" s="72" t="s">
        <v>72</v>
      </c>
      <c r="B50" s="59"/>
      <c r="C50" s="20"/>
      <c r="D50" s="70">
        <f>[1]Main!E27</f>
        <v>0</v>
      </c>
      <c r="E50" s="54">
        <f>IF($B26-SUM($E46:E49)&gt;D50,D50,$B26-SUM($E46:E49))</f>
        <v>0</v>
      </c>
      <c r="F50" s="54">
        <f>D50-E50</f>
        <v>0</v>
      </c>
      <c r="G50" s="1"/>
      <c r="H50" s="30"/>
      <c r="I50" s="30"/>
      <c r="J50" s="30"/>
    </row>
    <row r="51" spans="1:10" x14ac:dyDescent="0.2">
      <c r="A51" s="72" t="s">
        <v>73</v>
      </c>
      <c r="B51" s="59"/>
      <c r="C51" s="20"/>
      <c r="D51" s="54">
        <f>+[1]Main!$F143</f>
        <v>22165.66</v>
      </c>
      <c r="E51" s="54">
        <f>IF($B25-SUM($E45:E49)&gt;D51,D51,$B25-SUM($E45:E49))</f>
        <v>0</v>
      </c>
      <c r="F51" s="54">
        <f t="shared" si="1"/>
        <v>22165.66</v>
      </c>
      <c r="G51" s="1"/>
      <c r="H51" s="30"/>
      <c r="I51" s="30"/>
      <c r="J51" s="30"/>
    </row>
    <row r="52" spans="1:10" x14ac:dyDescent="0.2">
      <c r="A52" s="71" t="s">
        <v>74</v>
      </c>
      <c r="B52" s="59"/>
      <c r="C52" s="20"/>
      <c r="D52" s="54">
        <f>+[1]Main!$C85</f>
        <v>69811</v>
      </c>
      <c r="E52" s="54">
        <f>IF($B25-SUM($E45:E51)&gt;D52,D52,$B25-SUM($E45:E51))</f>
        <v>0</v>
      </c>
      <c r="F52" s="54">
        <f t="shared" si="1"/>
        <v>69811</v>
      </c>
      <c r="G52" s="1"/>
      <c r="H52" s="30"/>
      <c r="I52" s="30"/>
      <c r="J52" s="30"/>
    </row>
    <row r="53" spans="1:10" x14ac:dyDescent="0.2">
      <c r="A53" s="71" t="s">
        <v>75</v>
      </c>
      <c r="B53" s="59"/>
      <c r="C53" s="20"/>
      <c r="D53" s="54">
        <f>+[1]Main!$D85</f>
        <v>0</v>
      </c>
      <c r="E53" s="54">
        <f>IF($B25-SUM($E45:E52)&gt;D53,D53,$B25-SUM($E45:E52))</f>
        <v>0</v>
      </c>
      <c r="F53" s="54">
        <f t="shared" si="1"/>
        <v>0</v>
      </c>
      <c r="G53" s="1"/>
      <c r="H53" s="30"/>
      <c r="I53" s="30"/>
      <c r="J53" s="30"/>
    </row>
    <row r="54" spans="1:10" x14ac:dyDescent="0.2">
      <c r="A54" s="71" t="s">
        <v>76</v>
      </c>
      <c r="B54" s="59"/>
      <c r="C54" s="20"/>
      <c r="D54" s="54">
        <f>+[1]Main!$E85</f>
        <v>0</v>
      </c>
      <c r="E54" s="54">
        <f>IF($B25-SUM($E45:E53)&gt;D54,D54,$B25-SUM($E45:E53))</f>
        <v>0</v>
      </c>
      <c r="F54" s="54">
        <f t="shared" si="1"/>
        <v>0</v>
      </c>
      <c r="G54" s="1"/>
      <c r="H54" s="30"/>
      <c r="I54" s="30"/>
      <c r="J54" s="30"/>
    </row>
    <row r="55" spans="1:10" x14ac:dyDescent="0.2">
      <c r="A55" s="71" t="s">
        <v>77</v>
      </c>
      <c r="B55" s="59"/>
      <c r="C55" s="20"/>
      <c r="D55" s="54">
        <f>[1]Main!F85</f>
        <v>29305</v>
      </c>
      <c r="E55" s="54">
        <f>IF($B25-SUM($E45:E54)&gt;D55,D55,$B25-SUM($E45:E54))</f>
        <v>0</v>
      </c>
      <c r="F55" s="54">
        <f t="shared" si="1"/>
        <v>29305</v>
      </c>
      <c r="G55" s="1"/>
      <c r="H55" s="57" t="s">
        <v>48</v>
      </c>
      <c r="I55" s="30"/>
      <c r="J55" s="30"/>
    </row>
    <row r="56" spans="1:10" x14ac:dyDescent="0.2">
      <c r="A56" s="71" t="s">
        <v>79</v>
      </c>
      <c r="B56" s="59"/>
      <c r="C56" s="20"/>
      <c r="D56" s="54">
        <f>[1]Main!G85</f>
        <v>0</v>
      </c>
      <c r="E56" s="54">
        <f>IF($B25-SUM($E45:E55)&gt;D56,D56,$B25-SUM($E45:E55))</f>
        <v>0</v>
      </c>
      <c r="F56" s="54">
        <f t="shared" si="1"/>
        <v>0</v>
      </c>
      <c r="G56" s="1"/>
      <c r="H56" s="57"/>
      <c r="I56" s="30"/>
      <c r="J56" s="30"/>
    </row>
    <row r="57" spans="1:10" x14ac:dyDescent="0.2">
      <c r="A57" s="71" t="s">
        <v>78</v>
      </c>
      <c r="B57" s="59"/>
      <c r="C57" s="20"/>
      <c r="D57" s="54">
        <f>[1]Main!G143</f>
        <v>41378.68</v>
      </c>
      <c r="E57" s="54">
        <f>IF($B25-SUM($E45:E56)&gt;D57,D57,$B25-SUM($E45:E56))</f>
        <v>0</v>
      </c>
      <c r="F57" s="54">
        <f t="shared" si="1"/>
        <v>41378.68</v>
      </c>
      <c r="G57" s="1"/>
      <c r="H57" s="73">
        <f>+[1]Main!D201</f>
        <v>162660.34</v>
      </c>
      <c r="I57" s="30"/>
      <c r="J57" s="30"/>
    </row>
    <row r="58" spans="1:10" x14ac:dyDescent="0.2">
      <c r="A58" s="71" t="s">
        <v>80</v>
      </c>
      <c r="B58" s="59"/>
      <c r="C58" s="20"/>
      <c r="D58" s="54">
        <f>[1]Main!C201</f>
        <v>0</v>
      </c>
      <c r="E58" s="54"/>
      <c r="F58" s="54">
        <f t="shared" si="1"/>
        <v>0</v>
      </c>
      <c r="G58" s="1"/>
      <c r="H58" s="57">
        <f>+SUM(D51:D58)</f>
        <v>162660.34</v>
      </c>
      <c r="I58" s="30"/>
      <c r="J58" s="30"/>
    </row>
    <row r="59" spans="1:10" x14ac:dyDescent="0.2">
      <c r="A59" s="71" t="s">
        <v>81</v>
      </c>
      <c r="B59" s="59"/>
      <c r="C59" s="20"/>
      <c r="D59" s="54">
        <f>[1]Main!C259</f>
        <v>305859</v>
      </c>
      <c r="E59" s="54">
        <v>0</v>
      </c>
      <c r="F59" s="54">
        <f t="shared" si="1"/>
        <v>305859</v>
      </c>
      <c r="G59" s="1"/>
      <c r="H59" s="57">
        <f>+H57-H58</f>
        <v>0</v>
      </c>
      <c r="I59" s="30"/>
      <c r="J59" s="30"/>
    </row>
    <row r="60" spans="1:10" x14ac:dyDescent="0.2">
      <c r="A60" s="71" t="s">
        <v>82</v>
      </c>
      <c r="B60" s="59"/>
      <c r="C60" s="20"/>
      <c r="D60" s="54">
        <f>+[7]Main!I26+[7]Main!J26</f>
        <v>165568.07</v>
      </c>
      <c r="E60" s="74">
        <f>[7]Main!J26</f>
        <v>112305.24</v>
      </c>
      <c r="F60" s="54">
        <f t="shared" si="1"/>
        <v>53262.83</v>
      </c>
      <c r="G60" s="1"/>
      <c r="H60" s="30"/>
      <c r="I60" s="30"/>
      <c r="J60" s="30"/>
    </row>
    <row r="61" spans="1:10" x14ac:dyDescent="0.2">
      <c r="A61" s="71" t="s">
        <v>83</v>
      </c>
      <c r="B61" s="59"/>
      <c r="C61" s="20"/>
      <c r="D61" s="54">
        <f>[1]Main!F259</f>
        <v>40370</v>
      </c>
      <c r="E61" s="54">
        <v>0</v>
      </c>
      <c r="F61" s="54">
        <f t="shared" si="1"/>
        <v>40370</v>
      </c>
      <c r="G61" s="1"/>
      <c r="H61" s="30"/>
      <c r="I61" s="30"/>
      <c r="J61" s="30"/>
    </row>
    <row r="62" spans="1:10" x14ac:dyDescent="0.2">
      <c r="A62" s="71" t="s">
        <v>84</v>
      </c>
      <c r="B62" s="59"/>
      <c r="C62" s="7"/>
      <c r="D62" s="54">
        <f>[1]Main!E259</f>
        <v>7720.42</v>
      </c>
      <c r="E62" s="54">
        <v>0</v>
      </c>
      <c r="F62" s="54">
        <f t="shared" si="1"/>
        <v>7720.42</v>
      </c>
      <c r="G62" s="1"/>
      <c r="H62" s="57" t="s">
        <v>49</v>
      </c>
      <c r="I62" s="30"/>
      <c r="J62" s="30"/>
    </row>
    <row r="63" spans="1:10" x14ac:dyDescent="0.2">
      <c r="A63" s="71" t="s">
        <v>85</v>
      </c>
      <c r="B63" s="59"/>
      <c r="C63" s="7"/>
      <c r="D63" s="54">
        <f>[1]Main!G259</f>
        <v>0</v>
      </c>
      <c r="E63" s="54">
        <v>0</v>
      </c>
      <c r="F63" s="54">
        <f t="shared" si="1"/>
        <v>0</v>
      </c>
      <c r="G63" s="1"/>
      <c r="H63" s="57">
        <f>+[1]Main!C488</f>
        <v>1146805.51</v>
      </c>
      <c r="I63" s="57"/>
      <c r="J63" s="57"/>
    </row>
    <row r="64" spans="1:10" x14ac:dyDescent="0.2">
      <c r="A64" s="71" t="s">
        <v>86</v>
      </c>
      <c r="B64" s="59"/>
      <c r="C64" s="20"/>
      <c r="D64" s="54">
        <f>[1]Main!C317</f>
        <v>0</v>
      </c>
      <c r="E64" s="54">
        <v>0</v>
      </c>
      <c r="F64" s="54">
        <f t="shared" si="1"/>
        <v>0</v>
      </c>
      <c r="G64" s="1"/>
      <c r="H64" s="57">
        <f>+SUM(D59:D69)-E60</f>
        <v>1146805.51</v>
      </c>
      <c r="I64" s="57"/>
      <c r="J64" s="57">
        <f>+H64-H63</f>
        <v>0</v>
      </c>
    </row>
    <row r="65" spans="1:10" x14ac:dyDescent="0.2">
      <c r="A65" s="71" t="s">
        <v>87</v>
      </c>
      <c r="C65" s="8"/>
      <c r="D65" s="76">
        <f>[1]Main!D317</f>
        <v>652473.22</v>
      </c>
      <c r="E65" s="77">
        <v>0</v>
      </c>
      <c r="F65" s="77">
        <f t="shared" si="1"/>
        <v>652473.22</v>
      </c>
      <c r="G65" s="5"/>
      <c r="H65" s="57">
        <f>+H63-H64</f>
        <v>0</v>
      </c>
      <c r="I65" s="57"/>
      <c r="J65" s="57"/>
    </row>
    <row r="66" spans="1:10" x14ac:dyDescent="0.2">
      <c r="A66" s="71" t="s">
        <v>88</v>
      </c>
      <c r="B66" s="59"/>
      <c r="C66" s="20"/>
      <c r="D66" s="54">
        <f>+[1]Main!$E317</f>
        <v>3742.24</v>
      </c>
      <c r="E66" s="54">
        <v>0</v>
      </c>
      <c r="F66" s="54">
        <f>D66-E66</f>
        <v>3742.24</v>
      </c>
      <c r="G66" s="4"/>
      <c r="H66" s="30"/>
      <c r="I66" s="30"/>
      <c r="J66" s="30"/>
    </row>
    <row r="67" spans="1:10" x14ac:dyDescent="0.2">
      <c r="A67" s="71" t="s">
        <v>89</v>
      </c>
      <c r="B67" s="59"/>
      <c r="C67" s="20"/>
      <c r="D67" s="54">
        <f>[1]Main!F317</f>
        <v>19937.27</v>
      </c>
      <c r="E67" s="54">
        <v>0</v>
      </c>
      <c r="F67" s="54">
        <f>D67-E67</f>
        <v>19937.27</v>
      </c>
      <c r="G67" s="4"/>
      <c r="H67" s="30"/>
      <c r="I67" s="30"/>
      <c r="J67" s="30"/>
    </row>
    <row r="68" spans="1:10" x14ac:dyDescent="0.2">
      <c r="A68" s="71" t="s">
        <v>90</v>
      </c>
      <c r="B68" s="59"/>
      <c r="C68" s="20"/>
      <c r="D68" s="54">
        <f>[1]Main!G317</f>
        <v>0</v>
      </c>
      <c r="E68" s="54">
        <v>0</v>
      </c>
      <c r="F68" s="54">
        <f>D68-E68</f>
        <v>0</v>
      </c>
      <c r="G68" s="1"/>
      <c r="H68" s="57" t="s">
        <v>50</v>
      </c>
      <c r="I68" s="30"/>
      <c r="J68" s="30"/>
    </row>
    <row r="69" spans="1:10" x14ac:dyDescent="0.2">
      <c r="A69" s="71" t="s">
        <v>93</v>
      </c>
      <c r="B69" s="59"/>
      <c r="C69" s="20"/>
      <c r="D69" s="54">
        <f>[1]Main!F374</f>
        <v>63440.53</v>
      </c>
      <c r="E69" s="54">
        <v>0</v>
      </c>
      <c r="F69" s="54">
        <f>D69-E69</f>
        <v>63440.53</v>
      </c>
      <c r="G69" s="1"/>
      <c r="H69" s="57"/>
      <c r="I69" s="30"/>
      <c r="J69" s="30"/>
    </row>
    <row r="70" spans="1:10" x14ac:dyDescent="0.2">
      <c r="A70" s="55" t="s">
        <v>30</v>
      </c>
      <c r="B70" s="78"/>
      <c r="C70" s="79"/>
      <c r="D70" s="64"/>
      <c r="E70" s="64"/>
      <c r="F70" s="64"/>
      <c r="G70" s="1"/>
      <c r="H70" s="57"/>
      <c r="I70" s="30"/>
      <c r="J70" s="30"/>
    </row>
    <row r="71" spans="1:10" x14ac:dyDescent="0.2">
      <c r="A71" s="71" t="s">
        <v>60</v>
      </c>
      <c r="B71" s="59"/>
      <c r="C71" s="20"/>
      <c r="D71" s="54">
        <f>[1]Main!C431</f>
        <v>24132.880000000001</v>
      </c>
      <c r="E71" s="54">
        <v>0</v>
      </c>
      <c r="F71" s="54">
        <f>D71-E71</f>
        <v>24132.880000000001</v>
      </c>
      <c r="G71" s="1"/>
      <c r="H71" s="57">
        <f>+[1]Main!G431</f>
        <v>47134.93</v>
      </c>
      <c r="I71" s="30"/>
      <c r="J71" s="30"/>
    </row>
    <row r="72" spans="1:10" x14ac:dyDescent="0.2">
      <c r="A72" s="71" t="s">
        <v>63</v>
      </c>
      <c r="B72" s="59"/>
      <c r="C72" s="20"/>
      <c r="D72" s="54">
        <f>[1]Main!D431</f>
        <v>4998.3900000000003</v>
      </c>
      <c r="E72" s="54">
        <v>0</v>
      </c>
      <c r="F72" s="54">
        <f>D72-E72</f>
        <v>4998.3900000000003</v>
      </c>
      <c r="G72" s="4"/>
      <c r="H72" s="57">
        <f>SUM(D71:D74)</f>
        <v>47134.93</v>
      </c>
      <c r="I72" s="30"/>
      <c r="J72" s="30"/>
    </row>
    <row r="73" spans="1:10" x14ac:dyDescent="0.2">
      <c r="A73" s="71" t="s">
        <v>91</v>
      </c>
      <c r="B73" s="59"/>
      <c r="C73" s="20"/>
      <c r="D73" s="54">
        <f>[1]Main!E431</f>
        <v>0</v>
      </c>
      <c r="E73" s="54">
        <v>0</v>
      </c>
      <c r="F73" s="54">
        <f>D73-E73</f>
        <v>0</v>
      </c>
      <c r="G73" s="4"/>
      <c r="H73" s="57">
        <f>+H71-H72</f>
        <v>0</v>
      </c>
      <c r="I73" s="30"/>
      <c r="J73" s="30"/>
    </row>
    <row r="74" spans="1:10" x14ac:dyDescent="0.2">
      <c r="A74" s="71" t="s">
        <v>92</v>
      </c>
      <c r="B74" s="59"/>
      <c r="C74" s="20"/>
      <c r="D74" s="54">
        <f>[1]Main!F431</f>
        <v>18003.66</v>
      </c>
      <c r="E74" s="54">
        <v>0</v>
      </c>
      <c r="F74" s="54">
        <f>D74-E74</f>
        <v>18003.66</v>
      </c>
      <c r="G74" s="1"/>
      <c r="H74" s="30"/>
      <c r="I74" s="30"/>
      <c r="J74" s="30"/>
    </row>
    <row r="75" spans="1:10" x14ac:dyDescent="0.2">
      <c r="A75" s="55" t="s">
        <v>31</v>
      </c>
      <c r="B75" s="78"/>
      <c r="C75" s="79"/>
      <c r="D75" s="64"/>
      <c r="E75" s="64"/>
      <c r="F75" s="64"/>
      <c r="G75" s="1"/>
      <c r="H75" s="30"/>
      <c r="I75" s="30"/>
      <c r="J75" s="30"/>
    </row>
    <row r="76" spans="1:10" x14ac:dyDescent="0.2">
      <c r="A76" s="58" t="s">
        <v>69</v>
      </c>
      <c r="B76" s="59"/>
      <c r="C76" s="20"/>
      <c r="D76" s="54">
        <f>+[1]Main!$G544</f>
        <v>0</v>
      </c>
      <c r="E76" s="54">
        <f>+[1]Main!$D544</f>
        <v>0</v>
      </c>
      <c r="F76" s="54">
        <f>+D76-E76</f>
        <v>0</v>
      </c>
      <c r="G76" s="1"/>
      <c r="H76" s="30"/>
      <c r="I76" s="30"/>
      <c r="J76" s="30"/>
    </row>
    <row r="77" spans="1:10" x14ac:dyDescent="0.2">
      <c r="A77" s="59" t="s">
        <v>68</v>
      </c>
      <c r="B77" s="59"/>
      <c r="C77" s="20"/>
      <c r="D77" s="54">
        <f>+[1]Main!$G599</f>
        <v>584903.05000000005</v>
      </c>
      <c r="E77" s="54">
        <f>+[1]Main!$D599</f>
        <v>443504.33</v>
      </c>
      <c r="F77" s="54">
        <f>+D77-E77</f>
        <v>141398.72</v>
      </c>
      <c r="G77" s="1"/>
      <c r="H77" s="30"/>
      <c r="I77" s="30"/>
      <c r="J77" s="30"/>
    </row>
    <row r="78" spans="1:10" ht="13.5" thickBot="1" x14ac:dyDescent="0.25">
      <c r="A78" s="80"/>
      <c r="B78" s="81"/>
      <c r="C78" s="82" t="s">
        <v>29</v>
      </c>
      <c r="D78" s="83">
        <f>SUM(D45:D77)</f>
        <v>14788531.449999999</v>
      </c>
      <c r="E78" s="83">
        <f>SUM(E45:E77)</f>
        <v>2412983.5699999998</v>
      </c>
      <c r="F78" s="83">
        <f>SUM(F45:F77)</f>
        <v>12375547.880000001</v>
      </c>
      <c r="G78" s="1"/>
      <c r="H78" s="30"/>
      <c r="I78" s="30"/>
      <c r="J78" s="30"/>
    </row>
    <row r="79" spans="1:10" ht="13.5" thickTop="1" x14ac:dyDescent="0.2">
      <c r="A79" s="84"/>
      <c r="B79" s="59"/>
      <c r="C79" s="85"/>
      <c r="D79" s="86"/>
      <c r="E79" s="86"/>
      <c r="F79" s="87"/>
      <c r="G79" s="1"/>
      <c r="H79" s="30"/>
      <c r="I79" s="30"/>
      <c r="J79" s="30"/>
    </row>
    <row r="80" spans="1:10" x14ac:dyDescent="0.2">
      <c r="A80" s="88" t="s">
        <v>40</v>
      </c>
      <c r="B80" s="78"/>
      <c r="C80" s="89"/>
      <c r="D80" s="90"/>
      <c r="E80" s="91"/>
      <c r="F80" s="92" t="s">
        <v>36</v>
      </c>
      <c r="G80" s="6"/>
      <c r="H80" s="57" t="s">
        <v>51</v>
      </c>
      <c r="I80" s="30"/>
      <c r="J80" s="57" t="s">
        <v>7</v>
      </c>
    </row>
    <row r="81" spans="1:10" x14ac:dyDescent="0.2">
      <c r="A81" s="93" t="s">
        <v>33</v>
      </c>
      <c r="B81" s="94"/>
      <c r="C81" s="95"/>
      <c r="D81" s="96"/>
      <c r="E81" s="96"/>
      <c r="F81" s="91"/>
      <c r="G81" s="6"/>
      <c r="H81" s="30"/>
      <c r="I81" s="30"/>
      <c r="J81" s="30"/>
    </row>
    <row r="82" spans="1:10" x14ac:dyDescent="0.2">
      <c r="A82" s="59" t="s">
        <v>34</v>
      </c>
      <c r="B82" s="59"/>
      <c r="C82" s="22"/>
      <c r="D82" s="27"/>
      <c r="E82" s="27"/>
      <c r="F82" s="97">
        <f>+[8]Main!$C27</f>
        <v>0</v>
      </c>
      <c r="G82" s="5"/>
      <c r="H82" s="57">
        <f>+[1]Main!G655</f>
        <v>584903.05000000005</v>
      </c>
      <c r="I82" s="30"/>
      <c r="J82" s="57">
        <f>+[1]Main!E655+[1]Main!F655</f>
        <v>141398.72</v>
      </c>
    </row>
    <row r="83" spans="1:10" x14ac:dyDescent="0.2">
      <c r="A83" s="59" t="s">
        <v>66</v>
      </c>
      <c r="B83" s="59"/>
      <c r="C83" s="22"/>
      <c r="D83" s="27"/>
      <c r="E83" s="27"/>
      <c r="F83" s="97">
        <f>+[8]Main!$D27</f>
        <v>0</v>
      </c>
      <c r="G83" s="5"/>
      <c r="H83" s="57">
        <f>+D76+D77</f>
        <v>584903.05000000005</v>
      </c>
      <c r="I83" s="30"/>
      <c r="J83" s="57">
        <f>+F76+F77</f>
        <v>141398.72</v>
      </c>
    </row>
    <row r="84" spans="1:10" x14ac:dyDescent="0.2">
      <c r="A84" s="32" t="s">
        <v>65</v>
      </c>
      <c r="B84" s="32"/>
      <c r="C84" s="22"/>
      <c r="D84" s="28"/>
      <c r="E84" s="28"/>
      <c r="F84" s="97">
        <f>+[8]Main!$E27</f>
        <v>34082</v>
      </c>
      <c r="G84" s="1"/>
      <c r="H84" s="57">
        <f>+H82-H83</f>
        <v>0</v>
      </c>
      <c r="I84" s="30"/>
      <c r="J84" s="57">
        <f>+J82-J83</f>
        <v>0</v>
      </c>
    </row>
    <row r="85" spans="1:10" x14ac:dyDescent="0.2">
      <c r="A85" s="32" t="s">
        <v>67</v>
      </c>
      <c r="B85" s="32"/>
      <c r="C85" s="22"/>
      <c r="D85" s="28"/>
      <c r="E85" s="28"/>
      <c r="F85" s="97">
        <f>+[8]Main!$F27</f>
        <v>67665</v>
      </c>
      <c r="G85" s="1"/>
      <c r="H85" s="30"/>
      <c r="I85" s="30"/>
      <c r="J85" s="30"/>
    </row>
    <row r="86" spans="1:10" x14ac:dyDescent="0.2">
      <c r="A86" s="88" t="s">
        <v>35</v>
      </c>
      <c r="B86" s="78"/>
      <c r="C86" s="89"/>
      <c r="D86" s="90"/>
      <c r="E86" s="91"/>
      <c r="F86" s="54">
        <f>+[8]Main!$C85</f>
        <v>16734.150000000001</v>
      </c>
      <c r="G86" s="1"/>
      <c r="H86" s="30"/>
      <c r="I86" s="30"/>
      <c r="J86" s="30"/>
    </row>
    <row r="87" spans="1:10" ht="13.5" thickBot="1" x14ac:dyDescent="0.25">
      <c r="A87" s="98"/>
      <c r="B87" s="99"/>
      <c r="C87" s="100" t="s">
        <v>29</v>
      </c>
      <c r="D87" s="101"/>
      <c r="E87" s="102"/>
      <c r="F87" s="103">
        <f>SUM(F82:F86)</f>
        <v>118481.15</v>
      </c>
      <c r="G87" s="1"/>
      <c r="H87" s="30"/>
      <c r="I87" s="30"/>
      <c r="J87" s="30"/>
    </row>
    <row r="88" spans="1:10" ht="13.5" thickBot="1" x14ac:dyDescent="0.25">
      <c r="A88" s="104"/>
      <c r="B88" s="105"/>
      <c r="C88" s="106" t="s">
        <v>53</v>
      </c>
      <c r="D88" s="107"/>
      <c r="E88" s="108"/>
      <c r="F88" s="109">
        <f>+F87+F78</f>
        <v>12494029.029999999</v>
      </c>
      <c r="G88" s="1"/>
      <c r="H88" s="57" t="s">
        <v>54</v>
      </c>
      <c r="I88" s="30"/>
      <c r="J88" s="30"/>
    </row>
    <row r="89" spans="1:10" x14ac:dyDescent="0.2">
      <c r="A89" s="11"/>
      <c r="B89" s="12"/>
      <c r="C89" s="9"/>
      <c r="D89" s="29"/>
      <c r="E89" s="29"/>
      <c r="F89" s="110"/>
      <c r="G89" s="1"/>
      <c r="H89" s="57">
        <f>+[8]Main!$G27</f>
        <v>101747</v>
      </c>
      <c r="I89" s="30"/>
      <c r="J89" s="30"/>
    </row>
    <row r="90" spans="1:10" x14ac:dyDescent="0.2">
      <c r="A90" s="11"/>
      <c r="B90" s="12"/>
      <c r="C90" s="9"/>
      <c r="D90" s="29"/>
      <c r="E90" s="29"/>
      <c r="F90" s="110"/>
      <c r="G90" s="1"/>
      <c r="H90" s="57">
        <f>SUM(F82:F85)</f>
        <v>101747</v>
      </c>
      <c r="I90" s="30"/>
      <c r="J90" s="30"/>
    </row>
    <row r="91" spans="1:10" x14ac:dyDescent="0.2">
      <c r="A91" s="1"/>
      <c r="B91" s="1"/>
      <c r="C91" s="7"/>
      <c r="D91" s="26"/>
      <c r="E91" s="26"/>
      <c r="F91" s="86">
        <f>+F87+F78</f>
        <v>12494029.029999999</v>
      </c>
      <c r="G91" s="1"/>
      <c r="H91" s="57">
        <f>+H89-H90</f>
        <v>0</v>
      </c>
      <c r="I91" s="30"/>
      <c r="J91" s="30"/>
    </row>
    <row r="92" spans="1:10" x14ac:dyDescent="0.2">
      <c r="A92" s="1"/>
      <c r="B92" s="1"/>
      <c r="C92" s="7"/>
      <c r="D92" s="26"/>
      <c r="E92" s="26"/>
      <c r="F92" s="86">
        <f>+[1]Main!$F771</f>
        <v>12494029.029999999</v>
      </c>
      <c r="G92" s="1"/>
      <c r="H92" s="30"/>
      <c r="I92" s="30"/>
      <c r="J92" s="30"/>
    </row>
    <row r="93" spans="1:10" x14ac:dyDescent="0.2">
      <c r="A93" s="1"/>
      <c r="B93" s="1"/>
      <c r="C93" s="7"/>
      <c r="D93" s="26"/>
      <c r="E93" s="86">
        <f>+E78+[1]Main!$E771</f>
        <v>0</v>
      </c>
      <c r="F93" s="86">
        <f>+F92-F91</f>
        <v>0</v>
      </c>
      <c r="G93" s="1"/>
      <c r="H93" s="30"/>
      <c r="I93" s="30"/>
      <c r="J93" s="30"/>
    </row>
    <row r="94" spans="1:10" x14ac:dyDescent="0.2">
      <c r="A94" s="59"/>
      <c r="B94" s="59"/>
      <c r="C94" s="85"/>
      <c r="D94" s="86"/>
      <c r="E94" s="86"/>
      <c r="F94" s="86"/>
      <c r="G94" s="59"/>
      <c r="H94" s="57"/>
      <c r="I94" s="57"/>
      <c r="J94" s="57"/>
    </row>
    <row r="95" spans="1:10" x14ac:dyDescent="0.2">
      <c r="A95" s="59"/>
      <c r="B95" s="59"/>
      <c r="C95" s="85"/>
      <c r="D95" s="86"/>
      <c r="E95" s="86"/>
      <c r="F95" s="86"/>
      <c r="G95" s="59"/>
      <c r="H95" s="57"/>
      <c r="I95" s="57"/>
      <c r="J95" s="57"/>
    </row>
    <row r="96" spans="1:10" x14ac:dyDescent="0.2">
      <c r="A96" s="59"/>
      <c r="B96" s="59"/>
      <c r="C96" s="85"/>
      <c r="D96" s="86"/>
      <c r="E96" s="86"/>
      <c r="F96" s="86"/>
      <c r="G96" s="59"/>
      <c r="H96" s="111" t="s">
        <v>55</v>
      </c>
      <c r="I96" s="57"/>
      <c r="J96" s="57"/>
    </row>
    <row r="97" spans="7:10" x14ac:dyDescent="0.2">
      <c r="G97" s="59"/>
      <c r="H97" s="113"/>
      <c r="I97" s="112"/>
      <c r="J97" s="112"/>
    </row>
    <row r="98" spans="7:10" x14ac:dyDescent="0.2">
      <c r="G98" s="59"/>
      <c r="H98" s="112"/>
      <c r="I98" s="112"/>
      <c r="J98" s="112"/>
    </row>
    <row r="99" spans="7:10" x14ac:dyDescent="0.2">
      <c r="G99" s="59"/>
      <c r="H99" s="112"/>
      <c r="I99" s="112"/>
      <c r="J99" s="112"/>
    </row>
    <row r="100" spans="7:10" x14ac:dyDescent="0.2">
      <c r="G100" s="59"/>
      <c r="H100" s="112"/>
      <c r="I100" s="112"/>
      <c r="J100" s="112"/>
    </row>
    <row r="101" spans="7:10" x14ac:dyDescent="0.2">
      <c r="G101" s="59"/>
      <c r="H101" s="112"/>
      <c r="I101" s="112"/>
      <c r="J101" s="112"/>
    </row>
    <row r="102" spans="7:10" x14ac:dyDescent="0.2">
      <c r="G102" s="59"/>
      <c r="H102" s="71"/>
      <c r="I102" s="112"/>
      <c r="J102" s="112"/>
    </row>
  </sheetData>
  <mergeCells count="1">
    <mergeCell ref="D21:E21"/>
  </mergeCells>
  <phoneticPr fontId="0" type="noConversion"/>
  <printOptions horizontalCentered="1" verticalCentered="1"/>
  <pageMargins left="0.5" right="0.25" top="0.5" bottom="0.5" header="0.5" footer="0.5"/>
  <pageSetup scale="89" orientation="portrait" horizontalDpi="1200" r:id="rId1"/>
  <headerFooter alignWithMargins="0">
    <oddHeader>&amp;R&amp;8Current as of: &amp;D</oddHeader>
    <oddFooter>&amp;L&amp;8USOE, Finance and Statistics&amp;R&amp;8&amp;F</oddFooter>
  </headerFooter>
  <picture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theme="0"/>
  </sheetPr>
  <dimension ref="A1:J103"/>
  <sheetViews>
    <sheetView topLeftCell="A37" workbookViewId="0">
      <selection activeCell="B26" sqref="B26"/>
    </sheetView>
  </sheetViews>
  <sheetFormatPr defaultColWidth="18.28515625" defaultRowHeight="12.75" x14ac:dyDescent="0.2"/>
  <cols>
    <col min="1" max="1" width="27" style="75" customWidth="1"/>
    <col min="2" max="2" width="16.7109375" style="75" customWidth="1"/>
    <col min="3" max="3" width="15.85546875" style="75" customWidth="1"/>
    <col min="4" max="4" width="16.28515625" style="75" customWidth="1"/>
    <col min="5" max="5" width="15.5703125" style="75" customWidth="1"/>
    <col min="6" max="6" width="17.42578125" style="75" customWidth="1"/>
    <col min="7" max="7" width="5.7109375" style="75" customWidth="1"/>
    <col min="8" max="8" width="21.5703125" style="75" customWidth="1"/>
    <col min="9" max="9" width="5" style="75" customWidth="1"/>
    <col min="10" max="10" width="20.85546875" style="75" customWidth="1"/>
    <col min="11" max="16384" width="18.28515625" style="75"/>
  </cols>
  <sheetData>
    <row r="1" spans="1:10" x14ac:dyDescent="0.2">
      <c r="A1" s="8"/>
      <c r="B1" s="8"/>
      <c r="C1" s="8"/>
      <c r="D1" s="8"/>
      <c r="E1" s="8"/>
      <c r="F1" s="8"/>
      <c r="G1" s="8"/>
      <c r="H1" s="8"/>
      <c r="I1" s="8"/>
      <c r="J1" s="8"/>
    </row>
    <row r="2" spans="1:10" x14ac:dyDescent="0.2">
      <c r="A2" s="8"/>
      <c r="B2" s="8"/>
      <c r="C2" s="8"/>
      <c r="D2" s="8"/>
      <c r="E2" s="8"/>
      <c r="F2" s="8"/>
      <c r="G2" s="8"/>
      <c r="H2" s="8"/>
      <c r="I2" s="8"/>
      <c r="J2" s="8"/>
    </row>
    <row r="3" spans="1:10" x14ac:dyDescent="0.2">
      <c r="A3" s="8"/>
      <c r="B3" s="8"/>
      <c r="C3" s="8"/>
      <c r="D3" s="8"/>
      <c r="E3" s="8"/>
      <c r="F3" s="8"/>
      <c r="G3" s="8"/>
      <c r="H3" s="8"/>
      <c r="I3" s="8"/>
      <c r="J3" s="8"/>
    </row>
    <row r="4" spans="1:10" x14ac:dyDescent="0.2">
      <c r="A4" s="8"/>
      <c r="B4" s="8"/>
      <c r="C4" s="8"/>
      <c r="D4" s="8"/>
      <c r="E4" s="8"/>
      <c r="F4" s="8"/>
      <c r="G4" s="8"/>
      <c r="H4" s="8"/>
      <c r="I4" s="8"/>
      <c r="J4" s="8"/>
    </row>
    <row r="5" spans="1:10" x14ac:dyDescent="0.2">
      <c r="A5" s="8"/>
      <c r="B5" s="8"/>
      <c r="C5" s="8"/>
      <c r="D5" s="8"/>
      <c r="E5" s="8"/>
      <c r="F5" s="8"/>
      <c r="G5" s="8"/>
      <c r="H5" s="8"/>
      <c r="I5" s="8"/>
      <c r="J5" s="8"/>
    </row>
    <row r="6" spans="1:10" x14ac:dyDescent="0.2">
      <c r="A6" s="8"/>
      <c r="B6" s="8"/>
      <c r="C6" s="8"/>
      <c r="D6" s="8"/>
      <c r="E6" s="8"/>
      <c r="F6" s="8"/>
      <c r="G6" s="8"/>
      <c r="H6" s="8"/>
      <c r="I6" s="8"/>
      <c r="J6" s="8"/>
    </row>
    <row r="7" spans="1:10" x14ac:dyDescent="0.2">
      <c r="A7" s="8"/>
      <c r="B7" s="8"/>
      <c r="C7" s="8"/>
      <c r="D7" s="8"/>
      <c r="E7" s="8"/>
      <c r="F7" s="8"/>
      <c r="G7" s="8"/>
      <c r="H7" s="8"/>
      <c r="I7" s="8"/>
      <c r="J7" s="8"/>
    </row>
    <row r="8" spans="1:10" x14ac:dyDescent="0.2">
      <c r="A8" s="8"/>
      <c r="B8" s="8"/>
      <c r="C8" s="8"/>
      <c r="D8" s="8"/>
      <c r="E8" s="8"/>
      <c r="F8" s="8"/>
      <c r="G8" s="8"/>
      <c r="H8" s="8"/>
      <c r="I8" s="8"/>
      <c r="J8" s="8"/>
    </row>
    <row r="9" spans="1:10" x14ac:dyDescent="0.2">
      <c r="A9" s="8"/>
      <c r="B9" s="8"/>
      <c r="C9" s="8"/>
      <c r="D9" s="8"/>
      <c r="E9" s="8"/>
      <c r="F9" s="8"/>
      <c r="G9" s="8"/>
      <c r="H9" s="8"/>
      <c r="I9" s="8"/>
      <c r="J9" s="8"/>
    </row>
    <row r="10" spans="1:10" x14ac:dyDescent="0.2">
      <c r="A10" s="8"/>
      <c r="B10" s="15"/>
      <c r="C10" s="8"/>
      <c r="D10" s="8"/>
      <c r="E10" s="8"/>
      <c r="F10" s="8"/>
      <c r="G10" s="8"/>
      <c r="H10" s="8"/>
      <c r="I10" s="8"/>
      <c r="J10" s="8"/>
    </row>
    <row r="11" spans="1:10" x14ac:dyDescent="0.2">
      <c r="A11" s="8"/>
      <c r="B11" s="8"/>
      <c r="C11" s="8"/>
      <c r="D11" s="8"/>
      <c r="E11" s="8"/>
      <c r="F11" s="8"/>
      <c r="G11" s="8"/>
      <c r="H11" s="8"/>
      <c r="I11" s="8"/>
      <c r="J11" s="8"/>
    </row>
    <row r="12" spans="1:10" x14ac:dyDescent="0.2">
      <c r="A12" s="8"/>
      <c r="B12" s="8"/>
      <c r="C12" s="8"/>
      <c r="D12" s="8"/>
      <c r="E12" s="8"/>
      <c r="F12" s="8"/>
      <c r="G12" s="8"/>
      <c r="H12" s="8"/>
      <c r="I12" s="8"/>
      <c r="J12" s="8"/>
    </row>
    <row r="13" spans="1:10" x14ac:dyDescent="0.2">
      <c r="A13" s="8"/>
      <c r="B13" s="8"/>
      <c r="C13" s="8"/>
      <c r="D13" s="8"/>
      <c r="E13" s="8"/>
      <c r="F13" s="8"/>
      <c r="G13" s="8"/>
      <c r="H13" s="8"/>
      <c r="I13" s="8"/>
      <c r="J13" s="8"/>
    </row>
    <row r="14" spans="1:10" x14ac:dyDescent="0.2">
      <c r="A14" s="8"/>
      <c r="B14" s="8"/>
      <c r="C14" s="8"/>
      <c r="D14" s="8"/>
      <c r="E14" s="8"/>
      <c r="F14" s="8"/>
      <c r="G14" s="8"/>
      <c r="H14" s="8"/>
      <c r="I14" s="8"/>
      <c r="J14" s="8"/>
    </row>
    <row r="15" spans="1:10" x14ac:dyDescent="0.2">
      <c r="A15" s="8"/>
      <c r="B15" s="8"/>
      <c r="C15" s="8"/>
      <c r="D15" s="8"/>
      <c r="E15" s="8"/>
      <c r="F15" s="8"/>
      <c r="G15" s="8"/>
      <c r="H15" s="8"/>
      <c r="I15" s="8"/>
      <c r="J15" s="8"/>
    </row>
    <row r="16" spans="1:10" x14ac:dyDescent="0.2">
      <c r="A16" s="8"/>
      <c r="B16" s="8"/>
      <c r="C16" s="8"/>
      <c r="D16" s="8"/>
      <c r="E16" s="8"/>
      <c r="F16" s="8"/>
      <c r="G16" s="8"/>
      <c r="H16" s="8"/>
      <c r="I16" s="8"/>
      <c r="J16" s="8"/>
    </row>
    <row r="17" spans="1:10" x14ac:dyDescent="0.2">
      <c r="A17" s="8"/>
      <c r="B17" s="8"/>
      <c r="C17" s="8"/>
      <c r="D17" s="8"/>
      <c r="E17" s="8"/>
      <c r="F17" s="8"/>
      <c r="G17" s="8"/>
      <c r="H17" s="8"/>
      <c r="I17" s="8"/>
      <c r="J17" s="8"/>
    </row>
    <row r="18" spans="1:10" x14ac:dyDescent="0.2">
      <c r="A18" s="8"/>
      <c r="B18" s="8"/>
      <c r="C18" s="8"/>
      <c r="D18" s="8"/>
      <c r="E18" s="8"/>
      <c r="F18" s="8"/>
      <c r="G18" s="8"/>
      <c r="H18" s="8"/>
      <c r="I18" s="8"/>
      <c r="J18" s="8"/>
    </row>
    <row r="19" spans="1:10" x14ac:dyDescent="0.2">
      <c r="A19" s="32" t="s">
        <v>0</v>
      </c>
      <c r="B19" s="33">
        <v>3184</v>
      </c>
      <c r="C19" s="34" t="s">
        <v>1</v>
      </c>
      <c r="D19" s="35"/>
      <c r="E19" s="35"/>
      <c r="F19" s="35"/>
      <c r="G19" s="1"/>
      <c r="H19" s="30"/>
      <c r="I19" s="30"/>
      <c r="J19" s="30"/>
    </row>
    <row r="20" spans="1:10" x14ac:dyDescent="0.2">
      <c r="A20" s="32" t="s">
        <v>61</v>
      </c>
      <c r="B20" s="36">
        <f>+[1]Main!$C545</f>
        <v>1.2999999999999999E-3</v>
      </c>
      <c r="C20" s="34" t="s">
        <v>41</v>
      </c>
      <c r="D20" s="35"/>
      <c r="E20" s="35"/>
      <c r="F20" s="35"/>
      <c r="G20" s="1"/>
      <c r="H20" s="30"/>
      <c r="I20" s="30"/>
      <c r="J20" s="30"/>
    </row>
    <row r="21" spans="1:10" x14ac:dyDescent="0.2">
      <c r="A21" s="32" t="s">
        <v>62</v>
      </c>
      <c r="B21" s="36">
        <f>+[1]Main!$C600</f>
        <v>1.694E-3</v>
      </c>
      <c r="C21" s="34" t="s">
        <v>95</v>
      </c>
      <c r="D21" s="35"/>
      <c r="E21" s="37"/>
      <c r="F21" s="35"/>
      <c r="G21" s="1"/>
      <c r="H21" s="30"/>
      <c r="I21" s="30"/>
      <c r="J21" s="30"/>
    </row>
    <row r="22" spans="1:10" x14ac:dyDescent="0.2">
      <c r="A22" s="38" t="s">
        <v>32</v>
      </c>
      <c r="B22" s="39">
        <f>[2]Sheet1!E27</f>
        <v>7162567746</v>
      </c>
      <c r="C22" s="21"/>
      <c r="D22" s="31"/>
      <c r="E22" s="31"/>
      <c r="F22" s="23"/>
      <c r="G22" s="1"/>
      <c r="H22" s="30"/>
      <c r="I22" s="30"/>
      <c r="J22" s="30"/>
    </row>
    <row r="23" spans="1:10" x14ac:dyDescent="0.2">
      <c r="A23" s="32" t="s">
        <v>2</v>
      </c>
      <c r="B23" s="40">
        <f>[2]Sheet1!F27</f>
        <v>0.92300000000000004</v>
      </c>
      <c r="C23" s="7"/>
      <c r="D23" s="41" t="s">
        <v>3</v>
      </c>
      <c r="E23" s="42" t="str">
        <f>+[3]main!B28</f>
        <v>Nebo</v>
      </c>
      <c r="F23" s="43">
        <f>+[3]main!A28</f>
        <v>19</v>
      </c>
      <c r="G23" s="1"/>
      <c r="H23" s="30"/>
      <c r="I23" s="30"/>
      <c r="J23" s="30"/>
    </row>
    <row r="24" spans="1:10" x14ac:dyDescent="0.2">
      <c r="A24" s="32" t="s">
        <v>4</v>
      </c>
      <c r="B24" s="44">
        <f>[2]Sheet1!G27</f>
        <v>1.6750000000000001E-3</v>
      </c>
      <c r="C24" s="8"/>
      <c r="D24" s="24"/>
      <c r="E24" s="25"/>
      <c r="F24" s="24"/>
      <c r="G24" s="1"/>
      <c r="H24" s="30"/>
      <c r="I24" s="30"/>
      <c r="J24" s="30"/>
    </row>
    <row r="25" spans="1:10" x14ac:dyDescent="0.2">
      <c r="A25" s="32" t="s">
        <v>5</v>
      </c>
      <c r="B25" s="45">
        <f>[2]Sheet1!$C$83</f>
        <v>13218571</v>
      </c>
      <c r="C25" s="46"/>
      <c r="D25" s="47" t="s">
        <v>38</v>
      </c>
      <c r="E25" s="48" t="s">
        <v>7</v>
      </c>
      <c r="F25" s="47" t="s">
        <v>6</v>
      </c>
      <c r="G25" s="1"/>
      <c r="H25" s="30"/>
      <c r="I25" s="30"/>
      <c r="J25" s="30"/>
    </row>
    <row r="26" spans="1:10" x14ac:dyDescent="0.2">
      <c r="A26" s="32" t="s">
        <v>8</v>
      </c>
      <c r="B26" s="45">
        <f>+B25</f>
        <v>13218571</v>
      </c>
      <c r="C26" s="49"/>
      <c r="D26" s="50" t="s">
        <v>9</v>
      </c>
      <c r="E26" s="50" t="s">
        <v>37</v>
      </c>
      <c r="F26" s="50" t="s">
        <v>10</v>
      </c>
      <c r="G26" s="1"/>
      <c r="H26" s="30"/>
      <c r="I26" s="30"/>
      <c r="J26" s="30"/>
    </row>
    <row r="27" spans="1:10" x14ac:dyDescent="0.2">
      <c r="A27" s="32" t="s">
        <v>11</v>
      </c>
      <c r="B27" s="45">
        <v>0</v>
      </c>
      <c r="C27" s="51" t="s">
        <v>39</v>
      </c>
      <c r="D27" s="52" t="s">
        <v>12</v>
      </c>
      <c r="E27" s="52" t="s">
        <v>9</v>
      </c>
      <c r="F27" s="52" t="s">
        <v>9</v>
      </c>
      <c r="G27" s="1"/>
      <c r="H27" s="30"/>
      <c r="I27" s="30"/>
      <c r="J27" s="30"/>
    </row>
    <row r="28" spans="1:10" x14ac:dyDescent="0.2">
      <c r="A28" s="32" t="s">
        <v>70</v>
      </c>
      <c r="B28" s="45">
        <f>'[4]LRF FY17'!U25</f>
        <v>565257</v>
      </c>
      <c r="C28" s="53"/>
      <c r="D28" s="54"/>
      <c r="E28" s="54"/>
      <c r="F28" s="54" t="s">
        <v>14</v>
      </c>
      <c r="G28" s="1"/>
      <c r="H28" s="30"/>
      <c r="I28" s="30"/>
      <c r="J28" s="30"/>
    </row>
    <row r="29" spans="1:10" x14ac:dyDescent="0.2">
      <c r="A29" s="55" t="s">
        <v>13</v>
      </c>
      <c r="B29" s="56"/>
      <c r="C29" s="53"/>
      <c r="D29" s="54"/>
      <c r="E29" s="54"/>
      <c r="F29" s="54"/>
      <c r="G29" s="2"/>
      <c r="H29" s="30"/>
      <c r="I29" s="30"/>
      <c r="J29" s="30"/>
    </row>
    <row r="30" spans="1:10" x14ac:dyDescent="0.2">
      <c r="A30" s="55" t="s">
        <v>15</v>
      </c>
      <c r="B30" s="56"/>
      <c r="C30" s="53"/>
      <c r="D30" s="54"/>
      <c r="E30" s="54"/>
      <c r="F30" s="54"/>
      <c r="G30" s="2"/>
      <c r="H30" s="57" t="s">
        <v>43</v>
      </c>
      <c r="I30" s="30"/>
      <c r="J30" s="57" t="s">
        <v>45</v>
      </c>
    </row>
    <row r="31" spans="1:10" x14ac:dyDescent="0.2">
      <c r="A31" s="58" t="s">
        <v>16</v>
      </c>
      <c r="B31" s="59"/>
      <c r="C31" s="60">
        <f>[3]main!C202-[3]main!F144</f>
        <v>30382.744999999999</v>
      </c>
      <c r="D31" s="61">
        <f>[3]main!E202-[3]main!H144</f>
        <v>96738659.170000002</v>
      </c>
      <c r="E31" s="62">
        <f>IF(B26&gt;D31,D31,B26)</f>
        <v>13218571</v>
      </c>
      <c r="F31" s="62">
        <f>D31-E31</f>
        <v>83520088.170000002</v>
      </c>
      <c r="G31" s="1"/>
      <c r="H31" s="57">
        <f>[3]main!H261</f>
        <v>105449996.86</v>
      </c>
      <c r="I31" s="30"/>
      <c r="J31" s="57">
        <f>'[5]Sheet 1'!E85</f>
        <v>136028311.30000001</v>
      </c>
    </row>
    <row r="32" spans="1:10" x14ac:dyDescent="0.2">
      <c r="A32" s="58" t="s">
        <v>17</v>
      </c>
      <c r="B32" s="59"/>
      <c r="C32" s="53">
        <f>[3]main!F144</f>
        <v>0</v>
      </c>
      <c r="D32" s="54">
        <f>[3]main!H144</f>
        <v>0</v>
      </c>
      <c r="E32" s="54">
        <f>IF(B25-SUM(E29:E31)&gt;D32,D32,B25-SUM(E29:E31))</f>
        <v>0</v>
      </c>
      <c r="F32" s="54">
        <f>D32-E32</f>
        <v>0</v>
      </c>
      <c r="G32" s="1"/>
      <c r="H32" s="57">
        <f>SUM(D31:D35)</f>
        <v>105449996.86</v>
      </c>
      <c r="I32" s="30"/>
      <c r="J32" s="57">
        <f>D46</f>
        <v>136028311.30000001</v>
      </c>
    </row>
    <row r="33" spans="1:10" x14ac:dyDescent="0.2">
      <c r="A33" s="58" t="s">
        <v>18</v>
      </c>
      <c r="B33" s="59"/>
      <c r="C33" s="53">
        <f>[3]main!F202</f>
        <v>2718.973</v>
      </c>
      <c r="D33" s="54">
        <f>[3]main!H202</f>
        <v>8657209.6899999995</v>
      </c>
      <c r="E33" s="54">
        <f>IF(B26-SUM(E31:E32)&gt;D33,D33,B26-SUM(E31:E32))</f>
        <v>0</v>
      </c>
      <c r="F33" s="54">
        <f>D33-E33</f>
        <v>8657209.6899999995</v>
      </c>
      <c r="G33" s="1"/>
      <c r="H33" s="57">
        <f>+H31-H32</f>
        <v>0</v>
      </c>
      <c r="I33" s="30"/>
      <c r="J33" s="57">
        <f>+J31-J32</f>
        <v>0</v>
      </c>
    </row>
    <row r="34" spans="1:10" x14ac:dyDescent="0.2">
      <c r="A34" s="58" t="s">
        <v>19</v>
      </c>
      <c r="B34" s="59"/>
      <c r="C34" s="53">
        <f>[3]main!C261</f>
        <v>0</v>
      </c>
      <c r="D34" s="54">
        <f>[3]main!E261</f>
        <v>0</v>
      </c>
      <c r="E34" s="54">
        <f>IF(B26-SUM(E31:E33)&gt;D34,D34,B26-SUM(E31:E33))</f>
        <v>0</v>
      </c>
      <c r="F34" s="54">
        <f>D34-E34</f>
        <v>0</v>
      </c>
      <c r="G34" s="1"/>
      <c r="H34" s="30"/>
      <c r="I34" s="30"/>
      <c r="J34" s="30"/>
    </row>
    <row r="35" spans="1:10" x14ac:dyDescent="0.2">
      <c r="A35" s="58" t="s">
        <v>42</v>
      </c>
      <c r="B35" s="59"/>
      <c r="C35" s="53">
        <f>[3]main!C85</f>
        <v>17</v>
      </c>
      <c r="D35" s="54">
        <f>[3]main!E85</f>
        <v>54128</v>
      </c>
      <c r="E35" s="54">
        <f>IF(B26-SUM(E31:E34)&gt;D35,D35,B26-SUM(E31:E34))</f>
        <v>0</v>
      </c>
      <c r="F35" s="54">
        <f>D35-E35</f>
        <v>54128</v>
      </c>
      <c r="G35" s="1"/>
      <c r="H35" s="30"/>
      <c r="I35" s="30"/>
      <c r="J35" s="30"/>
    </row>
    <row r="36" spans="1:10" x14ac:dyDescent="0.2">
      <c r="A36" s="55" t="s">
        <v>20</v>
      </c>
      <c r="B36" s="56"/>
      <c r="C36" s="63"/>
      <c r="D36" s="64"/>
      <c r="E36" s="64"/>
      <c r="F36" s="64" t="s">
        <v>14</v>
      </c>
      <c r="G36" s="1"/>
      <c r="H36" s="57" t="s">
        <v>44</v>
      </c>
      <c r="I36" s="30"/>
      <c r="J36" s="30"/>
    </row>
    <row r="37" spans="1:10" x14ac:dyDescent="0.2">
      <c r="A37" s="58" t="s">
        <v>21</v>
      </c>
      <c r="B37" s="59"/>
      <c r="C37" s="53">
        <f>'[6]Sheet 1'!C27</f>
        <v>4210.4629999999997</v>
      </c>
      <c r="D37" s="54">
        <f>'[6]Sheet 1'!E27</f>
        <v>13406113.050000001</v>
      </c>
      <c r="E37" s="54">
        <f>IF(B26-SUM(E31:E36)&gt;D37,D37,B26-SUM(E31:E36))</f>
        <v>0</v>
      </c>
      <c r="F37" s="54">
        <f t="shared" ref="F37:F45" si="0">D37-E37</f>
        <v>13406113.050000001</v>
      </c>
      <c r="G37" s="1"/>
      <c r="H37" s="57">
        <f>'[6]Sheet 1'!N143</f>
        <v>18774977.25</v>
      </c>
      <c r="I37" s="30"/>
      <c r="J37" s="30"/>
    </row>
    <row r="38" spans="1:10" x14ac:dyDescent="0.2">
      <c r="A38" s="59" t="s">
        <v>22</v>
      </c>
      <c r="B38" s="59"/>
      <c r="C38" s="53">
        <f>'[6]Sheet 1'!F27</f>
        <v>833.89</v>
      </c>
      <c r="D38" s="54">
        <f>'[6]Sheet 1'!H27</f>
        <v>2655105.7599999998</v>
      </c>
      <c r="E38" s="54">
        <f>IF(B26-SUM(E31:E37)&gt;D38,D38,B26-SUM(E31:E37))</f>
        <v>0</v>
      </c>
      <c r="F38" s="54">
        <f t="shared" si="0"/>
        <v>2655105.7599999998</v>
      </c>
      <c r="G38" s="1"/>
      <c r="H38" s="57">
        <f>SUM(D37:D43)</f>
        <v>18774977.25</v>
      </c>
      <c r="I38" s="30"/>
      <c r="J38" s="30"/>
    </row>
    <row r="39" spans="1:10" x14ac:dyDescent="0.2">
      <c r="A39" s="59" t="s">
        <v>23</v>
      </c>
      <c r="B39" s="59"/>
      <c r="C39" s="53">
        <f>'[6]Sheet 1'!C85</f>
        <v>702.66</v>
      </c>
      <c r="D39" s="54">
        <f>'[6]Sheet 1'!E85</f>
        <v>2237269.44</v>
      </c>
      <c r="E39" s="54">
        <f>IF(B26-SUM(E31:E38)&gt;D39,D39,B26-SUM(E31:E38))</f>
        <v>0</v>
      </c>
      <c r="F39" s="54">
        <f t="shared" si="0"/>
        <v>2237269.44</v>
      </c>
      <c r="G39" s="1"/>
      <c r="H39" s="57">
        <f>+H37-H38</f>
        <v>0</v>
      </c>
      <c r="I39" s="30"/>
      <c r="J39" s="30"/>
    </row>
    <row r="40" spans="1:10" x14ac:dyDescent="0.2">
      <c r="A40" s="58" t="s">
        <v>24</v>
      </c>
      <c r="B40" s="59"/>
      <c r="C40" s="53">
        <f>'[6]Sheet 1'!F85</f>
        <v>19.82</v>
      </c>
      <c r="D40" s="54">
        <f>'[6]Sheet 1'!H85</f>
        <v>63106.66</v>
      </c>
      <c r="E40" s="54">
        <f>IF(B26-SUM(E31:E39)&gt;D40,D40,B26-SUM(E31:E39))</f>
        <v>0</v>
      </c>
      <c r="F40" s="54">
        <f t="shared" si="0"/>
        <v>63106.66</v>
      </c>
      <c r="G40" s="1"/>
      <c r="H40" s="30"/>
      <c r="I40" s="30"/>
      <c r="J40" s="30"/>
    </row>
    <row r="41" spans="1:10" x14ac:dyDescent="0.2">
      <c r="A41" s="59" t="s">
        <v>71</v>
      </c>
      <c r="B41" s="59"/>
      <c r="C41" s="53">
        <f>'[6]Sheet 1'!C143</f>
        <v>105.367</v>
      </c>
      <c r="D41" s="54">
        <f>'[6]Sheet 1'!E143</f>
        <v>335489.01</v>
      </c>
      <c r="E41" s="54">
        <f>IF(B26-SUM(E31:E40)&gt;D41,D41,B26-SUM(E31:E40))</f>
        <v>0</v>
      </c>
      <c r="F41" s="54">
        <f t="shared" si="0"/>
        <v>335489.01</v>
      </c>
      <c r="G41" s="1"/>
      <c r="H41" s="30"/>
      <c r="I41" s="30"/>
      <c r="J41" s="30"/>
    </row>
    <row r="42" spans="1:10" x14ac:dyDescent="0.2">
      <c r="A42" s="59" t="s">
        <v>57</v>
      </c>
      <c r="B42" s="59"/>
      <c r="C42" s="53">
        <f>'[6]Sheet 1'!F143</f>
        <v>0</v>
      </c>
      <c r="D42" s="54">
        <f>'[6]Sheet 1'!H143</f>
        <v>0</v>
      </c>
      <c r="E42" s="54">
        <f>IF(B27-SUM(E32:E41)&gt;D42,D42,B27-SUM(E32:E41))</f>
        <v>0</v>
      </c>
      <c r="F42" s="54">
        <f t="shared" si="0"/>
        <v>0</v>
      </c>
      <c r="G42" s="1"/>
      <c r="H42" s="30"/>
      <c r="I42" s="30"/>
      <c r="J42" s="30"/>
    </row>
    <row r="43" spans="1:10" x14ac:dyDescent="0.2">
      <c r="A43" s="59" t="s">
        <v>64</v>
      </c>
      <c r="B43" s="59"/>
      <c r="C43" s="53">
        <f>'[6]Sheet 1'!I143</f>
        <v>24.463999999999999</v>
      </c>
      <c r="D43" s="54">
        <f>'[6]Sheet 1'!K143</f>
        <v>77893.33</v>
      </c>
      <c r="E43" s="54">
        <f>IF(B29-SUM(E33:E42)&gt;D43,D43,B29-SUM(E33:E42))</f>
        <v>0</v>
      </c>
      <c r="F43" s="54">
        <f t="shared" si="0"/>
        <v>77893.33</v>
      </c>
      <c r="G43" s="1"/>
      <c r="H43" s="57" t="s">
        <v>46</v>
      </c>
      <c r="I43" s="30"/>
      <c r="J43" s="30"/>
    </row>
    <row r="44" spans="1:10" x14ac:dyDescent="0.2">
      <c r="A44" s="59" t="s">
        <v>58</v>
      </c>
      <c r="B44" s="59"/>
      <c r="C44" s="53">
        <f>'[6]Sheet 1'!C201</f>
        <v>1740.711</v>
      </c>
      <c r="D44" s="54">
        <f>'[6]Sheet 1'!E201</f>
        <v>5542423.0199999996</v>
      </c>
      <c r="E44" s="54">
        <f>IF(B26-SUM(E31:E41)&gt;D44,D44,B26-SUM(E31:E41))</f>
        <v>0</v>
      </c>
      <c r="F44" s="54">
        <f t="shared" si="0"/>
        <v>5542423.0199999996</v>
      </c>
      <c r="G44" s="4"/>
      <c r="H44" s="57">
        <f>+'[6]Sheet 1'!E201</f>
        <v>5542423.0199999996</v>
      </c>
      <c r="I44" s="30"/>
      <c r="J44" s="30"/>
    </row>
    <row r="45" spans="1:10" x14ac:dyDescent="0.2">
      <c r="A45" s="58" t="s">
        <v>59</v>
      </c>
      <c r="B45" s="59"/>
      <c r="C45" s="53">
        <f>'[5]Sheet 1'!C27</f>
        <v>1966.3679999999999</v>
      </c>
      <c r="D45" s="54">
        <f>'[5]Sheet 1'!E27</f>
        <v>6260914.1699999999</v>
      </c>
      <c r="E45" s="54">
        <f>IF(B26-SUM(E31:E44)&gt;D45,D45,B26-SUM(E31:E44))</f>
        <v>0</v>
      </c>
      <c r="F45" s="54">
        <f t="shared" si="0"/>
        <v>6260914.1699999999</v>
      </c>
      <c r="G45" s="5"/>
      <c r="H45" s="57">
        <f>+D44</f>
        <v>5542423.0199999996</v>
      </c>
      <c r="I45" s="30"/>
      <c r="J45" s="30"/>
    </row>
    <row r="46" spans="1:10" x14ac:dyDescent="0.2">
      <c r="A46" s="65" t="s">
        <v>28</v>
      </c>
      <c r="B46" s="56"/>
      <c r="C46" s="66">
        <f>SUM(C31:C45)</f>
        <v>42722.461000000003</v>
      </c>
      <c r="D46" s="67">
        <f>SUM(D31:D45)</f>
        <v>136028311.30000001</v>
      </c>
      <c r="E46" s="67">
        <f>SUM(E31:E45)</f>
        <v>13218571</v>
      </c>
      <c r="F46" s="67">
        <f>SUM(F31:F45)</f>
        <v>122809740.3</v>
      </c>
      <c r="G46" s="1"/>
      <c r="H46" s="57">
        <f>+H44-H45</f>
        <v>0</v>
      </c>
      <c r="I46" s="30"/>
      <c r="J46" s="30"/>
    </row>
    <row r="47" spans="1:10" x14ac:dyDescent="0.2">
      <c r="A47" s="68" t="s">
        <v>26</v>
      </c>
      <c r="B47" s="56"/>
      <c r="C47" s="69"/>
      <c r="D47" s="54"/>
      <c r="E47" s="54"/>
      <c r="F47" s="54"/>
      <c r="G47" s="1"/>
      <c r="H47" s="57" t="s">
        <v>47</v>
      </c>
      <c r="I47" s="30"/>
      <c r="J47" s="57" t="s">
        <v>52</v>
      </c>
    </row>
    <row r="48" spans="1:10" x14ac:dyDescent="0.2">
      <c r="A48" s="58" t="s">
        <v>56</v>
      </c>
      <c r="B48" s="59"/>
      <c r="C48" s="20"/>
      <c r="D48" s="70">
        <f>[1]Main!F28</f>
        <v>394116.82</v>
      </c>
      <c r="E48" s="54">
        <f>IF($B26-SUM($E46)&gt;D48,D48,$B26-SUM($E46))</f>
        <v>0</v>
      </c>
      <c r="F48" s="54">
        <f t="shared" ref="F48:F66" si="1">D48-E48</f>
        <v>394116.82</v>
      </c>
      <c r="G48" s="1"/>
      <c r="H48" s="57">
        <f>[1]Main!G28</f>
        <v>4327915.55</v>
      </c>
      <c r="I48" s="30"/>
      <c r="J48" s="57">
        <f>+[1]Main!D489</f>
        <v>22407543.640000001</v>
      </c>
    </row>
    <row r="49" spans="1:10" x14ac:dyDescent="0.2">
      <c r="A49" s="59" t="s">
        <v>25</v>
      </c>
      <c r="B49" s="59"/>
      <c r="C49" s="20"/>
      <c r="D49" s="70">
        <f>[1]Main!C28</f>
        <v>3933798.73</v>
      </c>
      <c r="E49" s="54">
        <f>IF($B26-SUM($E46:E48)&gt;D49,D49,B26-SUM($E46:E48))</f>
        <v>0</v>
      </c>
      <c r="F49" s="54">
        <f t="shared" si="1"/>
        <v>3933798.73</v>
      </c>
      <c r="G49" s="1"/>
      <c r="H49" s="57">
        <f>SUM(D48:D50)</f>
        <v>4327915.55</v>
      </c>
      <c r="I49" s="30"/>
      <c r="J49" s="57">
        <f>SUM(D48:D75)-E61</f>
        <v>22407543.640000001</v>
      </c>
    </row>
    <row r="50" spans="1:10" x14ac:dyDescent="0.2">
      <c r="A50" s="71" t="s">
        <v>27</v>
      </c>
      <c r="B50" s="59"/>
      <c r="C50" s="20"/>
      <c r="D50" s="70">
        <f>[1]Main!D28</f>
        <v>0</v>
      </c>
      <c r="E50" s="54">
        <f>IF($B26-SUM($E46:E49)&gt;D50,D50,$B26-SUM($E46:E49))</f>
        <v>0</v>
      </c>
      <c r="F50" s="54">
        <f>D50-E50</f>
        <v>0</v>
      </c>
      <c r="G50" s="1"/>
      <c r="H50" s="57">
        <f>+H48-H49</f>
        <v>0</v>
      </c>
      <c r="I50" s="30"/>
      <c r="J50" s="57">
        <f>+J48-J49</f>
        <v>0</v>
      </c>
    </row>
    <row r="51" spans="1:10" x14ac:dyDescent="0.2">
      <c r="A51" s="72" t="s">
        <v>72</v>
      </c>
      <c r="B51" s="59"/>
      <c r="C51" s="20"/>
      <c r="D51" s="70">
        <f>[1]Main!E28</f>
        <v>0</v>
      </c>
      <c r="E51" s="54">
        <f>IF($B27-SUM($E47:E50)&gt;D51,D51,$B27-SUM($E47:E50))</f>
        <v>0</v>
      </c>
      <c r="F51" s="54">
        <f>D51-E51</f>
        <v>0</v>
      </c>
      <c r="G51" s="1"/>
      <c r="H51" s="30"/>
      <c r="I51" s="30"/>
      <c r="J51" s="30"/>
    </row>
    <row r="52" spans="1:10" x14ac:dyDescent="0.2">
      <c r="A52" s="72" t="s">
        <v>73</v>
      </c>
      <c r="B52" s="59"/>
      <c r="C52" s="20"/>
      <c r="D52" s="54">
        <f>+[1]Main!$F144</f>
        <v>208129.85</v>
      </c>
      <c r="E52" s="54">
        <f>IF($B26-SUM($E46:E50)&gt;D52,D52,$B26-SUM($E46:E50))</f>
        <v>0</v>
      </c>
      <c r="F52" s="54">
        <f t="shared" si="1"/>
        <v>208129.85</v>
      </c>
      <c r="G52" s="1"/>
      <c r="H52" s="30"/>
      <c r="I52" s="30"/>
      <c r="J52" s="30"/>
    </row>
    <row r="53" spans="1:10" x14ac:dyDescent="0.2">
      <c r="A53" s="71" t="s">
        <v>74</v>
      </c>
      <c r="B53" s="59"/>
      <c r="C53" s="20"/>
      <c r="D53" s="54">
        <f>+[1]Main!$C86</f>
        <v>953319</v>
      </c>
      <c r="E53" s="54">
        <f>IF($B26-SUM($E46:E52)&gt;D53,D53,$B26-SUM($E46:E52))</f>
        <v>0</v>
      </c>
      <c r="F53" s="54">
        <f t="shared" si="1"/>
        <v>953319</v>
      </c>
      <c r="G53" s="1"/>
      <c r="H53" s="30"/>
      <c r="I53" s="30"/>
      <c r="J53" s="30"/>
    </row>
    <row r="54" spans="1:10" x14ac:dyDescent="0.2">
      <c r="A54" s="71" t="s">
        <v>75</v>
      </c>
      <c r="B54" s="59"/>
      <c r="C54" s="20"/>
      <c r="D54" s="54">
        <f>+[1]Main!$D86</f>
        <v>52653</v>
      </c>
      <c r="E54" s="54">
        <f>IF($B26-SUM($E46:E53)&gt;D54,D54,$B26-SUM($E46:E53))</f>
        <v>0</v>
      </c>
      <c r="F54" s="54">
        <f t="shared" si="1"/>
        <v>52653</v>
      </c>
      <c r="G54" s="1"/>
      <c r="H54" s="30"/>
      <c r="I54" s="30"/>
      <c r="J54" s="30"/>
    </row>
    <row r="55" spans="1:10" x14ac:dyDescent="0.2">
      <c r="A55" s="71" t="s">
        <v>76</v>
      </c>
      <c r="B55" s="59"/>
      <c r="C55" s="20"/>
      <c r="D55" s="54">
        <f>+[1]Main!$E86</f>
        <v>2297921</v>
      </c>
      <c r="E55" s="54">
        <f>IF($B26-SUM($E46:E54)&gt;D55,D55,$B26-SUM($E46:E54))</f>
        <v>0</v>
      </c>
      <c r="F55" s="54">
        <f t="shared" si="1"/>
        <v>2297921</v>
      </c>
      <c r="G55" s="1"/>
      <c r="H55" s="30"/>
      <c r="I55" s="30"/>
      <c r="J55" s="30"/>
    </row>
    <row r="56" spans="1:10" x14ac:dyDescent="0.2">
      <c r="A56" s="71" t="s">
        <v>77</v>
      </c>
      <c r="B56" s="59"/>
      <c r="C56" s="20"/>
      <c r="D56" s="54">
        <f>[1]Main!F86</f>
        <v>248524</v>
      </c>
      <c r="E56" s="54">
        <f>IF($B26-SUM($E46:E55)&gt;D56,D56,$B26-SUM($E46:E55))</f>
        <v>0</v>
      </c>
      <c r="F56" s="54">
        <f t="shared" si="1"/>
        <v>248524</v>
      </c>
      <c r="G56" s="1"/>
      <c r="H56" s="57" t="s">
        <v>48</v>
      </c>
      <c r="I56" s="30"/>
      <c r="J56" s="30"/>
    </row>
    <row r="57" spans="1:10" x14ac:dyDescent="0.2">
      <c r="A57" s="71" t="s">
        <v>79</v>
      </c>
      <c r="B57" s="59"/>
      <c r="C57" s="20"/>
      <c r="D57" s="54">
        <f>[1]Main!G86</f>
        <v>0</v>
      </c>
      <c r="E57" s="54">
        <f>IF($B26-SUM($E46:E56)&gt;D57,D57,$B26-SUM($E46:E56))</f>
        <v>0</v>
      </c>
      <c r="F57" s="54">
        <f t="shared" si="1"/>
        <v>0</v>
      </c>
      <c r="G57" s="1"/>
      <c r="H57" s="57"/>
      <c r="I57" s="30"/>
      <c r="J57" s="30"/>
    </row>
    <row r="58" spans="1:10" x14ac:dyDescent="0.2">
      <c r="A58" s="71" t="s">
        <v>78</v>
      </c>
      <c r="B58" s="59"/>
      <c r="C58" s="20"/>
      <c r="D58" s="54">
        <f>[1]Main!G144</f>
        <v>311046.28999999998</v>
      </c>
      <c r="E58" s="54">
        <f>IF($B26-SUM($E46:E57)&gt;D58,D58,$B26-SUM($E46:E57))</f>
        <v>0</v>
      </c>
      <c r="F58" s="54">
        <f t="shared" si="1"/>
        <v>311046.28999999998</v>
      </c>
      <c r="G58" s="1"/>
      <c r="H58" s="73">
        <f>+[1]Main!D202</f>
        <v>4071593.14</v>
      </c>
      <c r="I58" s="30"/>
      <c r="J58" s="30"/>
    </row>
    <row r="59" spans="1:10" x14ac:dyDescent="0.2">
      <c r="A59" s="71" t="s">
        <v>80</v>
      </c>
      <c r="B59" s="59"/>
      <c r="C59" s="20"/>
      <c r="D59" s="54">
        <f>[1]Main!C202</f>
        <v>0</v>
      </c>
      <c r="E59" s="54"/>
      <c r="F59" s="54">
        <f t="shared" si="1"/>
        <v>0</v>
      </c>
      <c r="G59" s="1"/>
      <c r="H59" s="57">
        <f>+SUM(D52:D59)</f>
        <v>4071593.14</v>
      </c>
      <c r="I59" s="30"/>
      <c r="J59" s="30"/>
    </row>
    <row r="60" spans="1:10" x14ac:dyDescent="0.2">
      <c r="A60" s="71" t="s">
        <v>81</v>
      </c>
      <c r="B60" s="59"/>
      <c r="C60" s="20"/>
      <c r="D60" s="54">
        <f>[1]Main!C260</f>
        <v>2339289</v>
      </c>
      <c r="E60" s="54">
        <v>0</v>
      </c>
      <c r="F60" s="54">
        <f t="shared" si="1"/>
        <v>2339289</v>
      </c>
      <c r="G60" s="1"/>
      <c r="H60" s="57">
        <f>+H58-H59</f>
        <v>0</v>
      </c>
      <c r="I60" s="30"/>
      <c r="J60" s="30"/>
    </row>
    <row r="61" spans="1:10" x14ac:dyDescent="0.2">
      <c r="A61" s="71" t="s">
        <v>82</v>
      </c>
      <c r="B61" s="59"/>
      <c r="C61" s="20"/>
      <c r="D61" s="54">
        <f>+[7]Main!I27+[7]Main!J27</f>
        <v>1581142.21</v>
      </c>
      <c r="E61" s="74">
        <f>[7]Main!J27</f>
        <v>765296.46</v>
      </c>
      <c r="F61" s="54">
        <f t="shared" si="1"/>
        <v>815845.75</v>
      </c>
      <c r="G61" s="1"/>
      <c r="H61" s="30"/>
      <c r="I61" s="30"/>
      <c r="J61" s="30"/>
    </row>
    <row r="62" spans="1:10" x14ac:dyDescent="0.2">
      <c r="A62" s="71" t="s">
        <v>83</v>
      </c>
      <c r="B62" s="59"/>
      <c r="C62" s="20"/>
      <c r="D62" s="54">
        <f>[1]Main!F260</f>
        <v>327102</v>
      </c>
      <c r="E62" s="54">
        <v>0</v>
      </c>
      <c r="F62" s="54">
        <f t="shared" si="1"/>
        <v>327102</v>
      </c>
      <c r="G62" s="1"/>
      <c r="H62" s="30"/>
      <c r="I62" s="30"/>
      <c r="J62" s="30"/>
    </row>
    <row r="63" spans="1:10" x14ac:dyDescent="0.2">
      <c r="A63" s="71" t="s">
        <v>84</v>
      </c>
      <c r="B63" s="59"/>
      <c r="C63" s="7"/>
      <c r="D63" s="54">
        <f>[1]Main!E260</f>
        <v>47140.7</v>
      </c>
      <c r="E63" s="54">
        <v>0</v>
      </c>
      <c r="F63" s="54">
        <f t="shared" si="1"/>
        <v>47140.7</v>
      </c>
      <c r="G63" s="1"/>
      <c r="H63" s="57" t="s">
        <v>49</v>
      </c>
      <c r="I63" s="30"/>
      <c r="J63" s="30"/>
    </row>
    <row r="64" spans="1:10" x14ac:dyDescent="0.2">
      <c r="A64" s="71" t="s">
        <v>85</v>
      </c>
      <c r="B64" s="59"/>
      <c r="C64" s="7"/>
      <c r="D64" s="54">
        <f>[1]Main!G260</f>
        <v>513885</v>
      </c>
      <c r="E64" s="54">
        <v>0</v>
      </c>
      <c r="F64" s="54">
        <f t="shared" si="1"/>
        <v>513885</v>
      </c>
      <c r="G64" s="1"/>
      <c r="H64" s="57">
        <f>+[1]Main!C489</f>
        <v>13530784.08</v>
      </c>
      <c r="I64" s="57"/>
      <c r="J64" s="57"/>
    </row>
    <row r="65" spans="1:10" x14ac:dyDescent="0.2">
      <c r="A65" s="71" t="s">
        <v>86</v>
      </c>
      <c r="B65" s="59"/>
      <c r="C65" s="20"/>
      <c r="D65" s="54">
        <f>[1]Main!C318</f>
        <v>38000</v>
      </c>
      <c r="E65" s="54">
        <v>0</v>
      </c>
      <c r="F65" s="54">
        <f t="shared" si="1"/>
        <v>38000</v>
      </c>
      <c r="G65" s="1"/>
      <c r="H65" s="57">
        <f>+SUM(D60:D70)-E61</f>
        <v>13530784.08</v>
      </c>
      <c r="I65" s="57"/>
      <c r="J65" s="57">
        <f>+H65-H64</f>
        <v>0</v>
      </c>
    </row>
    <row r="66" spans="1:10" x14ac:dyDescent="0.2">
      <c r="A66" s="71" t="s">
        <v>87</v>
      </c>
      <c r="C66" s="8"/>
      <c r="D66" s="76">
        <f>[1]Main!D318</f>
        <v>8236381.8099999996</v>
      </c>
      <c r="E66" s="77">
        <v>0</v>
      </c>
      <c r="F66" s="77">
        <f t="shared" si="1"/>
        <v>8236381.8099999996</v>
      </c>
      <c r="G66" s="5"/>
      <c r="H66" s="57">
        <f>+H64-H65</f>
        <v>0</v>
      </c>
      <c r="I66" s="57"/>
      <c r="J66" s="57"/>
    </row>
    <row r="67" spans="1:10" x14ac:dyDescent="0.2">
      <c r="A67" s="71" t="s">
        <v>88</v>
      </c>
      <c r="B67" s="59"/>
      <c r="C67" s="20"/>
      <c r="D67" s="54">
        <f>+[1]Main!$E318</f>
        <v>41582.239999999998</v>
      </c>
      <c r="E67" s="54">
        <v>0</v>
      </c>
      <c r="F67" s="54">
        <f>D67-E67</f>
        <v>41582.239999999998</v>
      </c>
      <c r="G67" s="4"/>
      <c r="H67" s="30"/>
      <c r="I67" s="30"/>
      <c r="J67" s="30"/>
    </row>
    <row r="68" spans="1:10" x14ac:dyDescent="0.2">
      <c r="A68" s="71" t="s">
        <v>89</v>
      </c>
      <c r="B68" s="59"/>
      <c r="C68" s="20"/>
      <c r="D68" s="54">
        <f>[1]Main!F318</f>
        <v>263899.84999999998</v>
      </c>
      <c r="E68" s="54">
        <v>0</v>
      </c>
      <c r="F68" s="54">
        <f>D68-E68</f>
        <v>263899.84999999998</v>
      </c>
      <c r="G68" s="4"/>
      <c r="H68" s="30"/>
      <c r="I68" s="30"/>
      <c r="J68" s="30"/>
    </row>
    <row r="69" spans="1:10" x14ac:dyDescent="0.2">
      <c r="A69" s="71" t="s">
        <v>90</v>
      </c>
      <c r="B69" s="59"/>
      <c r="C69" s="20"/>
      <c r="D69" s="54">
        <f>[1]Main!G318</f>
        <v>425380</v>
      </c>
      <c r="E69" s="54">
        <v>0</v>
      </c>
      <c r="F69" s="54">
        <f>D69-E69</f>
        <v>425380</v>
      </c>
      <c r="G69" s="1"/>
      <c r="H69" s="57" t="s">
        <v>50</v>
      </c>
      <c r="I69" s="30"/>
      <c r="J69" s="30"/>
    </row>
    <row r="70" spans="1:10" x14ac:dyDescent="0.2">
      <c r="A70" s="71" t="s">
        <v>93</v>
      </c>
      <c r="B70" s="59"/>
      <c r="C70" s="20"/>
      <c r="D70" s="54">
        <f>[1]Main!F375</f>
        <v>482277.73</v>
      </c>
      <c r="E70" s="54">
        <v>0</v>
      </c>
      <c r="F70" s="54">
        <f>D70-E70</f>
        <v>482277.73</v>
      </c>
      <c r="G70" s="1"/>
      <c r="H70" s="57"/>
      <c r="I70" s="30"/>
      <c r="J70" s="30"/>
    </row>
    <row r="71" spans="1:10" x14ac:dyDescent="0.2">
      <c r="A71" s="55" t="s">
        <v>30</v>
      </c>
      <c r="B71" s="78"/>
      <c r="C71" s="79"/>
      <c r="D71" s="64"/>
      <c r="E71" s="64"/>
      <c r="F71" s="64"/>
      <c r="G71" s="1"/>
      <c r="H71" s="57"/>
      <c r="I71" s="30"/>
      <c r="J71" s="30"/>
    </row>
    <row r="72" spans="1:10" x14ac:dyDescent="0.2">
      <c r="A72" s="71" t="s">
        <v>60</v>
      </c>
      <c r="B72" s="59"/>
      <c r="C72" s="20"/>
      <c r="D72" s="54">
        <f>[1]Main!C432</f>
        <v>278855.84000000003</v>
      </c>
      <c r="E72" s="54">
        <v>0</v>
      </c>
      <c r="F72" s="54">
        <f>D72-E72</f>
        <v>278855.84000000003</v>
      </c>
      <c r="G72" s="1"/>
      <c r="H72" s="57">
        <f>+[1]Main!G432</f>
        <v>477250.87</v>
      </c>
      <c r="I72" s="30"/>
      <c r="J72" s="30"/>
    </row>
    <row r="73" spans="1:10" x14ac:dyDescent="0.2">
      <c r="A73" s="71" t="s">
        <v>63</v>
      </c>
      <c r="B73" s="59"/>
      <c r="C73" s="20"/>
      <c r="D73" s="54">
        <f>[1]Main!D432</f>
        <v>61624.47</v>
      </c>
      <c r="E73" s="54">
        <v>0</v>
      </c>
      <c r="F73" s="54">
        <f>D73-E73</f>
        <v>61624.47</v>
      </c>
      <c r="G73" s="4"/>
      <c r="H73" s="57">
        <f>SUM(D72:D75)</f>
        <v>477250.87</v>
      </c>
      <c r="I73" s="30"/>
      <c r="J73" s="30"/>
    </row>
    <row r="74" spans="1:10" x14ac:dyDescent="0.2">
      <c r="A74" s="71" t="s">
        <v>91</v>
      </c>
      <c r="B74" s="59"/>
      <c r="C74" s="20"/>
      <c r="D74" s="54">
        <f>[1]Main!E432</f>
        <v>0</v>
      </c>
      <c r="E74" s="54">
        <v>0</v>
      </c>
      <c r="F74" s="54">
        <f>D74-E74</f>
        <v>0</v>
      </c>
      <c r="G74" s="4"/>
      <c r="H74" s="57">
        <f>+H72-H73</f>
        <v>0</v>
      </c>
      <c r="I74" s="30"/>
      <c r="J74" s="30"/>
    </row>
    <row r="75" spans="1:10" x14ac:dyDescent="0.2">
      <c r="A75" s="71" t="s">
        <v>92</v>
      </c>
      <c r="B75" s="59"/>
      <c r="C75" s="20"/>
      <c r="D75" s="54">
        <f>[1]Main!F432</f>
        <v>136770.56</v>
      </c>
      <c r="E75" s="54">
        <v>0</v>
      </c>
      <c r="F75" s="54">
        <f>D75-E75</f>
        <v>136770.56</v>
      </c>
      <c r="G75" s="1"/>
      <c r="H75" s="30"/>
      <c r="I75" s="30"/>
      <c r="J75" s="30"/>
    </row>
    <row r="76" spans="1:10" x14ac:dyDescent="0.2">
      <c r="A76" s="55" t="s">
        <v>31</v>
      </c>
      <c r="B76" s="78"/>
      <c r="C76" s="79"/>
      <c r="D76" s="64"/>
      <c r="E76" s="64"/>
      <c r="F76" s="64"/>
      <c r="G76" s="1"/>
      <c r="H76" s="30"/>
      <c r="I76" s="30"/>
      <c r="J76" s="30"/>
    </row>
    <row r="77" spans="1:10" x14ac:dyDescent="0.2">
      <c r="A77" s="58" t="s">
        <v>69</v>
      </c>
      <c r="B77" s="59"/>
      <c r="C77" s="20"/>
      <c r="D77" s="54">
        <f>+[1]Main!$G545</f>
        <v>21398994.280000001</v>
      </c>
      <c r="E77" s="54">
        <f>+[1]Main!$D545</f>
        <v>10259189.390000001</v>
      </c>
      <c r="F77" s="54">
        <f>+D77-E77</f>
        <v>11139804.890000001</v>
      </c>
      <c r="G77" s="1"/>
      <c r="H77" s="30"/>
      <c r="I77" s="30"/>
      <c r="J77" s="30"/>
    </row>
    <row r="78" spans="1:10" x14ac:dyDescent="0.2">
      <c r="A78" s="59" t="s">
        <v>68</v>
      </c>
      <c r="B78" s="59"/>
      <c r="C78" s="20"/>
      <c r="D78" s="54">
        <f>+[1]Main!$G600</f>
        <v>6584305.9299999997</v>
      </c>
      <c r="E78" s="54">
        <f>+[1]Main!$D600</f>
        <v>3156673.66</v>
      </c>
      <c r="F78" s="54">
        <f>+D78-E78</f>
        <v>3427632.27</v>
      </c>
      <c r="G78" s="1"/>
      <c r="H78" s="30"/>
      <c r="I78" s="30"/>
      <c r="J78" s="30"/>
    </row>
    <row r="79" spans="1:10" ht="13.5" thickBot="1" x14ac:dyDescent="0.25">
      <c r="A79" s="80"/>
      <c r="B79" s="81"/>
      <c r="C79" s="82" t="s">
        <v>29</v>
      </c>
      <c r="D79" s="83">
        <f>SUM(D46:D78)</f>
        <v>187184451.61000001</v>
      </c>
      <c r="E79" s="83">
        <f>SUM(E46:E78)</f>
        <v>27399730.510000002</v>
      </c>
      <c r="F79" s="83">
        <f>SUM(F46:F78)</f>
        <v>159784721.09999999</v>
      </c>
      <c r="G79" s="1"/>
      <c r="H79" s="30"/>
      <c r="I79" s="30"/>
      <c r="J79" s="30"/>
    </row>
    <row r="80" spans="1:10" ht="13.5" thickTop="1" x14ac:dyDescent="0.2">
      <c r="A80" s="84"/>
      <c r="B80" s="59"/>
      <c r="C80" s="85"/>
      <c r="D80" s="86"/>
      <c r="E80" s="86"/>
      <c r="F80" s="87"/>
      <c r="G80" s="1"/>
      <c r="H80" s="30"/>
      <c r="I80" s="30"/>
      <c r="J80" s="30"/>
    </row>
    <row r="81" spans="1:10" x14ac:dyDescent="0.2">
      <c r="A81" s="88" t="s">
        <v>40</v>
      </c>
      <c r="B81" s="78"/>
      <c r="C81" s="89"/>
      <c r="D81" s="90"/>
      <c r="E81" s="91"/>
      <c r="F81" s="92" t="s">
        <v>36</v>
      </c>
      <c r="G81" s="6"/>
      <c r="H81" s="57" t="s">
        <v>51</v>
      </c>
      <c r="I81" s="30"/>
      <c r="J81" s="57" t="s">
        <v>7</v>
      </c>
    </row>
    <row r="82" spans="1:10" x14ac:dyDescent="0.2">
      <c r="A82" s="93" t="s">
        <v>33</v>
      </c>
      <c r="B82" s="94"/>
      <c r="C82" s="95"/>
      <c r="D82" s="96"/>
      <c r="E82" s="96"/>
      <c r="F82" s="91"/>
      <c r="G82" s="6"/>
      <c r="H82" s="30"/>
      <c r="I82" s="30"/>
      <c r="J82" s="30"/>
    </row>
    <row r="83" spans="1:10" x14ac:dyDescent="0.2">
      <c r="A83" s="59" t="s">
        <v>34</v>
      </c>
      <c r="B83" s="59"/>
      <c r="C83" s="22"/>
      <c r="D83" s="27"/>
      <c r="E83" s="27"/>
      <c r="F83" s="97">
        <f>+[8]Main!$C28</f>
        <v>6115769</v>
      </c>
      <c r="G83" s="5"/>
      <c r="H83" s="57">
        <f>+[1]Main!G656</f>
        <v>27983300.210000001</v>
      </c>
      <c r="I83" s="30"/>
      <c r="J83" s="57">
        <f>+[1]Main!E656+[1]Main!F656</f>
        <v>14567437.16</v>
      </c>
    </row>
    <row r="84" spans="1:10" x14ac:dyDescent="0.2">
      <c r="A84" s="59" t="s">
        <v>66</v>
      </c>
      <c r="B84" s="59"/>
      <c r="C84" s="22"/>
      <c r="D84" s="27"/>
      <c r="E84" s="27"/>
      <c r="F84" s="97">
        <f>+[8]Main!$D28</f>
        <v>2282109</v>
      </c>
      <c r="G84" s="5"/>
      <c r="H84" s="57">
        <f>+D77+D78</f>
        <v>27983300.210000001</v>
      </c>
      <c r="I84" s="30"/>
      <c r="J84" s="57">
        <f>+F77+F78</f>
        <v>14567437.16</v>
      </c>
    </row>
    <row r="85" spans="1:10" x14ac:dyDescent="0.2">
      <c r="A85" s="32" t="s">
        <v>65</v>
      </c>
      <c r="B85" s="32"/>
      <c r="C85" s="22"/>
      <c r="D85" s="28"/>
      <c r="E85" s="28"/>
      <c r="F85" s="97">
        <f>+[8]Main!$E28</f>
        <v>156553</v>
      </c>
      <c r="G85" s="1"/>
      <c r="H85" s="57">
        <f>+H83-H84</f>
        <v>0</v>
      </c>
      <c r="I85" s="30"/>
      <c r="J85" s="57">
        <f>+J83-J84</f>
        <v>0</v>
      </c>
    </row>
    <row r="86" spans="1:10" x14ac:dyDescent="0.2">
      <c r="A86" s="32" t="s">
        <v>67</v>
      </c>
      <c r="B86" s="32"/>
      <c r="C86" s="22"/>
      <c r="D86" s="28"/>
      <c r="E86" s="28"/>
      <c r="F86" s="97">
        <f>+[8]Main!$F28</f>
        <v>310817</v>
      </c>
      <c r="G86" s="1"/>
      <c r="H86" s="30"/>
      <c r="I86" s="30"/>
      <c r="J86" s="30"/>
    </row>
    <row r="87" spans="1:10" x14ac:dyDescent="0.2">
      <c r="A87" s="88" t="s">
        <v>35</v>
      </c>
      <c r="B87" s="78"/>
      <c r="C87" s="89"/>
      <c r="D87" s="90"/>
      <c r="E87" s="91"/>
      <c r="F87" s="54">
        <f>+[8]Main!$C86</f>
        <v>78416.47</v>
      </c>
      <c r="G87" s="1"/>
      <c r="H87" s="30"/>
      <c r="I87" s="30"/>
      <c r="J87" s="30"/>
    </row>
    <row r="88" spans="1:10" ht="13.5" thickBot="1" x14ac:dyDescent="0.25">
      <c r="A88" s="98"/>
      <c r="B88" s="99"/>
      <c r="C88" s="100" t="s">
        <v>29</v>
      </c>
      <c r="D88" s="101"/>
      <c r="E88" s="102"/>
      <c r="F88" s="103">
        <f>SUM(F83:F87)</f>
        <v>8943664.4700000007</v>
      </c>
      <c r="G88" s="1"/>
      <c r="H88" s="30"/>
      <c r="I88" s="30"/>
      <c r="J88" s="30"/>
    </row>
    <row r="89" spans="1:10" ht="13.5" thickBot="1" x14ac:dyDescent="0.25">
      <c r="A89" s="104"/>
      <c r="B89" s="105"/>
      <c r="C89" s="106" t="s">
        <v>53</v>
      </c>
      <c r="D89" s="107"/>
      <c r="E89" s="108"/>
      <c r="F89" s="109">
        <f>+F88+F79</f>
        <v>168728385.56999999</v>
      </c>
      <c r="G89" s="1"/>
      <c r="H89" s="57" t="s">
        <v>54</v>
      </c>
      <c r="I89" s="30"/>
      <c r="J89" s="30"/>
    </row>
    <row r="90" spans="1:10" x14ac:dyDescent="0.2">
      <c r="A90" s="11"/>
      <c r="B90" s="12"/>
      <c r="C90" s="9"/>
      <c r="D90" s="29"/>
      <c r="E90" s="29"/>
      <c r="F90" s="110"/>
      <c r="G90" s="1"/>
      <c r="H90" s="57">
        <f>+[8]Main!$G28</f>
        <v>8865248</v>
      </c>
      <c r="I90" s="30"/>
      <c r="J90" s="30"/>
    </row>
    <row r="91" spans="1:10" x14ac:dyDescent="0.2">
      <c r="A91" s="11"/>
      <c r="B91" s="12"/>
      <c r="C91" s="9"/>
      <c r="D91" s="29"/>
      <c r="E91" s="29"/>
      <c r="F91" s="110"/>
      <c r="G91" s="1"/>
      <c r="H91" s="57">
        <f>SUM(F83:F86)</f>
        <v>8865248</v>
      </c>
      <c r="I91" s="30"/>
      <c r="J91" s="30"/>
    </row>
    <row r="92" spans="1:10" x14ac:dyDescent="0.2">
      <c r="A92" s="1"/>
      <c r="B92" s="1"/>
      <c r="C92" s="7"/>
      <c r="D92" s="26"/>
      <c r="E92" s="26"/>
      <c r="F92" s="86">
        <f>+F88+F79</f>
        <v>168728385.56999999</v>
      </c>
      <c r="G92" s="1"/>
      <c r="H92" s="57">
        <f>+H90-H91</f>
        <v>0</v>
      </c>
      <c r="I92" s="30"/>
      <c r="J92" s="30"/>
    </row>
    <row r="93" spans="1:10" x14ac:dyDescent="0.2">
      <c r="A93" s="1"/>
      <c r="B93" s="1"/>
      <c r="C93" s="7"/>
      <c r="D93" s="26"/>
      <c r="E93" s="26"/>
      <c r="F93" s="86">
        <f>+[1]Main!$F772</f>
        <v>168728385.56999999</v>
      </c>
      <c r="G93" s="1"/>
      <c r="H93" s="30"/>
      <c r="I93" s="30"/>
      <c r="J93" s="30"/>
    </row>
    <row r="94" spans="1:10" x14ac:dyDescent="0.2">
      <c r="A94" s="1"/>
      <c r="B94" s="1"/>
      <c r="C94" s="7"/>
      <c r="D94" s="26"/>
      <c r="E94" s="86">
        <f>+E79+[1]Main!$E772</f>
        <v>0</v>
      </c>
      <c r="F94" s="86">
        <f>+F93-F92</f>
        <v>0</v>
      </c>
      <c r="G94" s="1"/>
      <c r="H94" s="30"/>
      <c r="I94" s="30"/>
      <c r="J94" s="30"/>
    </row>
    <row r="95" spans="1:10" x14ac:dyDescent="0.2">
      <c r="A95" s="59"/>
      <c r="B95" s="59"/>
      <c r="C95" s="85"/>
      <c r="D95" s="86"/>
      <c r="E95" s="86"/>
      <c r="F95" s="86"/>
      <c r="G95" s="59"/>
      <c r="H95" s="57"/>
      <c r="I95" s="57"/>
      <c r="J95" s="57"/>
    </row>
    <row r="96" spans="1:10" x14ac:dyDescent="0.2">
      <c r="A96" s="59"/>
      <c r="B96" s="59"/>
      <c r="C96" s="85"/>
      <c r="D96" s="86"/>
      <c r="E96" s="86"/>
      <c r="F96" s="86"/>
      <c r="G96" s="59"/>
      <c r="H96" s="57"/>
      <c r="I96" s="57"/>
      <c r="J96" s="57"/>
    </row>
    <row r="97" spans="1:10" x14ac:dyDescent="0.2">
      <c r="A97" s="59"/>
      <c r="B97" s="59"/>
      <c r="C97" s="85"/>
      <c r="D97" s="86"/>
      <c r="E97" s="86"/>
      <c r="F97" s="86"/>
      <c r="G97" s="59"/>
      <c r="H97" s="111" t="s">
        <v>55</v>
      </c>
      <c r="I97" s="57"/>
      <c r="J97" s="57"/>
    </row>
    <row r="98" spans="1:10" x14ac:dyDescent="0.2">
      <c r="G98" s="59"/>
      <c r="H98" s="113"/>
      <c r="I98" s="112"/>
      <c r="J98" s="112"/>
    </row>
    <row r="99" spans="1:10" x14ac:dyDescent="0.2">
      <c r="G99" s="59"/>
      <c r="H99" s="112"/>
      <c r="I99" s="112"/>
      <c r="J99" s="112"/>
    </row>
    <row r="100" spans="1:10" x14ac:dyDescent="0.2">
      <c r="G100" s="59"/>
      <c r="H100" s="112"/>
      <c r="I100" s="112"/>
      <c r="J100" s="112"/>
    </row>
    <row r="101" spans="1:10" x14ac:dyDescent="0.2">
      <c r="G101" s="59"/>
      <c r="H101" s="112"/>
      <c r="I101" s="112"/>
      <c r="J101" s="112"/>
    </row>
    <row r="102" spans="1:10" x14ac:dyDescent="0.2">
      <c r="G102" s="59"/>
      <c r="H102" s="112"/>
      <c r="I102" s="112"/>
      <c r="J102" s="112"/>
    </row>
    <row r="103" spans="1:10" x14ac:dyDescent="0.2">
      <c r="G103" s="59"/>
      <c r="H103" s="71"/>
      <c r="I103" s="112"/>
      <c r="J103" s="112"/>
    </row>
  </sheetData>
  <mergeCells count="1">
    <mergeCell ref="D22:E22"/>
  </mergeCells>
  <phoneticPr fontId="0" type="noConversion"/>
  <printOptions horizontalCentered="1" verticalCentered="1"/>
  <pageMargins left="0.5" right="0.25" top="0.5" bottom="0.5" header="0.5" footer="0.5"/>
  <pageSetup scale="89" orientation="portrait" horizontalDpi="1200" r:id="rId1"/>
  <headerFooter alignWithMargins="0">
    <oddHeader>&amp;R&amp;8Current as of: &amp;D</oddHeader>
    <oddFooter>&amp;L&amp;8USOE, Finance and Statistics&amp;R&amp;8&amp;F</oddFooter>
  </headerFooter>
  <picture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J104"/>
  <sheetViews>
    <sheetView topLeftCell="A46" workbookViewId="0">
      <selection activeCell="B27" sqref="B27"/>
    </sheetView>
  </sheetViews>
  <sheetFormatPr defaultColWidth="18.28515625" defaultRowHeight="12.75" x14ac:dyDescent="0.2"/>
  <cols>
    <col min="1" max="1" width="27" style="75" customWidth="1"/>
    <col min="2" max="2" width="16.7109375" style="75" customWidth="1"/>
    <col min="3" max="3" width="15.85546875" style="75" customWidth="1"/>
    <col min="4" max="4" width="16.28515625" style="75" customWidth="1"/>
    <col min="5" max="5" width="15.5703125" style="75" customWidth="1"/>
    <col min="6" max="6" width="17.42578125" style="75" customWidth="1"/>
    <col min="7" max="7" width="5.7109375" style="75" customWidth="1"/>
    <col min="8" max="8" width="21.5703125" style="75" customWidth="1"/>
    <col min="9" max="9" width="5" style="75" customWidth="1"/>
    <col min="10" max="10" width="20.85546875" style="75" customWidth="1"/>
    <col min="11" max="16384" width="18.28515625" style="75"/>
  </cols>
  <sheetData>
    <row r="1" spans="1:10" x14ac:dyDescent="0.2">
      <c r="A1" s="8"/>
      <c r="B1" s="8"/>
      <c r="C1" s="8"/>
      <c r="D1" s="8"/>
      <c r="E1" s="8"/>
      <c r="F1" s="8"/>
      <c r="G1" s="8"/>
      <c r="H1" s="8"/>
      <c r="I1" s="8"/>
      <c r="J1" s="8"/>
    </row>
    <row r="2" spans="1:10" x14ac:dyDescent="0.2">
      <c r="A2" s="8"/>
      <c r="B2" s="8"/>
      <c r="C2" s="8"/>
      <c r="D2" s="8"/>
      <c r="E2" s="8"/>
      <c r="F2" s="8"/>
      <c r="G2" s="8"/>
      <c r="H2" s="8"/>
      <c r="I2" s="8"/>
      <c r="J2" s="8"/>
    </row>
    <row r="3" spans="1:10" x14ac:dyDescent="0.2">
      <c r="A3" s="8"/>
      <c r="B3" s="8"/>
      <c r="C3" s="8"/>
      <c r="D3" s="8"/>
      <c r="E3" s="8"/>
      <c r="F3" s="8"/>
      <c r="G3" s="8"/>
      <c r="H3" s="8"/>
      <c r="I3" s="8"/>
      <c r="J3" s="8"/>
    </row>
    <row r="4" spans="1:10" x14ac:dyDescent="0.2">
      <c r="A4" s="8"/>
      <c r="B4" s="8"/>
      <c r="C4" s="8"/>
      <c r="D4" s="8"/>
      <c r="E4" s="8"/>
      <c r="F4" s="8"/>
      <c r="G4" s="8"/>
      <c r="H4" s="8"/>
      <c r="I4" s="8"/>
      <c r="J4" s="8"/>
    </row>
    <row r="5" spans="1:10" x14ac:dyDescent="0.2">
      <c r="A5" s="8"/>
      <c r="B5" s="8"/>
      <c r="C5" s="8"/>
      <c r="D5" s="8"/>
      <c r="E5" s="8"/>
      <c r="F5" s="8"/>
      <c r="G5" s="8"/>
      <c r="H5" s="8"/>
      <c r="I5" s="8"/>
      <c r="J5" s="8"/>
    </row>
    <row r="6" spans="1:10" x14ac:dyDescent="0.2">
      <c r="A6" s="8"/>
      <c r="B6" s="8"/>
      <c r="C6" s="8"/>
      <c r="D6" s="8"/>
      <c r="E6" s="8"/>
      <c r="F6" s="8"/>
      <c r="G6" s="8"/>
      <c r="H6" s="8"/>
      <c r="I6" s="8"/>
      <c r="J6" s="8"/>
    </row>
    <row r="7" spans="1:10" x14ac:dyDescent="0.2">
      <c r="A7" s="8"/>
      <c r="B7" s="8"/>
      <c r="C7" s="8"/>
      <c r="D7" s="8"/>
      <c r="E7" s="8"/>
      <c r="F7" s="8"/>
      <c r="G7" s="8"/>
      <c r="H7" s="8"/>
      <c r="I7" s="8"/>
      <c r="J7" s="8"/>
    </row>
    <row r="8" spans="1:10" x14ac:dyDescent="0.2">
      <c r="A8" s="8"/>
      <c r="B8" s="8"/>
      <c r="C8" s="8"/>
      <c r="D8" s="8"/>
      <c r="E8" s="8"/>
      <c r="F8" s="8"/>
      <c r="G8" s="8"/>
      <c r="H8" s="8"/>
      <c r="I8" s="8"/>
      <c r="J8" s="8"/>
    </row>
    <row r="9" spans="1:10" x14ac:dyDescent="0.2">
      <c r="A9" s="8"/>
      <c r="B9" s="8"/>
      <c r="C9" s="8"/>
      <c r="D9" s="8"/>
      <c r="E9" s="8"/>
      <c r="F9" s="8"/>
      <c r="G9" s="8"/>
      <c r="H9" s="8"/>
      <c r="I9" s="8"/>
      <c r="J9" s="8"/>
    </row>
    <row r="10" spans="1:10" x14ac:dyDescent="0.2">
      <c r="A10" s="8"/>
      <c r="B10" s="15"/>
      <c r="C10" s="8"/>
      <c r="D10" s="8"/>
      <c r="E10" s="8"/>
      <c r="F10" s="8"/>
      <c r="G10" s="8"/>
      <c r="H10" s="8"/>
      <c r="I10" s="8"/>
      <c r="J10" s="8"/>
    </row>
    <row r="11" spans="1:10" x14ac:dyDescent="0.2">
      <c r="A11" s="8"/>
      <c r="B11" s="8"/>
      <c r="C11" s="8"/>
      <c r="D11" s="8"/>
      <c r="E11" s="8"/>
      <c r="F11" s="8"/>
      <c r="G11" s="8"/>
      <c r="H11" s="8"/>
      <c r="I11" s="8"/>
      <c r="J11" s="8"/>
    </row>
    <row r="12" spans="1:10" x14ac:dyDescent="0.2">
      <c r="A12" s="8"/>
      <c r="B12" s="8"/>
      <c r="C12" s="8"/>
      <c r="D12" s="8"/>
      <c r="E12" s="8"/>
      <c r="F12" s="8"/>
      <c r="G12" s="8"/>
      <c r="H12" s="8"/>
      <c r="I12" s="8"/>
      <c r="J12" s="8"/>
    </row>
    <row r="13" spans="1:10" x14ac:dyDescent="0.2">
      <c r="A13" s="8"/>
      <c r="B13" s="8"/>
      <c r="C13" s="8"/>
      <c r="D13" s="8"/>
      <c r="E13" s="8"/>
      <c r="F13" s="8"/>
      <c r="G13" s="8"/>
      <c r="H13" s="8"/>
      <c r="I13" s="8"/>
      <c r="J13" s="8"/>
    </row>
    <row r="14" spans="1:10" x14ac:dyDescent="0.2">
      <c r="A14" s="8"/>
      <c r="B14" s="8"/>
      <c r="C14" s="8"/>
      <c r="D14" s="8"/>
      <c r="E14" s="8"/>
      <c r="F14" s="8"/>
      <c r="G14" s="8"/>
      <c r="H14" s="8"/>
      <c r="I14" s="8"/>
      <c r="J14" s="8"/>
    </row>
    <row r="15" spans="1:10" x14ac:dyDescent="0.2">
      <c r="A15" s="8"/>
      <c r="B15" s="8"/>
      <c r="C15" s="8"/>
      <c r="D15" s="8"/>
      <c r="E15" s="8"/>
      <c r="F15" s="8"/>
      <c r="G15" s="8"/>
      <c r="H15" s="8"/>
      <c r="I15" s="8"/>
      <c r="J15" s="8"/>
    </row>
    <row r="16" spans="1:10" x14ac:dyDescent="0.2">
      <c r="A16" s="8"/>
      <c r="B16" s="8"/>
      <c r="C16" s="8"/>
      <c r="D16" s="8"/>
      <c r="E16" s="8"/>
      <c r="F16" s="8"/>
      <c r="G16" s="8"/>
      <c r="H16" s="8"/>
      <c r="I16" s="8"/>
      <c r="J16" s="8"/>
    </row>
    <row r="17" spans="1:10" x14ac:dyDescent="0.2">
      <c r="A17" s="8"/>
      <c r="B17" s="8"/>
      <c r="C17" s="8"/>
      <c r="D17" s="8"/>
      <c r="E17" s="8"/>
      <c r="F17" s="8"/>
      <c r="G17" s="8"/>
      <c r="H17" s="8"/>
      <c r="I17" s="8"/>
      <c r="J17" s="8"/>
    </row>
    <row r="18" spans="1:10" x14ac:dyDescent="0.2">
      <c r="A18" s="8"/>
      <c r="B18" s="8"/>
      <c r="C18" s="8"/>
      <c r="D18" s="8"/>
      <c r="E18" s="8"/>
      <c r="F18" s="8"/>
      <c r="G18" s="8"/>
      <c r="H18" s="8"/>
      <c r="I18" s="8"/>
      <c r="J18" s="8"/>
    </row>
    <row r="19" spans="1:10" x14ac:dyDescent="0.2">
      <c r="A19" s="8"/>
      <c r="B19" s="8"/>
      <c r="C19" s="8"/>
      <c r="D19" s="8"/>
      <c r="E19" s="8"/>
      <c r="F19" s="8"/>
      <c r="G19" s="8"/>
      <c r="H19" s="8"/>
      <c r="I19" s="8"/>
      <c r="J19" s="8"/>
    </row>
    <row r="20" spans="1:10" x14ac:dyDescent="0.2">
      <c r="A20" s="32" t="s">
        <v>0</v>
      </c>
      <c r="B20" s="33">
        <v>3184</v>
      </c>
      <c r="C20" s="34" t="s">
        <v>1</v>
      </c>
      <c r="D20" s="35"/>
      <c r="E20" s="35"/>
      <c r="F20" s="35"/>
      <c r="G20" s="1"/>
      <c r="H20" s="30"/>
      <c r="I20" s="30"/>
      <c r="J20" s="30"/>
    </row>
    <row r="21" spans="1:10" x14ac:dyDescent="0.2">
      <c r="A21" s="32" t="s">
        <v>61</v>
      </c>
      <c r="B21" s="36">
        <f>+[1]Main!$C546</f>
        <v>1.4580000000000001E-3</v>
      </c>
      <c r="C21" s="34" t="s">
        <v>41</v>
      </c>
      <c r="D21" s="35"/>
      <c r="E21" s="35"/>
      <c r="F21" s="35"/>
      <c r="G21" s="1"/>
      <c r="H21" s="30"/>
      <c r="I21" s="30"/>
      <c r="J21" s="30"/>
    </row>
    <row r="22" spans="1:10" x14ac:dyDescent="0.2">
      <c r="A22" s="32" t="s">
        <v>62</v>
      </c>
      <c r="B22" s="36">
        <f>+[1]Main!$C601</f>
        <v>1.9750000000000002E-3</v>
      </c>
      <c r="C22" s="34" t="s">
        <v>95</v>
      </c>
      <c r="D22" s="35"/>
      <c r="E22" s="37"/>
      <c r="F22" s="35"/>
      <c r="G22" s="1"/>
      <c r="H22" s="30"/>
      <c r="I22" s="30"/>
      <c r="J22" s="30"/>
    </row>
    <row r="23" spans="1:10" x14ac:dyDescent="0.2">
      <c r="A23" s="38" t="s">
        <v>32</v>
      </c>
      <c r="B23" s="39">
        <f>[2]Sheet1!E28</f>
        <v>649395948</v>
      </c>
      <c r="C23" s="21"/>
      <c r="D23" s="31"/>
      <c r="E23" s="31"/>
      <c r="F23" s="23"/>
      <c r="G23" s="1"/>
      <c r="H23" s="30"/>
      <c r="I23" s="30"/>
      <c r="J23" s="30"/>
    </row>
    <row r="24" spans="1:10" x14ac:dyDescent="0.2">
      <c r="A24" s="32" t="s">
        <v>2</v>
      </c>
      <c r="B24" s="40">
        <f>[2]Sheet1!F28</f>
        <v>0.9163</v>
      </c>
      <c r="C24" s="7"/>
      <c r="D24" s="41" t="s">
        <v>3</v>
      </c>
      <c r="E24" s="42" t="str">
        <f>+[3]main!B29</f>
        <v>North Sanpete</v>
      </c>
      <c r="F24" s="43">
        <f>+[3]main!A29</f>
        <v>20</v>
      </c>
      <c r="G24" s="1"/>
      <c r="H24" s="30"/>
      <c r="I24" s="30"/>
      <c r="J24" s="30"/>
    </row>
    <row r="25" spans="1:10" x14ac:dyDescent="0.2">
      <c r="A25" s="32" t="s">
        <v>4</v>
      </c>
      <c r="B25" s="44">
        <f>[2]Sheet1!G28</f>
        <v>1.6750000000000001E-3</v>
      </c>
      <c r="C25" s="8"/>
      <c r="D25" s="24"/>
      <c r="E25" s="25"/>
      <c r="F25" s="24"/>
      <c r="G25" s="1"/>
      <c r="H25" s="30"/>
      <c r="I25" s="30"/>
      <c r="J25" s="30"/>
    </row>
    <row r="26" spans="1:10" x14ac:dyDescent="0.2">
      <c r="A26" s="32" t="s">
        <v>5</v>
      </c>
      <c r="B26" s="45">
        <f>[2]Sheet1!$C$84</f>
        <v>1179884</v>
      </c>
      <c r="C26" s="46"/>
      <c r="D26" s="47" t="s">
        <v>38</v>
      </c>
      <c r="E26" s="48" t="s">
        <v>7</v>
      </c>
      <c r="F26" s="47" t="s">
        <v>6</v>
      </c>
      <c r="G26" s="1"/>
      <c r="H26" s="30"/>
      <c r="I26" s="30"/>
      <c r="J26" s="30"/>
    </row>
    <row r="27" spans="1:10" x14ac:dyDescent="0.2">
      <c r="A27" s="32" t="s">
        <v>8</v>
      </c>
      <c r="B27" s="45">
        <f>+B26</f>
        <v>1179884</v>
      </c>
      <c r="C27" s="49"/>
      <c r="D27" s="50" t="s">
        <v>9</v>
      </c>
      <c r="E27" s="50" t="s">
        <v>37</v>
      </c>
      <c r="F27" s="50" t="s">
        <v>10</v>
      </c>
      <c r="G27" s="1"/>
      <c r="H27" s="30"/>
      <c r="I27" s="30"/>
      <c r="J27" s="30"/>
    </row>
    <row r="28" spans="1:10" x14ac:dyDescent="0.2">
      <c r="A28" s="32" t="s">
        <v>11</v>
      </c>
      <c r="B28" s="45">
        <v>0</v>
      </c>
      <c r="C28" s="51" t="s">
        <v>39</v>
      </c>
      <c r="D28" s="52" t="s">
        <v>12</v>
      </c>
      <c r="E28" s="52" t="s">
        <v>9</v>
      </c>
      <c r="F28" s="52" t="s">
        <v>9</v>
      </c>
      <c r="G28" s="1"/>
      <c r="H28" s="30"/>
      <c r="I28" s="30"/>
      <c r="J28" s="30"/>
    </row>
    <row r="29" spans="1:10" x14ac:dyDescent="0.2">
      <c r="A29" s="32" t="s">
        <v>70</v>
      </c>
      <c r="B29" s="45">
        <f>'[4]LRF FY17'!U26</f>
        <v>15805</v>
      </c>
      <c r="C29" s="53"/>
      <c r="D29" s="54"/>
      <c r="E29" s="54"/>
      <c r="F29" s="54" t="s">
        <v>14</v>
      </c>
      <c r="G29" s="1"/>
      <c r="H29" s="30"/>
      <c r="I29" s="30"/>
      <c r="J29" s="30"/>
    </row>
    <row r="30" spans="1:10" x14ac:dyDescent="0.2">
      <c r="A30" s="55" t="s">
        <v>13</v>
      </c>
      <c r="B30" s="56"/>
      <c r="C30" s="53"/>
      <c r="D30" s="54"/>
      <c r="E30" s="54"/>
      <c r="F30" s="54"/>
      <c r="G30" s="2"/>
      <c r="H30" s="30"/>
      <c r="I30" s="30"/>
      <c r="J30" s="30"/>
    </row>
    <row r="31" spans="1:10" x14ac:dyDescent="0.2">
      <c r="A31" s="55" t="s">
        <v>15</v>
      </c>
      <c r="B31" s="56"/>
      <c r="C31" s="53"/>
      <c r="D31" s="54"/>
      <c r="E31" s="54"/>
      <c r="F31" s="54"/>
      <c r="G31" s="2"/>
      <c r="H31" s="57" t="s">
        <v>43</v>
      </c>
      <c r="I31" s="30"/>
      <c r="J31" s="57" t="s">
        <v>45</v>
      </c>
    </row>
    <row r="32" spans="1:10" x14ac:dyDescent="0.2">
      <c r="A32" s="58" t="s">
        <v>16</v>
      </c>
      <c r="B32" s="59"/>
      <c r="C32" s="60">
        <f>[3]main!C203-[3]main!F145</f>
        <v>2237.1990000000001</v>
      </c>
      <c r="D32" s="61">
        <f>[3]main!E203-[3]main!H145</f>
        <v>7123240.9299999997</v>
      </c>
      <c r="E32" s="62">
        <f>IF(B27&gt;D32,D32,B27)</f>
        <v>1179884</v>
      </c>
      <c r="F32" s="62">
        <f>D32-E32</f>
        <v>5943356.9299999997</v>
      </c>
      <c r="G32" s="1"/>
      <c r="H32" s="57">
        <f>[3]main!H262</f>
        <v>8113457.2800000003</v>
      </c>
      <c r="I32" s="30"/>
      <c r="J32" s="57">
        <f>'[5]Sheet 1'!E86</f>
        <v>10266984.52</v>
      </c>
    </row>
    <row r="33" spans="1:10" x14ac:dyDescent="0.2">
      <c r="A33" s="58" t="s">
        <v>17</v>
      </c>
      <c r="B33" s="59"/>
      <c r="C33" s="53">
        <f>[3]main!F145</f>
        <v>41.026000000000003</v>
      </c>
      <c r="D33" s="54">
        <f>[3]main!H145</f>
        <v>130626.01</v>
      </c>
      <c r="E33" s="54">
        <f>IF(B26-SUM(E30:E32)&gt;D33,D33,B26-SUM(E30:E32))</f>
        <v>0</v>
      </c>
      <c r="F33" s="54">
        <f>D33-E33</f>
        <v>130626.01</v>
      </c>
      <c r="G33" s="1"/>
      <c r="H33" s="57">
        <f>SUM(D32:D36)</f>
        <v>8113457.2800000003</v>
      </c>
      <c r="I33" s="30"/>
      <c r="J33" s="57">
        <f>D47</f>
        <v>10266984.52</v>
      </c>
    </row>
    <row r="34" spans="1:10" x14ac:dyDescent="0.2">
      <c r="A34" s="58" t="s">
        <v>18</v>
      </c>
      <c r="B34" s="59"/>
      <c r="C34" s="53">
        <f>[3]main!F203</f>
        <v>207.97200000000001</v>
      </c>
      <c r="D34" s="54">
        <f>[3]main!H203</f>
        <v>662182.34</v>
      </c>
      <c r="E34" s="54">
        <f>IF(B27-SUM(E32:E33)&gt;D34,D34,B27-SUM(E32:E33))</f>
        <v>0</v>
      </c>
      <c r="F34" s="54">
        <f>D34-E34</f>
        <v>662182.34</v>
      </c>
      <c r="G34" s="1"/>
      <c r="H34" s="57">
        <f>+H32-H33</f>
        <v>0</v>
      </c>
      <c r="I34" s="30"/>
      <c r="J34" s="57">
        <f>+J32-J33</f>
        <v>0</v>
      </c>
    </row>
    <row r="35" spans="1:10" x14ac:dyDescent="0.2">
      <c r="A35" s="58" t="s">
        <v>19</v>
      </c>
      <c r="B35" s="59"/>
      <c r="C35" s="53">
        <f>[3]main!C262</f>
        <v>60</v>
      </c>
      <c r="D35" s="54">
        <f>[3]main!E262</f>
        <v>191040</v>
      </c>
      <c r="E35" s="54">
        <f>IF(B27-SUM(E32:E34)&gt;D35,D35,B27-SUM(E32:E34))</f>
        <v>0</v>
      </c>
      <c r="F35" s="54">
        <f>D35-E35</f>
        <v>191040</v>
      </c>
      <c r="G35" s="1"/>
      <c r="H35" s="30"/>
      <c r="I35" s="30"/>
      <c r="J35" s="30"/>
    </row>
    <row r="36" spans="1:10" x14ac:dyDescent="0.2">
      <c r="A36" s="58" t="s">
        <v>42</v>
      </c>
      <c r="B36" s="59"/>
      <c r="C36" s="53">
        <f>[3]main!C86</f>
        <v>2</v>
      </c>
      <c r="D36" s="54">
        <f>[3]main!E86</f>
        <v>6368</v>
      </c>
      <c r="E36" s="54">
        <f>IF(B27-SUM(E32:E35)&gt;D36,D36,B27-SUM(E32:E35))</f>
        <v>0</v>
      </c>
      <c r="F36" s="54">
        <f>D36-E36</f>
        <v>6368</v>
      </c>
      <c r="G36" s="1"/>
      <c r="H36" s="30"/>
      <c r="I36" s="30"/>
      <c r="J36" s="30"/>
    </row>
    <row r="37" spans="1:10" x14ac:dyDescent="0.2">
      <c r="A37" s="55" t="s">
        <v>20</v>
      </c>
      <c r="B37" s="56"/>
      <c r="C37" s="63"/>
      <c r="D37" s="64"/>
      <c r="E37" s="64"/>
      <c r="F37" s="64" t="s">
        <v>14</v>
      </c>
      <c r="G37" s="1"/>
      <c r="H37" s="57" t="s">
        <v>44</v>
      </c>
      <c r="I37" s="30"/>
      <c r="J37" s="30"/>
    </row>
    <row r="38" spans="1:10" x14ac:dyDescent="0.2">
      <c r="A38" s="58" t="s">
        <v>21</v>
      </c>
      <c r="B38" s="59"/>
      <c r="C38" s="53">
        <f>'[6]Sheet 1'!C28</f>
        <v>302.60300000000001</v>
      </c>
      <c r="D38" s="54">
        <f>'[6]Sheet 1'!E28</f>
        <v>963488.77</v>
      </c>
      <c r="E38" s="54">
        <f>IF(B27-SUM(E32:E37)&gt;D38,D38,B27-SUM(E32:E37))</f>
        <v>0</v>
      </c>
      <c r="F38" s="54">
        <f t="shared" ref="F38:F46" si="0">D38-E38</f>
        <v>963488.77</v>
      </c>
      <c r="G38" s="1"/>
      <c r="H38" s="57">
        <f>'[6]Sheet 1'!N144</f>
        <v>1195151.51</v>
      </c>
      <c r="I38" s="30"/>
      <c r="J38" s="30"/>
    </row>
    <row r="39" spans="1:10" x14ac:dyDescent="0.2">
      <c r="A39" s="59" t="s">
        <v>22</v>
      </c>
      <c r="B39" s="59"/>
      <c r="C39" s="53">
        <f>'[6]Sheet 1'!F28</f>
        <v>27.62</v>
      </c>
      <c r="D39" s="54">
        <f>'[6]Sheet 1'!H28</f>
        <v>87942.080000000002</v>
      </c>
      <c r="E39" s="54">
        <f>IF(B27-SUM(E32:E38)&gt;D39,D39,B27-SUM(E32:E38))</f>
        <v>0</v>
      </c>
      <c r="F39" s="54">
        <f t="shared" si="0"/>
        <v>87942.080000000002</v>
      </c>
      <c r="G39" s="1"/>
      <c r="H39" s="57">
        <f>SUM(D38:D44)</f>
        <v>1195151.51</v>
      </c>
      <c r="I39" s="30"/>
      <c r="J39" s="30"/>
    </row>
    <row r="40" spans="1:10" x14ac:dyDescent="0.2">
      <c r="A40" s="59" t="s">
        <v>23</v>
      </c>
      <c r="B40" s="59"/>
      <c r="C40" s="53">
        <f>'[6]Sheet 1'!C86</f>
        <v>35.28</v>
      </c>
      <c r="D40" s="54">
        <f>'[6]Sheet 1'!E86</f>
        <v>112331.52</v>
      </c>
      <c r="E40" s="54">
        <f>IF(B27-SUM(E32:E39)&gt;D40,D40,B27-SUM(E32:E39))</f>
        <v>0</v>
      </c>
      <c r="F40" s="54">
        <f t="shared" si="0"/>
        <v>112331.52</v>
      </c>
      <c r="G40" s="1"/>
      <c r="H40" s="57">
        <f>+H38-H39</f>
        <v>0</v>
      </c>
      <c r="I40" s="30"/>
      <c r="J40" s="30"/>
    </row>
    <row r="41" spans="1:10" x14ac:dyDescent="0.2">
      <c r="A41" s="58" t="s">
        <v>24</v>
      </c>
      <c r="B41" s="59"/>
      <c r="C41" s="53">
        <f>'[6]Sheet 1'!F86</f>
        <v>1.9950000000000001</v>
      </c>
      <c r="D41" s="54">
        <f>'[6]Sheet 1'!H86</f>
        <v>6353.6</v>
      </c>
      <c r="E41" s="54">
        <f>IF(B27-SUM(E32:E40)&gt;D41,D41,B27-SUM(E32:E40))</f>
        <v>0</v>
      </c>
      <c r="F41" s="54">
        <f t="shared" si="0"/>
        <v>6353.6</v>
      </c>
      <c r="G41" s="1"/>
      <c r="H41" s="30"/>
      <c r="I41" s="30"/>
      <c r="J41" s="30"/>
    </row>
    <row r="42" spans="1:10" x14ac:dyDescent="0.2">
      <c r="A42" s="59" t="s">
        <v>71</v>
      </c>
      <c r="B42" s="59"/>
      <c r="C42" s="53">
        <f>'[6]Sheet 1'!C144</f>
        <v>7.09</v>
      </c>
      <c r="D42" s="54">
        <f>'[6]Sheet 1'!E144</f>
        <v>22575.94</v>
      </c>
      <c r="E42" s="54">
        <f>IF(B27-SUM(E32:E41)&gt;D42,D42,B27-SUM(E32:E41))</f>
        <v>0</v>
      </c>
      <c r="F42" s="54">
        <f t="shared" si="0"/>
        <v>22575.94</v>
      </c>
      <c r="G42" s="1"/>
      <c r="H42" s="30"/>
      <c r="I42" s="30"/>
      <c r="J42" s="30"/>
    </row>
    <row r="43" spans="1:10" x14ac:dyDescent="0.2">
      <c r="A43" s="59" t="s">
        <v>57</v>
      </c>
      <c r="B43" s="59"/>
      <c r="C43" s="53">
        <f>'[6]Sheet 1'!F144</f>
        <v>0</v>
      </c>
      <c r="D43" s="54">
        <f>'[6]Sheet 1'!H144</f>
        <v>0</v>
      </c>
      <c r="E43" s="54">
        <f>IF(B28-SUM(E33:E42)&gt;D43,D43,B28-SUM(E33:E42))</f>
        <v>0</v>
      </c>
      <c r="F43" s="54">
        <f t="shared" si="0"/>
        <v>0</v>
      </c>
      <c r="G43" s="1"/>
      <c r="H43" s="30"/>
      <c r="I43" s="30"/>
      <c r="J43" s="30"/>
    </row>
    <row r="44" spans="1:10" x14ac:dyDescent="0.2">
      <c r="A44" s="59" t="s">
        <v>64</v>
      </c>
      <c r="B44" s="59"/>
      <c r="C44" s="53">
        <f>'[6]Sheet 1'!I144</f>
        <v>0.77200000000000002</v>
      </c>
      <c r="D44" s="54">
        <f>'[6]Sheet 1'!K144</f>
        <v>2459.6</v>
      </c>
      <c r="E44" s="54">
        <f>IF(B30-SUM(E34:E43)&gt;D44,D44,B30-SUM(E34:E43))</f>
        <v>0</v>
      </c>
      <c r="F44" s="54">
        <f t="shared" si="0"/>
        <v>2459.6</v>
      </c>
      <c r="G44" s="1"/>
      <c r="H44" s="57" t="s">
        <v>46</v>
      </c>
      <c r="I44" s="30"/>
      <c r="J44" s="30"/>
    </row>
    <row r="45" spans="1:10" x14ac:dyDescent="0.2">
      <c r="A45" s="59" t="s">
        <v>58</v>
      </c>
      <c r="B45" s="59"/>
      <c r="C45" s="53">
        <f>'[6]Sheet 1'!C202</f>
        <v>153.64599999999999</v>
      </c>
      <c r="D45" s="54">
        <f>'[6]Sheet 1'!E202</f>
        <v>489209.5</v>
      </c>
      <c r="E45" s="54">
        <f>IF(B27-SUM(E32:E42)&gt;D45,D45,B27-SUM(E32:E42))</f>
        <v>0</v>
      </c>
      <c r="F45" s="54">
        <f t="shared" si="0"/>
        <v>489209.5</v>
      </c>
      <c r="G45" s="4"/>
      <c r="H45" s="57">
        <f>+'[6]Sheet 1'!E202</f>
        <v>489209.5</v>
      </c>
      <c r="I45" s="30"/>
      <c r="J45" s="30"/>
    </row>
    <row r="46" spans="1:10" x14ac:dyDescent="0.2">
      <c r="A46" s="58" t="s">
        <v>59</v>
      </c>
      <c r="B46" s="59"/>
      <c r="C46" s="53">
        <f>'[5]Sheet 1'!C28</f>
        <v>147.351</v>
      </c>
      <c r="D46" s="54">
        <f>'[5]Sheet 1'!E28</f>
        <v>469166.23</v>
      </c>
      <c r="E46" s="54">
        <f>IF(B27-SUM(E32:E45)&gt;D46,D46,B27-SUM(E32:E45))</f>
        <v>0</v>
      </c>
      <c r="F46" s="54">
        <f t="shared" si="0"/>
        <v>469166.23</v>
      </c>
      <c r="G46" s="5"/>
      <c r="H46" s="57">
        <f>+D45</f>
        <v>489209.5</v>
      </c>
      <c r="I46" s="30"/>
      <c r="J46" s="30"/>
    </row>
    <row r="47" spans="1:10" x14ac:dyDescent="0.2">
      <c r="A47" s="65" t="s">
        <v>28</v>
      </c>
      <c r="B47" s="56"/>
      <c r="C47" s="66">
        <f>SUM(C32:C46)</f>
        <v>3224.5540000000001</v>
      </c>
      <c r="D47" s="67">
        <f>SUM(D32:D46)</f>
        <v>10266984.52</v>
      </c>
      <c r="E47" s="67">
        <f>SUM(E32:E46)</f>
        <v>1179884</v>
      </c>
      <c r="F47" s="67">
        <f>SUM(F32:F46)</f>
        <v>9087100.5199999996</v>
      </c>
      <c r="G47" s="1"/>
      <c r="H47" s="57">
        <f>+H45-H46</f>
        <v>0</v>
      </c>
      <c r="I47" s="30"/>
      <c r="J47" s="30"/>
    </row>
    <row r="48" spans="1:10" x14ac:dyDescent="0.2">
      <c r="A48" s="68" t="s">
        <v>26</v>
      </c>
      <c r="B48" s="56"/>
      <c r="C48" s="69"/>
      <c r="D48" s="54"/>
      <c r="E48" s="54"/>
      <c r="F48" s="54"/>
      <c r="G48" s="1"/>
      <c r="H48" s="57" t="s">
        <v>47</v>
      </c>
      <c r="I48" s="30"/>
      <c r="J48" s="57" t="s">
        <v>52</v>
      </c>
    </row>
    <row r="49" spans="1:10" x14ac:dyDescent="0.2">
      <c r="A49" s="58" t="s">
        <v>56</v>
      </c>
      <c r="B49" s="59"/>
      <c r="C49" s="20"/>
      <c r="D49" s="70">
        <f>[1]Main!F29</f>
        <v>29740.07</v>
      </c>
      <c r="E49" s="54">
        <f>IF($B27-SUM($E47)&gt;D49,D49,$B27-SUM($E47))</f>
        <v>0</v>
      </c>
      <c r="F49" s="54">
        <f t="shared" ref="F49:F67" si="1">D49-E49</f>
        <v>29740.07</v>
      </c>
      <c r="G49" s="1"/>
      <c r="H49" s="57">
        <f>[1]Main!G29</f>
        <v>692137.83</v>
      </c>
      <c r="I49" s="30"/>
      <c r="J49" s="57">
        <f>+[1]Main!D490</f>
        <v>3267835.55</v>
      </c>
    </row>
    <row r="50" spans="1:10" x14ac:dyDescent="0.2">
      <c r="A50" s="59" t="s">
        <v>25</v>
      </c>
      <c r="B50" s="59"/>
      <c r="C50" s="20"/>
      <c r="D50" s="70">
        <f>[1]Main!C29</f>
        <v>628802.76</v>
      </c>
      <c r="E50" s="54">
        <f>IF($B27-SUM($E47:E49)&gt;D50,D50,B27-SUM($E47:E49))</f>
        <v>0</v>
      </c>
      <c r="F50" s="54">
        <f t="shared" si="1"/>
        <v>628802.76</v>
      </c>
      <c r="G50" s="1"/>
      <c r="H50" s="57">
        <f>SUM(D49:D51)</f>
        <v>692137.83</v>
      </c>
      <c r="I50" s="30"/>
      <c r="J50" s="57">
        <f>SUM(D49:D76)-E62</f>
        <v>3267835.55</v>
      </c>
    </row>
    <row r="51" spans="1:10" x14ac:dyDescent="0.2">
      <c r="A51" s="71" t="s">
        <v>27</v>
      </c>
      <c r="B51" s="59"/>
      <c r="C51" s="20"/>
      <c r="D51" s="70">
        <f>[1]Main!D29</f>
        <v>33595</v>
      </c>
      <c r="E51" s="54">
        <f>IF($B27-SUM($E47:E50)&gt;D51,D51,$B27-SUM($E47:E50))</f>
        <v>0</v>
      </c>
      <c r="F51" s="54">
        <f>D51-E51</f>
        <v>33595</v>
      </c>
      <c r="G51" s="1"/>
      <c r="H51" s="57">
        <f>+H49-H50</f>
        <v>0</v>
      </c>
      <c r="I51" s="30"/>
      <c r="J51" s="57">
        <f>+J49-J50</f>
        <v>0</v>
      </c>
    </row>
    <row r="52" spans="1:10" x14ac:dyDescent="0.2">
      <c r="A52" s="72" t="s">
        <v>72</v>
      </c>
      <c r="B52" s="59"/>
      <c r="C52" s="20"/>
      <c r="D52" s="70">
        <f>[1]Main!E29</f>
        <v>0</v>
      </c>
      <c r="E52" s="54">
        <f>IF($B28-SUM($E48:E51)&gt;D52,D52,$B28-SUM($E48:E51))</f>
        <v>0</v>
      </c>
      <c r="F52" s="54">
        <f>D52-E52</f>
        <v>0</v>
      </c>
      <c r="G52" s="1"/>
      <c r="H52" s="30"/>
      <c r="I52" s="30"/>
      <c r="J52" s="30"/>
    </row>
    <row r="53" spans="1:10" x14ac:dyDescent="0.2">
      <c r="A53" s="72" t="s">
        <v>73</v>
      </c>
      <c r="B53" s="59"/>
      <c r="C53" s="20"/>
      <c r="D53" s="54">
        <f>+[1]Main!$F145</f>
        <v>11113.01</v>
      </c>
      <c r="E53" s="54">
        <f>IF($B27-SUM($E47:E51)&gt;D53,D53,$B27-SUM($E47:E51))</f>
        <v>0</v>
      </c>
      <c r="F53" s="54">
        <f t="shared" si="1"/>
        <v>11113.01</v>
      </c>
      <c r="G53" s="1"/>
      <c r="H53" s="30"/>
      <c r="I53" s="30"/>
      <c r="J53" s="30"/>
    </row>
    <row r="54" spans="1:10" x14ac:dyDescent="0.2">
      <c r="A54" s="71" t="s">
        <v>74</v>
      </c>
      <c r="B54" s="59"/>
      <c r="C54" s="20"/>
      <c r="D54" s="54">
        <f>+[1]Main!$C87</f>
        <v>101768</v>
      </c>
      <c r="E54" s="54">
        <f>IF($B27-SUM($E47:E53)&gt;D54,D54,$B27-SUM($E47:E53))</f>
        <v>0</v>
      </c>
      <c r="F54" s="54">
        <f t="shared" si="1"/>
        <v>101768</v>
      </c>
      <c r="G54" s="1"/>
      <c r="H54" s="30"/>
      <c r="I54" s="30"/>
      <c r="J54" s="30"/>
    </row>
    <row r="55" spans="1:10" x14ac:dyDescent="0.2">
      <c r="A55" s="71" t="s">
        <v>75</v>
      </c>
      <c r="B55" s="59"/>
      <c r="C55" s="20"/>
      <c r="D55" s="54">
        <f>+[1]Main!$D87</f>
        <v>0</v>
      </c>
      <c r="E55" s="54">
        <f>IF($B27-SUM($E47:E54)&gt;D55,D55,$B27-SUM($E47:E54))</f>
        <v>0</v>
      </c>
      <c r="F55" s="54">
        <f t="shared" si="1"/>
        <v>0</v>
      </c>
      <c r="G55" s="1"/>
      <c r="H55" s="30"/>
      <c r="I55" s="30"/>
      <c r="J55" s="30"/>
    </row>
    <row r="56" spans="1:10" x14ac:dyDescent="0.2">
      <c r="A56" s="71" t="s">
        <v>76</v>
      </c>
      <c r="B56" s="59"/>
      <c r="C56" s="20"/>
      <c r="D56" s="54">
        <f>+[1]Main!$E87</f>
        <v>841987</v>
      </c>
      <c r="E56" s="54">
        <f>IF($B27-SUM($E47:E55)&gt;D56,D56,$B27-SUM($E47:E55))</f>
        <v>0</v>
      </c>
      <c r="F56" s="54">
        <f t="shared" si="1"/>
        <v>841987</v>
      </c>
      <c r="G56" s="1"/>
      <c r="H56" s="30"/>
      <c r="I56" s="30"/>
      <c r="J56" s="30"/>
    </row>
    <row r="57" spans="1:10" x14ac:dyDescent="0.2">
      <c r="A57" s="71" t="s">
        <v>77</v>
      </c>
      <c r="B57" s="59"/>
      <c r="C57" s="20"/>
      <c r="D57" s="54">
        <f>[1]Main!F87</f>
        <v>46519</v>
      </c>
      <c r="E57" s="54">
        <f>IF($B27-SUM($E47:E56)&gt;D57,D57,$B27-SUM($E47:E56))</f>
        <v>0</v>
      </c>
      <c r="F57" s="54">
        <f t="shared" si="1"/>
        <v>46519</v>
      </c>
      <c r="G57" s="1"/>
      <c r="H57" s="57" t="s">
        <v>48</v>
      </c>
      <c r="I57" s="30"/>
      <c r="J57" s="30"/>
    </row>
    <row r="58" spans="1:10" x14ac:dyDescent="0.2">
      <c r="A58" s="71" t="s">
        <v>79</v>
      </c>
      <c r="B58" s="59"/>
      <c r="C58" s="20"/>
      <c r="D58" s="54">
        <f>[1]Main!G87</f>
        <v>0</v>
      </c>
      <c r="E58" s="54">
        <f>IF($B27-SUM($E47:E57)&gt;D58,D58,$B27-SUM($E47:E57))</f>
        <v>0</v>
      </c>
      <c r="F58" s="54">
        <f t="shared" si="1"/>
        <v>0</v>
      </c>
      <c r="G58" s="1"/>
      <c r="H58" s="57"/>
      <c r="I58" s="30"/>
      <c r="J58" s="30"/>
    </row>
    <row r="59" spans="1:10" x14ac:dyDescent="0.2">
      <c r="A59" s="71" t="s">
        <v>78</v>
      </c>
      <c r="B59" s="59"/>
      <c r="C59" s="20"/>
      <c r="D59" s="54">
        <f>[1]Main!G145</f>
        <v>36794.080000000002</v>
      </c>
      <c r="E59" s="54">
        <f>IF($B27-SUM($E47:E58)&gt;D59,D59,$B27-SUM($E47:E58))</f>
        <v>0</v>
      </c>
      <c r="F59" s="54">
        <f t="shared" si="1"/>
        <v>36794.080000000002</v>
      </c>
      <c r="G59" s="1"/>
      <c r="H59" s="73">
        <f>+[1]Main!D203</f>
        <v>1038181.09</v>
      </c>
      <c r="I59" s="30"/>
      <c r="J59" s="30"/>
    </row>
    <row r="60" spans="1:10" x14ac:dyDescent="0.2">
      <c r="A60" s="71" t="s">
        <v>80</v>
      </c>
      <c r="B60" s="59"/>
      <c r="C60" s="20"/>
      <c r="D60" s="54">
        <f>[1]Main!C203</f>
        <v>0</v>
      </c>
      <c r="E60" s="54"/>
      <c r="F60" s="54">
        <f t="shared" si="1"/>
        <v>0</v>
      </c>
      <c r="G60" s="1"/>
      <c r="H60" s="57">
        <f>+SUM(D53:D60)</f>
        <v>1038181.09</v>
      </c>
      <c r="I60" s="30"/>
      <c r="J60" s="30"/>
    </row>
    <row r="61" spans="1:10" x14ac:dyDescent="0.2">
      <c r="A61" s="71" t="s">
        <v>81</v>
      </c>
      <c r="B61" s="59"/>
      <c r="C61" s="20"/>
      <c r="D61" s="54">
        <f>[1]Main!C261</f>
        <v>273740</v>
      </c>
      <c r="E61" s="54">
        <v>0</v>
      </c>
      <c r="F61" s="54">
        <f t="shared" si="1"/>
        <v>273740</v>
      </c>
      <c r="G61" s="1"/>
      <c r="H61" s="57">
        <f>+H59-H60</f>
        <v>0</v>
      </c>
      <c r="I61" s="30"/>
      <c r="J61" s="30"/>
    </row>
    <row r="62" spans="1:10" x14ac:dyDescent="0.2">
      <c r="A62" s="71" t="s">
        <v>82</v>
      </c>
      <c r="B62" s="59"/>
      <c r="C62" s="20"/>
      <c r="D62" s="54">
        <f>+[7]Main!I28+[7]Main!J28</f>
        <v>174614.51</v>
      </c>
      <c r="E62" s="74">
        <f>[7]Main!J28</f>
        <v>78172.98</v>
      </c>
      <c r="F62" s="54">
        <f t="shared" si="1"/>
        <v>96441.53</v>
      </c>
      <c r="G62" s="1"/>
      <c r="H62" s="30"/>
      <c r="I62" s="30"/>
      <c r="J62" s="30"/>
    </row>
    <row r="63" spans="1:10" x14ac:dyDescent="0.2">
      <c r="A63" s="71" t="s">
        <v>83</v>
      </c>
      <c r="B63" s="59"/>
      <c r="C63" s="20"/>
      <c r="D63" s="54">
        <f>[1]Main!F261</f>
        <v>64316</v>
      </c>
      <c r="E63" s="54">
        <v>0</v>
      </c>
      <c r="F63" s="54">
        <f t="shared" si="1"/>
        <v>64316</v>
      </c>
      <c r="G63" s="1"/>
      <c r="H63" s="30"/>
      <c r="I63" s="30"/>
      <c r="J63" s="30"/>
    </row>
    <row r="64" spans="1:10" x14ac:dyDescent="0.2">
      <c r="A64" s="71" t="s">
        <v>84</v>
      </c>
      <c r="B64" s="59"/>
      <c r="C64" s="7"/>
      <c r="D64" s="54">
        <f>[1]Main!E261</f>
        <v>6871.58</v>
      </c>
      <c r="E64" s="54">
        <v>0</v>
      </c>
      <c r="F64" s="54">
        <f t="shared" si="1"/>
        <v>6871.58</v>
      </c>
      <c r="G64" s="1"/>
      <c r="H64" s="57" t="s">
        <v>49</v>
      </c>
      <c r="I64" s="30"/>
      <c r="J64" s="30"/>
    </row>
    <row r="65" spans="1:10" x14ac:dyDescent="0.2">
      <c r="A65" s="71" t="s">
        <v>85</v>
      </c>
      <c r="B65" s="59"/>
      <c r="C65" s="7"/>
      <c r="D65" s="54">
        <f>[1]Main!G261</f>
        <v>126783</v>
      </c>
      <c r="E65" s="54">
        <v>0</v>
      </c>
      <c r="F65" s="54">
        <f t="shared" si="1"/>
        <v>126783</v>
      </c>
      <c r="G65" s="1"/>
      <c r="H65" s="57">
        <f>+[1]Main!C490</f>
        <v>1495107.42</v>
      </c>
      <c r="I65" s="57"/>
      <c r="J65" s="57"/>
    </row>
    <row r="66" spans="1:10" x14ac:dyDescent="0.2">
      <c r="A66" s="71" t="s">
        <v>86</v>
      </c>
      <c r="B66" s="59"/>
      <c r="C66" s="20"/>
      <c r="D66" s="54">
        <f>[1]Main!C319</f>
        <v>10000</v>
      </c>
      <c r="E66" s="54">
        <v>0</v>
      </c>
      <c r="F66" s="54">
        <f t="shared" si="1"/>
        <v>10000</v>
      </c>
      <c r="G66" s="1"/>
      <c r="H66" s="57">
        <f>+SUM(D61:D71)-E62</f>
        <v>1495107.42</v>
      </c>
      <c r="I66" s="57"/>
      <c r="J66" s="57">
        <f>+H66-H65</f>
        <v>0</v>
      </c>
    </row>
    <row r="67" spans="1:10" x14ac:dyDescent="0.2">
      <c r="A67" s="71" t="s">
        <v>87</v>
      </c>
      <c r="C67" s="8"/>
      <c r="D67" s="76">
        <f>[1]Main!D319</f>
        <v>686654.96</v>
      </c>
      <c r="E67" s="77">
        <v>0</v>
      </c>
      <c r="F67" s="77">
        <f t="shared" si="1"/>
        <v>686654.96</v>
      </c>
      <c r="G67" s="5"/>
      <c r="H67" s="57">
        <f>+H65-H66</f>
        <v>0</v>
      </c>
      <c r="I67" s="57"/>
      <c r="J67" s="57"/>
    </row>
    <row r="68" spans="1:10" x14ac:dyDescent="0.2">
      <c r="A68" s="71" t="s">
        <v>88</v>
      </c>
      <c r="B68" s="59"/>
      <c r="C68" s="20"/>
      <c r="D68" s="54">
        <f>+[1]Main!$E319</f>
        <v>4090.32</v>
      </c>
      <c r="E68" s="54">
        <v>0</v>
      </c>
      <c r="F68" s="54">
        <f>D68-E68</f>
        <v>4090.32</v>
      </c>
      <c r="G68" s="4"/>
      <c r="H68" s="30"/>
      <c r="I68" s="30"/>
      <c r="J68" s="30"/>
    </row>
    <row r="69" spans="1:10" x14ac:dyDescent="0.2">
      <c r="A69" s="71" t="s">
        <v>89</v>
      </c>
      <c r="B69" s="59"/>
      <c r="C69" s="20"/>
      <c r="D69" s="54">
        <f>[1]Main!F319</f>
        <v>22394.22</v>
      </c>
      <c r="E69" s="54">
        <v>0</v>
      </c>
      <c r="F69" s="54">
        <f>D69-E69</f>
        <v>22394.22</v>
      </c>
      <c r="G69" s="4"/>
      <c r="H69" s="30"/>
      <c r="I69" s="30"/>
      <c r="J69" s="30"/>
    </row>
    <row r="70" spans="1:10" x14ac:dyDescent="0.2">
      <c r="A70" s="71" t="s">
        <v>90</v>
      </c>
      <c r="B70" s="59"/>
      <c r="C70" s="20"/>
      <c r="D70" s="54">
        <f>[1]Main!G319</f>
        <v>146991</v>
      </c>
      <c r="E70" s="54">
        <v>0</v>
      </c>
      <c r="F70" s="54">
        <f>D70-E70</f>
        <v>146991</v>
      </c>
      <c r="G70" s="1"/>
      <c r="H70" s="57" t="s">
        <v>50</v>
      </c>
      <c r="I70" s="30"/>
      <c r="J70" s="30"/>
    </row>
    <row r="71" spans="1:10" x14ac:dyDescent="0.2">
      <c r="A71" s="71" t="s">
        <v>93</v>
      </c>
      <c r="B71" s="59"/>
      <c r="C71" s="20"/>
      <c r="D71" s="54">
        <f>[1]Main!F376</f>
        <v>56824.81</v>
      </c>
      <c r="E71" s="54">
        <v>0</v>
      </c>
      <c r="F71" s="54">
        <f>D71-E71</f>
        <v>56824.81</v>
      </c>
      <c r="G71" s="1"/>
      <c r="H71" s="57"/>
      <c r="I71" s="30"/>
      <c r="J71" s="30"/>
    </row>
    <row r="72" spans="1:10" x14ac:dyDescent="0.2">
      <c r="A72" s="55" t="s">
        <v>30</v>
      </c>
      <c r="B72" s="78"/>
      <c r="C72" s="79"/>
      <c r="D72" s="64"/>
      <c r="E72" s="64"/>
      <c r="F72" s="64"/>
      <c r="G72" s="1"/>
      <c r="H72" s="57"/>
      <c r="I72" s="30"/>
      <c r="J72" s="30"/>
    </row>
    <row r="73" spans="1:10" x14ac:dyDescent="0.2">
      <c r="A73" s="71" t="s">
        <v>60</v>
      </c>
      <c r="B73" s="59"/>
      <c r="C73" s="20"/>
      <c r="D73" s="54">
        <f>[1]Main!C433</f>
        <v>24335.64</v>
      </c>
      <c r="E73" s="54">
        <v>0</v>
      </c>
      <c r="F73" s="54">
        <f>D73-E73</f>
        <v>24335.64</v>
      </c>
      <c r="G73" s="1"/>
      <c r="H73" s="57">
        <f>+[1]Main!G433</f>
        <v>42409.21</v>
      </c>
      <c r="I73" s="30"/>
      <c r="J73" s="30"/>
    </row>
    <row r="74" spans="1:10" x14ac:dyDescent="0.2">
      <c r="A74" s="71" t="s">
        <v>63</v>
      </c>
      <c r="B74" s="59"/>
      <c r="C74" s="20"/>
      <c r="D74" s="54">
        <f>[1]Main!D433</f>
        <v>1945.89</v>
      </c>
      <c r="E74" s="54">
        <v>0</v>
      </c>
      <c r="F74" s="54">
        <f>D74-E74</f>
        <v>1945.89</v>
      </c>
      <c r="G74" s="4"/>
      <c r="H74" s="57">
        <f>SUM(D73:D76)</f>
        <v>42409.21</v>
      </c>
      <c r="I74" s="30"/>
      <c r="J74" s="30"/>
    </row>
    <row r="75" spans="1:10" x14ac:dyDescent="0.2">
      <c r="A75" s="71" t="s">
        <v>91</v>
      </c>
      <c r="B75" s="59"/>
      <c r="C75" s="20"/>
      <c r="D75" s="54">
        <f>[1]Main!E433</f>
        <v>0</v>
      </c>
      <c r="E75" s="54">
        <v>0</v>
      </c>
      <c r="F75" s="54">
        <f>D75-E75</f>
        <v>0</v>
      </c>
      <c r="G75" s="4"/>
      <c r="H75" s="57">
        <f>+H73-H74</f>
        <v>0</v>
      </c>
      <c r="I75" s="30"/>
      <c r="J75" s="30"/>
    </row>
    <row r="76" spans="1:10" x14ac:dyDescent="0.2">
      <c r="A76" s="71" t="s">
        <v>92</v>
      </c>
      <c r="B76" s="59"/>
      <c r="C76" s="20"/>
      <c r="D76" s="54">
        <f>[1]Main!F433</f>
        <v>16127.68</v>
      </c>
      <c r="E76" s="54">
        <v>0</v>
      </c>
      <c r="F76" s="54">
        <f>D76-E76</f>
        <v>16127.68</v>
      </c>
      <c r="G76" s="1"/>
      <c r="H76" s="30"/>
      <c r="I76" s="30"/>
      <c r="J76" s="30"/>
    </row>
    <row r="77" spans="1:10" x14ac:dyDescent="0.2">
      <c r="A77" s="55" t="s">
        <v>31</v>
      </c>
      <c r="B77" s="78"/>
      <c r="C77" s="79"/>
      <c r="D77" s="64"/>
      <c r="E77" s="64"/>
      <c r="F77" s="64"/>
      <c r="G77" s="1"/>
      <c r="H77" s="30"/>
      <c r="I77" s="30"/>
      <c r="J77" s="30"/>
    </row>
    <row r="78" spans="1:10" x14ac:dyDescent="0.2">
      <c r="A78" s="58" t="s">
        <v>69</v>
      </c>
      <c r="B78" s="59"/>
      <c r="C78" s="20"/>
      <c r="D78" s="54">
        <f>+[1]Main!$G546</f>
        <v>1987407.67</v>
      </c>
      <c r="E78" s="54">
        <f>+[1]Main!$D546</f>
        <v>1027027.02</v>
      </c>
      <c r="F78" s="54">
        <f>+D78-E78</f>
        <v>960380.65</v>
      </c>
      <c r="G78" s="1"/>
      <c r="H78" s="30"/>
      <c r="I78" s="30"/>
      <c r="J78" s="30"/>
    </row>
    <row r="79" spans="1:10" x14ac:dyDescent="0.2">
      <c r="A79" s="59" t="s">
        <v>68</v>
      </c>
      <c r="B79" s="59"/>
      <c r="C79" s="20"/>
      <c r="D79" s="54">
        <f>+[1]Main!$G601</f>
        <v>496851.92</v>
      </c>
      <c r="E79" s="54">
        <f>+[1]Main!$D601</f>
        <v>281763.24</v>
      </c>
      <c r="F79" s="54">
        <f>+D79-E79</f>
        <v>215088.68</v>
      </c>
      <c r="G79" s="1"/>
      <c r="H79" s="30"/>
      <c r="I79" s="30"/>
      <c r="J79" s="30"/>
    </row>
    <row r="80" spans="1:10" ht="13.5" thickBot="1" x14ac:dyDescent="0.25">
      <c r="A80" s="80"/>
      <c r="B80" s="81"/>
      <c r="C80" s="82" t="s">
        <v>29</v>
      </c>
      <c r="D80" s="83">
        <f>SUM(D47:D79)</f>
        <v>16097252.640000001</v>
      </c>
      <c r="E80" s="83">
        <f>SUM(E47:E79)</f>
        <v>2566847.2400000002</v>
      </c>
      <c r="F80" s="83">
        <f>SUM(F47:F79)</f>
        <v>13530405.4</v>
      </c>
      <c r="G80" s="1"/>
      <c r="H80" s="30"/>
      <c r="I80" s="30"/>
      <c r="J80" s="30"/>
    </row>
    <row r="81" spans="1:10" ht="13.5" thickTop="1" x14ac:dyDescent="0.2">
      <c r="A81" s="84"/>
      <c r="B81" s="59"/>
      <c r="C81" s="85"/>
      <c r="D81" s="86"/>
      <c r="E81" s="86"/>
      <c r="F81" s="87"/>
      <c r="G81" s="1"/>
      <c r="H81" s="30"/>
      <c r="I81" s="30"/>
      <c r="J81" s="30"/>
    </row>
    <row r="82" spans="1:10" x14ac:dyDescent="0.2">
      <c r="A82" s="88" t="s">
        <v>40</v>
      </c>
      <c r="B82" s="78"/>
      <c r="C82" s="89"/>
      <c r="D82" s="90"/>
      <c r="E82" s="91"/>
      <c r="F82" s="92" t="s">
        <v>36</v>
      </c>
      <c r="G82" s="6"/>
      <c r="H82" s="57" t="s">
        <v>51</v>
      </c>
      <c r="I82" s="30"/>
      <c r="J82" s="57" t="s">
        <v>7</v>
      </c>
    </row>
    <row r="83" spans="1:10" x14ac:dyDescent="0.2">
      <c r="A83" s="93" t="s">
        <v>33</v>
      </c>
      <c r="B83" s="94"/>
      <c r="C83" s="95"/>
      <c r="D83" s="96"/>
      <c r="E83" s="96"/>
      <c r="F83" s="91"/>
      <c r="G83" s="6"/>
      <c r="H83" s="30"/>
      <c r="I83" s="30"/>
      <c r="J83" s="30"/>
    </row>
    <row r="84" spans="1:10" x14ac:dyDescent="0.2">
      <c r="A84" s="59" t="s">
        <v>34</v>
      </c>
      <c r="B84" s="59"/>
      <c r="C84" s="22"/>
      <c r="D84" s="27"/>
      <c r="E84" s="27"/>
      <c r="F84" s="97">
        <f>+[8]Main!$C29</f>
        <v>0</v>
      </c>
      <c r="G84" s="5"/>
      <c r="H84" s="57">
        <f>+[1]Main!G657</f>
        <v>2484259.59</v>
      </c>
      <c r="I84" s="30"/>
      <c r="J84" s="57">
        <f>+[1]Main!E657+[1]Main!F657</f>
        <v>1175469.33</v>
      </c>
    </row>
    <row r="85" spans="1:10" x14ac:dyDescent="0.2">
      <c r="A85" s="59" t="s">
        <v>66</v>
      </c>
      <c r="B85" s="59"/>
      <c r="C85" s="22"/>
      <c r="D85" s="27"/>
      <c r="E85" s="27"/>
      <c r="F85" s="97">
        <f>+[8]Main!$D29</f>
        <v>0</v>
      </c>
      <c r="G85" s="5"/>
      <c r="H85" s="57">
        <f>+D78+D79</f>
        <v>2484259.59</v>
      </c>
      <c r="I85" s="30"/>
      <c r="J85" s="57">
        <f>+F78+F79</f>
        <v>1175469.33</v>
      </c>
    </row>
    <row r="86" spans="1:10" x14ac:dyDescent="0.2">
      <c r="A86" s="32" t="s">
        <v>65</v>
      </c>
      <c r="B86" s="32"/>
      <c r="C86" s="22"/>
      <c r="D86" s="28"/>
      <c r="E86" s="28"/>
      <c r="F86" s="97">
        <f>+[8]Main!$E29</f>
        <v>0</v>
      </c>
      <c r="G86" s="1"/>
      <c r="H86" s="57">
        <f>+H84-H85</f>
        <v>0</v>
      </c>
      <c r="I86" s="30"/>
      <c r="J86" s="57">
        <f>+J84-J85</f>
        <v>0</v>
      </c>
    </row>
    <row r="87" spans="1:10" x14ac:dyDescent="0.2">
      <c r="A87" s="32" t="s">
        <v>67</v>
      </c>
      <c r="B87" s="32"/>
      <c r="C87" s="22"/>
      <c r="D87" s="28"/>
      <c r="E87" s="28"/>
      <c r="F87" s="97">
        <f>+[8]Main!$F29</f>
        <v>0</v>
      </c>
      <c r="G87" s="1"/>
      <c r="H87" s="30"/>
      <c r="I87" s="30"/>
      <c r="J87" s="30"/>
    </row>
    <row r="88" spans="1:10" x14ac:dyDescent="0.2">
      <c r="A88" s="88" t="s">
        <v>35</v>
      </c>
      <c r="B88" s="78"/>
      <c r="C88" s="89"/>
      <c r="D88" s="90"/>
      <c r="E88" s="91"/>
      <c r="F88" s="54">
        <f>+[8]Main!$C87</f>
        <v>15759.85</v>
      </c>
      <c r="G88" s="1"/>
      <c r="H88" s="30"/>
      <c r="I88" s="30"/>
      <c r="J88" s="30"/>
    </row>
    <row r="89" spans="1:10" ht="13.5" thickBot="1" x14ac:dyDescent="0.25">
      <c r="A89" s="98"/>
      <c r="B89" s="99"/>
      <c r="C89" s="100" t="s">
        <v>29</v>
      </c>
      <c r="D89" s="101"/>
      <c r="E89" s="102"/>
      <c r="F89" s="103">
        <f>SUM(F84:F88)</f>
        <v>15759.85</v>
      </c>
      <c r="G89" s="1"/>
      <c r="H89" s="30"/>
      <c r="I89" s="30"/>
      <c r="J89" s="30"/>
    </row>
    <row r="90" spans="1:10" ht="13.5" thickBot="1" x14ac:dyDescent="0.25">
      <c r="A90" s="104"/>
      <c r="B90" s="105"/>
      <c r="C90" s="106" t="s">
        <v>53</v>
      </c>
      <c r="D90" s="107"/>
      <c r="E90" s="108"/>
      <c r="F90" s="109">
        <f>+F89+F80</f>
        <v>13546165.25</v>
      </c>
      <c r="G90" s="1"/>
      <c r="H90" s="57" t="s">
        <v>54</v>
      </c>
      <c r="I90" s="30"/>
      <c r="J90" s="30"/>
    </row>
    <row r="91" spans="1:10" x14ac:dyDescent="0.2">
      <c r="A91" s="11"/>
      <c r="B91" s="12"/>
      <c r="C91" s="9"/>
      <c r="D91" s="29"/>
      <c r="E91" s="29"/>
      <c r="F91" s="110"/>
      <c r="G91" s="1"/>
      <c r="H91" s="57">
        <f>+[8]Main!$G29</f>
        <v>0</v>
      </c>
      <c r="I91" s="30"/>
      <c r="J91" s="30"/>
    </row>
    <row r="92" spans="1:10" x14ac:dyDescent="0.2">
      <c r="A92" s="11"/>
      <c r="B92" s="12"/>
      <c r="C92" s="9"/>
      <c r="D92" s="29"/>
      <c r="E92" s="29"/>
      <c r="F92" s="110"/>
      <c r="G92" s="1"/>
      <c r="H92" s="57">
        <f>SUM(F84:F87)</f>
        <v>0</v>
      </c>
      <c r="I92" s="30"/>
      <c r="J92" s="30"/>
    </row>
    <row r="93" spans="1:10" x14ac:dyDescent="0.2">
      <c r="A93" s="1"/>
      <c r="B93" s="1"/>
      <c r="C93" s="7"/>
      <c r="D93" s="26"/>
      <c r="E93" s="26"/>
      <c r="F93" s="86">
        <f>+F89+F80</f>
        <v>13546165.25</v>
      </c>
      <c r="G93" s="1"/>
      <c r="H93" s="57">
        <f>+H91-H92</f>
        <v>0</v>
      </c>
      <c r="I93" s="30"/>
      <c r="J93" s="30"/>
    </row>
    <row r="94" spans="1:10" x14ac:dyDescent="0.2">
      <c r="A94" s="1"/>
      <c r="B94" s="1"/>
      <c r="C94" s="7"/>
      <c r="D94" s="26"/>
      <c r="E94" s="26"/>
      <c r="F94" s="86">
        <f>+[1]Main!$F773</f>
        <v>13546165.25</v>
      </c>
      <c r="G94" s="1"/>
      <c r="H94" s="30"/>
      <c r="I94" s="30"/>
      <c r="J94" s="30"/>
    </row>
    <row r="95" spans="1:10" x14ac:dyDescent="0.2">
      <c r="A95" s="1"/>
      <c r="B95" s="1"/>
      <c r="C95" s="7"/>
      <c r="D95" s="26"/>
      <c r="E95" s="86">
        <f>+E80+[1]Main!$E773</f>
        <v>0</v>
      </c>
      <c r="F95" s="86">
        <f>+F94-F93</f>
        <v>0</v>
      </c>
      <c r="G95" s="1"/>
      <c r="H95" s="30"/>
      <c r="I95" s="30"/>
      <c r="J95" s="30"/>
    </row>
    <row r="96" spans="1:10" x14ac:dyDescent="0.2">
      <c r="A96" s="59"/>
      <c r="B96" s="59"/>
      <c r="C96" s="85"/>
      <c r="D96" s="86"/>
      <c r="E96" s="86"/>
      <c r="F96" s="86"/>
      <c r="G96" s="59"/>
      <c r="H96" s="57"/>
      <c r="I96" s="57"/>
      <c r="J96" s="57"/>
    </row>
    <row r="97" spans="1:10" x14ac:dyDescent="0.2">
      <c r="A97" s="59"/>
      <c r="B97" s="59"/>
      <c r="C97" s="85"/>
      <c r="D97" s="86"/>
      <c r="E97" s="86"/>
      <c r="F97" s="86"/>
      <c r="G97" s="59"/>
      <c r="H97" s="57"/>
      <c r="I97" s="57"/>
      <c r="J97" s="57"/>
    </row>
    <row r="98" spans="1:10" x14ac:dyDescent="0.2">
      <c r="A98" s="59"/>
      <c r="B98" s="59"/>
      <c r="C98" s="85"/>
      <c r="D98" s="86"/>
      <c r="E98" s="86"/>
      <c r="F98" s="86"/>
      <c r="G98" s="59"/>
      <c r="H98" s="111" t="s">
        <v>55</v>
      </c>
      <c r="I98" s="57"/>
      <c r="J98" s="57"/>
    </row>
    <row r="99" spans="1:10" x14ac:dyDescent="0.2">
      <c r="G99" s="59"/>
      <c r="H99" s="113"/>
      <c r="I99" s="112"/>
      <c r="J99" s="112"/>
    </row>
    <row r="100" spans="1:10" x14ac:dyDescent="0.2">
      <c r="G100" s="59"/>
      <c r="H100" s="112"/>
      <c r="I100" s="112"/>
      <c r="J100" s="112"/>
    </row>
    <row r="101" spans="1:10" x14ac:dyDescent="0.2">
      <c r="G101" s="59"/>
      <c r="H101" s="112"/>
      <c r="I101" s="112"/>
      <c r="J101" s="112"/>
    </row>
    <row r="102" spans="1:10" x14ac:dyDescent="0.2">
      <c r="G102" s="59"/>
      <c r="H102" s="112"/>
      <c r="I102" s="112"/>
      <c r="J102" s="112"/>
    </row>
    <row r="103" spans="1:10" x14ac:dyDescent="0.2">
      <c r="G103" s="59"/>
      <c r="H103" s="112"/>
      <c r="I103" s="112"/>
      <c r="J103" s="112"/>
    </row>
    <row r="104" spans="1:10" x14ac:dyDescent="0.2">
      <c r="G104" s="59"/>
      <c r="H104" s="71"/>
      <c r="I104" s="112"/>
      <c r="J104" s="112"/>
    </row>
  </sheetData>
  <mergeCells count="1">
    <mergeCell ref="D23:E23"/>
  </mergeCells>
  <phoneticPr fontId="0" type="noConversion"/>
  <printOptions horizontalCentered="1" verticalCentered="1"/>
  <pageMargins left="0.5" right="0.25" top="0.5" bottom="0.5" header="0.5" footer="0.5"/>
  <pageSetup scale="89" orientation="portrait" horizontalDpi="1200" r:id="rId1"/>
  <headerFooter alignWithMargins="0">
    <oddHeader>&amp;R&amp;8Current as of: &amp;D</oddHeader>
    <oddFooter>&amp;L&amp;8USOE, Finance and Statistics&amp;R&amp;8&amp;F</oddFooter>
  </headerFooter>
  <picture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J105"/>
  <sheetViews>
    <sheetView topLeftCell="A40" workbookViewId="0">
      <selection activeCell="B28" sqref="B28"/>
    </sheetView>
  </sheetViews>
  <sheetFormatPr defaultColWidth="18.28515625" defaultRowHeight="12.75" x14ac:dyDescent="0.2"/>
  <cols>
    <col min="1" max="1" width="27" style="75" customWidth="1"/>
    <col min="2" max="2" width="16.7109375" style="75" customWidth="1"/>
    <col min="3" max="3" width="15.85546875" style="75" customWidth="1"/>
    <col min="4" max="4" width="16.28515625" style="75" customWidth="1"/>
    <col min="5" max="5" width="15.5703125" style="75" customWidth="1"/>
    <col min="6" max="6" width="17.42578125" style="75" customWidth="1"/>
    <col min="7" max="7" width="5.7109375" style="75" customWidth="1"/>
    <col min="8" max="8" width="21.5703125" style="75" customWidth="1"/>
    <col min="9" max="9" width="5" style="75" customWidth="1"/>
    <col min="10" max="10" width="20.85546875" style="75" customWidth="1"/>
    <col min="11" max="16384" width="18.28515625" style="75"/>
  </cols>
  <sheetData>
    <row r="1" spans="1:10" x14ac:dyDescent="0.2">
      <c r="A1" s="8"/>
      <c r="B1" s="8"/>
      <c r="C1" s="8"/>
      <c r="D1" s="8"/>
      <c r="E1" s="8"/>
      <c r="F1" s="8"/>
      <c r="G1" s="8"/>
      <c r="H1" s="8"/>
      <c r="I1" s="8"/>
      <c r="J1" s="8"/>
    </row>
    <row r="2" spans="1:10" x14ac:dyDescent="0.2">
      <c r="A2" s="8"/>
      <c r="B2" s="8"/>
      <c r="C2" s="8"/>
      <c r="D2" s="8"/>
      <c r="E2" s="8"/>
      <c r="F2" s="8"/>
      <c r="G2" s="8"/>
      <c r="H2" s="8"/>
      <c r="I2" s="8"/>
      <c r="J2" s="8"/>
    </row>
    <row r="3" spans="1:10" x14ac:dyDescent="0.2">
      <c r="A3" s="8"/>
      <c r="B3" s="8"/>
      <c r="C3" s="8"/>
      <c r="D3" s="8"/>
      <c r="E3" s="8"/>
      <c r="F3" s="8"/>
      <c r="G3" s="8"/>
      <c r="H3" s="8"/>
      <c r="I3" s="8"/>
      <c r="J3" s="8"/>
    </row>
    <row r="4" spans="1:10" x14ac:dyDescent="0.2">
      <c r="A4" s="8"/>
      <c r="B4" s="8"/>
      <c r="C4" s="8"/>
      <c r="D4" s="8"/>
      <c r="E4" s="8"/>
      <c r="F4" s="8"/>
      <c r="G4" s="8"/>
      <c r="H4" s="8"/>
      <c r="I4" s="8"/>
      <c r="J4" s="8"/>
    </row>
    <row r="5" spans="1:10" x14ac:dyDescent="0.2">
      <c r="A5" s="8"/>
      <c r="B5" s="8"/>
      <c r="C5" s="8"/>
      <c r="D5" s="8"/>
      <c r="E5" s="8"/>
      <c r="F5" s="8"/>
      <c r="G5" s="8"/>
      <c r="H5" s="8"/>
      <c r="I5" s="8"/>
      <c r="J5" s="8"/>
    </row>
    <row r="6" spans="1:10" x14ac:dyDescent="0.2">
      <c r="A6" s="8"/>
      <c r="B6" s="8"/>
      <c r="C6" s="8"/>
      <c r="D6" s="8"/>
      <c r="E6" s="8"/>
      <c r="F6" s="8"/>
      <c r="G6" s="8"/>
      <c r="H6" s="8"/>
      <c r="I6" s="8"/>
      <c r="J6" s="8"/>
    </row>
    <row r="7" spans="1:10" x14ac:dyDescent="0.2">
      <c r="A7" s="8"/>
      <c r="B7" s="8"/>
      <c r="C7" s="8"/>
      <c r="D7" s="8"/>
      <c r="E7" s="8"/>
      <c r="F7" s="8"/>
      <c r="G7" s="8"/>
      <c r="H7" s="8"/>
      <c r="I7" s="8"/>
      <c r="J7" s="8"/>
    </row>
    <row r="8" spans="1:10" x14ac:dyDescent="0.2">
      <c r="A8" s="8"/>
      <c r="B8" s="8"/>
      <c r="C8" s="8"/>
      <c r="D8" s="8"/>
      <c r="E8" s="8"/>
      <c r="F8" s="8"/>
      <c r="G8" s="8"/>
      <c r="H8" s="8"/>
      <c r="I8" s="8"/>
      <c r="J8" s="8"/>
    </row>
    <row r="9" spans="1:10" x14ac:dyDescent="0.2">
      <c r="A9" s="8"/>
      <c r="B9" s="8"/>
      <c r="C9" s="8"/>
      <c r="D9" s="8"/>
      <c r="E9" s="8"/>
      <c r="F9" s="8"/>
      <c r="G9" s="8"/>
      <c r="H9" s="8"/>
      <c r="I9" s="8"/>
      <c r="J9" s="8"/>
    </row>
    <row r="10" spans="1:10" x14ac:dyDescent="0.2">
      <c r="A10" s="8"/>
      <c r="B10" s="15"/>
      <c r="C10" s="8"/>
      <c r="D10" s="8"/>
      <c r="E10" s="8"/>
      <c r="F10" s="8"/>
      <c r="G10" s="8"/>
      <c r="H10" s="8"/>
      <c r="I10" s="8"/>
      <c r="J10" s="8"/>
    </row>
    <row r="11" spans="1:10" x14ac:dyDescent="0.2">
      <c r="A11" s="8"/>
      <c r="B11" s="8"/>
      <c r="C11" s="8"/>
      <c r="D11" s="8"/>
      <c r="E11" s="8"/>
      <c r="F11" s="8"/>
      <c r="G11" s="8"/>
      <c r="H11" s="8"/>
      <c r="I11" s="8"/>
      <c r="J11" s="8"/>
    </row>
    <row r="12" spans="1:10" x14ac:dyDescent="0.2">
      <c r="A12" s="8"/>
      <c r="B12" s="8"/>
      <c r="C12" s="8"/>
      <c r="D12" s="8"/>
      <c r="E12" s="8"/>
      <c r="F12" s="8"/>
      <c r="G12" s="8"/>
      <c r="H12" s="8"/>
      <c r="I12" s="8"/>
      <c r="J12" s="8"/>
    </row>
    <row r="13" spans="1:10" x14ac:dyDescent="0.2">
      <c r="A13" s="8"/>
      <c r="B13" s="8"/>
      <c r="C13" s="8"/>
      <c r="D13" s="8"/>
      <c r="E13" s="8"/>
      <c r="F13" s="8"/>
      <c r="G13" s="8"/>
      <c r="H13" s="8"/>
      <c r="I13" s="8"/>
      <c r="J13" s="8"/>
    </row>
    <row r="14" spans="1:10" x14ac:dyDescent="0.2">
      <c r="A14" s="8"/>
      <c r="B14" s="8"/>
      <c r="C14" s="8"/>
      <c r="D14" s="8"/>
      <c r="E14" s="8"/>
      <c r="F14" s="8"/>
      <c r="G14" s="8"/>
      <c r="H14" s="8"/>
      <c r="I14" s="8"/>
      <c r="J14" s="8"/>
    </row>
    <row r="15" spans="1:10" x14ac:dyDescent="0.2">
      <c r="A15" s="8"/>
      <c r="B15" s="8"/>
      <c r="C15" s="8"/>
      <c r="D15" s="8"/>
      <c r="E15" s="8"/>
      <c r="F15" s="8"/>
      <c r="G15" s="8"/>
      <c r="H15" s="8"/>
      <c r="I15" s="8"/>
      <c r="J15" s="8"/>
    </row>
    <row r="16" spans="1:10" x14ac:dyDescent="0.2">
      <c r="A16" s="8"/>
      <c r="B16" s="8"/>
      <c r="C16" s="8"/>
      <c r="D16" s="8"/>
      <c r="E16" s="8"/>
      <c r="F16" s="8"/>
      <c r="G16" s="8"/>
      <c r="H16" s="8"/>
      <c r="I16" s="8"/>
      <c r="J16" s="8"/>
    </row>
    <row r="17" spans="1:10" x14ac:dyDescent="0.2">
      <c r="A17" s="8"/>
      <c r="B17" s="8"/>
      <c r="C17" s="8"/>
      <c r="D17" s="8"/>
      <c r="E17" s="8"/>
      <c r="F17" s="8"/>
      <c r="G17" s="8"/>
      <c r="H17" s="8"/>
      <c r="I17" s="8"/>
      <c r="J17" s="8"/>
    </row>
    <row r="18" spans="1:10" x14ac:dyDescent="0.2">
      <c r="A18" s="8"/>
      <c r="B18" s="8"/>
      <c r="C18" s="8"/>
      <c r="D18" s="8"/>
      <c r="E18" s="8"/>
      <c r="F18" s="8"/>
      <c r="G18" s="8"/>
      <c r="H18" s="8"/>
      <c r="I18" s="8"/>
      <c r="J18" s="8"/>
    </row>
    <row r="19" spans="1:10" x14ac:dyDescent="0.2">
      <c r="A19" s="8"/>
      <c r="B19" s="8"/>
      <c r="C19" s="8"/>
      <c r="D19" s="8"/>
      <c r="E19" s="8"/>
      <c r="F19" s="8"/>
      <c r="G19" s="8"/>
      <c r="H19" s="8"/>
      <c r="I19" s="8"/>
      <c r="J19" s="8"/>
    </row>
    <row r="20" spans="1:10" x14ac:dyDescent="0.2">
      <c r="A20" s="8"/>
      <c r="B20" s="8"/>
      <c r="C20" s="8"/>
      <c r="D20" s="8"/>
      <c r="E20" s="8"/>
      <c r="F20" s="8"/>
      <c r="G20" s="8"/>
      <c r="H20" s="8"/>
      <c r="I20" s="8"/>
      <c r="J20" s="8"/>
    </row>
    <row r="21" spans="1:10" x14ac:dyDescent="0.2">
      <c r="A21" s="32" t="s">
        <v>0</v>
      </c>
      <c r="B21" s="33">
        <v>3184</v>
      </c>
      <c r="C21" s="34" t="s">
        <v>1</v>
      </c>
      <c r="D21" s="35"/>
      <c r="E21" s="35"/>
      <c r="F21" s="35"/>
      <c r="G21" s="1"/>
      <c r="H21" s="30"/>
      <c r="I21" s="30"/>
      <c r="J21" s="30"/>
    </row>
    <row r="22" spans="1:10" x14ac:dyDescent="0.2">
      <c r="A22" s="32" t="s">
        <v>61</v>
      </c>
      <c r="B22" s="36">
        <f>+[1]Main!$C547</f>
        <v>2.1599999999999999E-4</v>
      </c>
      <c r="C22" s="34" t="s">
        <v>41</v>
      </c>
      <c r="D22" s="35"/>
      <c r="E22" s="35"/>
      <c r="F22" s="35"/>
      <c r="G22" s="1"/>
      <c r="H22" s="30"/>
      <c r="I22" s="30"/>
      <c r="J22" s="30"/>
    </row>
    <row r="23" spans="1:10" x14ac:dyDescent="0.2">
      <c r="A23" s="32" t="s">
        <v>62</v>
      </c>
      <c r="B23" s="36">
        <f>+[1]Main!$C602</f>
        <v>2.5000000000000001E-3</v>
      </c>
      <c r="C23" s="34" t="s">
        <v>95</v>
      </c>
      <c r="D23" s="35"/>
      <c r="E23" s="37"/>
      <c r="F23" s="35"/>
      <c r="G23" s="1"/>
      <c r="H23" s="30"/>
      <c r="I23" s="30"/>
      <c r="J23" s="30"/>
    </row>
    <row r="24" spans="1:10" x14ac:dyDescent="0.2">
      <c r="A24" s="38" t="s">
        <v>32</v>
      </c>
      <c r="B24" s="39">
        <f>[2]Sheet1!E29</f>
        <v>1130877499</v>
      </c>
      <c r="C24" s="21"/>
      <c r="D24" s="31"/>
      <c r="E24" s="31"/>
      <c r="F24" s="23"/>
      <c r="G24" s="1"/>
      <c r="H24" s="30"/>
      <c r="I24" s="30"/>
      <c r="J24" s="30"/>
    </row>
    <row r="25" spans="1:10" x14ac:dyDescent="0.2">
      <c r="A25" s="32" t="s">
        <v>2</v>
      </c>
      <c r="B25" s="40">
        <f>[2]Sheet1!F29</f>
        <v>0.94010000000000005</v>
      </c>
      <c r="C25" s="7"/>
      <c r="D25" s="41" t="s">
        <v>3</v>
      </c>
      <c r="E25" s="42" t="str">
        <f>+[3]main!B30</f>
        <v>North Summit</v>
      </c>
      <c r="F25" s="43">
        <f>+[3]main!A30</f>
        <v>21</v>
      </c>
      <c r="G25" s="1"/>
      <c r="H25" s="30"/>
      <c r="I25" s="30"/>
      <c r="J25" s="30"/>
    </row>
    <row r="26" spans="1:10" x14ac:dyDescent="0.2">
      <c r="A26" s="32" t="s">
        <v>4</v>
      </c>
      <c r="B26" s="44">
        <f>[2]Sheet1!G29</f>
        <v>1.6750000000000001E-3</v>
      </c>
      <c r="C26" s="8"/>
      <c r="D26" s="24"/>
      <c r="E26" s="25"/>
      <c r="F26" s="24"/>
      <c r="G26" s="1"/>
      <c r="H26" s="30"/>
      <c r="I26" s="30"/>
      <c r="J26" s="30"/>
    </row>
    <row r="27" spans="1:10" x14ac:dyDescent="0.2">
      <c r="A27" s="32" t="s">
        <v>5</v>
      </c>
      <c r="B27" s="45">
        <f>[2]Sheet1!$C$85</f>
        <v>1979133</v>
      </c>
      <c r="C27" s="46"/>
      <c r="D27" s="47" t="s">
        <v>38</v>
      </c>
      <c r="E27" s="48" t="s">
        <v>7</v>
      </c>
      <c r="F27" s="47" t="s">
        <v>6</v>
      </c>
      <c r="G27" s="1"/>
      <c r="H27" s="30"/>
      <c r="I27" s="30"/>
      <c r="J27" s="30"/>
    </row>
    <row r="28" spans="1:10" x14ac:dyDescent="0.2">
      <c r="A28" s="32" t="s">
        <v>8</v>
      </c>
      <c r="B28" s="45">
        <f>+B27</f>
        <v>1979133</v>
      </c>
      <c r="C28" s="49"/>
      <c r="D28" s="50" t="s">
        <v>9</v>
      </c>
      <c r="E28" s="50" t="s">
        <v>37</v>
      </c>
      <c r="F28" s="50" t="s">
        <v>10</v>
      </c>
      <c r="G28" s="1"/>
      <c r="H28" s="30"/>
      <c r="I28" s="30"/>
      <c r="J28" s="30"/>
    </row>
    <row r="29" spans="1:10" x14ac:dyDescent="0.2">
      <c r="A29" s="32" t="s">
        <v>11</v>
      </c>
      <c r="B29" s="45">
        <v>0</v>
      </c>
      <c r="C29" s="51" t="s">
        <v>39</v>
      </c>
      <c r="D29" s="52" t="s">
        <v>12</v>
      </c>
      <c r="E29" s="52" t="s">
        <v>9</v>
      </c>
      <c r="F29" s="52" t="s">
        <v>9</v>
      </c>
      <c r="G29" s="1"/>
      <c r="H29" s="30"/>
      <c r="I29" s="30"/>
      <c r="J29" s="30"/>
    </row>
    <row r="30" spans="1:10" x14ac:dyDescent="0.2">
      <c r="A30" s="32" t="s">
        <v>70</v>
      </c>
      <c r="B30" s="45">
        <f>'[4]LRF FY17'!U27</f>
        <v>13442</v>
      </c>
      <c r="C30" s="53"/>
      <c r="D30" s="54"/>
      <c r="E30" s="54"/>
      <c r="F30" s="54" t="s">
        <v>14</v>
      </c>
      <c r="G30" s="1"/>
      <c r="H30" s="30"/>
      <c r="I30" s="30"/>
      <c r="J30" s="30"/>
    </row>
    <row r="31" spans="1:10" x14ac:dyDescent="0.2">
      <c r="A31" s="55" t="s">
        <v>13</v>
      </c>
      <c r="B31" s="56"/>
      <c r="C31" s="53"/>
      <c r="D31" s="54"/>
      <c r="E31" s="54"/>
      <c r="F31" s="54"/>
      <c r="G31" s="2"/>
      <c r="H31" s="30"/>
      <c r="I31" s="30"/>
      <c r="J31" s="30"/>
    </row>
    <row r="32" spans="1:10" x14ac:dyDescent="0.2">
      <c r="A32" s="55" t="s">
        <v>15</v>
      </c>
      <c r="B32" s="56"/>
      <c r="C32" s="53"/>
      <c r="D32" s="54"/>
      <c r="E32" s="54"/>
      <c r="F32" s="54"/>
      <c r="G32" s="2"/>
      <c r="H32" s="57" t="s">
        <v>43</v>
      </c>
      <c r="I32" s="30"/>
      <c r="J32" s="57" t="s">
        <v>45</v>
      </c>
    </row>
    <row r="33" spans="1:10" x14ac:dyDescent="0.2">
      <c r="A33" s="58" t="s">
        <v>16</v>
      </c>
      <c r="B33" s="59"/>
      <c r="C33" s="60">
        <f>[3]main!C204-[3]main!F146</f>
        <v>1001.96</v>
      </c>
      <c r="D33" s="61">
        <f>[3]main!E204-[3]main!H146</f>
        <v>3190241.14</v>
      </c>
      <c r="E33" s="62">
        <f>IF(B28&gt;D33,D33,B28)</f>
        <v>1979133</v>
      </c>
      <c r="F33" s="62">
        <f>D33-E33</f>
        <v>1211108.1399999999</v>
      </c>
      <c r="G33" s="1"/>
      <c r="H33" s="57">
        <f>[3]main!H263</f>
        <v>4782420.1100000003</v>
      </c>
      <c r="I33" s="30"/>
      <c r="J33" s="57">
        <f>'[5]Sheet 1'!E87</f>
        <v>5811837.2800000003</v>
      </c>
    </row>
    <row r="34" spans="1:10" x14ac:dyDescent="0.2">
      <c r="A34" s="58" t="s">
        <v>17</v>
      </c>
      <c r="B34" s="59"/>
      <c r="C34" s="53">
        <f>[3]main!F146</f>
        <v>297.54899999999998</v>
      </c>
      <c r="D34" s="54">
        <f>[3]main!H146</f>
        <v>947397.23</v>
      </c>
      <c r="E34" s="54">
        <f>IF(B27-SUM(E31:E33)&gt;D34,D34,B27-SUM(E31:E33))</f>
        <v>0</v>
      </c>
      <c r="F34" s="54">
        <f>D34-E34</f>
        <v>947397.23</v>
      </c>
      <c r="G34" s="1"/>
      <c r="H34" s="57">
        <f>SUM(D33:D37)</f>
        <v>4782420.1100000003</v>
      </c>
      <c r="I34" s="30"/>
      <c r="J34" s="57">
        <f>D48</f>
        <v>5811837.2800000003</v>
      </c>
    </row>
    <row r="35" spans="1:10" x14ac:dyDescent="0.2">
      <c r="A35" s="58" t="s">
        <v>18</v>
      </c>
      <c r="B35" s="59"/>
      <c r="C35" s="53">
        <f>[3]main!F204</f>
        <v>130.50700000000001</v>
      </c>
      <c r="D35" s="54">
        <f>[3]main!H204</f>
        <v>415533.74</v>
      </c>
      <c r="E35" s="54">
        <f>IF(B28-SUM(E33:E34)&gt;D35,D35,B28-SUM(E33:E34))</f>
        <v>0</v>
      </c>
      <c r="F35" s="54">
        <f>D35-E35</f>
        <v>415533.74</v>
      </c>
      <c r="G35" s="1"/>
      <c r="H35" s="57">
        <f>+H33-H34</f>
        <v>0</v>
      </c>
      <c r="I35" s="30"/>
      <c r="J35" s="57">
        <f>+J33-J34</f>
        <v>0</v>
      </c>
    </row>
    <row r="36" spans="1:10" x14ac:dyDescent="0.2">
      <c r="A36" s="58" t="s">
        <v>19</v>
      </c>
      <c r="B36" s="59"/>
      <c r="C36" s="53">
        <f>[3]main!C263</f>
        <v>70</v>
      </c>
      <c r="D36" s="54">
        <f>[3]main!E263</f>
        <v>222880</v>
      </c>
      <c r="E36" s="54">
        <f>IF(B28-SUM(E33:E35)&gt;D36,D36,B28-SUM(E33:E35))</f>
        <v>0</v>
      </c>
      <c r="F36" s="54">
        <f>D36-E36</f>
        <v>222880</v>
      </c>
      <c r="G36" s="1"/>
      <c r="H36" s="30"/>
      <c r="I36" s="30"/>
      <c r="J36" s="30"/>
    </row>
    <row r="37" spans="1:10" x14ac:dyDescent="0.2">
      <c r="A37" s="58" t="s">
        <v>42</v>
      </c>
      <c r="B37" s="59"/>
      <c r="C37" s="53">
        <f>[3]main!C87</f>
        <v>2</v>
      </c>
      <c r="D37" s="54">
        <f>[3]main!E87</f>
        <v>6368</v>
      </c>
      <c r="E37" s="54">
        <f>IF(B28-SUM(E33:E36)&gt;D37,D37,B28-SUM(E33:E36))</f>
        <v>0</v>
      </c>
      <c r="F37" s="54">
        <f>D37-E37</f>
        <v>6368</v>
      </c>
      <c r="G37" s="1"/>
      <c r="H37" s="30"/>
      <c r="I37" s="30"/>
      <c r="J37" s="30"/>
    </row>
    <row r="38" spans="1:10" x14ac:dyDescent="0.2">
      <c r="A38" s="55" t="s">
        <v>20</v>
      </c>
      <c r="B38" s="56"/>
      <c r="C38" s="63"/>
      <c r="D38" s="64"/>
      <c r="E38" s="64"/>
      <c r="F38" s="64" t="s">
        <v>14</v>
      </c>
      <c r="G38" s="1"/>
      <c r="H38" s="57" t="s">
        <v>44</v>
      </c>
      <c r="I38" s="30"/>
      <c r="J38" s="30"/>
    </row>
    <row r="39" spans="1:10" x14ac:dyDescent="0.2">
      <c r="A39" s="58" t="s">
        <v>21</v>
      </c>
      <c r="B39" s="59"/>
      <c r="C39" s="53">
        <f>'[6]Sheet 1'!C29</f>
        <v>107.399</v>
      </c>
      <c r="D39" s="54">
        <f>'[6]Sheet 1'!E29</f>
        <v>341957.29</v>
      </c>
      <c r="E39" s="54">
        <f>IF(B28-SUM(E33:E38)&gt;D39,D39,B28-SUM(E33:E38))</f>
        <v>0</v>
      </c>
      <c r="F39" s="54">
        <f t="shared" ref="F39:F47" si="0">D39-E39</f>
        <v>341957.29</v>
      </c>
      <c r="G39" s="1"/>
      <c r="H39" s="57">
        <f>'[6]Sheet 1'!N145</f>
        <v>447716.51</v>
      </c>
      <c r="I39" s="30"/>
      <c r="J39" s="30"/>
    </row>
    <row r="40" spans="1:10" x14ac:dyDescent="0.2">
      <c r="A40" s="59" t="s">
        <v>22</v>
      </c>
      <c r="B40" s="59"/>
      <c r="C40" s="53">
        <f>'[6]Sheet 1'!F29</f>
        <v>10.53</v>
      </c>
      <c r="D40" s="54">
        <f>'[6]Sheet 1'!H29</f>
        <v>33527.519999999997</v>
      </c>
      <c r="E40" s="54">
        <f>IF(B28-SUM(E33:E39)&gt;D40,D40,B28-SUM(E33:E39))</f>
        <v>0</v>
      </c>
      <c r="F40" s="54">
        <f t="shared" si="0"/>
        <v>33527.519999999997</v>
      </c>
      <c r="G40" s="1"/>
      <c r="H40" s="57">
        <f>SUM(D39:D45)</f>
        <v>447716.51</v>
      </c>
      <c r="I40" s="30"/>
      <c r="J40" s="30"/>
    </row>
    <row r="41" spans="1:10" x14ac:dyDescent="0.2">
      <c r="A41" s="59" t="s">
        <v>23</v>
      </c>
      <c r="B41" s="59"/>
      <c r="C41" s="53">
        <f>'[6]Sheet 1'!C87</f>
        <v>19.11</v>
      </c>
      <c r="D41" s="54">
        <f>'[6]Sheet 1'!E87</f>
        <v>60846.239999999998</v>
      </c>
      <c r="E41" s="54">
        <f>IF(B28-SUM(E33:E40)&gt;D41,D41,B28-SUM(E33:E40))</f>
        <v>0</v>
      </c>
      <c r="F41" s="54">
        <f t="shared" si="0"/>
        <v>60846.239999999998</v>
      </c>
      <c r="G41" s="1"/>
      <c r="H41" s="57">
        <f>+H39-H40</f>
        <v>0</v>
      </c>
      <c r="I41" s="30"/>
      <c r="J41" s="30"/>
    </row>
    <row r="42" spans="1:10" x14ac:dyDescent="0.2">
      <c r="A42" s="58" t="s">
        <v>24</v>
      </c>
      <c r="B42" s="59"/>
      <c r="C42" s="53">
        <f>'[6]Sheet 1'!F87</f>
        <v>1.1499999999999999</v>
      </c>
      <c r="D42" s="54">
        <f>'[6]Sheet 1'!H87</f>
        <v>3660.14</v>
      </c>
      <c r="E42" s="54">
        <f>IF(B28-SUM(E33:E41)&gt;D42,D42,B28-SUM(E33:E41))</f>
        <v>0</v>
      </c>
      <c r="F42" s="54">
        <f t="shared" si="0"/>
        <v>3660.14</v>
      </c>
      <c r="G42" s="1"/>
      <c r="H42" s="30"/>
      <c r="I42" s="30"/>
      <c r="J42" s="30"/>
    </row>
    <row r="43" spans="1:10" x14ac:dyDescent="0.2">
      <c r="A43" s="59" t="s">
        <v>71</v>
      </c>
      <c r="B43" s="59"/>
      <c r="C43" s="53">
        <f>'[6]Sheet 1'!C145</f>
        <v>2.4260000000000002</v>
      </c>
      <c r="D43" s="54">
        <f>'[6]Sheet 1'!E145</f>
        <v>7725.32</v>
      </c>
      <c r="E43" s="54">
        <f>IF(B28-SUM(E33:E42)&gt;D43,D43,B28-SUM(E33:E42))</f>
        <v>0</v>
      </c>
      <c r="F43" s="54">
        <f t="shared" si="0"/>
        <v>7725.32</v>
      </c>
      <c r="G43" s="1"/>
      <c r="H43" s="30"/>
      <c r="I43" s="30"/>
      <c r="J43" s="30"/>
    </row>
    <row r="44" spans="1:10" x14ac:dyDescent="0.2">
      <c r="A44" s="59" t="s">
        <v>57</v>
      </c>
      <c r="B44" s="59"/>
      <c r="C44" s="53">
        <f>'[6]Sheet 1'!F145</f>
        <v>0</v>
      </c>
      <c r="D44" s="54">
        <f>'[6]Sheet 1'!H145</f>
        <v>0</v>
      </c>
      <c r="E44" s="54">
        <f>IF(B29-SUM(E34:E43)&gt;D44,D44,B29-SUM(E34:E43))</f>
        <v>0</v>
      </c>
      <c r="F44" s="54">
        <f t="shared" si="0"/>
        <v>0</v>
      </c>
      <c r="G44" s="1"/>
      <c r="H44" s="30"/>
      <c r="I44" s="30"/>
      <c r="J44" s="30"/>
    </row>
    <row r="45" spans="1:10" x14ac:dyDescent="0.2">
      <c r="A45" s="59" t="s">
        <v>64</v>
      </c>
      <c r="B45" s="59"/>
      <c r="C45" s="53">
        <f>'[6]Sheet 1'!I145</f>
        <v>0</v>
      </c>
      <c r="D45" s="54">
        <f>'[6]Sheet 1'!K145</f>
        <v>0</v>
      </c>
      <c r="E45" s="54">
        <f>IF(B31-SUM(E35:E44)&gt;D45,D45,B31-SUM(E35:E44))</f>
        <v>0</v>
      </c>
      <c r="F45" s="54">
        <f t="shared" si="0"/>
        <v>0</v>
      </c>
      <c r="G45" s="1"/>
      <c r="H45" s="57" t="s">
        <v>46</v>
      </c>
      <c r="I45" s="30"/>
      <c r="J45" s="30"/>
    </row>
    <row r="46" spans="1:10" x14ac:dyDescent="0.2">
      <c r="A46" s="59" t="s">
        <v>58</v>
      </c>
      <c r="B46" s="59"/>
      <c r="C46" s="53">
        <f>'[6]Sheet 1'!C203</f>
        <v>119.931</v>
      </c>
      <c r="D46" s="54">
        <f>'[6]Sheet 1'!E203</f>
        <v>381861.26</v>
      </c>
      <c r="E46" s="54">
        <f>IF(B28-SUM(E33:E43)&gt;D46,D46,B28-SUM(E33:E43))</f>
        <v>0</v>
      </c>
      <c r="F46" s="54">
        <f t="shared" si="0"/>
        <v>381861.26</v>
      </c>
      <c r="G46" s="4"/>
      <c r="H46" s="57">
        <f>+'[6]Sheet 1'!E203</f>
        <v>381861.26</v>
      </c>
      <c r="I46" s="30"/>
      <c r="J46" s="30"/>
    </row>
    <row r="47" spans="1:10" x14ac:dyDescent="0.2">
      <c r="A47" s="58" t="s">
        <v>59</v>
      </c>
      <c r="B47" s="59"/>
      <c r="C47" s="53">
        <f>'[5]Sheet 1'!C29</f>
        <v>62.764000000000003</v>
      </c>
      <c r="D47" s="54">
        <f>'[5]Sheet 1'!E29</f>
        <v>199839.4</v>
      </c>
      <c r="E47" s="54">
        <f>IF(B28-SUM(E33:E46)&gt;D47,D47,B28-SUM(E33:E46))</f>
        <v>0</v>
      </c>
      <c r="F47" s="54">
        <f t="shared" si="0"/>
        <v>199839.4</v>
      </c>
      <c r="G47" s="5"/>
      <c r="H47" s="57">
        <f>+D46</f>
        <v>381861.26</v>
      </c>
      <c r="I47" s="30"/>
      <c r="J47" s="30"/>
    </row>
    <row r="48" spans="1:10" x14ac:dyDescent="0.2">
      <c r="A48" s="65" t="s">
        <v>28</v>
      </c>
      <c r="B48" s="56"/>
      <c r="C48" s="66">
        <f>SUM(C33:C47)</f>
        <v>1825.326</v>
      </c>
      <c r="D48" s="67">
        <f>SUM(D33:D47)</f>
        <v>5811837.2800000003</v>
      </c>
      <c r="E48" s="67">
        <f>SUM(E33:E47)</f>
        <v>1979133</v>
      </c>
      <c r="F48" s="67">
        <f>SUM(F33:F47)</f>
        <v>3832704.28</v>
      </c>
      <c r="G48" s="1"/>
      <c r="H48" s="57">
        <f>+H46-H47</f>
        <v>0</v>
      </c>
      <c r="I48" s="30"/>
      <c r="J48" s="30"/>
    </row>
    <row r="49" spans="1:10" x14ac:dyDescent="0.2">
      <c r="A49" s="68" t="s">
        <v>26</v>
      </c>
      <c r="B49" s="56"/>
      <c r="C49" s="69"/>
      <c r="D49" s="54"/>
      <c r="E49" s="54"/>
      <c r="F49" s="54"/>
      <c r="G49" s="1"/>
      <c r="H49" s="57" t="s">
        <v>47</v>
      </c>
      <c r="I49" s="30"/>
      <c r="J49" s="57" t="s">
        <v>52</v>
      </c>
    </row>
    <row r="50" spans="1:10" x14ac:dyDescent="0.2">
      <c r="A50" s="58" t="s">
        <v>56</v>
      </c>
      <c r="B50" s="59"/>
      <c r="C50" s="20"/>
      <c r="D50" s="70">
        <f>[1]Main!F30</f>
        <v>16826.96</v>
      </c>
      <c r="E50" s="54">
        <f>IF($B28-SUM($E48)&gt;D50,D50,$B28-SUM($E48))</f>
        <v>0</v>
      </c>
      <c r="F50" s="54">
        <f t="shared" ref="F50:F68" si="1">D50-E50</f>
        <v>16826.96</v>
      </c>
      <c r="G50" s="1"/>
      <c r="H50" s="57">
        <f>[1]Main!G30</f>
        <v>308559.37</v>
      </c>
      <c r="I50" s="30"/>
      <c r="J50" s="57">
        <f>+[1]Main!D491</f>
        <v>1100893.3999999999</v>
      </c>
    </row>
    <row r="51" spans="1:10" x14ac:dyDescent="0.2">
      <c r="A51" s="59" t="s">
        <v>25</v>
      </c>
      <c r="B51" s="59"/>
      <c r="C51" s="20"/>
      <c r="D51" s="70">
        <f>[1]Main!C30</f>
        <v>291732.40999999997</v>
      </c>
      <c r="E51" s="54">
        <f>IF($B28-SUM($E48:E50)&gt;D51,D51,B28-SUM($E48:E50))</f>
        <v>0</v>
      </c>
      <c r="F51" s="54">
        <f t="shared" si="1"/>
        <v>291732.40999999997</v>
      </c>
      <c r="G51" s="1"/>
      <c r="H51" s="57">
        <f>SUM(D50:D52)</f>
        <v>308559.37</v>
      </c>
      <c r="I51" s="30"/>
      <c r="J51" s="57">
        <f>SUM(D50:D77)-E63</f>
        <v>1100893.3999999999</v>
      </c>
    </row>
    <row r="52" spans="1:10" x14ac:dyDescent="0.2">
      <c r="A52" s="71" t="s">
        <v>27</v>
      </c>
      <c r="B52" s="59"/>
      <c r="C52" s="20"/>
      <c r="D52" s="70">
        <f>[1]Main!D30</f>
        <v>0</v>
      </c>
      <c r="E52" s="54">
        <f>IF($B28-SUM($E48:E51)&gt;D52,D52,$B28-SUM($E48:E51))</f>
        <v>0</v>
      </c>
      <c r="F52" s="54">
        <f>D52-E52</f>
        <v>0</v>
      </c>
      <c r="G52" s="1"/>
      <c r="H52" s="57">
        <f>+H50-H51</f>
        <v>0</v>
      </c>
      <c r="I52" s="30"/>
      <c r="J52" s="57">
        <f>+J50-J51</f>
        <v>0</v>
      </c>
    </row>
    <row r="53" spans="1:10" x14ac:dyDescent="0.2">
      <c r="A53" s="72" t="s">
        <v>72</v>
      </c>
      <c r="B53" s="59"/>
      <c r="C53" s="20"/>
      <c r="D53" s="70">
        <f>[1]Main!E30</f>
        <v>0</v>
      </c>
      <c r="E53" s="54">
        <f>IF($B29-SUM($E49:E52)&gt;D53,D53,$B29-SUM($E49:E52))</f>
        <v>0</v>
      </c>
      <c r="F53" s="54">
        <f>D53-E53</f>
        <v>0</v>
      </c>
      <c r="G53" s="1"/>
      <c r="H53" s="30"/>
      <c r="I53" s="30"/>
      <c r="J53" s="30"/>
    </row>
    <row r="54" spans="1:10" x14ac:dyDescent="0.2">
      <c r="A54" s="72" t="s">
        <v>73</v>
      </c>
      <c r="B54" s="59"/>
      <c r="C54" s="20"/>
      <c r="D54" s="54">
        <f>+[1]Main!$F146</f>
        <v>5651.41</v>
      </c>
      <c r="E54" s="54">
        <f>IF($B28-SUM($E48:E52)&gt;D54,D54,$B28-SUM($E48:E52))</f>
        <v>0</v>
      </c>
      <c r="F54" s="54">
        <f t="shared" si="1"/>
        <v>5651.41</v>
      </c>
      <c r="G54" s="1"/>
      <c r="H54" s="30"/>
      <c r="I54" s="30"/>
      <c r="J54" s="30"/>
    </row>
    <row r="55" spans="1:10" x14ac:dyDescent="0.2">
      <c r="A55" s="71" t="s">
        <v>74</v>
      </c>
      <c r="B55" s="59"/>
      <c r="C55" s="20"/>
      <c r="D55" s="54">
        <f>+[1]Main!$C88</f>
        <v>38614</v>
      </c>
      <c r="E55" s="54">
        <f>IF($B28-SUM($E48:E54)&gt;D55,D55,$B28-SUM($E48:E54))</f>
        <v>0</v>
      </c>
      <c r="F55" s="54">
        <f t="shared" si="1"/>
        <v>38614</v>
      </c>
      <c r="G55" s="1"/>
      <c r="H55" s="30"/>
      <c r="I55" s="30"/>
      <c r="J55" s="30"/>
    </row>
    <row r="56" spans="1:10" x14ac:dyDescent="0.2">
      <c r="A56" s="71" t="s">
        <v>75</v>
      </c>
      <c r="B56" s="59"/>
      <c r="C56" s="20"/>
      <c r="D56" s="54">
        <f>+[1]Main!$D88</f>
        <v>0</v>
      </c>
      <c r="E56" s="54">
        <f>IF($B28-SUM($E48:E55)&gt;D56,D56,$B28-SUM($E48:E55))</f>
        <v>0</v>
      </c>
      <c r="F56" s="54">
        <f t="shared" si="1"/>
        <v>0</v>
      </c>
      <c r="G56" s="1"/>
      <c r="H56" s="30"/>
      <c r="I56" s="30"/>
      <c r="J56" s="30"/>
    </row>
    <row r="57" spans="1:10" x14ac:dyDescent="0.2">
      <c r="A57" s="71" t="s">
        <v>76</v>
      </c>
      <c r="B57" s="59"/>
      <c r="C57" s="20"/>
      <c r="D57" s="54">
        <f>+[1]Main!$E88</f>
        <v>0</v>
      </c>
      <c r="E57" s="54">
        <f>IF($B28-SUM($E48:E56)&gt;D57,D57,$B28-SUM($E48:E56))</f>
        <v>0</v>
      </c>
      <c r="F57" s="54">
        <f t="shared" si="1"/>
        <v>0</v>
      </c>
      <c r="G57" s="1"/>
      <c r="H57" s="30"/>
      <c r="I57" s="30"/>
      <c r="J57" s="30"/>
    </row>
    <row r="58" spans="1:10" x14ac:dyDescent="0.2">
      <c r="A58" s="71" t="s">
        <v>77</v>
      </c>
      <c r="B58" s="59"/>
      <c r="C58" s="20"/>
      <c r="D58" s="54">
        <f>[1]Main!F88</f>
        <v>24848</v>
      </c>
      <c r="E58" s="54">
        <f>IF($B28-SUM($E48:E57)&gt;D58,D58,$B28-SUM($E48:E57))</f>
        <v>0</v>
      </c>
      <c r="F58" s="54">
        <f t="shared" si="1"/>
        <v>24848</v>
      </c>
      <c r="G58" s="1"/>
      <c r="H58" s="57" t="s">
        <v>48</v>
      </c>
      <c r="I58" s="30"/>
      <c r="J58" s="30"/>
    </row>
    <row r="59" spans="1:10" x14ac:dyDescent="0.2">
      <c r="A59" s="71" t="s">
        <v>79</v>
      </c>
      <c r="B59" s="59"/>
      <c r="C59" s="20"/>
      <c r="D59" s="54">
        <f>[1]Main!G88</f>
        <v>0</v>
      </c>
      <c r="E59" s="54">
        <f>IF($B28-SUM($E48:E58)&gt;D59,D59,$B28-SUM($E48:E58))</f>
        <v>0</v>
      </c>
      <c r="F59" s="54">
        <f t="shared" si="1"/>
        <v>0</v>
      </c>
      <c r="G59" s="1"/>
      <c r="H59" s="57"/>
      <c r="I59" s="30"/>
      <c r="J59" s="30"/>
    </row>
    <row r="60" spans="1:10" x14ac:dyDescent="0.2">
      <c r="A60" s="71" t="s">
        <v>78</v>
      </c>
      <c r="B60" s="59"/>
      <c r="C60" s="20"/>
      <c r="D60" s="54">
        <f>[1]Main!G146</f>
        <v>45284.9</v>
      </c>
      <c r="E60" s="54">
        <f>IF($B28-SUM($E48:E59)&gt;D60,D60,$B28-SUM($E48:E59))</f>
        <v>0</v>
      </c>
      <c r="F60" s="54">
        <f t="shared" si="1"/>
        <v>45284.9</v>
      </c>
      <c r="G60" s="1"/>
      <c r="H60" s="73">
        <f>+[1]Main!D204</f>
        <v>114398.31</v>
      </c>
      <c r="I60" s="30"/>
      <c r="J60" s="30"/>
    </row>
    <row r="61" spans="1:10" x14ac:dyDescent="0.2">
      <c r="A61" s="71" t="s">
        <v>80</v>
      </c>
      <c r="B61" s="59"/>
      <c r="C61" s="20"/>
      <c r="D61" s="54">
        <f>[1]Main!C204</f>
        <v>0</v>
      </c>
      <c r="E61" s="54"/>
      <c r="F61" s="54">
        <f t="shared" si="1"/>
        <v>0</v>
      </c>
      <c r="G61" s="1"/>
      <c r="H61" s="57">
        <f>+SUM(D54:D61)</f>
        <v>114398.31</v>
      </c>
      <c r="I61" s="30"/>
      <c r="J61" s="30"/>
    </row>
    <row r="62" spans="1:10" x14ac:dyDescent="0.2">
      <c r="A62" s="71" t="s">
        <v>81</v>
      </c>
      <c r="B62" s="59"/>
      <c r="C62" s="20"/>
      <c r="D62" s="54">
        <f>[1]Main!C262</f>
        <v>179763</v>
      </c>
      <c r="E62" s="54">
        <v>0</v>
      </c>
      <c r="F62" s="54">
        <f t="shared" si="1"/>
        <v>179763</v>
      </c>
      <c r="G62" s="1"/>
      <c r="H62" s="57">
        <f>+H60-H61</f>
        <v>0</v>
      </c>
      <c r="I62" s="30"/>
      <c r="J62" s="30"/>
    </row>
    <row r="63" spans="1:10" x14ac:dyDescent="0.2">
      <c r="A63" s="71" t="s">
        <v>82</v>
      </c>
      <c r="B63" s="59"/>
      <c r="C63" s="20"/>
      <c r="D63" s="54">
        <f>+[7]Main!I29+[7]Main!J29</f>
        <v>161506.18</v>
      </c>
      <c r="E63" s="74">
        <f>[7]Main!J29</f>
        <v>120521.88</v>
      </c>
      <c r="F63" s="54">
        <f t="shared" si="1"/>
        <v>40984.300000000003</v>
      </c>
      <c r="G63" s="1"/>
      <c r="H63" s="30"/>
      <c r="I63" s="30"/>
      <c r="J63" s="30"/>
    </row>
    <row r="64" spans="1:10" x14ac:dyDescent="0.2">
      <c r="A64" s="71" t="s">
        <v>83</v>
      </c>
      <c r="B64" s="59"/>
      <c r="C64" s="20"/>
      <c r="D64" s="54">
        <f>[1]Main!F262</f>
        <v>38586</v>
      </c>
      <c r="E64" s="54">
        <v>0</v>
      </c>
      <c r="F64" s="54">
        <f t="shared" si="1"/>
        <v>38586</v>
      </c>
      <c r="G64" s="1"/>
      <c r="H64" s="30"/>
      <c r="I64" s="30"/>
      <c r="J64" s="30"/>
    </row>
    <row r="65" spans="1:10" x14ac:dyDescent="0.2">
      <c r="A65" s="71" t="s">
        <v>84</v>
      </c>
      <c r="B65" s="59"/>
      <c r="C65" s="7"/>
      <c r="D65" s="54">
        <f>[1]Main!E262</f>
        <v>5106.95</v>
      </c>
      <c r="E65" s="54">
        <v>0</v>
      </c>
      <c r="F65" s="54">
        <f t="shared" si="1"/>
        <v>5106.95</v>
      </c>
      <c r="G65" s="1"/>
      <c r="H65" s="57" t="s">
        <v>49</v>
      </c>
      <c r="I65" s="30"/>
      <c r="J65" s="30"/>
    </row>
    <row r="66" spans="1:10" x14ac:dyDescent="0.2">
      <c r="A66" s="71" t="s">
        <v>85</v>
      </c>
      <c r="B66" s="59"/>
      <c r="C66" s="7"/>
      <c r="D66" s="54">
        <f>[1]Main!G262</f>
        <v>24521</v>
      </c>
      <c r="E66" s="54">
        <v>0</v>
      </c>
      <c r="F66" s="54">
        <f t="shared" si="1"/>
        <v>24521</v>
      </c>
      <c r="G66" s="1"/>
      <c r="H66" s="57">
        <f>+[1]Main!C491</f>
        <v>655764.52</v>
      </c>
      <c r="I66" s="57"/>
      <c r="J66" s="57"/>
    </row>
    <row r="67" spans="1:10" x14ac:dyDescent="0.2">
      <c r="A67" s="71" t="s">
        <v>86</v>
      </c>
      <c r="B67" s="59"/>
      <c r="C67" s="20"/>
      <c r="D67" s="54">
        <f>[1]Main!C320</f>
        <v>0</v>
      </c>
      <c r="E67" s="54">
        <v>0</v>
      </c>
      <c r="F67" s="54">
        <f t="shared" si="1"/>
        <v>0</v>
      </c>
      <c r="G67" s="1"/>
      <c r="H67" s="57">
        <f>+SUM(D62:D72)-E63</f>
        <v>655764.52</v>
      </c>
      <c r="I67" s="57"/>
      <c r="J67" s="57">
        <f>+H67-H66</f>
        <v>0</v>
      </c>
    </row>
    <row r="68" spans="1:10" x14ac:dyDescent="0.2">
      <c r="A68" s="71" t="s">
        <v>87</v>
      </c>
      <c r="C68" s="8"/>
      <c r="D68" s="76">
        <f>[1]Main!D320</f>
        <v>312488.37</v>
      </c>
      <c r="E68" s="77">
        <v>0</v>
      </c>
      <c r="F68" s="77">
        <f t="shared" si="1"/>
        <v>312488.37</v>
      </c>
      <c r="G68" s="5"/>
      <c r="H68" s="57">
        <f>+H66-H67</f>
        <v>0</v>
      </c>
      <c r="I68" s="57"/>
      <c r="J68" s="57"/>
    </row>
    <row r="69" spans="1:10" x14ac:dyDescent="0.2">
      <c r="A69" s="71" t="s">
        <v>88</v>
      </c>
      <c r="B69" s="59"/>
      <c r="C69" s="20"/>
      <c r="D69" s="54">
        <f>+[1]Main!$E320</f>
        <v>1694.46</v>
      </c>
      <c r="E69" s="54">
        <v>0</v>
      </c>
      <c r="F69" s="54">
        <f>D69-E69</f>
        <v>1694.46</v>
      </c>
      <c r="G69" s="4"/>
      <c r="H69" s="30"/>
      <c r="I69" s="30"/>
      <c r="J69" s="30"/>
    </row>
    <row r="70" spans="1:10" x14ac:dyDescent="0.2">
      <c r="A70" s="71" t="s">
        <v>89</v>
      </c>
      <c r="B70" s="59"/>
      <c r="C70" s="20"/>
      <c r="D70" s="54">
        <f>[1]Main!F320</f>
        <v>5417.74</v>
      </c>
      <c r="E70" s="54">
        <v>0</v>
      </c>
      <c r="F70" s="54">
        <f>D70-E70</f>
        <v>5417.74</v>
      </c>
      <c r="G70" s="4"/>
      <c r="H70" s="30"/>
      <c r="I70" s="30"/>
      <c r="J70" s="30"/>
    </row>
    <row r="71" spans="1:10" x14ac:dyDescent="0.2">
      <c r="A71" s="71" t="s">
        <v>90</v>
      </c>
      <c r="B71" s="59"/>
      <c r="C71" s="20"/>
      <c r="D71" s="54">
        <f>[1]Main!G320</f>
        <v>9735</v>
      </c>
      <c r="E71" s="54">
        <v>0</v>
      </c>
      <c r="F71" s="54">
        <f>D71-E71</f>
        <v>9735</v>
      </c>
      <c r="G71" s="1"/>
      <c r="H71" s="57" t="s">
        <v>50</v>
      </c>
      <c r="I71" s="30"/>
      <c r="J71" s="30"/>
    </row>
    <row r="72" spans="1:10" x14ac:dyDescent="0.2">
      <c r="A72" s="71" t="s">
        <v>93</v>
      </c>
      <c r="B72" s="59"/>
      <c r="C72" s="20"/>
      <c r="D72" s="54">
        <f>[1]Main!F377</f>
        <v>37467.699999999997</v>
      </c>
      <c r="E72" s="54">
        <v>0</v>
      </c>
      <c r="F72" s="54">
        <f>D72-E72</f>
        <v>37467.699999999997</v>
      </c>
      <c r="G72" s="1"/>
      <c r="H72" s="57"/>
      <c r="I72" s="30"/>
      <c r="J72" s="30"/>
    </row>
    <row r="73" spans="1:10" x14ac:dyDescent="0.2">
      <c r="A73" s="55" t="s">
        <v>30</v>
      </c>
      <c r="B73" s="78"/>
      <c r="C73" s="79"/>
      <c r="D73" s="64"/>
      <c r="E73" s="64"/>
      <c r="F73" s="64"/>
      <c r="G73" s="1"/>
      <c r="H73" s="57"/>
      <c r="I73" s="30"/>
      <c r="J73" s="30"/>
    </row>
    <row r="74" spans="1:10" x14ac:dyDescent="0.2">
      <c r="A74" s="71" t="s">
        <v>60</v>
      </c>
      <c r="B74" s="59"/>
      <c r="C74" s="20"/>
      <c r="D74" s="54">
        <f>[1]Main!C434</f>
        <v>11532.49</v>
      </c>
      <c r="E74" s="54">
        <v>0</v>
      </c>
      <c r="F74" s="54">
        <f>D74-E74</f>
        <v>11532.49</v>
      </c>
      <c r="G74" s="1"/>
      <c r="H74" s="57">
        <f>+[1]Main!G434</f>
        <v>22171.200000000001</v>
      </c>
      <c r="I74" s="30"/>
      <c r="J74" s="30"/>
    </row>
    <row r="75" spans="1:10" x14ac:dyDescent="0.2">
      <c r="A75" s="71" t="s">
        <v>63</v>
      </c>
      <c r="B75" s="59"/>
      <c r="C75" s="20"/>
      <c r="D75" s="54">
        <f>[1]Main!D434</f>
        <v>0</v>
      </c>
      <c r="E75" s="54">
        <v>0</v>
      </c>
      <c r="F75" s="54">
        <f>D75-E75</f>
        <v>0</v>
      </c>
      <c r="G75" s="4"/>
      <c r="H75" s="57">
        <f>SUM(D74:D77)</f>
        <v>22171.200000000001</v>
      </c>
      <c r="I75" s="30"/>
      <c r="J75" s="30"/>
    </row>
    <row r="76" spans="1:10" x14ac:dyDescent="0.2">
      <c r="A76" s="71" t="s">
        <v>91</v>
      </c>
      <c r="B76" s="59"/>
      <c r="C76" s="20"/>
      <c r="D76" s="54">
        <f>[1]Main!E434</f>
        <v>0</v>
      </c>
      <c r="E76" s="54">
        <v>0</v>
      </c>
      <c r="F76" s="54">
        <f>D76-E76</f>
        <v>0</v>
      </c>
      <c r="G76" s="4"/>
      <c r="H76" s="57">
        <f>+H74-H75</f>
        <v>0</v>
      </c>
      <c r="I76" s="30"/>
      <c r="J76" s="30"/>
    </row>
    <row r="77" spans="1:10" x14ac:dyDescent="0.2">
      <c r="A77" s="71" t="s">
        <v>92</v>
      </c>
      <c r="B77" s="59"/>
      <c r="C77" s="20"/>
      <c r="D77" s="54">
        <f>[1]Main!F434</f>
        <v>10638.71</v>
      </c>
      <c r="E77" s="54">
        <v>0</v>
      </c>
      <c r="F77" s="54">
        <f>D77-E77</f>
        <v>10638.71</v>
      </c>
      <c r="G77" s="1"/>
      <c r="H77" s="30"/>
      <c r="I77" s="30"/>
      <c r="J77" s="30"/>
    </row>
    <row r="78" spans="1:10" x14ac:dyDescent="0.2">
      <c r="A78" s="55" t="s">
        <v>31</v>
      </c>
      <c r="B78" s="78"/>
      <c r="C78" s="79"/>
      <c r="D78" s="64"/>
      <c r="E78" s="64"/>
      <c r="F78" s="64"/>
      <c r="G78" s="1"/>
      <c r="H78" s="30"/>
      <c r="I78" s="30"/>
      <c r="J78" s="30"/>
    </row>
    <row r="79" spans="1:10" x14ac:dyDescent="0.2">
      <c r="A79" s="58" t="s">
        <v>69</v>
      </c>
      <c r="B79" s="59"/>
      <c r="C79" s="20"/>
      <c r="D79" s="54">
        <f>+[1]Main!$G547</f>
        <v>255219.49</v>
      </c>
      <c r="E79" s="54">
        <f>+[1]Main!$D547</f>
        <v>255219.49</v>
      </c>
      <c r="F79" s="54">
        <f>+D79-E79</f>
        <v>0</v>
      </c>
      <c r="G79" s="1"/>
      <c r="H79" s="30"/>
      <c r="I79" s="30"/>
      <c r="J79" s="30"/>
    </row>
    <row r="80" spans="1:10" x14ac:dyDescent="0.2">
      <c r="A80" s="59" t="s">
        <v>68</v>
      </c>
      <c r="B80" s="59"/>
      <c r="C80" s="20"/>
      <c r="D80" s="54">
        <f>+[1]Main!$G602</f>
        <v>472628.68</v>
      </c>
      <c r="E80" s="54">
        <f>+[1]Main!$D602</f>
        <v>472628.68</v>
      </c>
      <c r="F80" s="54">
        <f>+D80-E80</f>
        <v>0</v>
      </c>
      <c r="G80" s="1"/>
      <c r="H80" s="30"/>
      <c r="I80" s="30"/>
      <c r="J80" s="30"/>
    </row>
    <row r="81" spans="1:10" ht="13.5" thickBot="1" x14ac:dyDescent="0.25">
      <c r="A81" s="80"/>
      <c r="B81" s="81"/>
      <c r="C81" s="82" t="s">
        <v>29</v>
      </c>
      <c r="D81" s="83">
        <f>SUM(D48:D80)</f>
        <v>7761100.7300000004</v>
      </c>
      <c r="E81" s="83">
        <f>SUM(E48:E80)</f>
        <v>2827503.05</v>
      </c>
      <c r="F81" s="83">
        <f>SUM(F48:F80)</f>
        <v>4933597.68</v>
      </c>
      <c r="G81" s="1"/>
      <c r="H81" s="30"/>
      <c r="I81" s="30"/>
      <c r="J81" s="30"/>
    </row>
    <row r="82" spans="1:10" ht="13.5" thickTop="1" x14ac:dyDescent="0.2">
      <c r="A82" s="84"/>
      <c r="B82" s="59"/>
      <c r="C82" s="85"/>
      <c r="D82" s="86"/>
      <c r="E82" s="86"/>
      <c r="F82" s="87"/>
      <c r="G82" s="1"/>
      <c r="H82" s="30"/>
      <c r="I82" s="30"/>
      <c r="J82" s="30"/>
    </row>
    <row r="83" spans="1:10" x14ac:dyDescent="0.2">
      <c r="A83" s="88" t="s">
        <v>40</v>
      </c>
      <c r="B83" s="78"/>
      <c r="C83" s="89"/>
      <c r="D83" s="90"/>
      <c r="E83" s="91"/>
      <c r="F83" s="92" t="s">
        <v>36</v>
      </c>
      <c r="G83" s="6"/>
      <c r="H83" s="57" t="s">
        <v>51</v>
      </c>
      <c r="I83" s="30"/>
      <c r="J83" s="57" t="s">
        <v>7</v>
      </c>
    </row>
    <row r="84" spans="1:10" x14ac:dyDescent="0.2">
      <c r="A84" s="93" t="s">
        <v>33</v>
      </c>
      <c r="B84" s="94"/>
      <c r="C84" s="95"/>
      <c r="D84" s="96"/>
      <c r="E84" s="96"/>
      <c r="F84" s="91"/>
      <c r="G84" s="6"/>
      <c r="H84" s="30"/>
      <c r="I84" s="30"/>
      <c r="J84" s="30"/>
    </row>
    <row r="85" spans="1:10" x14ac:dyDescent="0.2">
      <c r="A85" s="59" t="s">
        <v>34</v>
      </c>
      <c r="B85" s="59"/>
      <c r="C85" s="22"/>
      <c r="D85" s="27"/>
      <c r="E85" s="27"/>
      <c r="F85" s="97">
        <f>+[8]Main!$C30</f>
        <v>0</v>
      </c>
      <c r="G85" s="5"/>
      <c r="H85" s="57">
        <f>+[1]Main!G658</f>
        <v>727848.17</v>
      </c>
      <c r="I85" s="30"/>
      <c r="J85" s="57">
        <f>+[1]Main!E658+[1]Main!F658</f>
        <v>0</v>
      </c>
    </row>
    <row r="86" spans="1:10" x14ac:dyDescent="0.2">
      <c r="A86" s="59" t="s">
        <v>66</v>
      </c>
      <c r="B86" s="59"/>
      <c r="C86" s="22"/>
      <c r="D86" s="27"/>
      <c r="E86" s="27"/>
      <c r="F86" s="97">
        <f>+[8]Main!$D30</f>
        <v>0</v>
      </c>
      <c r="G86" s="5"/>
      <c r="H86" s="57">
        <f>+D79+D80</f>
        <v>727848.17</v>
      </c>
      <c r="I86" s="30"/>
      <c r="J86" s="57">
        <f>+F79+F80</f>
        <v>0</v>
      </c>
    </row>
    <row r="87" spans="1:10" x14ac:dyDescent="0.2">
      <c r="A87" s="32" t="s">
        <v>65</v>
      </c>
      <c r="B87" s="32"/>
      <c r="C87" s="22"/>
      <c r="D87" s="28"/>
      <c r="E87" s="28"/>
      <c r="F87" s="97">
        <f>+[8]Main!$E30</f>
        <v>0</v>
      </c>
      <c r="G87" s="1"/>
      <c r="H87" s="57">
        <f>+H85-H86</f>
        <v>0</v>
      </c>
      <c r="I87" s="30"/>
      <c r="J87" s="57">
        <f>+J85-J86</f>
        <v>0</v>
      </c>
    </row>
    <row r="88" spans="1:10" x14ac:dyDescent="0.2">
      <c r="A88" s="32" t="s">
        <v>67</v>
      </c>
      <c r="B88" s="32"/>
      <c r="C88" s="22"/>
      <c r="D88" s="28"/>
      <c r="E88" s="28"/>
      <c r="F88" s="97">
        <f>+[8]Main!$F30</f>
        <v>0</v>
      </c>
      <c r="G88" s="1"/>
      <c r="H88" s="30"/>
      <c r="I88" s="30"/>
      <c r="J88" s="30"/>
    </row>
    <row r="89" spans="1:10" x14ac:dyDescent="0.2">
      <c r="A89" s="88" t="s">
        <v>35</v>
      </c>
      <c r="B89" s="78"/>
      <c r="C89" s="89"/>
      <c r="D89" s="90"/>
      <c r="E89" s="91"/>
      <c r="F89" s="54">
        <f>+[8]Main!$C88</f>
        <v>12909.12</v>
      </c>
      <c r="G89" s="1"/>
      <c r="H89" s="30"/>
      <c r="I89" s="30"/>
      <c r="J89" s="30"/>
    </row>
    <row r="90" spans="1:10" ht="13.5" thickBot="1" x14ac:dyDescent="0.25">
      <c r="A90" s="98"/>
      <c r="B90" s="99"/>
      <c r="C90" s="100" t="s">
        <v>29</v>
      </c>
      <c r="D90" s="101"/>
      <c r="E90" s="102"/>
      <c r="F90" s="103">
        <f>SUM(F85:F89)</f>
        <v>12909.12</v>
      </c>
      <c r="G90" s="1"/>
      <c r="H90" s="30"/>
      <c r="I90" s="30"/>
      <c r="J90" s="30"/>
    </row>
    <row r="91" spans="1:10" ht="13.5" thickBot="1" x14ac:dyDescent="0.25">
      <c r="A91" s="104"/>
      <c r="B91" s="105"/>
      <c r="C91" s="106" t="s">
        <v>53</v>
      </c>
      <c r="D91" s="107"/>
      <c r="E91" s="108"/>
      <c r="F91" s="109">
        <f>+F90+F81</f>
        <v>4946506.8</v>
      </c>
      <c r="G91" s="1"/>
      <c r="H91" s="57" t="s">
        <v>54</v>
      </c>
      <c r="I91" s="30"/>
      <c r="J91" s="30"/>
    </row>
    <row r="92" spans="1:10" x14ac:dyDescent="0.2">
      <c r="A92" s="11"/>
      <c r="B92" s="12"/>
      <c r="C92" s="9"/>
      <c r="D92" s="29"/>
      <c r="E92" s="29"/>
      <c r="F92" s="110"/>
      <c r="G92" s="1"/>
      <c r="H92" s="57">
        <f>+[8]Main!$G30</f>
        <v>0</v>
      </c>
      <c r="I92" s="30"/>
      <c r="J92" s="30"/>
    </row>
    <row r="93" spans="1:10" x14ac:dyDescent="0.2">
      <c r="A93" s="11"/>
      <c r="B93" s="12"/>
      <c r="C93" s="9"/>
      <c r="D93" s="29"/>
      <c r="E93" s="29"/>
      <c r="F93" s="110"/>
      <c r="G93" s="1"/>
      <c r="H93" s="57">
        <f>SUM(F85:F88)</f>
        <v>0</v>
      </c>
      <c r="I93" s="30"/>
      <c r="J93" s="30"/>
    </row>
    <row r="94" spans="1:10" x14ac:dyDescent="0.2">
      <c r="A94" s="1"/>
      <c r="B94" s="1"/>
      <c r="C94" s="7"/>
      <c r="D94" s="26"/>
      <c r="E94" s="26"/>
      <c r="F94" s="86">
        <f>+F90+F81</f>
        <v>4946506.8</v>
      </c>
      <c r="G94" s="1"/>
      <c r="H94" s="57">
        <f>+H92-H93</f>
        <v>0</v>
      </c>
      <c r="I94" s="30"/>
      <c r="J94" s="30"/>
    </row>
    <row r="95" spans="1:10" x14ac:dyDescent="0.2">
      <c r="A95" s="1"/>
      <c r="B95" s="1"/>
      <c r="C95" s="7"/>
      <c r="D95" s="26"/>
      <c r="E95" s="26"/>
      <c r="F95" s="86">
        <f>+[1]Main!$F774</f>
        <v>4946506.8</v>
      </c>
      <c r="G95" s="1"/>
      <c r="H95" s="30"/>
      <c r="I95" s="30"/>
      <c r="J95" s="30"/>
    </row>
    <row r="96" spans="1:10" x14ac:dyDescent="0.2">
      <c r="A96" s="1"/>
      <c r="B96" s="1"/>
      <c r="C96" s="7"/>
      <c r="D96" s="26"/>
      <c r="E96" s="86">
        <f>+E81+[1]Main!$E774</f>
        <v>0</v>
      </c>
      <c r="F96" s="86">
        <f>+F95-F94</f>
        <v>0</v>
      </c>
      <c r="G96" s="1"/>
      <c r="H96" s="30"/>
      <c r="I96" s="30"/>
      <c r="J96" s="30"/>
    </row>
    <row r="97" spans="1:10" x14ac:dyDescent="0.2">
      <c r="A97" s="59"/>
      <c r="B97" s="59"/>
      <c r="C97" s="85"/>
      <c r="D97" s="86"/>
      <c r="E97" s="86"/>
      <c r="F97" s="86"/>
      <c r="G97" s="59"/>
      <c r="H97" s="57"/>
      <c r="I97" s="57"/>
      <c r="J97" s="57"/>
    </row>
    <row r="98" spans="1:10" x14ac:dyDescent="0.2">
      <c r="A98" s="59"/>
      <c r="B98" s="59"/>
      <c r="C98" s="85"/>
      <c r="D98" s="86"/>
      <c r="E98" s="86"/>
      <c r="F98" s="86"/>
      <c r="G98" s="59"/>
      <c r="H98" s="57"/>
      <c r="I98" s="57"/>
      <c r="J98" s="57"/>
    </row>
    <row r="99" spans="1:10" x14ac:dyDescent="0.2">
      <c r="A99" s="59"/>
      <c r="B99" s="59"/>
      <c r="C99" s="85"/>
      <c r="D99" s="86"/>
      <c r="E99" s="86"/>
      <c r="F99" s="86"/>
      <c r="G99" s="59"/>
      <c r="H99" s="111" t="s">
        <v>55</v>
      </c>
      <c r="I99" s="57"/>
      <c r="J99" s="57"/>
    </row>
    <row r="100" spans="1:10" x14ac:dyDescent="0.2">
      <c r="G100" s="59"/>
      <c r="H100" s="113"/>
      <c r="I100" s="112"/>
      <c r="J100" s="112"/>
    </row>
    <row r="101" spans="1:10" x14ac:dyDescent="0.2">
      <c r="G101" s="59"/>
      <c r="H101" s="112"/>
      <c r="I101" s="112"/>
      <c r="J101" s="112"/>
    </row>
    <row r="102" spans="1:10" x14ac:dyDescent="0.2">
      <c r="G102" s="59"/>
      <c r="H102" s="112"/>
      <c r="I102" s="112"/>
      <c r="J102" s="112"/>
    </row>
    <row r="103" spans="1:10" x14ac:dyDescent="0.2">
      <c r="G103" s="59"/>
      <c r="H103" s="112"/>
      <c r="I103" s="112"/>
      <c r="J103" s="112"/>
    </row>
    <row r="104" spans="1:10" x14ac:dyDescent="0.2">
      <c r="G104" s="59"/>
      <c r="H104" s="112"/>
      <c r="I104" s="112"/>
      <c r="J104" s="112"/>
    </row>
    <row r="105" spans="1:10" x14ac:dyDescent="0.2">
      <c r="G105" s="59"/>
      <c r="H105" s="71"/>
      <c r="I105" s="112"/>
      <c r="J105" s="112"/>
    </row>
  </sheetData>
  <mergeCells count="1">
    <mergeCell ref="D24:E24"/>
  </mergeCells>
  <phoneticPr fontId="0" type="noConversion"/>
  <printOptions horizontalCentered="1" verticalCentered="1"/>
  <pageMargins left="0.5" right="0.25" top="0.5" bottom="0.5" header="0.5" footer="0.5"/>
  <pageSetup scale="89" orientation="portrait" horizontalDpi="1200" r:id="rId1"/>
  <headerFooter alignWithMargins="0">
    <oddHeader>&amp;R&amp;8Current as of: &amp;D</oddHeader>
    <oddFooter>&amp;L&amp;8USOE, Finance and Statistics&amp;R&amp;8&amp;F</oddFooter>
  </headerFooter>
  <picture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FFFF00"/>
  </sheetPr>
  <dimension ref="A1:J110"/>
  <sheetViews>
    <sheetView topLeftCell="A40" workbookViewId="0">
      <selection activeCell="E99" sqref="E99"/>
    </sheetView>
  </sheetViews>
  <sheetFormatPr defaultColWidth="18.28515625" defaultRowHeight="12.75" x14ac:dyDescent="0.2"/>
  <cols>
    <col min="1" max="1" width="27" style="75" customWidth="1"/>
    <col min="2" max="2" width="16.7109375" style="75" customWidth="1"/>
    <col min="3" max="3" width="15.85546875" style="75" customWidth="1"/>
    <col min="4" max="4" width="16.28515625" style="75" customWidth="1"/>
    <col min="5" max="5" width="15.5703125" style="75" customWidth="1"/>
    <col min="6" max="6" width="17.42578125" style="75" customWidth="1"/>
    <col min="7" max="7" width="5.7109375" style="75" customWidth="1"/>
    <col min="8" max="8" width="21.5703125" style="75" customWidth="1"/>
    <col min="9" max="9" width="5" style="75" customWidth="1"/>
    <col min="10" max="10" width="20.85546875" style="75" customWidth="1"/>
    <col min="11" max="16384" width="18.28515625" style="75"/>
  </cols>
  <sheetData>
    <row r="1" spans="1:10" x14ac:dyDescent="0.2">
      <c r="A1" s="8"/>
      <c r="B1" s="8"/>
      <c r="C1" s="8"/>
      <c r="D1" s="8"/>
      <c r="E1" s="8"/>
      <c r="F1" s="8"/>
      <c r="G1" s="8"/>
      <c r="H1" s="8"/>
      <c r="I1" s="8"/>
      <c r="J1" s="8"/>
    </row>
    <row r="2" spans="1:10" x14ac:dyDescent="0.2">
      <c r="A2" s="8"/>
      <c r="B2" s="8"/>
      <c r="C2" s="8"/>
      <c r="D2" s="8"/>
      <c r="E2" s="8"/>
      <c r="F2" s="8"/>
      <c r="G2" s="8"/>
      <c r="H2" s="8"/>
      <c r="I2" s="8"/>
      <c r="J2" s="8"/>
    </row>
    <row r="3" spans="1:10" x14ac:dyDescent="0.2">
      <c r="A3" s="8"/>
      <c r="B3" s="8"/>
      <c r="C3" s="8"/>
      <c r="D3" s="8"/>
      <c r="E3" s="8"/>
      <c r="F3" s="8"/>
      <c r="G3" s="8"/>
      <c r="H3" s="8"/>
      <c r="I3" s="8"/>
      <c r="J3" s="8"/>
    </row>
    <row r="4" spans="1:10" x14ac:dyDescent="0.2">
      <c r="A4" s="8"/>
      <c r="B4" s="8"/>
      <c r="C4" s="8"/>
      <c r="D4" s="8"/>
      <c r="E4" s="8"/>
      <c r="F4" s="8"/>
      <c r="G4" s="8"/>
      <c r="H4" s="8"/>
      <c r="I4" s="8"/>
      <c r="J4" s="8"/>
    </row>
    <row r="5" spans="1:10" x14ac:dyDescent="0.2">
      <c r="A5" s="8"/>
      <c r="B5" s="8"/>
      <c r="C5" s="8"/>
      <c r="D5" s="8"/>
      <c r="E5" s="8"/>
      <c r="F5" s="8"/>
      <c r="G5" s="8"/>
      <c r="H5" s="8"/>
      <c r="I5" s="8"/>
      <c r="J5" s="8"/>
    </row>
    <row r="6" spans="1:10" x14ac:dyDescent="0.2">
      <c r="A6" s="8"/>
      <c r="B6" s="8"/>
      <c r="C6" s="8"/>
      <c r="D6" s="8"/>
      <c r="E6" s="8"/>
      <c r="F6" s="8"/>
      <c r="G6" s="8"/>
      <c r="H6" s="8"/>
      <c r="I6" s="8"/>
      <c r="J6" s="8"/>
    </row>
    <row r="7" spans="1:10" x14ac:dyDescent="0.2">
      <c r="A7" s="8"/>
      <c r="B7" s="8"/>
      <c r="C7" s="8"/>
      <c r="D7" s="8"/>
      <c r="E7" s="8"/>
      <c r="F7" s="8"/>
      <c r="G7" s="8"/>
      <c r="H7" s="8"/>
      <c r="I7" s="8"/>
      <c r="J7" s="8"/>
    </row>
    <row r="8" spans="1:10" x14ac:dyDescent="0.2">
      <c r="A8" s="8"/>
      <c r="B8" s="8"/>
      <c r="C8" s="8"/>
      <c r="D8" s="8"/>
      <c r="E8" s="8"/>
      <c r="F8" s="8"/>
      <c r="G8" s="8"/>
      <c r="H8" s="8"/>
      <c r="I8" s="8"/>
      <c r="J8" s="8"/>
    </row>
    <row r="9" spans="1:10" x14ac:dyDescent="0.2">
      <c r="A9" s="8"/>
      <c r="B9" s="8"/>
      <c r="C9" s="8"/>
      <c r="D9" s="8"/>
      <c r="E9" s="8"/>
      <c r="F9" s="8"/>
      <c r="G9" s="8"/>
      <c r="H9" s="8"/>
      <c r="I9" s="8"/>
      <c r="J9" s="8"/>
    </row>
    <row r="10" spans="1:10" x14ac:dyDescent="0.2">
      <c r="A10" s="8"/>
      <c r="B10" s="15"/>
      <c r="C10" s="8"/>
      <c r="D10" s="8"/>
      <c r="E10" s="8"/>
      <c r="F10" s="8"/>
      <c r="G10" s="8"/>
      <c r="H10" s="8"/>
      <c r="I10" s="8"/>
      <c r="J10" s="8"/>
    </row>
    <row r="11" spans="1:10" x14ac:dyDescent="0.2">
      <c r="A11" s="8"/>
      <c r="B11" s="8"/>
      <c r="C11" s="8"/>
      <c r="D11" s="8"/>
      <c r="E11" s="8"/>
      <c r="F11" s="8"/>
      <c r="G11" s="8"/>
      <c r="H11" s="8"/>
      <c r="I11" s="8"/>
      <c r="J11" s="8"/>
    </row>
    <row r="12" spans="1:10" x14ac:dyDescent="0.2">
      <c r="A12" s="8"/>
      <c r="B12" s="8"/>
      <c r="C12" s="8"/>
      <c r="D12" s="8"/>
      <c r="E12" s="8"/>
      <c r="F12" s="8"/>
      <c r="G12" s="8"/>
      <c r="H12" s="8"/>
      <c r="I12" s="8"/>
      <c r="J12" s="8"/>
    </row>
    <row r="13" spans="1:10" x14ac:dyDescent="0.2">
      <c r="A13" s="8"/>
      <c r="B13" s="8"/>
      <c r="C13" s="8"/>
      <c r="D13" s="8"/>
      <c r="E13" s="8"/>
      <c r="F13" s="8"/>
      <c r="G13" s="8"/>
      <c r="H13" s="8"/>
      <c r="I13" s="8"/>
      <c r="J13" s="8"/>
    </row>
    <row r="14" spans="1:10" x14ac:dyDescent="0.2">
      <c r="A14" s="8"/>
      <c r="B14" s="8"/>
      <c r="C14" s="8"/>
      <c r="D14" s="8"/>
      <c r="E14" s="8"/>
      <c r="F14" s="8"/>
      <c r="G14" s="8"/>
      <c r="H14" s="8"/>
      <c r="I14" s="8"/>
      <c r="J14" s="8"/>
    </row>
    <row r="15" spans="1:10" x14ac:dyDescent="0.2">
      <c r="A15" s="8"/>
      <c r="B15" s="8"/>
      <c r="C15" s="8"/>
      <c r="D15" s="8"/>
      <c r="E15" s="8"/>
      <c r="F15" s="8"/>
      <c r="G15" s="8"/>
      <c r="H15" s="8"/>
      <c r="I15" s="8"/>
      <c r="J15" s="8"/>
    </row>
    <row r="16" spans="1:10" x14ac:dyDescent="0.2">
      <c r="A16" s="8"/>
      <c r="B16" s="8"/>
      <c r="C16" s="8"/>
      <c r="D16" s="8"/>
      <c r="E16" s="8"/>
      <c r="F16" s="8"/>
      <c r="G16" s="8"/>
      <c r="H16" s="8"/>
      <c r="I16" s="8"/>
      <c r="J16" s="8"/>
    </row>
    <row r="17" spans="1:10" x14ac:dyDescent="0.2">
      <c r="A17" s="8"/>
      <c r="B17" s="8"/>
      <c r="C17" s="8"/>
      <c r="D17" s="8"/>
      <c r="E17" s="8"/>
      <c r="F17" s="8"/>
      <c r="G17" s="8"/>
      <c r="H17" s="8"/>
      <c r="I17" s="8"/>
      <c r="J17" s="8"/>
    </row>
    <row r="18" spans="1:10" x14ac:dyDescent="0.2">
      <c r="A18" s="8"/>
      <c r="B18" s="8"/>
      <c r="C18" s="8"/>
      <c r="D18" s="8"/>
      <c r="E18" s="8"/>
      <c r="F18" s="8"/>
      <c r="G18" s="8"/>
      <c r="H18" s="8"/>
      <c r="I18" s="8"/>
      <c r="J18" s="8"/>
    </row>
    <row r="19" spans="1:10" x14ac:dyDescent="0.2">
      <c r="A19" s="8"/>
      <c r="B19" s="8"/>
      <c r="C19" s="8"/>
      <c r="D19" s="8"/>
      <c r="E19" s="8"/>
      <c r="F19" s="8"/>
      <c r="G19" s="8"/>
      <c r="H19" s="8"/>
      <c r="I19" s="8"/>
      <c r="J19" s="8"/>
    </row>
    <row r="20" spans="1:10" x14ac:dyDescent="0.2">
      <c r="A20" s="8"/>
      <c r="B20" s="8"/>
      <c r="C20" s="8"/>
      <c r="D20" s="8"/>
      <c r="E20" s="8"/>
      <c r="F20" s="8"/>
      <c r="G20" s="8"/>
      <c r="H20" s="8"/>
      <c r="I20" s="8"/>
      <c r="J20" s="8"/>
    </row>
    <row r="21" spans="1:10" x14ac:dyDescent="0.2">
      <c r="A21" s="8"/>
      <c r="B21" s="8"/>
      <c r="C21" s="8"/>
      <c r="D21" s="8"/>
      <c r="E21" s="8"/>
      <c r="F21" s="8"/>
      <c r="G21" s="8"/>
      <c r="H21" s="8"/>
      <c r="I21" s="8"/>
      <c r="J21" s="8"/>
    </row>
    <row r="22" spans="1:10" x14ac:dyDescent="0.2">
      <c r="A22" s="32" t="s">
        <v>0</v>
      </c>
      <c r="B22" s="33">
        <v>3184</v>
      </c>
      <c r="C22" s="34" t="s">
        <v>1</v>
      </c>
      <c r="D22" s="35"/>
      <c r="E22" s="35"/>
      <c r="F22" s="35"/>
      <c r="G22" s="1"/>
      <c r="H22" s="30"/>
      <c r="I22" s="30"/>
      <c r="J22" s="30"/>
    </row>
    <row r="23" spans="1:10" x14ac:dyDescent="0.2">
      <c r="A23" s="32" t="s">
        <v>61</v>
      </c>
      <c r="B23" s="36">
        <f>+[1]Main!$C548</f>
        <v>1.24E-3</v>
      </c>
      <c r="C23" s="34" t="s">
        <v>41</v>
      </c>
      <c r="D23" s="35"/>
      <c r="E23" s="35"/>
      <c r="F23" s="35"/>
      <c r="G23" s="1"/>
      <c r="H23" s="30"/>
      <c r="I23" s="30"/>
      <c r="J23" s="30"/>
    </row>
    <row r="24" spans="1:10" x14ac:dyDescent="0.2">
      <c r="A24" s="32" t="s">
        <v>62</v>
      </c>
      <c r="B24" s="36">
        <f>+[1]Main!$C603</f>
        <v>9.4499999999999998E-4</v>
      </c>
      <c r="C24" s="34" t="s">
        <v>95</v>
      </c>
      <c r="D24" s="35"/>
      <c r="E24" s="37"/>
      <c r="F24" s="35"/>
      <c r="G24" s="1"/>
      <c r="H24" s="30"/>
      <c r="I24" s="30"/>
      <c r="J24" s="30"/>
    </row>
    <row r="25" spans="1:10" x14ac:dyDescent="0.2">
      <c r="A25" s="38" t="s">
        <v>32</v>
      </c>
      <c r="B25" s="39">
        <f>[2]Sheet1!E30</f>
        <v>13547334207</v>
      </c>
      <c r="C25" s="21"/>
      <c r="D25" s="31"/>
      <c r="E25" s="31"/>
      <c r="F25" s="23"/>
      <c r="G25" s="1"/>
      <c r="H25" s="30"/>
      <c r="I25" s="30"/>
      <c r="J25" s="30"/>
    </row>
    <row r="26" spans="1:10" x14ac:dyDescent="0.2">
      <c r="A26" s="32" t="s">
        <v>2</v>
      </c>
      <c r="B26" s="40">
        <f>[2]Sheet1!F30</f>
        <v>0.94510000000000005</v>
      </c>
      <c r="C26" s="7"/>
      <c r="D26" s="41" t="s">
        <v>3</v>
      </c>
      <c r="E26" s="42" t="str">
        <f>+[3]main!B31</f>
        <v>Park City</v>
      </c>
      <c r="F26" s="43">
        <f>+[3]main!A31</f>
        <v>22</v>
      </c>
      <c r="G26" s="1"/>
      <c r="H26" s="30"/>
      <c r="I26" s="30"/>
      <c r="J26" s="30"/>
    </row>
    <row r="27" spans="1:10" x14ac:dyDescent="0.2">
      <c r="A27" s="32" t="s">
        <v>4</v>
      </c>
      <c r="B27" s="44">
        <f>[2]Sheet1!G30</f>
        <v>1.6750000000000001E-3</v>
      </c>
      <c r="C27" s="8"/>
      <c r="D27" s="24"/>
      <c r="E27" s="25"/>
      <c r="F27" s="24"/>
      <c r="G27" s="1"/>
      <c r="H27" s="30"/>
      <c r="I27" s="30"/>
      <c r="J27" s="30"/>
    </row>
    <row r="28" spans="1:10" x14ac:dyDescent="0.2">
      <c r="A28" s="32" t="s">
        <v>5</v>
      </c>
      <c r="B28" s="45">
        <f>[2]Sheet1!$C$86</f>
        <v>23387938</v>
      </c>
      <c r="C28" s="46"/>
      <c r="D28" s="47" t="s">
        <v>38</v>
      </c>
      <c r="E28" s="48" t="s">
        <v>7</v>
      </c>
      <c r="F28" s="47" t="s">
        <v>6</v>
      </c>
      <c r="G28" s="1"/>
      <c r="H28" s="30"/>
      <c r="I28" s="30"/>
      <c r="J28" s="30"/>
    </row>
    <row r="29" spans="1:10" x14ac:dyDescent="0.2">
      <c r="A29" s="32" t="s">
        <v>8</v>
      </c>
      <c r="B29" s="45">
        <f>+B28</f>
        <v>23387938</v>
      </c>
      <c r="C29" s="49"/>
      <c r="D29" s="50" t="s">
        <v>9</v>
      </c>
      <c r="E29" s="50" t="s">
        <v>37</v>
      </c>
      <c r="F29" s="50" t="s">
        <v>10</v>
      </c>
      <c r="G29" s="1"/>
      <c r="H29" s="30"/>
      <c r="I29" s="30"/>
      <c r="J29" s="30"/>
    </row>
    <row r="30" spans="1:10" x14ac:dyDescent="0.2">
      <c r="A30" s="32" t="s">
        <v>11</v>
      </c>
      <c r="B30" s="45">
        <v>4045055</v>
      </c>
      <c r="C30" s="51" t="s">
        <v>39</v>
      </c>
      <c r="D30" s="52" t="s">
        <v>12</v>
      </c>
      <c r="E30" s="52" t="s">
        <v>9</v>
      </c>
      <c r="F30" s="52" t="s">
        <v>9</v>
      </c>
      <c r="G30" s="1"/>
      <c r="H30" s="30"/>
      <c r="I30" s="30"/>
      <c r="J30" s="30"/>
    </row>
    <row r="31" spans="1:10" x14ac:dyDescent="0.2">
      <c r="A31" s="32" t="s">
        <v>70</v>
      </c>
      <c r="B31" s="45">
        <f>'[4]LRF FY17'!U28</f>
        <v>688600</v>
      </c>
      <c r="C31" s="53"/>
      <c r="D31" s="54"/>
      <c r="E31" s="54"/>
      <c r="F31" s="54" t="s">
        <v>14</v>
      </c>
      <c r="G31" s="1"/>
      <c r="H31" s="30"/>
      <c r="I31" s="30"/>
      <c r="J31" s="30"/>
    </row>
    <row r="32" spans="1:10" x14ac:dyDescent="0.2">
      <c r="A32" s="55" t="s">
        <v>13</v>
      </c>
      <c r="B32" s="56"/>
      <c r="C32" s="53"/>
      <c r="D32" s="54"/>
      <c r="E32" s="54"/>
      <c r="F32" s="54"/>
      <c r="G32" s="2"/>
      <c r="H32" s="30"/>
      <c r="I32" s="30"/>
      <c r="J32" s="30"/>
    </row>
    <row r="33" spans="1:10" x14ac:dyDescent="0.2">
      <c r="A33" s="55" t="s">
        <v>15</v>
      </c>
      <c r="B33" s="56"/>
      <c r="C33" s="53"/>
      <c r="D33" s="54"/>
      <c r="E33" s="54"/>
      <c r="F33" s="54"/>
      <c r="G33" s="2"/>
      <c r="H33" s="57" t="s">
        <v>43</v>
      </c>
      <c r="I33" s="30"/>
      <c r="J33" s="57" t="s">
        <v>45</v>
      </c>
    </row>
    <row r="34" spans="1:10" x14ac:dyDescent="0.2">
      <c r="A34" s="58" t="s">
        <v>16</v>
      </c>
      <c r="B34" s="59"/>
      <c r="C34" s="60">
        <f>[3]main!C205-[3]main!F147</f>
        <v>4643.9759999999997</v>
      </c>
      <c r="D34" s="61">
        <f>[3]main!E205-[3]main!H147</f>
        <v>14786419.560000001</v>
      </c>
      <c r="E34" s="62">
        <f>IF(B29&gt;D34,D34,B29)</f>
        <v>14786419.560000001</v>
      </c>
      <c r="F34" s="62">
        <f>D34-E34</f>
        <v>0</v>
      </c>
      <c r="G34" s="1"/>
      <c r="H34" s="57">
        <f>[3]main!H264</f>
        <v>16639266.68</v>
      </c>
      <c r="I34" s="30"/>
      <c r="J34" s="57">
        <f>'[5]Sheet 1'!E88</f>
        <v>19342882.690000001</v>
      </c>
    </row>
    <row r="35" spans="1:10" x14ac:dyDescent="0.2">
      <c r="A35" s="58" t="s">
        <v>17</v>
      </c>
      <c r="B35" s="59"/>
      <c r="C35" s="53">
        <f>[3]main!F147</f>
        <v>0</v>
      </c>
      <c r="D35" s="54">
        <f>[3]main!H147</f>
        <v>0</v>
      </c>
      <c r="E35" s="54">
        <f>IF(B28-SUM(E34)&gt;D35,D35,B28-SUM(E34))</f>
        <v>0</v>
      </c>
      <c r="F35" s="54">
        <f>D35-E35</f>
        <v>0</v>
      </c>
      <c r="G35" s="1"/>
      <c r="H35" s="57">
        <f>SUM(D34:D38)</f>
        <v>16639266.68</v>
      </c>
      <c r="I35" s="30"/>
      <c r="J35" s="57">
        <f>D50</f>
        <v>19342882.690000001</v>
      </c>
    </row>
    <row r="36" spans="1:10" x14ac:dyDescent="0.2">
      <c r="A36" s="58" t="s">
        <v>18</v>
      </c>
      <c r="B36" s="59"/>
      <c r="C36" s="53">
        <f>[3]main!F205</f>
        <v>521.92399999999998</v>
      </c>
      <c r="D36" s="54">
        <f>[3]main!H205</f>
        <v>1661807.12</v>
      </c>
      <c r="E36" s="54">
        <f>IF(B29-SUM(E34:E35)&gt;D36,D36,B29-SUM(E34:E35))</f>
        <v>1661807.12</v>
      </c>
      <c r="F36" s="54">
        <f>D36-E36</f>
        <v>0</v>
      </c>
      <c r="G36" s="1"/>
      <c r="H36" s="57">
        <f>+H34-H35</f>
        <v>0</v>
      </c>
      <c r="I36" s="30"/>
      <c r="J36" s="57">
        <f>+J34-J35</f>
        <v>0</v>
      </c>
    </row>
    <row r="37" spans="1:10" x14ac:dyDescent="0.2">
      <c r="A37" s="58" t="s">
        <v>19</v>
      </c>
      <c r="B37" s="59"/>
      <c r="C37" s="53">
        <f>[3]main!C264</f>
        <v>60</v>
      </c>
      <c r="D37" s="54">
        <f>[3]main!E264</f>
        <v>191040</v>
      </c>
      <c r="E37" s="54">
        <f>IF(B29-SUM(E34:E36)&gt;D37,D37,B29-SUM(E34:E36))</f>
        <v>191040</v>
      </c>
      <c r="F37" s="54">
        <f>D37-E37</f>
        <v>0</v>
      </c>
      <c r="G37" s="1"/>
      <c r="H37" s="30"/>
      <c r="I37" s="30"/>
      <c r="J37" s="30"/>
    </row>
    <row r="38" spans="1:10" x14ac:dyDescent="0.2">
      <c r="A38" s="58" t="s">
        <v>42</v>
      </c>
      <c r="B38" s="59"/>
      <c r="C38" s="53">
        <f>[3]main!C88</f>
        <v>0</v>
      </c>
      <c r="D38" s="54">
        <f>[3]main!E88</f>
        <v>0</v>
      </c>
      <c r="E38" s="54">
        <f>IF(B29-SUM(E34:E37)&gt;D38,D38,B29-SUM(E34:E37))</f>
        <v>0</v>
      </c>
      <c r="F38" s="54">
        <f>D38-E38</f>
        <v>0</v>
      </c>
      <c r="G38" s="1"/>
      <c r="H38" s="30"/>
      <c r="I38" s="30"/>
      <c r="J38" s="30"/>
    </row>
    <row r="39" spans="1:10" x14ac:dyDescent="0.2">
      <c r="A39" s="55" t="s">
        <v>20</v>
      </c>
      <c r="B39" s="56"/>
      <c r="C39" s="63"/>
      <c r="D39" s="64"/>
      <c r="E39" s="64"/>
      <c r="F39" s="64" t="s">
        <v>14</v>
      </c>
      <c r="G39" s="1"/>
      <c r="H39" s="57" t="s">
        <v>44</v>
      </c>
      <c r="I39" s="30"/>
      <c r="J39" s="30"/>
    </row>
    <row r="40" spans="1:10" x14ac:dyDescent="0.2">
      <c r="A40" s="58" t="s">
        <v>21</v>
      </c>
      <c r="B40" s="59"/>
      <c r="C40" s="53">
        <f>'[6]Sheet 1'!C30</f>
        <v>331.33499999999998</v>
      </c>
      <c r="D40" s="54">
        <f>'[6]Sheet 1'!E30</f>
        <v>1054969.74</v>
      </c>
      <c r="E40" s="54">
        <f>IF(B29-SUM(E34:E39)&gt;D40,D40,B29-SUM(E34:E39))</f>
        <v>1054969.74</v>
      </c>
      <c r="F40" s="54">
        <f t="shared" ref="F40:F48" si="0">D40-E40</f>
        <v>0</v>
      </c>
      <c r="G40" s="1"/>
      <c r="H40" s="57">
        <f>'[6]Sheet 1'!N146</f>
        <v>1319832.6000000001</v>
      </c>
      <c r="I40" s="30"/>
      <c r="J40" s="30"/>
    </row>
    <row r="41" spans="1:10" x14ac:dyDescent="0.2">
      <c r="A41" s="59" t="s">
        <v>22</v>
      </c>
      <c r="B41" s="59"/>
      <c r="C41" s="53">
        <f>'[6]Sheet 1'!F30</f>
        <v>52.49</v>
      </c>
      <c r="D41" s="54">
        <f>'[6]Sheet 1'!H30</f>
        <v>167128.16</v>
      </c>
      <c r="E41" s="54">
        <f>IF(B29-SUM(E34:E40)&gt;D41,D41,B29-SUM(E34:E40))</f>
        <v>167128.16</v>
      </c>
      <c r="F41" s="54">
        <f t="shared" si="0"/>
        <v>0</v>
      </c>
      <c r="G41" s="1"/>
      <c r="H41" s="57">
        <f>SUM(D40:D46)</f>
        <v>1319832.6000000001</v>
      </c>
      <c r="I41" s="30"/>
      <c r="J41" s="30"/>
    </row>
    <row r="42" spans="1:10" x14ac:dyDescent="0.2">
      <c r="A42" s="59" t="s">
        <v>23</v>
      </c>
      <c r="B42" s="59"/>
      <c r="C42" s="53">
        <f>'[6]Sheet 1'!C88</f>
        <v>20.58</v>
      </c>
      <c r="D42" s="54">
        <f>'[6]Sheet 1'!E88</f>
        <v>65526.720000000001</v>
      </c>
      <c r="E42" s="54">
        <f>IF(B29-SUM(E34:E41)&gt;D42,D42,B29-SUM(E34:E41))</f>
        <v>65526.720000000001</v>
      </c>
      <c r="F42" s="54">
        <f t="shared" si="0"/>
        <v>0</v>
      </c>
      <c r="G42" s="1"/>
      <c r="H42" s="57">
        <f>+H40-H41</f>
        <v>0</v>
      </c>
      <c r="I42" s="30"/>
      <c r="J42" s="30"/>
    </row>
    <row r="43" spans="1:10" x14ac:dyDescent="0.2">
      <c r="A43" s="58" t="s">
        <v>24</v>
      </c>
      <c r="B43" s="59"/>
      <c r="C43" s="53">
        <f>'[6]Sheet 1'!F88</f>
        <v>2.1539999999999999</v>
      </c>
      <c r="D43" s="54">
        <f>'[6]Sheet 1'!H88</f>
        <v>6856.92</v>
      </c>
      <c r="E43" s="54">
        <f>IF(B29-SUM(E34:E42)&gt;D43,D43,B29-SUM(E34:E42))</f>
        <v>6856.92</v>
      </c>
      <c r="F43" s="54">
        <f t="shared" si="0"/>
        <v>0</v>
      </c>
      <c r="G43" s="1"/>
      <c r="H43" s="30"/>
      <c r="I43" s="30"/>
      <c r="J43" s="30"/>
    </row>
    <row r="44" spans="1:10" x14ac:dyDescent="0.2">
      <c r="A44" s="59" t="s">
        <v>71</v>
      </c>
      <c r="B44" s="59"/>
      <c r="C44" s="53">
        <f>'[6]Sheet 1'!C146</f>
        <v>7.9619999999999997</v>
      </c>
      <c r="D44" s="54">
        <f>'[6]Sheet 1'!E146</f>
        <v>25351.06</v>
      </c>
      <c r="E44" s="54">
        <f>IF(B29-SUM(E34:E43)&gt;D44,D44,B29-SUM(E34:E43))</f>
        <v>25351.06</v>
      </c>
      <c r="F44" s="54">
        <f t="shared" si="0"/>
        <v>0</v>
      </c>
      <c r="G44" s="1"/>
      <c r="H44" s="30"/>
      <c r="I44" s="30"/>
      <c r="J44" s="30"/>
    </row>
    <row r="45" spans="1:10" x14ac:dyDescent="0.2">
      <c r="A45" s="59" t="s">
        <v>57</v>
      </c>
      <c r="B45" s="59"/>
      <c r="C45" s="53">
        <f>'[6]Sheet 1'!F146</f>
        <v>0</v>
      </c>
      <c r="D45" s="54">
        <f>'[6]Sheet 1'!H146</f>
        <v>0</v>
      </c>
      <c r="E45" s="54">
        <f>IF(B29-SUM(E34:E44)&gt;D45,D45,B29-SUM(E34:E44))</f>
        <v>0</v>
      </c>
      <c r="F45" s="54">
        <f t="shared" si="0"/>
        <v>0</v>
      </c>
      <c r="G45" s="1"/>
      <c r="H45" s="30"/>
      <c r="I45" s="30"/>
      <c r="J45" s="30"/>
    </row>
    <row r="46" spans="1:10" x14ac:dyDescent="0.2">
      <c r="A46" s="59" t="s">
        <v>64</v>
      </c>
      <c r="B46" s="59"/>
      <c r="C46" s="53">
        <f>'[6]Sheet 1'!I146</f>
        <v>0</v>
      </c>
      <c r="D46" s="54">
        <f>'[6]Sheet 1'!K146</f>
        <v>0</v>
      </c>
      <c r="E46" s="54">
        <f>IF(B29-SUM(E34:E45)&gt;D46,D46,B29-SUM(E34:E45))</f>
        <v>0</v>
      </c>
      <c r="F46" s="54">
        <f t="shared" si="0"/>
        <v>0</v>
      </c>
      <c r="G46" s="1"/>
      <c r="H46" s="57" t="s">
        <v>46</v>
      </c>
      <c r="I46" s="30"/>
      <c r="J46" s="30"/>
    </row>
    <row r="47" spans="1:10" x14ac:dyDescent="0.2">
      <c r="A47" s="59" t="s">
        <v>58</v>
      </c>
      <c r="B47" s="59"/>
      <c r="C47" s="53">
        <f>'[6]Sheet 1'!C204</f>
        <v>150.13499999999999</v>
      </c>
      <c r="D47" s="54">
        <f>'[6]Sheet 1'!E204</f>
        <v>478030</v>
      </c>
      <c r="E47" s="54">
        <f>IF(B29-SUM(E34:E46)&gt;D47,D47,B29-SUM(E34:E46))</f>
        <v>478030</v>
      </c>
      <c r="F47" s="54">
        <f t="shared" si="0"/>
        <v>0</v>
      </c>
      <c r="G47" s="4"/>
      <c r="H47" s="57">
        <f>+'[6]Sheet 1'!E204</f>
        <v>478030</v>
      </c>
      <c r="I47" s="30"/>
      <c r="J47" s="30"/>
    </row>
    <row r="48" spans="1:10" x14ac:dyDescent="0.2">
      <c r="A48" s="58" t="s">
        <v>59</v>
      </c>
      <c r="B48" s="59"/>
      <c r="C48" s="53">
        <f>'[5]Sheet 1'!C30</f>
        <v>284.47000000000003</v>
      </c>
      <c r="D48" s="54">
        <f>'[5]Sheet 1'!E30</f>
        <v>905753.41</v>
      </c>
      <c r="E48" s="54">
        <f>IF(B29-SUM(E34:E47)&gt;D48,D48,B29-SUM(E34:E47))</f>
        <v>905753.41</v>
      </c>
      <c r="F48" s="54">
        <f t="shared" si="0"/>
        <v>0</v>
      </c>
      <c r="G48" s="5"/>
      <c r="H48" s="57">
        <f>+D47</f>
        <v>478030</v>
      </c>
      <c r="I48" s="30"/>
      <c r="J48" s="30"/>
    </row>
    <row r="49" spans="1:10" x14ac:dyDescent="0.2">
      <c r="A49" s="114" t="s">
        <v>94</v>
      </c>
      <c r="B49" s="114"/>
      <c r="C49" s="53">
        <v>0</v>
      </c>
      <c r="D49" s="54">
        <v>0</v>
      </c>
      <c r="E49" s="54">
        <f>B30</f>
        <v>4045055</v>
      </c>
      <c r="F49" s="54"/>
      <c r="G49" s="5"/>
      <c r="H49" s="57"/>
      <c r="I49" s="30"/>
      <c r="J49" s="30"/>
    </row>
    <row r="50" spans="1:10" x14ac:dyDescent="0.2">
      <c r="A50" s="65" t="s">
        <v>28</v>
      </c>
      <c r="B50" s="56"/>
      <c r="C50" s="66">
        <f>SUM(C34:C48)</f>
        <v>6075.0259999999998</v>
      </c>
      <c r="D50" s="67">
        <f>SUM(D34:D48)</f>
        <v>19342882.690000001</v>
      </c>
      <c r="E50" s="67">
        <f>SUM(E34:E49)</f>
        <v>23387937.690000001</v>
      </c>
      <c r="F50" s="67">
        <f>SUM(F34:F48)</f>
        <v>0</v>
      </c>
      <c r="G50" s="1"/>
      <c r="H50" s="57">
        <f>+H47-H48</f>
        <v>0</v>
      </c>
      <c r="I50" s="30"/>
      <c r="J50" s="30"/>
    </row>
    <row r="51" spans="1:10" x14ac:dyDescent="0.2">
      <c r="A51" s="68" t="s">
        <v>26</v>
      </c>
      <c r="B51" s="56"/>
      <c r="C51" s="69"/>
      <c r="D51" s="54"/>
      <c r="E51" s="54"/>
      <c r="F51" s="54"/>
      <c r="G51" s="1"/>
      <c r="H51" s="57" t="s">
        <v>47</v>
      </c>
      <c r="I51" s="30"/>
      <c r="J51" s="57" t="s">
        <v>52</v>
      </c>
    </row>
    <row r="52" spans="1:10" x14ac:dyDescent="0.2">
      <c r="A52" s="58" t="s">
        <v>56</v>
      </c>
      <c r="B52" s="59"/>
      <c r="C52" s="20"/>
      <c r="D52" s="70">
        <f>[1]Main!F31</f>
        <v>56064.73</v>
      </c>
      <c r="E52" s="54">
        <v>0</v>
      </c>
      <c r="F52" s="54">
        <f t="shared" ref="F52:F70" si="1">D52-E52</f>
        <v>56064.73</v>
      </c>
      <c r="G52" s="1"/>
      <c r="H52" s="57">
        <f>[1]Main!G31</f>
        <v>960034.66</v>
      </c>
      <c r="I52" s="30"/>
      <c r="J52" s="57">
        <f>+[1]Main!D492</f>
        <v>3828238.24</v>
      </c>
    </row>
    <row r="53" spans="1:10" x14ac:dyDescent="0.2">
      <c r="A53" s="59" t="s">
        <v>25</v>
      </c>
      <c r="B53" s="59"/>
      <c r="C53" s="20"/>
      <c r="D53" s="70">
        <f>[1]Main!C31</f>
        <v>903969.93</v>
      </c>
      <c r="E53" s="54">
        <v>0</v>
      </c>
      <c r="F53" s="54">
        <f t="shared" si="1"/>
        <v>903969.93</v>
      </c>
      <c r="G53" s="1"/>
      <c r="H53" s="57">
        <f>SUM(D52:D54)</f>
        <v>960034.66</v>
      </c>
      <c r="I53" s="30"/>
      <c r="J53" s="57">
        <f>SUM(D52:D79)-E65</f>
        <v>3828238.24</v>
      </c>
    </row>
    <row r="54" spans="1:10" x14ac:dyDescent="0.2">
      <c r="A54" s="71" t="s">
        <v>27</v>
      </c>
      <c r="B54" s="59"/>
      <c r="C54" s="20"/>
      <c r="D54" s="70">
        <f>[1]Main!D31</f>
        <v>0</v>
      </c>
      <c r="E54" s="54">
        <v>0</v>
      </c>
      <c r="F54" s="54">
        <f>D54-E54</f>
        <v>0</v>
      </c>
      <c r="G54" s="1"/>
      <c r="H54" s="57">
        <f>+H52-H53</f>
        <v>0</v>
      </c>
      <c r="I54" s="30"/>
      <c r="J54" s="57">
        <f>+J52-J53</f>
        <v>0</v>
      </c>
    </row>
    <row r="55" spans="1:10" x14ac:dyDescent="0.2">
      <c r="A55" s="72" t="s">
        <v>72</v>
      </c>
      <c r="B55" s="59"/>
      <c r="C55" s="20"/>
      <c r="D55" s="70">
        <f>[1]Main!E31</f>
        <v>0</v>
      </c>
      <c r="E55" s="54">
        <v>0</v>
      </c>
      <c r="F55" s="54">
        <f>D55-E55</f>
        <v>0</v>
      </c>
      <c r="G55" s="1"/>
      <c r="H55" s="30"/>
      <c r="I55" s="30"/>
      <c r="J55" s="30"/>
    </row>
    <row r="56" spans="1:10" x14ac:dyDescent="0.2">
      <c r="A56" s="72" t="s">
        <v>73</v>
      </c>
      <c r="B56" s="59"/>
      <c r="C56" s="20"/>
      <c r="D56" s="54">
        <f>+[1]Main!$F147</f>
        <v>86183.91</v>
      </c>
      <c r="E56" s="54">
        <v>0</v>
      </c>
      <c r="F56" s="54">
        <f t="shared" si="1"/>
        <v>86183.91</v>
      </c>
      <c r="G56" s="1"/>
      <c r="H56" s="30"/>
      <c r="I56" s="30"/>
      <c r="J56" s="30"/>
    </row>
    <row r="57" spans="1:10" x14ac:dyDescent="0.2">
      <c r="A57" s="71" t="s">
        <v>74</v>
      </c>
      <c r="B57" s="59"/>
      <c r="C57" s="20"/>
      <c r="D57" s="54">
        <f>+[1]Main!$C89</f>
        <v>108262</v>
      </c>
      <c r="E57" s="54">
        <v>0</v>
      </c>
      <c r="F57" s="54">
        <f t="shared" si="1"/>
        <v>108262</v>
      </c>
      <c r="G57" s="1"/>
      <c r="H57" s="30"/>
      <c r="I57" s="30"/>
      <c r="J57" s="30"/>
    </row>
    <row r="58" spans="1:10" x14ac:dyDescent="0.2">
      <c r="A58" s="71" t="s">
        <v>75</v>
      </c>
      <c r="B58" s="59"/>
      <c r="C58" s="20"/>
      <c r="D58" s="54">
        <f>+[1]Main!$D89</f>
        <v>2000</v>
      </c>
      <c r="E58" s="54">
        <v>0</v>
      </c>
      <c r="F58" s="54">
        <f t="shared" si="1"/>
        <v>2000</v>
      </c>
      <c r="G58" s="1"/>
      <c r="H58" s="30"/>
      <c r="I58" s="30"/>
      <c r="J58" s="30"/>
    </row>
    <row r="59" spans="1:10" x14ac:dyDescent="0.2">
      <c r="A59" s="71" t="s">
        <v>76</v>
      </c>
      <c r="B59" s="59"/>
      <c r="C59" s="20"/>
      <c r="D59" s="54">
        <f>+[1]Main!$E89</f>
        <v>0</v>
      </c>
      <c r="E59" s="54">
        <v>0</v>
      </c>
      <c r="F59" s="54">
        <f t="shared" si="1"/>
        <v>0</v>
      </c>
      <c r="G59" s="1"/>
      <c r="H59" s="30"/>
      <c r="I59" s="30"/>
      <c r="J59" s="30"/>
    </row>
    <row r="60" spans="1:10" x14ac:dyDescent="0.2">
      <c r="A60" s="71" t="s">
        <v>77</v>
      </c>
      <c r="B60" s="59"/>
      <c r="C60" s="20"/>
      <c r="D60" s="54">
        <f>[1]Main!F89</f>
        <v>51293</v>
      </c>
      <c r="E60" s="54">
        <v>0</v>
      </c>
      <c r="F60" s="54">
        <f t="shared" si="1"/>
        <v>51293</v>
      </c>
      <c r="G60" s="1"/>
      <c r="H60" s="57" t="s">
        <v>48</v>
      </c>
      <c r="I60" s="30"/>
      <c r="J60" s="30"/>
    </row>
    <row r="61" spans="1:10" x14ac:dyDescent="0.2">
      <c r="A61" s="71" t="s">
        <v>79</v>
      </c>
      <c r="B61" s="59"/>
      <c r="C61" s="20"/>
      <c r="D61" s="54">
        <f>[1]Main!G89</f>
        <v>0</v>
      </c>
      <c r="E61" s="54">
        <v>0</v>
      </c>
      <c r="F61" s="54">
        <f t="shared" si="1"/>
        <v>0</v>
      </c>
      <c r="G61" s="1"/>
      <c r="H61" s="57"/>
      <c r="I61" s="30"/>
      <c r="J61" s="30"/>
    </row>
    <row r="62" spans="1:10" x14ac:dyDescent="0.2">
      <c r="A62" s="71" t="s">
        <v>78</v>
      </c>
      <c r="B62" s="59"/>
      <c r="C62" s="20"/>
      <c r="D62" s="54">
        <f>[1]Main!G147</f>
        <v>12348.29</v>
      </c>
      <c r="E62" s="54">
        <v>0</v>
      </c>
      <c r="F62" s="54">
        <f t="shared" si="1"/>
        <v>12348.29</v>
      </c>
      <c r="G62" s="1"/>
      <c r="H62" s="73">
        <f>+[1]Main!D205</f>
        <v>260087.2</v>
      </c>
      <c r="I62" s="30"/>
      <c r="J62" s="30"/>
    </row>
    <row r="63" spans="1:10" x14ac:dyDescent="0.2">
      <c r="A63" s="71" t="s">
        <v>80</v>
      </c>
      <c r="B63" s="59"/>
      <c r="C63" s="20"/>
      <c r="D63" s="54">
        <f>[1]Main!C205</f>
        <v>0</v>
      </c>
      <c r="E63" s="54"/>
      <c r="F63" s="54">
        <f t="shared" si="1"/>
        <v>0</v>
      </c>
      <c r="G63" s="1"/>
      <c r="H63" s="57">
        <f>+SUM(D56:D63)</f>
        <v>260087.2</v>
      </c>
      <c r="I63" s="30"/>
      <c r="J63" s="30"/>
    </row>
    <row r="64" spans="1:10" x14ac:dyDescent="0.2">
      <c r="A64" s="71" t="s">
        <v>81</v>
      </c>
      <c r="B64" s="59"/>
      <c r="C64" s="20"/>
      <c r="D64" s="54">
        <f>[1]Main!C263</f>
        <v>440703</v>
      </c>
      <c r="E64" s="54">
        <v>0</v>
      </c>
      <c r="F64" s="54">
        <f t="shared" si="1"/>
        <v>440703</v>
      </c>
      <c r="G64" s="1"/>
      <c r="H64" s="57">
        <f>+H62-H63</f>
        <v>0</v>
      </c>
      <c r="I64" s="30"/>
      <c r="J64" s="30"/>
    </row>
    <row r="65" spans="1:10" x14ac:dyDescent="0.2">
      <c r="A65" s="71" t="s">
        <v>82</v>
      </c>
      <c r="B65" s="59"/>
      <c r="C65" s="20"/>
      <c r="D65" s="54">
        <f>+[7]Main!I30+[7]Main!J30</f>
        <v>1439724.69</v>
      </c>
      <c r="E65" s="74">
        <f>[7]Main!J30</f>
        <v>1411153.26</v>
      </c>
      <c r="F65" s="54">
        <f t="shared" si="1"/>
        <v>28571.43</v>
      </c>
      <c r="G65" s="1"/>
      <c r="H65" s="30"/>
      <c r="I65" s="30"/>
      <c r="J65" s="30"/>
    </row>
    <row r="66" spans="1:10" x14ac:dyDescent="0.2">
      <c r="A66" s="71" t="s">
        <v>83</v>
      </c>
      <c r="B66" s="59"/>
      <c r="C66" s="20"/>
      <c r="D66" s="54">
        <f>[1]Main!F263</f>
        <v>55214</v>
      </c>
      <c r="E66" s="54">
        <v>0</v>
      </c>
      <c r="F66" s="54">
        <f t="shared" si="1"/>
        <v>55214</v>
      </c>
      <c r="G66" s="1"/>
      <c r="H66" s="30"/>
      <c r="I66" s="30"/>
      <c r="J66" s="30"/>
    </row>
    <row r="67" spans="1:10" x14ac:dyDescent="0.2">
      <c r="A67" s="71" t="s">
        <v>84</v>
      </c>
      <c r="B67" s="59"/>
      <c r="C67" s="7"/>
      <c r="D67" s="54">
        <f>[1]Main!E263</f>
        <v>10260.25</v>
      </c>
      <c r="E67" s="54">
        <v>0</v>
      </c>
      <c r="F67" s="54">
        <f t="shared" si="1"/>
        <v>10260.25</v>
      </c>
      <c r="G67" s="1"/>
      <c r="H67" s="57" t="s">
        <v>49</v>
      </c>
      <c r="I67" s="30"/>
      <c r="J67" s="30"/>
    </row>
    <row r="68" spans="1:10" x14ac:dyDescent="0.2">
      <c r="A68" s="71" t="s">
        <v>85</v>
      </c>
      <c r="B68" s="59"/>
      <c r="C68" s="7"/>
      <c r="D68" s="54">
        <f>[1]Main!G263</f>
        <v>29082</v>
      </c>
      <c r="E68" s="54">
        <v>0</v>
      </c>
      <c r="F68" s="54">
        <f t="shared" si="1"/>
        <v>29082</v>
      </c>
      <c r="G68" s="1"/>
      <c r="H68" s="57">
        <f>+[1]Main!C492</f>
        <v>2550008.5499999998</v>
      </c>
      <c r="I68" s="57"/>
      <c r="J68" s="57"/>
    </row>
    <row r="69" spans="1:10" x14ac:dyDescent="0.2">
      <c r="A69" s="71" t="s">
        <v>86</v>
      </c>
      <c r="B69" s="59"/>
      <c r="C69" s="20"/>
      <c r="D69" s="54">
        <f>[1]Main!C321</f>
        <v>50000</v>
      </c>
      <c r="E69" s="54">
        <v>0</v>
      </c>
      <c r="F69" s="54">
        <f t="shared" si="1"/>
        <v>50000</v>
      </c>
      <c r="G69" s="1"/>
      <c r="H69" s="57">
        <f>+SUM(D64:D74)-E65</f>
        <v>2550008.5499999998</v>
      </c>
      <c r="I69" s="57"/>
      <c r="J69" s="57">
        <f>+H69-H68</f>
        <v>0</v>
      </c>
    </row>
    <row r="70" spans="1:10" x14ac:dyDescent="0.2">
      <c r="A70" s="71" t="s">
        <v>87</v>
      </c>
      <c r="C70" s="8"/>
      <c r="D70" s="76">
        <f>[1]Main!D321</f>
        <v>1661789.72</v>
      </c>
      <c r="E70" s="77">
        <v>0</v>
      </c>
      <c r="F70" s="77">
        <f t="shared" si="1"/>
        <v>1661789.72</v>
      </c>
      <c r="G70" s="5"/>
      <c r="H70" s="57">
        <f>+H68-H69</f>
        <v>0</v>
      </c>
      <c r="I70" s="57"/>
      <c r="J70" s="57"/>
    </row>
    <row r="71" spans="1:10" x14ac:dyDescent="0.2">
      <c r="A71" s="71" t="s">
        <v>88</v>
      </c>
      <c r="B71" s="59"/>
      <c r="C71" s="20"/>
      <c r="D71" s="54">
        <f>+[1]Main!$E321</f>
        <v>6253.18</v>
      </c>
      <c r="E71" s="54">
        <v>0</v>
      </c>
      <c r="F71" s="54">
        <f>D71-E71</f>
        <v>6253.18</v>
      </c>
      <c r="G71" s="4"/>
      <c r="H71" s="30"/>
      <c r="I71" s="30"/>
      <c r="J71" s="30"/>
    </row>
    <row r="72" spans="1:10" x14ac:dyDescent="0.2">
      <c r="A72" s="71" t="s">
        <v>89</v>
      </c>
      <c r="B72" s="59"/>
      <c r="C72" s="20"/>
      <c r="D72" s="54">
        <f>[1]Main!F321</f>
        <v>59152.97</v>
      </c>
      <c r="E72" s="54">
        <v>0</v>
      </c>
      <c r="F72" s="54">
        <f>D72-E72</f>
        <v>59152.97</v>
      </c>
      <c r="G72" s="4"/>
      <c r="H72" s="30"/>
      <c r="I72" s="30"/>
      <c r="J72" s="30"/>
    </row>
    <row r="73" spans="1:10" x14ac:dyDescent="0.2">
      <c r="A73" s="71" t="s">
        <v>90</v>
      </c>
      <c r="B73" s="59"/>
      <c r="C73" s="20"/>
      <c r="D73" s="54">
        <f>[1]Main!G321</f>
        <v>208982</v>
      </c>
      <c r="E73" s="54">
        <v>0</v>
      </c>
      <c r="F73" s="54">
        <f>D73-E73</f>
        <v>208982</v>
      </c>
      <c r="G73" s="1"/>
      <c r="H73" s="57" t="s">
        <v>50</v>
      </c>
      <c r="I73" s="30"/>
      <c r="J73" s="30"/>
    </row>
    <row r="74" spans="1:10" x14ac:dyDescent="0.2">
      <c r="A74" s="71" t="s">
        <v>93</v>
      </c>
      <c r="B74" s="59"/>
      <c r="C74" s="20"/>
      <c r="D74" s="54">
        <f>[1]Main!F378</f>
        <v>0</v>
      </c>
      <c r="E74" s="54">
        <v>0</v>
      </c>
      <c r="F74" s="54">
        <f>D74-E74</f>
        <v>0</v>
      </c>
      <c r="G74" s="1"/>
      <c r="H74" s="57"/>
      <c r="I74" s="30"/>
      <c r="J74" s="30"/>
    </row>
    <row r="75" spans="1:10" x14ac:dyDescent="0.2">
      <c r="A75" s="55" t="s">
        <v>30</v>
      </c>
      <c r="B75" s="78"/>
      <c r="C75" s="79"/>
      <c r="D75" s="64"/>
      <c r="E75" s="64"/>
      <c r="F75" s="64"/>
      <c r="G75" s="1"/>
      <c r="H75" s="57"/>
      <c r="I75" s="30"/>
      <c r="J75" s="30"/>
    </row>
    <row r="76" spans="1:10" x14ac:dyDescent="0.2">
      <c r="A76" s="71" t="s">
        <v>60</v>
      </c>
      <c r="B76" s="59"/>
      <c r="C76" s="20"/>
      <c r="D76" s="54">
        <f>[1]Main!C435</f>
        <v>58107.83</v>
      </c>
      <c r="E76" s="54">
        <v>0</v>
      </c>
      <c r="F76" s="54">
        <f>D76-E76</f>
        <v>58107.83</v>
      </c>
      <c r="G76" s="1"/>
      <c r="H76" s="57">
        <f>+[1]Main!G435</f>
        <v>58107.83</v>
      </c>
      <c r="I76" s="30"/>
      <c r="J76" s="30"/>
    </row>
    <row r="77" spans="1:10" x14ac:dyDescent="0.2">
      <c r="A77" s="71" t="s">
        <v>63</v>
      </c>
      <c r="B77" s="59"/>
      <c r="C77" s="20"/>
      <c r="D77" s="54">
        <f>[1]Main!D435</f>
        <v>0</v>
      </c>
      <c r="E77" s="54">
        <v>0</v>
      </c>
      <c r="F77" s="54">
        <f>D77-E77</f>
        <v>0</v>
      </c>
      <c r="G77" s="4"/>
      <c r="H77" s="57">
        <f>SUM(D76:D79)</f>
        <v>58107.83</v>
      </c>
      <c r="I77" s="30"/>
      <c r="J77" s="30"/>
    </row>
    <row r="78" spans="1:10" x14ac:dyDescent="0.2">
      <c r="A78" s="71" t="s">
        <v>91</v>
      </c>
      <c r="B78" s="59"/>
      <c r="C78" s="20"/>
      <c r="D78" s="54">
        <f>[1]Main!E435</f>
        <v>0</v>
      </c>
      <c r="E78" s="54">
        <v>0</v>
      </c>
      <c r="F78" s="54">
        <f>D78-E78</f>
        <v>0</v>
      </c>
      <c r="G78" s="4"/>
      <c r="H78" s="57">
        <f>+H76-H77</f>
        <v>0</v>
      </c>
      <c r="I78" s="30"/>
      <c r="J78" s="30"/>
    </row>
    <row r="79" spans="1:10" x14ac:dyDescent="0.2">
      <c r="A79" s="71" t="s">
        <v>92</v>
      </c>
      <c r="B79" s="59"/>
      <c r="C79" s="20"/>
      <c r="D79" s="54">
        <f>[1]Main!F435</f>
        <v>0</v>
      </c>
      <c r="E79" s="54">
        <v>0</v>
      </c>
      <c r="F79" s="54">
        <f>D79-E79</f>
        <v>0</v>
      </c>
      <c r="G79" s="1"/>
      <c r="H79" s="30"/>
      <c r="I79" s="30"/>
      <c r="J79" s="30"/>
    </row>
    <row r="80" spans="1:10" x14ac:dyDescent="0.2">
      <c r="A80" s="55" t="s">
        <v>31</v>
      </c>
      <c r="B80" s="78"/>
      <c r="C80" s="79"/>
      <c r="D80" s="64"/>
      <c r="E80" s="64"/>
      <c r="F80" s="64"/>
      <c r="G80" s="1"/>
      <c r="H80" s="30"/>
      <c r="I80" s="30"/>
      <c r="J80" s="30"/>
    </row>
    <row r="81" spans="1:10" x14ac:dyDescent="0.2">
      <c r="A81" s="58" t="s">
        <v>69</v>
      </c>
      <c r="B81" s="59"/>
      <c r="C81" s="20"/>
      <c r="D81" s="54">
        <f>+[1]Main!$G548</f>
        <v>17314055.920000002</v>
      </c>
      <c r="E81" s="54">
        <f>+[1]Main!$D548</f>
        <v>17314055.920000002</v>
      </c>
      <c r="F81" s="54">
        <f>+D81-E81</f>
        <v>0</v>
      </c>
      <c r="G81" s="1"/>
      <c r="H81" s="30"/>
      <c r="I81" s="30"/>
      <c r="J81" s="30"/>
    </row>
    <row r="82" spans="1:10" x14ac:dyDescent="0.2">
      <c r="A82" s="59" t="s">
        <v>68</v>
      </c>
      <c r="B82" s="59"/>
      <c r="C82" s="20"/>
      <c r="D82" s="54">
        <f>+[1]Main!$G603</f>
        <v>5585179.3300000001</v>
      </c>
      <c r="E82" s="54">
        <f>+[1]Main!$D603</f>
        <v>5585179.3300000001</v>
      </c>
      <c r="F82" s="54">
        <f>+D82-E82</f>
        <v>0</v>
      </c>
      <c r="G82" s="1"/>
      <c r="H82" s="30"/>
      <c r="I82" s="30"/>
      <c r="J82" s="30"/>
    </row>
    <row r="83" spans="1:10" ht="13.5" thickBot="1" x14ac:dyDescent="0.25">
      <c r="A83" s="80"/>
      <c r="B83" s="81"/>
      <c r="C83" s="82" t="s">
        <v>29</v>
      </c>
      <c r="D83" s="83">
        <f>SUM(D50:D82)</f>
        <v>47481509.439999998</v>
      </c>
      <c r="E83" s="83">
        <f>SUM(E50:E82)</f>
        <v>47698326.200000003</v>
      </c>
      <c r="F83" s="83">
        <f>SUM(F50:F82)</f>
        <v>3828238.24</v>
      </c>
      <c r="G83" s="1"/>
      <c r="H83" s="30"/>
      <c r="I83" s="30"/>
      <c r="J83" s="30"/>
    </row>
    <row r="84" spans="1:10" ht="13.5" thickTop="1" x14ac:dyDescent="0.2">
      <c r="A84" s="84"/>
      <c r="B84" s="59"/>
      <c r="C84" s="85"/>
      <c r="D84" s="86"/>
      <c r="E84" s="86"/>
      <c r="F84" s="87"/>
      <c r="G84" s="1"/>
      <c r="H84" s="30"/>
      <c r="I84" s="30"/>
      <c r="J84" s="30"/>
    </row>
    <row r="85" spans="1:10" x14ac:dyDescent="0.2">
      <c r="A85" s="88" t="s">
        <v>40</v>
      </c>
      <c r="B85" s="78"/>
      <c r="C85" s="89"/>
      <c r="D85" s="90"/>
      <c r="E85" s="91"/>
      <c r="F85" s="92" t="s">
        <v>36</v>
      </c>
      <c r="G85" s="6"/>
      <c r="H85" s="57" t="s">
        <v>51</v>
      </c>
      <c r="I85" s="30"/>
      <c r="J85" s="57" t="s">
        <v>7</v>
      </c>
    </row>
    <row r="86" spans="1:10" x14ac:dyDescent="0.2">
      <c r="A86" s="93" t="s">
        <v>33</v>
      </c>
      <c r="B86" s="94"/>
      <c r="C86" s="95"/>
      <c r="D86" s="96"/>
      <c r="E86" s="96"/>
      <c r="F86" s="91"/>
      <c r="G86" s="6"/>
      <c r="H86" s="30"/>
      <c r="I86" s="30"/>
      <c r="J86" s="30"/>
    </row>
    <row r="87" spans="1:10" x14ac:dyDescent="0.2">
      <c r="A87" s="59" t="s">
        <v>34</v>
      </c>
      <c r="B87" s="59"/>
      <c r="C87" s="22"/>
      <c r="D87" s="27"/>
      <c r="E87" s="27"/>
      <c r="F87" s="97">
        <f>+[8]Main!$C31</f>
        <v>0</v>
      </c>
      <c r="G87" s="5"/>
      <c r="H87" s="57">
        <f>+[1]Main!G659</f>
        <v>22899235.25</v>
      </c>
      <c r="I87" s="30"/>
      <c r="J87" s="57">
        <f>+[1]Main!E659+[1]Main!F659</f>
        <v>0</v>
      </c>
    </row>
    <row r="88" spans="1:10" x14ac:dyDescent="0.2">
      <c r="A88" s="59" t="s">
        <v>66</v>
      </c>
      <c r="B88" s="59"/>
      <c r="C88" s="22"/>
      <c r="D88" s="27"/>
      <c r="E88" s="27"/>
      <c r="F88" s="97">
        <f>+[8]Main!$D31</f>
        <v>0</v>
      </c>
      <c r="G88" s="5"/>
      <c r="H88" s="57">
        <f>+D81+D82</f>
        <v>22899235.25</v>
      </c>
      <c r="I88" s="30"/>
      <c r="J88" s="57">
        <f>+F81+F82</f>
        <v>0</v>
      </c>
    </row>
    <row r="89" spans="1:10" x14ac:dyDescent="0.2">
      <c r="A89" s="32" t="s">
        <v>65</v>
      </c>
      <c r="B89" s="32"/>
      <c r="C89" s="22"/>
      <c r="D89" s="28"/>
      <c r="E89" s="28"/>
      <c r="F89" s="97">
        <f>+[8]Main!$E31</f>
        <v>0</v>
      </c>
      <c r="G89" s="1"/>
      <c r="H89" s="57">
        <f>+H87-H88</f>
        <v>0</v>
      </c>
      <c r="I89" s="30"/>
      <c r="J89" s="57">
        <f>+J87-J88</f>
        <v>0</v>
      </c>
    </row>
    <row r="90" spans="1:10" x14ac:dyDescent="0.2">
      <c r="A90" s="32" t="s">
        <v>67</v>
      </c>
      <c r="B90" s="32"/>
      <c r="C90" s="22"/>
      <c r="D90" s="28"/>
      <c r="E90" s="28"/>
      <c r="F90" s="97">
        <f>+[8]Main!$F31</f>
        <v>0</v>
      </c>
      <c r="G90" s="1"/>
      <c r="H90" s="30"/>
      <c r="I90" s="30"/>
      <c r="J90" s="30"/>
    </row>
    <row r="91" spans="1:10" x14ac:dyDescent="0.2">
      <c r="A91" s="88" t="s">
        <v>35</v>
      </c>
      <c r="B91" s="78"/>
      <c r="C91" s="89"/>
      <c r="D91" s="90"/>
      <c r="E91" s="91"/>
      <c r="F91" s="54">
        <f>+[8]Main!$C89</f>
        <v>20824.509999999998</v>
      </c>
      <c r="G91" s="1"/>
      <c r="H91" s="30"/>
      <c r="I91" s="30"/>
      <c r="J91" s="30"/>
    </row>
    <row r="92" spans="1:10" ht="13.5" thickBot="1" x14ac:dyDescent="0.25">
      <c r="A92" s="98"/>
      <c r="B92" s="99"/>
      <c r="C92" s="100" t="s">
        <v>29</v>
      </c>
      <c r="D92" s="101"/>
      <c r="E92" s="102"/>
      <c r="F92" s="103">
        <f>SUM(F87:F91)</f>
        <v>20824.509999999998</v>
      </c>
      <c r="G92" s="1"/>
      <c r="H92" s="30"/>
      <c r="I92" s="30"/>
      <c r="J92" s="30"/>
    </row>
    <row r="93" spans="1:10" ht="13.5" thickBot="1" x14ac:dyDescent="0.25">
      <c r="A93" s="104"/>
      <c r="B93" s="105"/>
      <c r="C93" s="106" t="s">
        <v>53</v>
      </c>
      <c r="D93" s="107"/>
      <c r="E93" s="108"/>
      <c r="F93" s="109">
        <f>+F92+F83</f>
        <v>3849062.75</v>
      </c>
      <c r="G93" s="1"/>
      <c r="H93" s="57" t="s">
        <v>54</v>
      </c>
      <c r="I93" s="30"/>
      <c r="J93" s="30"/>
    </row>
    <row r="94" spans="1:10" x14ac:dyDescent="0.2">
      <c r="A94" s="11"/>
      <c r="B94" s="12"/>
      <c r="C94" s="9"/>
      <c r="D94" s="29"/>
      <c r="E94" s="29"/>
      <c r="F94" s="110"/>
      <c r="G94" s="1"/>
      <c r="H94" s="57">
        <f>+[8]Main!$G31</f>
        <v>0</v>
      </c>
      <c r="I94" s="30"/>
      <c r="J94" s="30"/>
    </row>
    <row r="95" spans="1:10" x14ac:dyDescent="0.2">
      <c r="A95" s="11"/>
      <c r="B95" s="12"/>
      <c r="C95" s="9"/>
      <c r="D95" s="29"/>
      <c r="E95" s="29"/>
      <c r="F95" s="110"/>
      <c r="G95" s="1"/>
      <c r="H95" s="57">
        <f>SUM(F87:F90)</f>
        <v>0</v>
      </c>
      <c r="I95" s="30"/>
      <c r="J95" s="30"/>
    </row>
    <row r="96" spans="1:10" x14ac:dyDescent="0.2">
      <c r="A96" s="1"/>
      <c r="B96" s="1"/>
      <c r="C96" s="7"/>
      <c r="D96" s="26"/>
      <c r="E96" s="26"/>
      <c r="F96" s="86">
        <f>+F92+F83</f>
        <v>3849062.75</v>
      </c>
      <c r="G96" s="1"/>
      <c r="H96" s="57">
        <f>+H94-H95</f>
        <v>0</v>
      </c>
      <c r="I96" s="30"/>
      <c r="J96" s="30"/>
    </row>
    <row r="97" spans="1:10" x14ac:dyDescent="0.2">
      <c r="A97" s="1"/>
      <c r="B97" s="1"/>
      <c r="C97" s="7"/>
      <c r="D97" s="26"/>
      <c r="E97" s="26"/>
      <c r="F97" s="86">
        <f>+[1]Main!$F775</f>
        <v>-195992.56</v>
      </c>
      <c r="G97" s="1"/>
      <c r="H97" s="30"/>
      <c r="I97" s="30"/>
      <c r="J97" s="30"/>
    </row>
    <row r="98" spans="1:10" x14ac:dyDescent="0.2">
      <c r="A98" s="1"/>
      <c r="B98" s="1"/>
      <c r="C98" s="7"/>
      <c r="D98" s="26"/>
      <c r="E98" s="86">
        <f>+E83+[1]Main!$E775</f>
        <v>-0.31</v>
      </c>
      <c r="F98" s="86">
        <f>+F97-F96</f>
        <v>-4045055.31</v>
      </c>
      <c r="G98" s="1"/>
      <c r="H98" s="30"/>
      <c r="I98" s="30"/>
      <c r="J98" s="30"/>
    </row>
    <row r="99" spans="1:10" x14ac:dyDescent="0.2">
      <c r="A99" s="1"/>
      <c r="B99" s="1"/>
      <c r="C99" s="7"/>
      <c r="D99" s="26"/>
      <c r="E99" s="26"/>
      <c r="F99" s="4" t="s">
        <v>96</v>
      </c>
      <c r="G99" s="1"/>
      <c r="H99" s="30"/>
      <c r="I99" s="30"/>
      <c r="J99" s="30"/>
    </row>
    <row r="100" spans="1:10" x14ac:dyDescent="0.2">
      <c r="A100" s="1"/>
      <c r="B100" s="1"/>
      <c r="C100" s="7"/>
      <c r="D100" s="26"/>
      <c r="E100" s="26"/>
      <c r="F100" s="26"/>
      <c r="G100" s="1"/>
      <c r="H100" s="30"/>
      <c r="I100" s="30"/>
      <c r="J100" s="30"/>
    </row>
    <row r="101" spans="1:10" x14ac:dyDescent="0.2">
      <c r="A101" s="1"/>
      <c r="B101" s="1"/>
      <c r="C101" s="7"/>
      <c r="D101" s="26"/>
      <c r="E101" s="26"/>
      <c r="F101" s="26"/>
      <c r="G101" s="1"/>
      <c r="H101" s="111" t="s">
        <v>55</v>
      </c>
      <c r="I101" s="30"/>
      <c r="J101" s="30"/>
    </row>
    <row r="102" spans="1:10" x14ac:dyDescent="0.2">
      <c r="A102" s="59"/>
      <c r="B102" s="59"/>
      <c r="C102" s="85"/>
      <c r="D102" s="115"/>
      <c r="E102" s="115"/>
      <c r="F102" s="115"/>
      <c r="G102" s="59"/>
      <c r="H102" s="71"/>
      <c r="I102" s="112"/>
      <c r="J102" s="112"/>
    </row>
    <row r="103" spans="1:10" x14ac:dyDescent="0.2">
      <c r="G103" s="59"/>
      <c r="H103" s="116"/>
      <c r="I103" s="112"/>
      <c r="J103" s="112"/>
    </row>
    <row r="104" spans="1:10" x14ac:dyDescent="0.2">
      <c r="G104" s="59"/>
      <c r="H104" s="113"/>
      <c r="I104" s="112"/>
      <c r="J104" s="112"/>
    </row>
    <row r="105" spans="1:10" x14ac:dyDescent="0.2">
      <c r="G105" s="59"/>
      <c r="H105" s="112"/>
      <c r="I105" s="112"/>
      <c r="J105" s="112"/>
    </row>
    <row r="106" spans="1:10" x14ac:dyDescent="0.2">
      <c r="G106" s="59"/>
      <c r="H106" s="112"/>
      <c r="I106" s="112"/>
      <c r="J106" s="112"/>
    </row>
    <row r="107" spans="1:10" x14ac:dyDescent="0.2">
      <c r="G107" s="59"/>
      <c r="H107" s="112"/>
      <c r="I107" s="112"/>
      <c r="J107" s="112"/>
    </row>
    <row r="108" spans="1:10" x14ac:dyDescent="0.2">
      <c r="G108" s="59"/>
      <c r="H108" s="112"/>
      <c r="I108" s="112"/>
      <c r="J108" s="112"/>
    </row>
    <row r="109" spans="1:10" x14ac:dyDescent="0.2">
      <c r="G109" s="59"/>
      <c r="H109" s="71"/>
      <c r="I109" s="112"/>
      <c r="J109" s="112"/>
    </row>
    <row r="110" spans="1:10" x14ac:dyDescent="0.2">
      <c r="G110" s="59"/>
      <c r="H110" s="112"/>
      <c r="I110" s="112"/>
      <c r="J110" s="112"/>
    </row>
  </sheetData>
  <mergeCells count="1">
    <mergeCell ref="D25:E25"/>
  </mergeCells>
  <phoneticPr fontId="0" type="noConversion"/>
  <printOptions horizontalCentered="1" verticalCentered="1"/>
  <pageMargins left="0.5" right="0.25" top="0.5" bottom="0.5" header="0.5" footer="0.5"/>
  <pageSetup scale="80" orientation="portrait" horizontalDpi="1200" r:id="rId1"/>
  <headerFooter alignWithMargins="0">
    <oddHeader>&amp;R&amp;8Current as of: &amp;D</oddHeader>
    <oddFooter>&amp;L&amp;8USOE, Finance and Statistics&amp;R&amp;8&amp;F</oddFooter>
  </headerFooter>
  <picture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J106"/>
  <sheetViews>
    <sheetView topLeftCell="A43" workbookViewId="0">
      <selection activeCell="B30" sqref="B30"/>
    </sheetView>
  </sheetViews>
  <sheetFormatPr defaultColWidth="18.28515625" defaultRowHeight="12.75" x14ac:dyDescent="0.2"/>
  <cols>
    <col min="1" max="1" width="27" style="75" customWidth="1"/>
    <col min="2" max="2" width="16.7109375" style="75" customWidth="1"/>
    <col min="3" max="3" width="15.85546875" style="75" customWidth="1"/>
    <col min="4" max="4" width="16.28515625" style="75" customWidth="1"/>
    <col min="5" max="5" width="15.5703125" style="75" customWidth="1"/>
    <col min="6" max="6" width="17.42578125" style="75" customWidth="1"/>
    <col min="7" max="7" width="5.7109375" style="75" customWidth="1"/>
    <col min="8" max="8" width="21.5703125" style="75" customWidth="1"/>
    <col min="9" max="9" width="5" style="75" customWidth="1"/>
    <col min="10" max="10" width="20.85546875" style="75" customWidth="1"/>
    <col min="11" max="16384" width="18.28515625" style="75"/>
  </cols>
  <sheetData>
    <row r="1" spans="1:10" x14ac:dyDescent="0.2">
      <c r="A1" s="8"/>
      <c r="B1" s="8"/>
      <c r="C1" s="8"/>
      <c r="D1" s="8"/>
      <c r="E1" s="8"/>
      <c r="F1" s="8"/>
      <c r="G1" s="8"/>
      <c r="H1" s="8"/>
      <c r="I1" s="8"/>
      <c r="J1" s="8"/>
    </row>
    <row r="2" spans="1:10" x14ac:dyDescent="0.2">
      <c r="A2" s="8"/>
      <c r="B2" s="8"/>
      <c r="C2" s="8"/>
      <c r="D2" s="8"/>
      <c r="E2" s="8"/>
      <c r="F2" s="8"/>
      <c r="G2" s="8"/>
      <c r="H2" s="8"/>
      <c r="I2" s="8"/>
      <c r="J2" s="8"/>
    </row>
    <row r="3" spans="1:10" x14ac:dyDescent="0.2">
      <c r="A3" s="8"/>
      <c r="B3" s="8"/>
      <c r="C3" s="8"/>
      <c r="D3" s="8"/>
      <c r="E3" s="8"/>
      <c r="F3" s="8"/>
      <c r="G3" s="8"/>
      <c r="H3" s="8"/>
      <c r="I3" s="8"/>
      <c r="J3" s="8"/>
    </row>
    <row r="4" spans="1:10" x14ac:dyDescent="0.2">
      <c r="A4" s="8"/>
      <c r="B4" s="8"/>
      <c r="C4" s="8"/>
      <c r="D4" s="8"/>
      <c r="E4" s="8"/>
      <c r="F4" s="8"/>
      <c r="G4" s="8"/>
      <c r="H4" s="8"/>
      <c r="I4" s="8"/>
      <c r="J4" s="8"/>
    </row>
    <row r="5" spans="1:10" x14ac:dyDescent="0.2">
      <c r="A5" s="8"/>
      <c r="B5" s="8"/>
      <c r="C5" s="8"/>
      <c r="D5" s="8"/>
      <c r="E5" s="8"/>
      <c r="F5" s="8"/>
      <c r="G5" s="8"/>
      <c r="H5" s="8"/>
      <c r="I5" s="8"/>
      <c r="J5" s="8"/>
    </row>
    <row r="6" spans="1:10" x14ac:dyDescent="0.2">
      <c r="A6" s="8"/>
      <c r="B6" s="8"/>
      <c r="C6" s="8"/>
      <c r="D6" s="8"/>
      <c r="E6" s="8"/>
      <c r="F6" s="8"/>
      <c r="G6" s="8"/>
      <c r="H6" s="8"/>
      <c r="I6" s="8"/>
      <c r="J6" s="8"/>
    </row>
    <row r="7" spans="1:10" x14ac:dyDescent="0.2">
      <c r="A7" s="8"/>
      <c r="B7" s="8"/>
      <c r="C7" s="8"/>
      <c r="D7" s="8"/>
      <c r="E7" s="8"/>
      <c r="F7" s="8"/>
      <c r="G7" s="8"/>
      <c r="H7" s="8"/>
      <c r="I7" s="8"/>
      <c r="J7" s="8"/>
    </row>
    <row r="8" spans="1:10" x14ac:dyDescent="0.2">
      <c r="A8" s="8"/>
      <c r="B8" s="8"/>
      <c r="C8" s="8"/>
      <c r="D8" s="8"/>
      <c r="E8" s="8"/>
      <c r="F8" s="8"/>
      <c r="G8" s="8"/>
      <c r="H8" s="8"/>
      <c r="I8" s="8"/>
      <c r="J8" s="8"/>
    </row>
    <row r="9" spans="1:10" x14ac:dyDescent="0.2">
      <c r="A9" s="8"/>
      <c r="B9" s="8"/>
      <c r="C9" s="8"/>
      <c r="D9" s="8"/>
      <c r="E9" s="8"/>
      <c r="F9" s="8"/>
      <c r="G9" s="8"/>
      <c r="H9" s="8"/>
      <c r="I9" s="8"/>
      <c r="J9" s="8"/>
    </row>
    <row r="10" spans="1:10" x14ac:dyDescent="0.2">
      <c r="A10" s="8"/>
      <c r="B10" s="15"/>
      <c r="C10" s="8"/>
      <c r="D10" s="8"/>
      <c r="E10" s="8"/>
      <c r="F10" s="8"/>
      <c r="G10" s="8"/>
      <c r="H10" s="8"/>
      <c r="I10" s="8"/>
      <c r="J10" s="8"/>
    </row>
    <row r="11" spans="1:10" x14ac:dyDescent="0.2">
      <c r="A11" s="8"/>
      <c r="B11" s="8"/>
      <c r="C11" s="8"/>
      <c r="D11" s="8"/>
      <c r="E11" s="8"/>
      <c r="F11" s="8"/>
      <c r="G11" s="8"/>
      <c r="H11" s="8"/>
      <c r="I11" s="8"/>
      <c r="J11" s="8"/>
    </row>
    <row r="12" spans="1:10" x14ac:dyDescent="0.2">
      <c r="A12" s="8"/>
      <c r="B12" s="8"/>
      <c r="C12" s="8"/>
      <c r="D12" s="8"/>
      <c r="E12" s="8"/>
      <c r="F12" s="8"/>
      <c r="G12" s="8"/>
      <c r="H12" s="8"/>
      <c r="I12" s="8"/>
      <c r="J12" s="8"/>
    </row>
    <row r="13" spans="1:10" x14ac:dyDescent="0.2">
      <c r="A13" s="8"/>
      <c r="B13" s="8"/>
      <c r="C13" s="8"/>
      <c r="D13" s="8"/>
      <c r="E13" s="8"/>
      <c r="F13" s="8"/>
      <c r="G13" s="8"/>
      <c r="H13" s="8"/>
      <c r="I13" s="8"/>
      <c r="J13" s="8"/>
    </row>
    <row r="14" spans="1:10" x14ac:dyDescent="0.2">
      <c r="A14" s="8"/>
      <c r="B14" s="8"/>
      <c r="C14" s="8"/>
      <c r="D14" s="8"/>
      <c r="E14" s="8"/>
      <c r="F14" s="8"/>
      <c r="G14" s="8"/>
      <c r="H14" s="8"/>
      <c r="I14" s="8"/>
      <c r="J14" s="8"/>
    </row>
    <row r="15" spans="1:10" x14ac:dyDescent="0.2">
      <c r="A15" s="8"/>
      <c r="B15" s="8"/>
      <c r="C15" s="8"/>
      <c r="D15" s="8"/>
      <c r="E15" s="8"/>
      <c r="F15" s="8"/>
      <c r="G15" s="8"/>
      <c r="H15" s="8"/>
      <c r="I15" s="8"/>
      <c r="J15" s="8"/>
    </row>
    <row r="16" spans="1:10" x14ac:dyDescent="0.2">
      <c r="A16" s="8"/>
      <c r="B16" s="8"/>
      <c r="C16" s="8"/>
      <c r="D16" s="8"/>
      <c r="E16" s="8"/>
      <c r="F16" s="8"/>
      <c r="G16" s="8"/>
      <c r="H16" s="8"/>
      <c r="I16" s="8"/>
      <c r="J16" s="8"/>
    </row>
    <row r="17" spans="1:10" x14ac:dyDescent="0.2">
      <c r="A17" s="8"/>
      <c r="B17" s="8"/>
      <c r="C17" s="8"/>
      <c r="D17" s="8"/>
      <c r="E17" s="8"/>
      <c r="F17" s="8"/>
      <c r="G17" s="8"/>
      <c r="H17" s="8"/>
      <c r="I17" s="8"/>
      <c r="J17" s="8"/>
    </row>
    <row r="18" spans="1:10" x14ac:dyDescent="0.2">
      <c r="A18" s="8"/>
      <c r="B18" s="8"/>
      <c r="C18" s="8"/>
      <c r="D18" s="8"/>
      <c r="E18" s="8"/>
      <c r="F18" s="8"/>
      <c r="G18" s="8"/>
      <c r="H18" s="8"/>
      <c r="I18" s="8"/>
      <c r="J18" s="8"/>
    </row>
    <row r="19" spans="1:10" x14ac:dyDescent="0.2">
      <c r="A19" s="8"/>
      <c r="B19" s="8"/>
      <c r="C19" s="8"/>
      <c r="D19" s="8"/>
      <c r="E19" s="8"/>
      <c r="F19" s="8"/>
      <c r="G19" s="8"/>
      <c r="H19" s="8"/>
      <c r="I19" s="8"/>
      <c r="J19" s="8"/>
    </row>
    <row r="20" spans="1:10" x14ac:dyDescent="0.2">
      <c r="A20" s="8"/>
      <c r="B20" s="8"/>
      <c r="C20" s="8"/>
      <c r="D20" s="8"/>
      <c r="E20" s="8"/>
      <c r="F20" s="8"/>
      <c r="G20" s="8"/>
      <c r="H20" s="8"/>
      <c r="I20" s="8"/>
      <c r="J20" s="8"/>
    </row>
    <row r="21" spans="1:10" x14ac:dyDescent="0.2">
      <c r="A21" s="8"/>
      <c r="B21" s="8"/>
      <c r="C21" s="8"/>
      <c r="D21" s="8"/>
      <c r="E21" s="8"/>
      <c r="F21" s="8"/>
      <c r="G21" s="8"/>
      <c r="H21" s="8"/>
      <c r="I21" s="8"/>
      <c r="J21" s="8"/>
    </row>
    <row r="22" spans="1:10" x14ac:dyDescent="0.2">
      <c r="A22" s="8"/>
      <c r="B22" s="8"/>
      <c r="C22" s="8"/>
      <c r="D22" s="8"/>
      <c r="E22" s="8"/>
      <c r="F22" s="8"/>
      <c r="G22" s="8"/>
      <c r="H22" s="8"/>
      <c r="I22" s="8"/>
      <c r="J22" s="8"/>
    </row>
    <row r="23" spans="1:10" x14ac:dyDescent="0.2">
      <c r="A23" s="32" t="s">
        <v>0</v>
      </c>
      <c r="B23" s="33">
        <v>3184</v>
      </c>
      <c r="C23" s="34" t="s">
        <v>1</v>
      </c>
      <c r="D23" s="35"/>
      <c r="E23" s="35"/>
      <c r="F23" s="35"/>
      <c r="G23" s="1"/>
      <c r="H23" s="30"/>
      <c r="I23" s="30"/>
      <c r="J23" s="30"/>
    </row>
    <row r="24" spans="1:10" x14ac:dyDescent="0.2">
      <c r="A24" s="32" t="s">
        <v>61</v>
      </c>
      <c r="B24" s="36">
        <f>+[1]Main!$C549</f>
        <v>2.9500000000000001E-4</v>
      </c>
      <c r="C24" s="34" t="s">
        <v>41</v>
      </c>
      <c r="D24" s="35"/>
      <c r="E24" s="35"/>
      <c r="F24" s="35"/>
      <c r="G24" s="1"/>
      <c r="H24" s="30"/>
      <c r="I24" s="30"/>
      <c r="J24" s="30"/>
    </row>
    <row r="25" spans="1:10" x14ac:dyDescent="0.2">
      <c r="A25" s="32" t="s">
        <v>62</v>
      </c>
      <c r="B25" s="36">
        <f>+[1]Main!$C604</f>
        <v>1.74E-3</v>
      </c>
      <c r="C25" s="34" t="s">
        <v>95</v>
      </c>
      <c r="D25" s="35"/>
      <c r="E25" s="37"/>
      <c r="F25" s="35"/>
      <c r="G25" s="1"/>
      <c r="H25" s="30"/>
      <c r="I25" s="30"/>
      <c r="J25" s="30"/>
    </row>
    <row r="26" spans="1:10" x14ac:dyDescent="0.2">
      <c r="A26" s="38" t="s">
        <v>32</v>
      </c>
      <c r="B26" s="39">
        <f>[2]Sheet1!E31</f>
        <v>113638228</v>
      </c>
      <c r="C26" s="21"/>
      <c r="D26" s="31"/>
      <c r="E26" s="31"/>
      <c r="F26" s="23"/>
      <c r="G26" s="1"/>
      <c r="H26" s="30"/>
      <c r="I26" s="30"/>
      <c r="J26" s="30"/>
    </row>
    <row r="27" spans="1:10" x14ac:dyDescent="0.2">
      <c r="A27" s="32" t="s">
        <v>2</v>
      </c>
      <c r="B27" s="40">
        <f>[2]Sheet1!F31</f>
        <v>0.87990000000000002</v>
      </c>
      <c r="C27" s="7"/>
      <c r="D27" s="41" t="s">
        <v>3</v>
      </c>
      <c r="E27" s="42" t="str">
        <f>+[3]main!B32</f>
        <v>Piute</v>
      </c>
      <c r="F27" s="43">
        <f>+[3]main!A32</f>
        <v>23</v>
      </c>
      <c r="G27" s="1"/>
      <c r="H27" s="30"/>
      <c r="I27" s="30"/>
      <c r="J27" s="30"/>
    </row>
    <row r="28" spans="1:10" x14ac:dyDescent="0.2">
      <c r="A28" s="32" t="s">
        <v>4</v>
      </c>
      <c r="B28" s="44">
        <f>[2]Sheet1!G31</f>
        <v>1.6750000000000001E-3</v>
      </c>
      <c r="C28" s="8"/>
      <c r="D28" s="24"/>
      <c r="E28" s="25"/>
      <c r="F28" s="24"/>
      <c r="G28" s="1"/>
      <c r="H28" s="30"/>
      <c r="I28" s="30"/>
      <c r="J28" s="30"/>
    </row>
    <row r="29" spans="1:10" x14ac:dyDescent="0.2">
      <c r="A29" s="32" t="s">
        <v>5</v>
      </c>
      <c r="B29" s="45">
        <f>[2]Sheet1!$C$87</f>
        <v>221613</v>
      </c>
      <c r="C29" s="46"/>
      <c r="D29" s="47" t="s">
        <v>38</v>
      </c>
      <c r="E29" s="48" t="s">
        <v>7</v>
      </c>
      <c r="F29" s="47" t="s">
        <v>6</v>
      </c>
      <c r="G29" s="1"/>
      <c r="H29" s="30"/>
      <c r="I29" s="30"/>
      <c r="J29" s="30"/>
    </row>
    <row r="30" spans="1:10" x14ac:dyDescent="0.2">
      <c r="A30" s="32" t="s">
        <v>8</v>
      </c>
      <c r="B30" s="45">
        <f>+B29</f>
        <v>221613</v>
      </c>
      <c r="C30" s="49"/>
      <c r="D30" s="50" t="s">
        <v>9</v>
      </c>
      <c r="E30" s="50" t="s">
        <v>37</v>
      </c>
      <c r="F30" s="50" t="s">
        <v>10</v>
      </c>
      <c r="G30" s="1"/>
      <c r="H30" s="30"/>
      <c r="I30" s="30"/>
      <c r="J30" s="30"/>
    </row>
    <row r="31" spans="1:10" x14ac:dyDescent="0.2">
      <c r="A31" s="32" t="s">
        <v>11</v>
      </c>
      <c r="B31" s="45">
        <v>0</v>
      </c>
      <c r="C31" s="51" t="s">
        <v>39</v>
      </c>
      <c r="D31" s="52" t="s">
        <v>12</v>
      </c>
      <c r="E31" s="52" t="s">
        <v>9</v>
      </c>
      <c r="F31" s="52" t="s">
        <v>9</v>
      </c>
      <c r="G31" s="1"/>
      <c r="H31" s="30"/>
      <c r="I31" s="30"/>
      <c r="J31" s="30"/>
    </row>
    <row r="32" spans="1:10" x14ac:dyDescent="0.2">
      <c r="A32" s="32" t="s">
        <v>70</v>
      </c>
      <c r="B32" s="45">
        <f>'[4]LRF FY17'!U29</f>
        <v>396</v>
      </c>
      <c r="C32" s="53"/>
      <c r="D32" s="54"/>
      <c r="E32" s="54"/>
      <c r="F32" s="54" t="s">
        <v>14</v>
      </c>
      <c r="G32" s="1"/>
      <c r="H32" s="30"/>
      <c r="I32" s="30"/>
      <c r="J32" s="30"/>
    </row>
    <row r="33" spans="1:10" x14ac:dyDescent="0.2">
      <c r="A33" s="55" t="s">
        <v>13</v>
      </c>
      <c r="B33" s="56"/>
      <c r="C33" s="53"/>
      <c r="D33" s="54"/>
      <c r="E33" s="54"/>
      <c r="F33" s="54"/>
      <c r="G33" s="2"/>
      <c r="H33" s="30"/>
      <c r="I33" s="30"/>
      <c r="J33" s="30"/>
    </row>
    <row r="34" spans="1:10" x14ac:dyDescent="0.2">
      <c r="A34" s="55" t="s">
        <v>15</v>
      </c>
      <c r="B34" s="56"/>
      <c r="C34" s="53"/>
      <c r="D34" s="54"/>
      <c r="E34" s="54"/>
      <c r="F34" s="54"/>
      <c r="G34" s="2"/>
      <c r="H34" s="57" t="s">
        <v>43</v>
      </c>
      <c r="I34" s="30"/>
      <c r="J34" s="57" t="s">
        <v>45</v>
      </c>
    </row>
    <row r="35" spans="1:10" x14ac:dyDescent="0.2">
      <c r="A35" s="58" t="s">
        <v>16</v>
      </c>
      <c r="B35" s="59"/>
      <c r="C35" s="60">
        <f>[3]main!C206-[3]main!F148</f>
        <v>271.32100000000003</v>
      </c>
      <c r="D35" s="61">
        <f>[3]main!E206-[3]main!H148</f>
        <v>863887.3</v>
      </c>
      <c r="E35" s="62">
        <f>IF(B30&gt;D35,D35,B30)</f>
        <v>221613</v>
      </c>
      <c r="F35" s="62">
        <f>D35-E35</f>
        <v>642274.30000000005</v>
      </c>
      <c r="G35" s="1"/>
      <c r="H35" s="57">
        <f>[3]main!H265</f>
        <v>2324196.04</v>
      </c>
      <c r="I35" s="30"/>
      <c r="J35" s="57">
        <f>'[5]Sheet 1'!E89</f>
        <v>2832529.08</v>
      </c>
    </row>
    <row r="36" spans="1:10" x14ac:dyDescent="0.2">
      <c r="A36" s="58" t="s">
        <v>17</v>
      </c>
      <c r="B36" s="59"/>
      <c r="C36" s="53">
        <f>[3]main!F148</f>
        <v>315.16500000000002</v>
      </c>
      <c r="D36" s="54">
        <f>[3]main!H148</f>
        <v>1003486.56</v>
      </c>
      <c r="E36" s="54">
        <f>IF(B29-SUM(E33:E35)&gt;D36,D36,B29-SUM(E33:E35))</f>
        <v>0</v>
      </c>
      <c r="F36" s="54">
        <f>D36-E36</f>
        <v>1003486.56</v>
      </c>
      <c r="G36" s="1"/>
      <c r="H36" s="57">
        <f>SUM(D35:D39)</f>
        <v>2324196.04</v>
      </c>
      <c r="I36" s="30"/>
      <c r="J36" s="57">
        <f>D50</f>
        <v>2832529.08</v>
      </c>
    </row>
    <row r="37" spans="1:10" x14ac:dyDescent="0.2">
      <c r="A37" s="58" t="s">
        <v>18</v>
      </c>
      <c r="B37" s="59"/>
      <c r="C37" s="53">
        <f>[3]main!F206</f>
        <v>48.473999999999997</v>
      </c>
      <c r="D37" s="54">
        <f>[3]main!H206</f>
        <v>154342.18</v>
      </c>
      <c r="E37" s="54">
        <f>IF(B30-SUM(E35:E36)&gt;D37,D37,B30-SUM(E35:E36))</f>
        <v>0</v>
      </c>
      <c r="F37" s="54">
        <f>D37-E37</f>
        <v>154342.18</v>
      </c>
      <c r="G37" s="1"/>
      <c r="H37" s="57">
        <f>+H35-H36</f>
        <v>0</v>
      </c>
      <c r="I37" s="30"/>
      <c r="J37" s="57">
        <f>+J35-J36</f>
        <v>0</v>
      </c>
    </row>
    <row r="38" spans="1:10" x14ac:dyDescent="0.2">
      <c r="A38" s="58" t="s">
        <v>19</v>
      </c>
      <c r="B38" s="59"/>
      <c r="C38" s="53">
        <f>[3]main!C265</f>
        <v>95</v>
      </c>
      <c r="D38" s="54">
        <f>[3]main!E265</f>
        <v>302480</v>
      </c>
      <c r="E38" s="54">
        <f>IF(B30-SUM(E35:E37)&gt;D38,D38,B30-SUM(E35:E37))</f>
        <v>0</v>
      </c>
      <c r="F38" s="54">
        <f>D38-E38</f>
        <v>302480</v>
      </c>
      <c r="G38" s="1"/>
      <c r="H38" s="30"/>
      <c r="I38" s="30"/>
      <c r="J38" s="30"/>
    </row>
    <row r="39" spans="1:10" x14ac:dyDescent="0.2">
      <c r="A39" s="58" t="s">
        <v>42</v>
      </c>
      <c r="B39" s="59"/>
      <c r="C39" s="53">
        <f>[3]main!C89</f>
        <v>0</v>
      </c>
      <c r="D39" s="54">
        <f>[3]main!E89</f>
        <v>0</v>
      </c>
      <c r="E39" s="54">
        <f>IF(B30-SUM(E35:E38)&gt;D39,D39,B30-SUM(E35:E38))</f>
        <v>0</v>
      </c>
      <c r="F39" s="54">
        <f>D39-E39</f>
        <v>0</v>
      </c>
      <c r="G39" s="1"/>
      <c r="H39" s="30"/>
      <c r="I39" s="30"/>
      <c r="J39" s="30"/>
    </row>
    <row r="40" spans="1:10" x14ac:dyDescent="0.2">
      <c r="A40" s="55" t="s">
        <v>20</v>
      </c>
      <c r="B40" s="56"/>
      <c r="C40" s="63"/>
      <c r="D40" s="64"/>
      <c r="E40" s="64"/>
      <c r="F40" s="64" t="s">
        <v>14</v>
      </c>
      <c r="G40" s="1"/>
      <c r="H40" s="57" t="s">
        <v>44</v>
      </c>
      <c r="I40" s="30"/>
      <c r="J40" s="30"/>
    </row>
    <row r="41" spans="1:10" x14ac:dyDescent="0.2">
      <c r="A41" s="58" t="s">
        <v>21</v>
      </c>
      <c r="B41" s="59"/>
      <c r="C41" s="53">
        <f>'[6]Sheet 1'!C31</f>
        <v>49.478000000000002</v>
      </c>
      <c r="D41" s="54">
        <f>'[6]Sheet 1'!E31</f>
        <v>157537.24</v>
      </c>
      <c r="E41" s="54">
        <f>IF(B30-SUM(E35:E40)&gt;D41,D41,B30-SUM(E35:E40))</f>
        <v>0</v>
      </c>
      <c r="F41" s="54">
        <f t="shared" ref="F41:F49" si="0">D41-E41</f>
        <v>157537.24</v>
      </c>
      <c r="G41" s="1"/>
      <c r="H41" s="57">
        <f>'[6]Sheet 1'!N147</f>
        <v>253041.07</v>
      </c>
      <c r="I41" s="30"/>
      <c r="J41" s="30"/>
    </row>
    <row r="42" spans="1:10" x14ac:dyDescent="0.2">
      <c r="A42" s="59" t="s">
        <v>22</v>
      </c>
      <c r="B42" s="59"/>
      <c r="C42" s="53">
        <f>'[6]Sheet 1'!F31</f>
        <v>7.81</v>
      </c>
      <c r="D42" s="54">
        <f>'[6]Sheet 1'!H31</f>
        <v>24867.040000000001</v>
      </c>
      <c r="E42" s="54">
        <f>IF(B30-SUM(E35:E41)&gt;D42,D42,B30-SUM(E35:E41))</f>
        <v>0</v>
      </c>
      <c r="F42" s="54">
        <f t="shared" si="0"/>
        <v>24867.040000000001</v>
      </c>
      <c r="G42" s="1"/>
      <c r="H42" s="57">
        <f>SUM(D41:D47)</f>
        <v>253041.07</v>
      </c>
      <c r="I42" s="30"/>
      <c r="J42" s="30"/>
    </row>
    <row r="43" spans="1:10" x14ac:dyDescent="0.2">
      <c r="A43" s="59" t="s">
        <v>23</v>
      </c>
      <c r="B43" s="59"/>
      <c r="C43" s="53">
        <f>'[6]Sheet 1'!C89</f>
        <v>19.11</v>
      </c>
      <c r="D43" s="54">
        <f>'[6]Sheet 1'!E89</f>
        <v>60846.239999999998</v>
      </c>
      <c r="E43" s="54">
        <f>IF(B30-SUM(E35:E42)&gt;D43,D43,B30-SUM(E35:E42))</f>
        <v>0</v>
      </c>
      <c r="F43" s="54">
        <f t="shared" si="0"/>
        <v>60846.239999999998</v>
      </c>
      <c r="G43" s="1"/>
      <c r="H43" s="57">
        <f>+H41-H42</f>
        <v>0</v>
      </c>
      <c r="I43" s="30"/>
      <c r="J43" s="30"/>
    </row>
    <row r="44" spans="1:10" x14ac:dyDescent="0.2">
      <c r="A44" s="58" t="s">
        <v>24</v>
      </c>
      <c r="B44" s="59"/>
      <c r="C44" s="53">
        <f>'[6]Sheet 1'!F89</f>
        <v>1.073</v>
      </c>
      <c r="D44" s="54">
        <f>'[6]Sheet 1'!H89</f>
        <v>3415.28</v>
      </c>
      <c r="E44" s="54">
        <f>IF(B30-SUM(E35:E43)&gt;D44,D44,B30-SUM(E35:E43))</f>
        <v>0</v>
      </c>
      <c r="F44" s="54">
        <f t="shared" si="0"/>
        <v>3415.28</v>
      </c>
      <c r="G44" s="1"/>
      <c r="H44" s="30"/>
      <c r="I44" s="30"/>
      <c r="J44" s="30"/>
    </row>
    <row r="45" spans="1:10" x14ac:dyDescent="0.2">
      <c r="A45" s="59" t="s">
        <v>71</v>
      </c>
      <c r="B45" s="59"/>
      <c r="C45" s="53">
        <f>'[6]Sheet 1'!C147</f>
        <v>2.0019999999999998</v>
      </c>
      <c r="D45" s="54">
        <f>'[6]Sheet 1'!E147</f>
        <v>6375.27</v>
      </c>
      <c r="E45" s="54">
        <f>IF(B30-SUM(E35:E44)&gt;D45,D45,B30-SUM(E35:E44))</f>
        <v>0</v>
      </c>
      <c r="F45" s="54">
        <f t="shared" si="0"/>
        <v>6375.27</v>
      </c>
      <c r="G45" s="1"/>
      <c r="H45" s="30"/>
      <c r="I45" s="30"/>
      <c r="J45" s="30"/>
    </row>
    <row r="46" spans="1:10" x14ac:dyDescent="0.2">
      <c r="A46" s="59" t="s">
        <v>57</v>
      </c>
      <c r="B46" s="59"/>
      <c r="C46" s="53">
        <f>'[6]Sheet 1'!F147</f>
        <v>0</v>
      </c>
      <c r="D46" s="54">
        <f>'[6]Sheet 1'!H147</f>
        <v>0</v>
      </c>
      <c r="E46" s="54">
        <f>IF(B31-SUM(E36:E45)&gt;D46,D46,B31-SUM(E36:E45))</f>
        <v>0</v>
      </c>
      <c r="F46" s="54">
        <f t="shared" si="0"/>
        <v>0</v>
      </c>
      <c r="G46" s="1"/>
      <c r="H46" s="30"/>
      <c r="I46" s="30"/>
      <c r="J46" s="30"/>
    </row>
    <row r="47" spans="1:10" x14ac:dyDescent="0.2">
      <c r="A47" s="59" t="s">
        <v>64</v>
      </c>
      <c r="B47" s="59"/>
      <c r="C47" s="53">
        <f>'[6]Sheet 1'!I147</f>
        <v>0</v>
      </c>
      <c r="D47" s="54">
        <f>'[6]Sheet 1'!K147</f>
        <v>0</v>
      </c>
      <c r="E47" s="54">
        <f>IF(B33-SUM(E37:E46)&gt;D47,D47,B33-SUM(E37:E46))</f>
        <v>0</v>
      </c>
      <c r="F47" s="54">
        <f t="shared" si="0"/>
        <v>0</v>
      </c>
      <c r="G47" s="1"/>
      <c r="H47" s="57" t="s">
        <v>46</v>
      </c>
      <c r="I47" s="30"/>
      <c r="J47" s="30"/>
    </row>
    <row r="48" spans="1:10" x14ac:dyDescent="0.2">
      <c r="A48" s="59" t="s">
        <v>58</v>
      </c>
      <c r="B48" s="59"/>
      <c r="C48" s="53">
        <f>'[6]Sheet 1'!C205</f>
        <v>63.548999999999999</v>
      </c>
      <c r="D48" s="54">
        <f>'[6]Sheet 1'!E205</f>
        <v>202339.57</v>
      </c>
      <c r="E48" s="54">
        <f>IF(B30-SUM(E35:E45)&gt;D48,D48,B30-SUM(E35:E45))</f>
        <v>0</v>
      </c>
      <c r="F48" s="54">
        <f t="shared" si="0"/>
        <v>202339.57</v>
      </c>
      <c r="G48" s="4"/>
      <c r="H48" s="57">
        <f>+'[6]Sheet 1'!E205</f>
        <v>202339.57</v>
      </c>
      <c r="I48" s="30"/>
      <c r="J48" s="30"/>
    </row>
    <row r="49" spans="1:10" x14ac:dyDescent="0.2">
      <c r="A49" s="58" t="s">
        <v>59</v>
      </c>
      <c r="B49" s="59"/>
      <c r="C49" s="53">
        <f>'[5]Sheet 1'!C31</f>
        <v>16.631</v>
      </c>
      <c r="D49" s="54">
        <f>'[5]Sheet 1'!E31</f>
        <v>52952.4</v>
      </c>
      <c r="E49" s="54">
        <f>IF(B30-SUM(E35:E48)&gt;D49,D49,B30-SUM(E35:E48))</f>
        <v>0</v>
      </c>
      <c r="F49" s="54">
        <f t="shared" si="0"/>
        <v>52952.4</v>
      </c>
      <c r="G49" s="5"/>
      <c r="H49" s="57">
        <f>+D48</f>
        <v>202339.57</v>
      </c>
      <c r="I49" s="30"/>
      <c r="J49" s="30"/>
    </row>
    <row r="50" spans="1:10" x14ac:dyDescent="0.2">
      <c r="A50" s="65" t="s">
        <v>28</v>
      </c>
      <c r="B50" s="56"/>
      <c r="C50" s="66">
        <f>SUM(C35:C49)</f>
        <v>889.61300000000006</v>
      </c>
      <c r="D50" s="67">
        <f>SUM(D35:D49)</f>
        <v>2832529.08</v>
      </c>
      <c r="E50" s="67">
        <f>SUM(E35:E49)</f>
        <v>221613</v>
      </c>
      <c r="F50" s="67">
        <f>SUM(F35:F49)</f>
        <v>2610916.08</v>
      </c>
      <c r="G50" s="1"/>
      <c r="H50" s="57">
        <f>+H48-H49</f>
        <v>0</v>
      </c>
      <c r="I50" s="30"/>
      <c r="J50" s="30"/>
    </row>
    <row r="51" spans="1:10" x14ac:dyDescent="0.2">
      <c r="A51" s="68" t="s">
        <v>26</v>
      </c>
      <c r="B51" s="56"/>
      <c r="C51" s="69"/>
      <c r="D51" s="54"/>
      <c r="E51" s="54"/>
      <c r="F51" s="54"/>
      <c r="G51" s="1"/>
      <c r="H51" s="57" t="s">
        <v>47</v>
      </c>
      <c r="I51" s="30"/>
      <c r="J51" s="57" t="s">
        <v>52</v>
      </c>
    </row>
    <row r="52" spans="1:10" x14ac:dyDescent="0.2">
      <c r="A52" s="58" t="s">
        <v>56</v>
      </c>
      <c r="B52" s="59"/>
      <c r="C52" s="20"/>
      <c r="D52" s="70">
        <f>[1]Main!F32</f>
        <v>8210</v>
      </c>
      <c r="E52" s="54">
        <f>IF($B30-SUM($E50)&gt;D52,D52,$B30-SUM($E50))</f>
        <v>0</v>
      </c>
      <c r="F52" s="54">
        <f t="shared" ref="F52:F70" si="1">D52-E52</f>
        <v>8210</v>
      </c>
      <c r="G52" s="1"/>
      <c r="H52" s="57">
        <f>[1]Main!G32</f>
        <v>212482.06</v>
      </c>
      <c r="I52" s="30"/>
      <c r="J52" s="57">
        <f>+[1]Main!D493</f>
        <v>811589.63</v>
      </c>
    </row>
    <row r="53" spans="1:10" x14ac:dyDescent="0.2">
      <c r="A53" s="59" t="s">
        <v>25</v>
      </c>
      <c r="B53" s="59"/>
      <c r="C53" s="20"/>
      <c r="D53" s="70">
        <f>[1]Main!C32</f>
        <v>180589.06</v>
      </c>
      <c r="E53" s="54">
        <f>IF($B30-SUM($E50:E52)&gt;D53,D53,B30-SUM($E50:E52))</f>
        <v>0</v>
      </c>
      <c r="F53" s="54">
        <f t="shared" si="1"/>
        <v>180589.06</v>
      </c>
      <c r="G53" s="1"/>
      <c r="H53" s="57">
        <f>SUM(D52:D54)</f>
        <v>212482.06</v>
      </c>
      <c r="I53" s="30"/>
      <c r="J53" s="57">
        <f>SUM(D52:D79)-E65</f>
        <v>811589.63</v>
      </c>
    </row>
    <row r="54" spans="1:10" x14ac:dyDescent="0.2">
      <c r="A54" s="71" t="s">
        <v>27</v>
      </c>
      <c r="B54" s="59"/>
      <c r="C54" s="20"/>
      <c r="D54" s="70">
        <f>[1]Main!D32</f>
        <v>23683</v>
      </c>
      <c r="E54" s="54">
        <f>IF($B30-SUM($E50:E53)&gt;D54,D54,$B30-SUM($E50:E53))</f>
        <v>0</v>
      </c>
      <c r="F54" s="54">
        <f>D54-E54</f>
        <v>23683</v>
      </c>
      <c r="G54" s="1"/>
      <c r="H54" s="57">
        <f>+H52-H53</f>
        <v>0</v>
      </c>
      <c r="I54" s="30"/>
      <c r="J54" s="57">
        <f>+J52-J53</f>
        <v>0</v>
      </c>
    </row>
    <row r="55" spans="1:10" x14ac:dyDescent="0.2">
      <c r="A55" s="72" t="s">
        <v>72</v>
      </c>
      <c r="B55" s="59"/>
      <c r="C55" s="20"/>
      <c r="D55" s="70">
        <f>[1]Main!E32</f>
        <v>0</v>
      </c>
      <c r="E55" s="54">
        <f>IF($B31-SUM($E51:E54)&gt;D55,D55,$B31-SUM($E51:E54))</f>
        <v>0</v>
      </c>
      <c r="F55" s="54">
        <f>D55-E55</f>
        <v>0</v>
      </c>
      <c r="G55" s="1"/>
      <c r="H55" s="30"/>
      <c r="I55" s="30"/>
      <c r="J55" s="30"/>
    </row>
    <row r="56" spans="1:10" x14ac:dyDescent="0.2">
      <c r="A56" s="72" t="s">
        <v>73</v>
      </c>
      <c r="B56" s="59"/>
      <c r="C56" s="20"/>
      <c r="D56" s="54">
        <f>+[1]Main!$F148</f>
        <v>1305.8699999999999</v>
      </c>
      <c r="E56" s="54">
        <f>IF($B30-SUM($E50:E54)&gt;D56,D56,$B30-SUM($E50:E54))</f>
        <v>0</v>
      </c>
      <c r="F56" s="54">
        <f t="shared" si="1"/>
        <v>1305.8699999999999</v>
      </c>
      <c r="G56" s="1"/>
      <c r="H56" s="30"/>
      <c r="I56" s="30"/>
      <c r="J56" s="30"/>
    </row>
    <row r="57" spans="1:10" x14ac:dyDescent="0.2">
      <c r="A57" s="71" t="s">
        <v>74</v>
      </c>
      <c r="B57" s="59"/>
      <c r="C57" s="20"/>
      <c r="D57" s="54">
        <f>+[1]Main!$C90</f>
        <v>127520</v>
      </c>
      <c r="E57" s="54">
        <f>IF($B30-SUM($E50:E56)&gt;D57,D57,$B30-SUM($E50:E56))</f>
        <v>0</v>
      </c>
      <c r="F57" s="54">
        <f t="shared" si="1"/>
        <v>127520</v>
      </c>
      <c r="G57" s="1"/>
      <c r="H57" s="30"/>
      <c r="I57" s="30"/>
      <c r="J57" s="30"/>
    </row>
    <row r="58" spans="1:10" x14ac:dyDescent="0.2">
      <c r="A58" s="71" t="s">
        <v>75</v>
      </c>
      <c r="B58" s="59"/>
      <c r="C58" s="20"/>
      <c r="D58" s="54">
        <f>+[1]Main!$D90</f>
        <v>0</v>
      </c>
      <c r="E58" s="54">
        <f>IF($B30-SUM($E50:E57)&gt;D58,D58,$B30-SUM($E50:E57))</f>
        <v>0</v>
      </c>
      <c r="F58" s="54">
        <f t="shared" si="1"/>
        <v>0</v>
      </c>
      <c r="G58" s="1"/>
      <c r="H58" s="30"/>
      <c r="I58" s="30"/>
      <c r="J58" s="30"/>
    </row>
    <row r="59" spans="1:10" x14ac:dyDescent="0.2">
      <c r="A59" s="71" t="s">
        <v>76</v>
      </c>
      <c r="B59" s="59"/>
      <c r="C59" s="20"/>
      <c r="D59" s="54">
        <f>+[1]Main!$E90</f>
        <v>0</v>
      </c>
      <c r="E59" s="54">
        <f>IF($B30-SUM($E50:E58)&gt;D59,D59,$B30-SUM($E50:E58))</f>
        <v>0</v>
      </c>
      <c r="F59" s="54">
        <f t="shared" si="1"/>
        <v>0</v>
      </c>
      <c r="G59" s="1"/>
      <c r="H59" s="30"/>
      <c r="I59" s="30"/>
      <c r="J59" s="30"/>
    </row>
    <row r="60" spans="1:10" x14ac:dyDescent="0.2">
      <c r="A60" s="71" t="s">
        <v>77</v>
      </c>
      <c r="B60" s="59"/>
      <c r="C60" s="20"/>
      <c r="D60" s="54">
        <f>[1]Main!F90</f>
        <v>26169</v>
      </c>
      <c r="E60" s="54">
        <f>IF($B30-SUM($E50:E59)&gt;D60,D60,$B30-SUM($E50:E59))</f>
        <v>0</v>
      </c>
      <c r="F60" s="54">
        <f t="shared" si="1"/>
        <v>26169</v>
      </c>
      <c r="G60" s="1"/>
      <c r="H60" s="57" t="s">
        <v>48</v>
      </c>
      <c r="I60" s="30"/>
      <c r="J60" s="30"/>
    </row>
    <row r="61" spans="1:10" x14ac:dyDescent="0.2">
      <c r="A61" s="71" t="s">
        <v>79</v>
      </c>
      <c r="B61" s="59"/>
      <c r="C61" s="20"/>
      <c r="D61" s="54">
        <f>[1]Main!G90</f>
        <v>0</v>
      </c>
      <c r="E61" s="54">
        <f>IF($B30-SUM($E50:E60)&gt;D61,D61,$B30-SUM($E50:E60))</f>
        <v>0</v>
      </c>
      <c r="F61" s="54">
        <f t="shared" si="1"/>
        <v>0</v>
      </c>
      <c r="G61" s="1"/>
      <c r="H61" s="57"/>
      <c r="I61" s="30"/>
      <c r="J61" s="30"/>
    </row>
    <row r="62" spans="1:10" x14ac:dyDescent="0.2">
      <c r="A62" s="71" t="s">
        <v>78</v>
      </c>
      <c r="B62" s="59"/>
      <c r="C62" s="20"/>
      <c r="D62" s="54">
        <f>[1]Main!G148</f>
        <v>9607.77</v>
      </c>
      <c r="E62" s="54">
        <f>IF($B30-SUM($E50:E61)&gt;D62,D62,$B30-SUM($E50:E61))</f>
        <v>0</v>
      </c>
      <c r="F62" s="54">
        <f t="shared" si="1"/>
        <v>9607.77</v>
      </c>
      <c r="G62" s="1"/>
      <c r="H62" s="73">
        <f>+[1]Main!D206</f>
        <v>164602.64000000001</v>
      </c>
      <c r="I62" s="30"/>
      <c r="J62" s="30"/>
    </row>
    <row r="63" spans="1:10" x14ac:dyDescent="0.2">
      <c r="A63" s="71" t="s">
        <v>80</v>
      </c>
      <c r="B63" s="59"/>
      <c r="C63" s="20"/>
      <c r="D63" s="54">
        <f>[1]Main!C206</f>
        <v>0</v>
      </c>
      <c r="E63" s="54"/>
      <c r="F63" s="54">
        <f t="shared" si="1"/>
        <v>0</v>
      </c>
      <c r="G63" s="1"/>
      <c r="H63" s="57">
        <f>+SUM(D56:D63)</f>
        <v>164602.64000000001</v>
      </c>
      <c r="I63" s="30"/>
      <c r="J63" s="30"/>
    </row>
    <row r="64" spans="1:10" x14ac:dyDescent="0.2">
      <c r="A64" s="71" t="s">
        <v>81</v>
      </c>
      <c r="B64" s="59"/>
      <c r="C64" s="20"/>
      <c r="D64" s="54">
        <f>[1]Main!C264</f>
        <v>127771</v>
      </c>
      <c r="E64" s="54">
        <v>0</v>
      </c>
      <c r="F64" s="54">
        <f t="shared" si="1"/>
        <v>127771</v>
      </c>
      <c r="G64" s="1"/>
      <c r="H64" s="57">
        <f>+H62-H63</f>
        <v>0</v>
      </c>
      <c r="I64" s="30"/>
      <c r="J64" s="30"/>
    </row>
    <row r="65" spans="1:10" x14ac:dyDescent="0.2">
      <c r="A65" s="71" t="s">
        <v>82</v>
      </c>
      <c r="B65" s="59"/>
      <c r="C65" s="20"/>
      <c r="D65" s="54">
        <f>+[7]Main!I31+[7]Main!J31</f>
        <v>57595.67</v>
      </c>
      <c r="E65" s="74">
        <f>[7]Main!J31</f>
        <v>13775.87</v>
      </c>
      <c r="F65" s="54">
        <f t="shared" si="1"/>
        <v>43819.8</v>
      </c>
      <c r="G65" s="1"/>
      <c r="H65" s="30"/>
      <c r="I65" s="30"/>
      <c r="J65" s="30"/>
    </row>
    <row r="66" spans="1:10" x14ac:dyDescent="0.2">
      <c r="A66" s="71" t="s">
        <v>83</v>
      </c>
      <c r="B66" s="59"/>
      <c r="C66" s="20"/>
      <c r="D66" s="54">
        <f>[1]Main!F264</f>
        <v>34423</v>
      </c>
      <c r="E66" s="54">
        <v>0</v>
      </c>
      <c r="F66" s="54">
        <f t="shared" si="1"/>
        <v>34423</v>
      </c>
      <c r="G66" s="1"/>
      <c r="H66" s="30"/>
      <c r="I66" s="30"/>
      <c r="J66" s="30"/>
    </row>
    <row r="67" spans="1:10" x14ac:dyDescent="0.2">
      <c r="A67" s="71" t="s">
        <v>84</v>
      </c>
      <c r="B67" s="59"/>
      <c r="C67" s="7"/>
      <c r="D67" s="54">
        <f>[1]Main!E264</f>
        <v>4086.74</v>
      </c>
      <c r="E67" s="54">
        <v>0</v>
      </c>
      <c r="F67" s="54">
        <f t="shared" si="1"/>
        <v>4086.74</v>
      </c>
      <c r="G67" s="1"/>
      <c r="H67" s="57" t="s">
        <v>49</v>
      </c>
      <c r="I67" s="30"/>
      <c r="J67" s="30"/>
    </row>
    <row r="68" spans="1:10" x14ac:dyDescent="0.2">
      <c r="A68" s="71" t="s">
        <v>85</v>
      </c>
      <c r="B68" s="59"/>
      <c r="C68" s="7"/>
      <c r="D68" s="54">
        <f>[1]Main!G264</f>
        <v>35336</v>
      </c>
      <c r="E68" s="54">
        <v>0</v>
      </c>
      <c r="F68" s="54">
        <f t="shared" si="1"/>
        <v>35336</v>
      </c>
      <c r="G68" s="1"/>
      <c r="H68" s="57">
        <f>+[1]Main!C493</f>
        <v>421319.45</v>
      </c>
      <c r="I68" s="57"/>
      <c r="J68" s="57"/>
    </row>
    <row r="69" spans="1:10" x14ac:dyDescent="0.2">
      <c r="A69" s="71" t="s">
        <v>86</v>
      </c>
      <c r="B69" s="59"/>
      <c r="C69" s="20"/>
      <c r="D69" s="54">
        <f>[1]Main!C322</f>
        <v>0</v>
      </c>
      <c r="E69" s="54">
        <v>0</v>
      </c>
      <c r="F69" s="54">
        <f t="shared" si="1"/>
        <v>0</v>
      </c>
      <c r="G69" s="1"/>
      <c r="H69" s="57">
        <f>+SUM(D64:D74)-E65</f>
        <v>421319.45</v>
      </c>
      <c r="I69" s="57"/>
      <c r="J69" s="57">
        <f>+H69-H68</f>
        <v>0</v>
      </c>
    </row>
    <row r="70" spans="1:10" x14ac:dyDescent="0.2">
      <c r="A70" s="71" t="s">
        <v>87</v>
      </c>
      <c r="C70" s="8"/>
      <c r="D70" s="76">
        <f>[1]Main!D322</f>
        <v>145841.14000000001</v>
      </c>
      <c r="E70" s="77">
        <v>0</v>
      </c>
      <c r="F70" s="77">
        <f t="shared" si="1"/>
        <v>145841.14000000001</v>
      </c>
      <c r="G70" s="5"/>
      <c r="H70" s="57">
        <f>+H68-H69</f>
        <v>0</v>
      </c>
      <c r="I70" s="57"/>
      <c r="J70" s="57"/>
    </row>
    <row r="71" spans="1:10" x14ac:dyDescent="0.2">
      <c r="A71" s="71" t="s">
        <v>88</v>
      </c>
      <c r="B71" s="59"/>
      <c r="C71" s="20"/>
      <c r="D71" s="54">
        <f>+[1]Main!$E322</f>
        <v>935.49</v>
      </c>
      <c r="E71" s="54">
        <v>0</v>
      </c>
      <c r="F71" s="54">
        <f>D71-E71</f>
        <v>935.49</v>
      </c>
      <c r="G71" s="4"/>
      <c r="H71" s="30"/>
      <c r="I71" s="30"/>
      <c r="J71" s="30"/>
    </row>
    <row r="72" spans="1:10" x14ac:dyDescent="0.2">
      <c r="A72" s="71" t="s">
        <v>89</v>
      </c>
      <c r="B72" s="59"/>
      <c r="C72" s="20"/>
      <c r="D72" s="54">
        <f>[1]Main!F322</f>
        <v>2347.69</v>
      </c>
      <c r="E72" s="54">
        <v>0</v>
      </c>
      <c r="F72" s="54">
        <f>D72-E72</f>
        <v>2347.69</v>
      </c>
      <c r="G72" s="4"/>
      <c r="H72" s="30"/>
      <c r="I72" s="30"/>
      <c r="J72" s="30"/>
    </row>
    <row r="73" spans="1:10" x14ac:dyDescent="0.2">
      <c r="A73" s="71" t="s">
        <v>90</v>
      </c>
      <c r="B73" s="59"/>
      <c r="C73" s="20"/>
      <c r="D73" s="54">
        <f>[1]Main!G322</f>
        <v>0</v>
      </c>
      <c r="E73" s="54">
        <v>0</v>
      </c>
      <c r="F73" s="54">
        <f>D73-E73</f>
        <v>0</v>
      </c>
      <c r="G73" s="1"/>
      <c r="H73" s="57" t="s">
        <v>50</v>
      </c>
      <c r="I73" s="30"/>
      <c r="J73" s="30"/>
    </row>
    <row r="74" spans="1:10" x14ac:dyDescent="0.2">
      <c r="A74" s="71" t="s">
        <v>93</v>
      </c>
      <c r="B74" s="59"/>
      <c r="C74" s="20"/>
      <c r="D74" s="54">
        <f>[1]Main!F379</f>
        <v>26758.59</v>
      </c>
      <c r="E74" s="54">
        <v>0</v>
      </c>
      <c r="F74" s="54">
        <f>D74-E74</f>
        <v>26758.59</v>
      </c>
      <c r="G74" s="1"/>
      <c r="H74" s="57"/>
      <c r="I74" s="30"/>
      <c r="J74" s="30"/>
    </row>
    <row r="75" spans="1:10" x14ac:dyDescent="0.2">
      <c r="A75" s="55" t="s">
        <v>30</v>
      </c>
      <c r="B75" s="78"/>
      <c r="C75" s="79"/>
      <c r="D75" s="64"/>
      <c r="E75" s="64"/>
      <c r="F75" s="64"/>
      <c r="G75" s="1"/>
      <c r="H75" s="57"/>
      <c r="I75" s="30"/>
      <c r="J75" s="30"/>
    </row>
    <row r="76" spans="1:10" x14ac:dyDescent="0.2">
      <c r="A76" s="71" t="s">
        <v>60</v>
      </c>
      <c r="B76" s="59"/>
      <c r="C76" s="20"/>
      <c r="D76" s="54">
        <f>[1]Main!C436</f>
        <v>5583.48</v>
      </c>
      <c r="E76" s="54">
        <v>0</v>
      </c>
      <c r="F76" s="54">
        <f>D76-E76</f>
        <v>5583.48</v>
      </c>
      <c r="G76" s="1"/>
      <c r="H76" s="57">
        <f>+[1]Main!G436</f>
        <v>13185.48</v>
      </c>
      <c r="I76" s="30"/>
      <c r="J76" s="30"/>
    </row>
    <row r="77" spans="1:10" x14ac:dyDescent="0.2">
      <c r="A77" s="71" t="s">
        <v>63</v>
      </c>
      <c r="B77" s="59"/>
      <c r="C77" s="20"/>
      <c r="D77" s="54">
        <f>[1]Main!D436</f>
        <v>0</v>
      </c>
      <c r="E77" s="54">
        <v>0</v>
      </c>
      <c r="F77" s="54">
        <f>D77-E77</f>
        <v>0</v>
      </c>
      <c r="G77" s="4"/>
      <c r="H77" s="57">
        <f>SUM(D76:D79)</f>
        <v>13185.48</v>
      </c>
      <c r="I77" s="30"/>
      <c r="J77" s="30"/>
    </row>
    <row r="78" spans="1:10" x14ac:dyDescent="0.2">
      <c r="A78" s="71" t="s">
        <v>91</v>
      </c>
      <c r="B78" s="59"/>
      <c r="C78" s="20"/>
      <c r="D78" s="54">
        <f>[1]Main!E436</f>
        <v>0</v>
      </c>
      <c r="E78" s="54">
        <v>0</v>
      </c>
      <c r="F78" s="54">
        <f>D78-E78</f>
        <v>0</v>
      </c>
      <c r="G78" s="4"/>
      <c r="H78" s="57">
        <f>+H76-H77</f>
        <v>0</v>
      </c>
      <c r="I78" s="30"/>
      <c r="J78" s="30"/>
    </row>
    <row r="79" spans="1:10" x14ac:dyDescent="0.2">
      <c r="A79" s="71" t="s">
        <v>92</v>
      </c>
      <c r="B79" s="59"/>
      <c r="C79" s="20"/>
      <c r="D79" s="54">
        <f>[1]Main!F436</f>
        <v>7602</v>
      </c>
      <c r="E79" s="54">
        <v>0</v>
      </c>
      <c r="F79" s="54">
        <f>D79-E79</f>
        <v>7602</v>
      </c>
      <c r="G79" s="1"/>
      <c r="H79" s="30"/>
      <c r="I79" s="30"/>
      <c r="J79" s="30"/>
    </row>
    <row r="80" spans="1:10" x14ac:dyDescent="0.2">
      <c r="A80" s="55" t="s">
        <v>31</v>
      </c>
      <c r="B80" s="78"/>
      <c r="C80" s="79"/>
      <c r="D80" s="64"/>
      <c r="E80" s="64"/>
      <c r="F80" s="64"/>
      <c r="G80" s="1"/>
      <c r="H80" s="30"/>
      <c r="I80" s="30"/>
      <c r="J80" s="30"/>
    </row>
    <row r="81" spans="1:10" x14ac:dyDescent="0.2">
      <c r="A81" s="58" t="s">
        <v>69</v>
      </c>
      <c r="B81" s="59"/>
      <c r="C81" s="20"/>
      <c r="D81" s="54">
        <f>+[1]Main!$G549</f>
        <v>105270.42</v>
      </c>
      <c r="E81" s="54">
        <f>+[1]Main!$D549</f>
        <v>39030.33</v>
      </c>
      <c r="F81" s="54">
        <f>+D81-E81</f>
        <v>66240.09</v>
      </c>
      <c r="G81" s="1"/>
      <c r="H81" s="30"/>
      <c r="I81" s="30"/>
      <c r="J81" s="30"/>
    </row>
    <row r="82" spans="1:10" x14ac:dyDescent="0.2">
      <c r="A82" s="59" t="s">
        <v>68</v>
      </c>
      <c r="B82" s="59"/>
      <c r="C82" s="20"/>
      <c r="D82" s="54">
        <f>+[1]Main!$G604</f>
        <v>137160.16</v>
      </c>
      <c r="E82" s="54">
        <f>+[1]Main!$D604</f>
        <v>52922.48</v>
      </c>
      <c r="F82" s="54">
        <f>+D82-E82</f>
        <v>84237.68</v>
      </c>
      <c r="G82" s="1"/>
      <c r="H82" s="30"/>
      <c r="I82" s="30"/>
      <c r="J82" s="30"/>
    </row>
    <row r="83" spans="1:10" ht="13.5" thickBot="1" x14ac:dyDescent="0.25">
      <c r="A83" s="80"/>
      <c r="B83" s="81"/>
      <c r="C83" s="82" t="s">
        <v>29</v>
      </c>
      <c r="D83" s="83">
        <f>SUM(D50:D82)</f>
        <v>3900325.16</v>
      </c>
      <c r="E83" s="83">
        <f>SUM(E50:E82)</f>
        <v>327341.68</v>
      </c>
      <c r="F83" s="83">
        <f>SUM(F50:F82)</f>
        <v>3572983.48</v>
      </c>
      <c r="G83" s="1"/>
      <c r="H83" s="30"/>
      <c r="I83" s="30"/>
      <c r="J83" s="30"/>
    </row>
    <row r="84" spans="1:10" ht="13.5" thickTop="1" x14ac:dyDescent="0.2">
      <c r="A84" s="84"/>
      <c r="B84" s="59"/>
      <c r="C84" s="85"/>
      <c r="D84" s="86"/>
      <c r="E84" s="86"/>
      <c r="F84" s="87"/>
      <c r="G84" s="1"/>
      <c r="H84" s="30"/>
      <c r="I84" s="30"/>
      <c r="J84" s="30"/>
    </row>
    <row r="85" spans="1:10" x14ac:dyDescent="0.2">
      <c r="A85" s="88" t="s">
        <v>40</v>
      </c>
      <c r="B85" s="78"/>
      <c r="C85" s="89"/>
      <c r="D85" s="90"/>
      <c r="E85" s="91"/>
      <c r="F85" s="92" t="s">
        <v>36</v>
      </c>
      <c r="G85" s="6"/>
      <c r="H85" s="57" t="s">
        <v>51</v>
      </c>
      <c r="I85" s="30"/>
      <c r="J85" s="57" t="s">
        <v>7</v>
      </c>
    </row>
    <row r="86" spans="1:10" x14ac:dyDescent="0.2">
      <c r="A86" s="93" t="s">
        <v>33</v>
      </c>
      <c r="B86" s="94"/>
      <c r="C86" s="95"/>
      <c r="D86" s="96"/>
      <c r="E86" s="96"/>
      <c r="F86" s="91"/>
      <c r="G86" s="6"/>
      <c r="H86" s="30"/>
      <c r="I86" s="30"/>
      <c r="J86" s="30"/>
    </row>
    <row r="87" spans="1:10" x14ac:dyDescent="0.2">
      <c r="A87" s="59" t="s">
        <v>34</v>
      </c>
      <c r="B87" s="59"/>
      <c r="C87" s="22"/>
      <c r="D87" s="27"/>
      <c r="E87" s="27"/>
      <c r="F87" s="97">
        <f>+[8]Main!$C32</f>
        <v>100000</v>
      </c>
      <c r="G87" s="5"/>
      <c r="H87" s="57">
        <f>+[1]Main!G660</f>
        <v>242430.58</v>
      </c>
      <c r="I87" s="30"/>
      <c r="J87" s="57">
        <f>+[1]Main!E660+[1]Main!F660</f>
        <v>150477.76999999999</v>
      </c>
    </row>
    <row r="88" spans="1:10" x14ac:dyDescent="0.2">
      <c r="A88" s="59" t="s">
        <v>66</v>
      </c>
      <c r="B88" s="59"/>
      <c r="C88" s="22"/>
      <c r="D88" s="27"/>
      <c r="E88" s="27"/>
      <c r="F88" s="97">
        <f>+[8]Main!$D32</f>
        <v>0</v>
      </c>
      <c r="G88" s="5"/>
      <c r="H88" s="57">
        <f>+D81+D82</f>
        <v>242430.58</v>
      </c>
      <c r="I88" s="30"/>
      <c r="J88" s="57">
        <f>+F81+F82</f>
        <v>150477.76999999999</v>
      </c>
    </row>
    <row r="89" spans="1:10" x14ac:dyDescent="0.2">
      <c r="A89" s="32" t="s">
        <v>65</v>
      </c>
      <c r="B89" s="32"/>
      <c r="C89" s="22"/>
      <c r="D89" s="28"/>
      <c r="E89" s="28"/>
      <c r="F89" s="97">
        <f>+[8]Main!$E32</f>
        <v>0</v>
      </c>
      <c r="G89" s="1"/>
      <c r="H89" s="57">
        <f>+H87-H88</f>
        <v>0</v>
      </c>
      <c r="I89" s="30"/>
      <c r="J89" s="57">
        <f>+J87-J88</f>
        <v>0</v>
      </c>
    </row>
    <row r="90" spans="1:10" x14ac:dyDescent="0.2">
      <c r="A90" s="32" t="s">
        <v>67</v>
      </c>
      <c r="B90" s="32"/>
      <c r="C90" s="22"/>
      <c r="D90" s="28"/>
      <c r="E90" s="28"/>
      <c r="F90" s="97">
        <f>+[8]Main!$F32</f>
        <v>0</v>
      </c>
      <c r="G90" s="1"/>
      <c r="H90" s="30"/>
      <c r="I90" s="30"/>
      <c r="J90" s="30"/>
    </row>
    <row r="91" spans="1:10" x14ac:dyDescent="0.2">
      <c r="A91" s="88" t="s">
        <v>35</v>
      </c>
      <c r="B91" s="78"/>
      <c r="C91" s="89"/>
      <c r="D91" s="90"/>
      <c r="E91" s="91"/>
      <c r="F91" s="54">
        <f>+[8]Main!$C90</f>
        <v>11331.98</v>
      </c>
      <c r="G91" s="1"/>
      <c r="H91" s="30"/>
      <c r="I91" s="30"/>
      <c r="J91" s="30"/>
    </row>
    <row r="92" spans="1:10" ht="13.5" thickBot="1" x14ac:dyDescent="0.25">
      <c r="A92" s="98"/>
      <c r="B92" s="99"/>
      <c r="C92" s="100" t="s">
        <v>29</v>
      </c>
      <c r="D92" s="101"/>
      <c r="E92" s="102"/>
      <c r="F92" s="103">
        <f>SUM(F87:F91)</f>
        <v>111331.98</v>
      </c>
      <c r="G92" s="1"/>
      <c r="H92" s="30"/>
      <c r="I92" s="30"/>
      <c r="J92" s="30"/>
    </row>
    <row r="93" spans="1:10" ht="13.5" thickBot="1" x14ac:dyDescent="0.25">
      <c r="A93" s="104"/>
      <c r="B93" s="105"/>
      <c r="C93" s="106" t="s">
        <v>53</v>
      </c>
      <c r="D93" s="107"/>
      <c r="E93" s="108"/>
      <c r="F93" s="109">
        <f>+F92+F83</f>
        <v>3684315.46</v>
      </c>
      <c r="G93" s="1"/>
      <c r="H93" s="57" t="s">
        <v>54</v>
      </c>
      <c r="I93" s="30"/>
      <c r="J93" s="30"/>
    </row>
    <row r="94" spans="1:10" x14ac:dyDescent="0.2">
      <c r="A94" s="11"/>
      <c r="B94" s="12"/>
      <c r="C94" s="9"/>
      <c r="D94" s="29"/>
      <c r="E94" s="29"/>
      <c r="F94" s="110"/>
      <c r="G94" s="1"/>
      <c r="H94" s="57">
        <f>+[8]Main!$G32</f>
        <v>100000</v>
      </c>
      <c r="I94" s="30"/>
      <c r="J94" s="30"/>
    </row>
    <row r="95" spans="1:10" x14ac:dyDescent="0.2">
      <c r="A95" s="11"/>
      <c r="B95" s="12"/>
      <c r="C95" s="9"/>
      <c r="D95" s="29"/>
      <c r="E95" s="29"/>
      <c r="F95" s="110"/>
      <c r="G95" s="1"/>
      <c r="H95" s="57">
        <f>SUM(F87:F90)</f>
        <v>100000</v>
      </c>
      <c r="I95" s="30"/>
      <c r="J95" s="30"/>
    </row>
    <row r="96" spans="1:10" x14ac:dyDescent="0.2">
      <c r="A96" s="1"/>
      <c r="B96" s="1"/>
      <c r="C96" s="7"/>
      <c r="D96" s="26"/>
      <c r="E96" s="26"/>
      <c r="F96" s="86">
        <f>+F92+F83</f>
        <v>3684315.46</v>
      </c>
      <c r="G96" s="1"/>
      <c r="H96" s="57">
        <f>+H94-H95</f>
        <v>0</v>
      </c>
      <c r="I96" s="30"/>
      <c r="J96" s="30"/>
    </row>
    <row r="97" spans="1:10" x14ac:dyDescent="0.2">
      <c r="A97" s="1"/>
      <c r="B97" s="1"/>
      <c r="C97" s="7"/>
      <c r="D97" s="26"/>
      <c r="E97" s="26"/>
      <c r="F97" s="86">
        <f>+[1]Main!$F776</f>
        <v>3684315.46</v>
      </c>
      <c r="G97" s="1"/>
      <c r="H97" s="30"/>
      <c r="I97" s="30"/>
      <c r="J97" s="30"/>
    </row>
    <row r="98" spans="1:10" x14ac:dyDescent="0.2">
      <c r="A98" s="59"/>
      <c r="B98" s="59"/>
      <c r="C98" s="85"/>
      <c r="D98" s="86"/>
      <c r="E98" s="86">
        <f>+E83+[1]Main!$E776</f>
        <v>0</v>
      </c>
      <c r="F98" s="86">
        <f>+F97-F96</f>
        <v>0</v>
      </c>
      <c r="G98" s="59"/>
      <c r="H98" s="57"/>
      <c r="I98" s="57"/>
      <c r="J98" s="57"/>
    </row>
    <row r="99" spans="1:10" x14ac:dyDescent="0.2">
      <c r="A99" s="59"/>
      <c r="B99" s="59"/>
      <c r="C99" s="85"/>
      <c r="D99" s="86"/>
      <c r="E99" s="86"/>
      <c r="F99" s="86"/>
      <c r="G99" s="59"/>
      <c r="H99" s="57"/>
      <c r="I99" s="57"/>
      <c r="J99" s="57"/>
    </row>
    <row r="100" spans="1:10" x14ac:dyDescent="0.2">
      <c r="A100" s="59"/>
      <c r="B100" s="59"/>
      <c r="C100" s="85"/>
      <c r="D100" s="86"/>
      <c r="E100" s="86"/>
      <c r="F100" s="86"/>
      <c r="G100" s="59"/>
      <c r="H100" s="57"/>
      <c r="I100" s="57"/>
      <c r="J100" s="57"/>
    </row>
    <row r="101" spans="1:10" x14ac:dyDescent="0.2">
      <c r="A101" s="59"/>
      <c r="B101" s="59"/>
      <c r="C101" s="85"/>
      <c r="D101" s="86"/>
      <c r="E101" s="86"/>
      <c r="F101" s="86"/>
      <c r="G101" s="59"/>
      <c r="H101" s="111" t="s">
        <v>55</v>
      </c>
      <c r="I101" s="57"/>
      <c r="J101" s="57"/>
    </row>
    <row r="102" spans="1:10" x14ac:dyDescent="0.2">
      <c r="G102" s="59"/>
      <c r="H102" s="112"/>
      <c r="I102" s="112"/>
      <c r="J102" s="112"/>
    </row>
    <row r="103" spans="1:10" x14ac:dyDescent="0.2">
      <c r="G103" s="59"/>
      <c r="H103" s="112"/>
      <c r="I103" s="112"/>
      <c r="J103" s="112"/>
    </row>
    <row r="104" spans="1:10" x14ac:dyDescent="0.2">
      <c r="G104" s="59"/>
      <c r="H104" s="112"/>
      <c r="I104" s="112"/>
      <c r="J104" s="112"/>
    </row>
    <row r="105" spans="1:10" x14ac:dyDescent="0.2">
      <c r="G105" s="59"/>
      <c r="H105" s="112"/>
      <c r="I105" s="112"/>
      <c r="J105" s="112"/>
    </row>
    <row r="106" spans="1:10" x14ac:dyDescent="0.2">
      <c r="G106" s="59"/>
      <c r="H106" s="71"/>
      <c r="I106" s="112"/>
      <c r="J106" s="112"/>
    </row>
  </sheetData>
  <mergeCells count="1">
    <mergeCell ref="D26:E26"/>
  </mergeCells>
  <phoneticPr fontId="0" type="noConversion"/>
  <printOptions horizontalCentered="1" verticalCentered="1"/>
  <pageMargins left="0.5" right="0.25" top="0.5" bottom="0.5" header="0.5" footer="0.5"/>
  <pageSetup scale="89" orientation="portrait" horizontalDpi="1200" r:id="rId1"/>
  <headerFooter alignWithMargins="0">
    <oddHeader>&amp;R&amp;8Current as of: &amp;D</oddHeader>
    <oddFooter>&amp;L&amp;8USOE, Finance and Statistics&amp;R&amp;8&amp;F</oddFooter>
  </headerFooter>
  <picture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J108"/>
  <sheetViews>
    <sheetView topLeftCell="A46" workbookViewId="0">
      <selection activeCell="B31" sqref="B31"/>
    </sheetView>
  </sheetViews>
  <sheetFormatPr defaultColWidth="18.28515625" defaultRowHeight="12.75" x14ac:dyDescent="0.2"/>
  <cols>
    <col min="1" max="1" width="27" style="75" customWidth="1"/>
    <col min="2" max="2" width="16.7109375" style="75" customWidth="1"/>
    <col min="3" max="3" width="15.85546875" style="75" customWidth="1"/>
    <col min="4" max="4" width="16.28515625" style="75" customWidth="1"/>
    <col min="5" max="5" width="15.5703125" style="75" customWidth="1"/>
    <col min="6" max="6" width="17.42578125" style="75" customWidth="1"/>
    <col min="7" max="7" width="5.7109375" style="75" customWidth="1"/>
    <col min="8" max="8" width="21.5703125" style="75" customWidth="1"/>
    <col min="9" max="9" width="5" style="75" customWidth="1"/>
    <col min="10" max="10" width="20.85546875" style="75" customWidth="1"/>
    <col min="11" max="16384" width="18.28515625" style="75"/>
  </cols>
  <sheetData>
    <row r="1" spans="1:10" x14ac:dyDescent="0.2">
      <c r="A1" s="8"/>
      <c r="B1" s="8"/>
      <c r="C1" s="8"/>
      <c r="D1" s="8"/>
      <c r="E1" s="8"/>
      <c r="F1" s="8"/>
      <c r="G1" s="8"/>
      <c r="H1" s="8"/>
      <c r="I1" s="8"/>
      <c r="J1" s="8"/>
    </row>
    <row r="2" spans="1:10" x14ac:dyDescent="0.2">
      <c r="A2" s="8"/>
      <c r="B2" s="8"/>
      <c r="C2" s="8"/>
      <c r="D2" s="8"/>
      <c r="E2" s="8"/>
      <c r="F2" s="8"/>
      <c r="G2" s="8"/>
      <c r="H2" s="8"/>
      <c r="I2" s="8"/>
      <c r="J2" s="8"/>
    </row>
    <row r="3" spans="1:10" x14ac:dyDescent="0.2">
      <c r="A3" s="8"/>
      <c r="B3" s="8"/>
      <c r="C3" s="8"/>
      <c r="D3" s="8"/>
      <c r="E3" s="8"/>
      <c r="F3" s="8"/>
      <c r="G3" s="8"/>
      <c r="H3" s="8"/>
      <c r="I3" s="8"/>
      <c r="J3" s="8"/>
    </row>
    <row r="4" spans="1:10" x14ac:dyDescent="0.2">
      <c r="A4" s="8"/>
      <c r="B4" s="8"/>
      <c r="C4" s="8"/>
      <c r="D4" s="8"/>
      <c r="E4" s="8"/>
      <c r="F4" s="8"/>
      <c r="G4" s="8"/>
      <c r="H4" s="8"/>
      <c r="I4" s="8"/>
      <c r="J4" s="8"/>
    </row>
    <row r="5" spans="1:10" x14ac:dyDescent="0.2">
      <c r="A5" s="8"/>
      <c r="B5" s="8"/>
      <c r="C5" s="8"/>
      <c r="D5" s="8"/>
      <c r="E5" s="8"/>
      <c r="F5" s="8"/>
      <c r="G5" s="8"/>
      <c r="H5" s="8"/>
      <c r="I5" s="8"/>
      <c r="J5" s="8"/>
    </row>
    <row r="6" spans="1:10" x14ac:dyDescent="0.2">
      <c r="A6" s="8"/>
      <c r="B6" s="8"/>
      <c r="C6" s="8"/>
      <c r="D6" s="8"/>
      <c r="E6" s="8"/>
      <c r="F6" s="8"/>
      <c r="G6" s="8"/>
      <c r="H6" s="8"/>
      <c r="I6" s="8"/>
      <c r="J6" s="8"/>
    </row>
    <row r="7" spans="1:10" x14ac:dyDescent="0.2">
      <c r="A7" s="8"/>
      <c r="B7" s="8"/>
      <c r="C7" s="8"/>
      <c r="D7" s="8"/>
      <c r="E7" s="8"/>
      <c r="F7" s="8"/>
      <c r="G7" s="8"/>
      <c r="H7" s="8"/>
      <c r="I7" s="8"/>
      <c r="J7" s="8"/>
    </row>
    <row r="8" spans="1:10" x14ac:dyDescent="0.2">
      <c r="A8" s="8"/>
      <c r="B8" s="8"/>
      <c r="C8" s="8"/>
      <c r="D8" s="8"/>
      <c r="E8" s="8"/>
      <c r="F8" s="8"/>
      <c r="G8" s="8"/>
      <c r="H8" s="8"/>
      <c r="I8" s="8"/>
      <c r="J8" s="8"/>
    </row>
    <row r="9" spans="1:10" x14ac:dyDescent="0.2">
      <c r="A9" s="8"/>
      <c r="B9" s="8"/>
      <c r="C9" s="8"/>
      <c r="D9" s="8"/>
      <c r="E9" s="8"/>
      <c r="F9" s="8"/>
      <c r="G9" s="8"/>
      <c r="H9" s="8"/>
      <c r="I9" s="8"/>
      <c r="J9" s="8"/>
    </row>
    <row r="10" spans="1:10" x14ac:dyDescent="0.2">
      <c r="A10" s="8"/>
      <c r="B10" s="15"/>
      <c r="C10" s="8"/>
      <c r="D10" s="8"/>
      <c r="E10" s="8"/>
      <c r="F10" s="8"/>
      <c r="G10" s="8"/>
      <c r="H10" s="8"/>
      <c r="I10" s="8"/>
      <c r="J10" s="8"/>
    </row>
    <row r="11" spans="1:10" x14ac:dyDescent="0.2">
      <c r="A11" s="8"/>
      <c r="B11" s="8"/>
      <c r="C11" s="8"/>
      <c r="D11" s="8"/>
      <c r="E11" s="8"/>
      <c r="F11" s="8"/>
      <c r="G11" s="8"/>
      <c r="H11" s="8"/>
      <c r="I11" s="8"/>
      <c r="J11" s="8"/>
    </row>
    <row r="12" spans="1:10" x14ac:dyDescent="0.2">
      <c r="A12" s="8"/>
      <c r="B12" s="8"/>
      <c r="C12" s="8"/>
      <c r="D12" s="8"/>
      <c r="E12" s="8"/>
      <c r="F12" s="8"/>
      <c r="G12" s="8"/>
      <c r="H12" s="8"/>
      <c r="I12" s="8"/>
      <c r="J12" s="8"/>
    </row>
    <row r="13" spans="1:10" x14ac:dyDescent="0.2">
      <c r="A13" s="8"/>
      <c r="B13" s="8"/>
      <c r="C13" s="8"/>
      <c r="D13" s="8"/>
      <c r="E13" s="8"/>
      <c r="F13" s="8"/>
      <c r="G13" s="8"/>
      <c r="H13" s="8"/>
      <c r="I13" s="8"/>
      <c r="J13" s="8"/>
    </row>
    <row r="14" spans="1:10" x14ac:dyDescent="0.2">
      <c r="A14" s="8"/>
      <c r="B14" s="8"/>
      <c r="C14" s="8"/>
      <c r="D14" s="8"/>
      <c r="E14" s="8"/>
      <c r="F14" s="8"/>
      <c r="G14" s="8"/>
      <c r="H14" s="8"/>
      <c r="I14" s="8"/>
      <c r="J14" s="8"/>
    </row>
    <row r="15" spans="1:10" x14ac:dyDescent="0.2">
      <c r="A15" s="8"/>
      <c r="B15" s="8"/>
      <c r="C15" s="8"/>
      <c r="D15" s="8"/>
      <c r="E15" s="8"/>
      <c r="F15" s="8"/>
      <c r="G15" s="8"/>
      <c r="H15" s="8"/>
      <c r="I15" s="8"/>
      <c r="J15" s="8"/>
    </row>
    <row r="16" spans="1:10" x14ac:dyDescent="0.2">
      <c r="A16" s="8"/>
      <c r="B16" s="8"/>
      <c r="C16" s="8"/>
      <c r="D16" s="8"/>
      <c r="E16" s="8"/>
      <c r="F16" s="8"/>
      <c r="G16" s="8"/>
      <c r="H16" s="8"/>
      <c r="I16" s="8"/>
      <c r="J16" s="8"/>
    </row>
    <row r="17" spans="1:10" x14ac:dyDescent="0.2">
      <c r="A17" s="8"/>
      <c r="B17" s="8"/>
      <c r="C17" s="8"/>
      <c r="D17" s="8"/>
      <c r="E17" s="8"/>
      <c r="F17" s="8"/>
      <c r="G17" s="8"/>
      <c r="H17" s="8"/>
      <c r="I17" s="8"/>
      <c r="J17" s="8"/>
    </row>
    <row r="18" spans="1:10" x14ac:dyDescent="0.2">
      <c r="A18" s="8"/>
      <c r="B18" s="8"/>
      <c r="C18" s="8"/>
      <c r="D18" s="8"/>
      <c r="E18" s="8"/>
      <c r="F18" s="8"/>
      <c r="G18" s="8"/>
      <c r="H18" s="8"/>
      <c r="I18" s="8"/>
      <c r="J18" s="8"/>
    </row>
    <row r="19" spans="1:10" x14ac:dyDescent="0.2">
      <c r="A19" s="8"/>
      <c r="B19" s="8"/>
      <c r="C19" s="8"/>
      <c r="D19" s="8"/>
      <c r="E19" s="8"/>
      <c r="F19" s="8"/>
      <c r="G19" s="8"/>
      <c r="H19" s="8"/>
      <c r="I19" s="8"/>
      <c r="J19" s="8"/>
    </row>
    <row r="20" spans="1:10" x14ac:dyDescent="0.2">
      <c r="A20" s="8"/>
      <c r="B20" s="8"/>
      <c r="C20" s="8"/>
      <c r="D20" s="8"/>
      <c r="E20" s="8"/>
      <c r="F20" s="8"/>
      <c r="G20" s="8"/>
      <c r="H20" s="8"/>
      <c r="I20" s="8"/>
      <c r="J20" s="8"/>
    </row>
    <row r="21" spans="1:10" x14ac:dyDescent="0.2">
      <c r="A21" s="8"/>
      <c r="B21" s="8"/>
      <c r="C21" s="8"/>
      <c r="D21" s="8"/>
      <c r="E21" s="8"/>
      <c r="F21" s="8"/>
      <c r="G21" s="8"/>
      <c r="H21" s="8"/>
      <c r="I21" s="8"/>
      <c r="J21" s="8"/>
    </row>
    <row r="22" spans="1:10" x14ac:dyDescent="0.2">
      <c r="A22" s="8"/>
      <c r="B22" s="8"/>
      <c r="C22" s="8"/>
      <c r="D22" s="8"/>
      <c r="E22" s="8"/>
      <c r="F22" s="8"/>
      <c r="G22" s="8"/>
      <c r="H22" s="8"/>
      <c r="I22" s="8"/>
      <c r="J22" s="8"/>
    </row>
    <row r="23" spans="1:10" x14ac:dyDescent="0.2">
      <c r="A23" s="8"/>
      <c r="B23" s="8"/>
      <c r="C23" s="8"/>
      <c r="D23" s="8"/>
      <c r="E23" s="8"/>
      <c r="F23" s="8"/>
      <c r="G23" s="8"/>
      <c r="H23" s="8"/>
      <c r="I23" s="8"/>
      <c r="J23" s="8"/>
    </row>
    <row r="24" spans="1:10" x14ac:dyDescent="0.2">
      <c r="A24" s="32" t="s">
        <v>0</v>
      </c>
      <c r="B24" s="33">
        <v>3184</v>
      </c>
      <c r="C24" s="34" t="s">
        <v>1</v>
      </c>
      <c r="D24" s="35"/>
      <c r="E24" s="35"/>
      <c r="F24" s="35"/>
      <c r="G24" s="1"/>
      <c r="H24" s="30"/>
      <c r="I24" s="30"/>
      <c r="J24" s="30"/>
    </row>
    <row r="25" spans="1:10" x14ac:dyDescent="0.2">
      <c r="A25" s="32" t="s">
        <v>61</v>
      </c>
      <c r="B25" s="36">
        <f>+[1]Main!$C550</f>
        <v>1.2899999999999999E-3</v>
      </c>
      <c r="C25" s="34" t="s">
        <v>41</v>
      </c>
      <c r="D25" s="35"/>
      <c r="E25" s="35"/>
      <c r="F25" s="35"/>
      <c r="G25" s="1"/>
      <c r="H25" s="30"/>
      <c r="I25" s="30"/>
      <c r="J25" s="30"/>
    </row>
    <row r="26" spans="1:10" x14ac:dyDescent="0.2">
      <c r="A26" s="32" t="s">
        <v>62</v>
      </c>
      <c r="B26" s="36">
        <f>+[1]Main!$C605</f>
        <v>1.24E-3</v>
      </c>
      <c r="C26" s="34" t="s">
        <v>95</v>
      </c>
      <c r="D26" s="35"/>
      <c r="E26" s="37"/>
      <c r="F26" s="35"/>
      <c r="G26" s="1"/>
      <c r="H26" s="30"/>
      <c r="I26" s="30"/>
      <c r="J26" s="30"/>
    </row>
    <row r="27" spans="1:10" x14ac:dyDescent="0.2">
      <c r="A27" s="38" t="s">
        <v>32</v>
      </c>
      <c r="B27" s="39">
        <f>[2]Sheet1!E32</f>
        <v>821211394</v>
      </c>
      <c r="C27" s="21"/>
      <c r="D27" s="31"/>
      <c r="E27" s="31"/>
      <c r="F27" s="23"/>
      <c r="G27" s="1"/>
      <c r="H27" s="30"/>
      <c r="I27" s="30"/>
      <c r="J27" s="30"/>
    </row>
    <row r="28" spans="1:10" x14ac:dyDescent="0.2">
      <c r="A28" s="32" t="s">
        <v>2</v>
      </c>
      <c r="B28" s="40">
        <f>[2]Sheet1!F32</f>
        <v>0.94399999999999995</v>
      </c>
      <c r="C28" s="7"/>
      <c r="D28" s="41" t="s">
        <v>3</v>
      </c>
      <c r="E28" s="42" t="str">
        <f>+[3]main!B33</f>
        <v>Rich</v>
      </c>
      <c r="F28" s="43">
        <f>+[3]main!A33</f>
        <v>24</v>
      </c>
      <c r="G28" s="1"/>
      <c r="H28" s="30"/>
      <c r="I28" s="30"/>
      <c r="J28" s="30"/>
    </row>
    <row r="29" spans="1:10" x14ac:dyDescent="0.2">
      <c r="A29" s="32" t="s">
        <v>4</v>
      </c>
      <c r="B29" s="44">
        <f>[2]Sheet1!G32</f>
        <v>1.6750000000000001E-3</v>
      </c>
      <c r="C29" s="8"/>
      <c r="D29" s="24"/>
      <c r="E29" s="25"/>
      <c r="F29" s="24"/>
      <c r="G29" s="1"/>
      <c r="H29" s="30"/>
      <c r="I29" s="30"/>
      <c r="J29" s="30"/>
    </row>
    <row r="30" spans="1:10" x14ac:dyDescent="0.2">
      <c r="A30" s="32" t="s">
        <v>5</v>
      </c>
      <c r="B30" s="45">
        <f>[2]Sheet1!$C$88</f>
        <v>1468103</v>
      </c>
      <c r="C30" s="46"/>
      <c r="D30" s="47" t="s">
        <v>38</v>
      </c>
      <c r="E30" s="48" t="s">
        <v>7</v>
      </c>
      <c r="F30" s="47" t="s">
        <v>6</v>
      </c>
      <c r="G30" s="1"/>
      <c r="H30" s="30"/>
      <c r="I30" s="30"/>
      <c r="J30" s="30"/>
    </row>
    <row r="31" spans="1:10" x14ac:dyDescent="0.2">
      <c r="A31" s="32" t="s">
        <v>8</v>
      </c>
      <c r="B31" s="45">
        <f>+B30</f>
        <v>1468103</v>
      </c>
      <c r="C31" s="49"/>
      <c r="D31" s="50" t="s">
        <v>9</v>
      </c>
      <c r="E31" s="50" t="s">
        <v>37</v>
      </c>
      <c r="F31" s="50" t="s">
        <v>10</v>
      </c>
      <c r="G31" s="1"/>
      <c r="H31" s="30"/>
      <c r="I31" s="30"/>
      <c r="J31" s="30"/>
    </row>
    <row r="32" spans="1:10" x14ac:dyDescent="0.2">
      <c r="A32" s="32" t="s">
        <v>11</v>
      </c>
      <c r="B32" s="45">
        <v>0</v>
      </c>
      <c r="C32" s="51" t="s">
        <v>39</v>
      </c>
      <c r="D32" s="52" t="s">
        <v>12</v>
      </c>
      <c r="E32" s="52" t="s">
        <v>9</v>
      </c>
      <c r="F32" s="52" t="s">
        <v>9</v>
      </c>
      <c r="G32" s="1"/>
      <c r="H32" s="30"/>
      <c r="I32" s="30"/>
      <c r="J32" s="30"/>
    </row>
    <row r="33" spans="1:10" x14ac:dyDescent="0.2">
      <c r="A33" s="32" t="s">
        <v>70</v>
      </c>
      <c r="B33" s="45">
        <f>'[4]LRF FY17'!U30</f>
        <v>5203</v>
      </c>
      <c r="C33" s="53"/>
      <c r="D33" s="54"/>
      <c r="E33" s="54"/>
      <c r="F33" s="54" t="s">
        <v>14</v>
      </c>
      <c r="G33" s="1"/>
      <c r="H33" s="30"/>
      <c r="I33" s="30"/>
      <c r="J33" s="30"/>
    </row>
    <row r="34" spans="1:10" x14ac:dyDescent="0.2">
      <c r="A34" s="55" t="s">
        <v>13</v>
      </c>
      <c r="B34" s="56"/>
      <c r="C34" s="53"/>
      <c r="D34" s="54"/>
      <c r="E34" s="54"/>
      <c r="F34" s="54"/>
      <c r="G34" s="2"/>
      <c r="H34" s="30"/>
      <c r="I34" s="30"/>
      <c r="J34" s="30"/>
    </row>
    <row r="35" spans="1:10" x14ac:dyDescent="0.2">
      <c r="A35" s="55" t="s">
        <v>15</v>
      </c>
      <c r="B35" s="56"/>
      <c r="C35" s="53"/>
      <c r="D35" s="54"/>
      <c r="E35" s="54"/>
      <c r="F35" s="54"/>
      <c r="G35" s="2"/>
      <c r="H35" s="57" t="s">
        <v>43</v>
      </c>
      <c r="I35" s="30"/>
      <c r="J35" s="57" t="s">
        <v>45</v>
      </c>
    </row>
    <row r="36" spans="1:10" x14ac:dyDescent="0.2">
      <c r="A36" s="58" t="s">
        <v>16</v>
      </c>
      <c r="B36" s="59"/>
      <c r="C36" s="60">
        <f>[3]main!C207-[3]main!F149</f>
        <v>465.92599999999999</v>
      </c>
      <c r="D36" s="61">
        <f>[3]main!E207-[3]main!H149</f>
        <v>1483509.91</v>
      </c>
      <c r="E36" s="62">
        <f>IF(B31&gt;D36,D36,B31)</f>
        <v>1468103</v>
      </c>
      <c r="F36" s="62">
        <f>D36-E36</f>
        <v>15406.91</v>
      </c>
      <c r="G36" s="1"/>
      <c r="H36" s="57">
        <f>[3]main!H266</f>
        <v>3334319.37</v>
      </c>
      <c r="I36" s="30"/>
      <c r="J36" s="57">
        <f>'[5]Sheet 1'!E90</f>
        <v>3829938.67</v>
      </c>
    </row>
    <row r="37" spans="1:10" x14ac:dyDescent="0.2">
      <c r="A37" s="58" t="s">
        <v>17</v>
      </c>
      <c r="B37" s="59"/>
      <c r="C37" s="53">
        <f>[3]main!F149</f>
        <v>407.25900000000001</v>
      </c>
      <c r="D37" s="54">
        <f>[3]main!H149</f>
        <v>1296713.67</v>
      </c>
      <c r="E37" s="54">
        <f>IF(B30-SUM(E34:E36)&gt;D37,D37,B30-SUM(E34:E36))</f>
        <v>0</v>
      </c>
      <c r="F37" s="54">
        <f>D37-E37</f>
        <v>1296713.67</v>
      </c>
      <c r="G37" s="1"/>
      <c r="H37" s="57">
        <f>SUM(D36:D40)</f>
        <v>3334319.37</v>
      </c>
      <c r="I37" s="30"/>
      <c r="J37" s="57">
        <f>D51</f>
        <v>3829938.67</v>
      </c>
    </row>
    <row r="38" spans="1:10" x14ac:dyDescent="0.2">
      <c r="A38" s="58" t="s">
        <v>18</v>
      </c>
      <c r="B38" s="59"/>
      <c r="C38" s="53">
        <f>[3]main!F207</f>
        <v>79.025000000000006</v>
      </c>
      <c r="D38" s="54">
        <f>[3]main!H207</f>
        <v>251615.79</v>
      </c>
      <c r="E38" s="54">
        <f>IF(B31-SUM(E36:E37)&gt;D38,D38,B31-SUM(E36:E37))</f>
        <v>0</v>
      </c>
      <c r="F38" s="54">
        <f>D38-E38</f>
        <v>251615.79</v>
      </c>
      <c r="G38" s="1"/>
      <c r="H38" s="57">
        <f>+H36-H37</f>
        <v>0</v>
      </c>
      <c r="I38" s="30"/>
      <c r="J38" s="57">
        <f>+J36-J37</f>
        <v>0</v>
      </c>
    </row>
    <row r="39" spans="1:10" x14ac:dyDescent="0.2">
      <c r="A39" s="58" t="s">
        <v>19</v>
      </c>
      <c r="B39" s="59"/>
      <c r="C39" s="53">
        <f>[3]main!C266</f>
        <v>95</v>
      </c>
      <c r="D39" s="54">
        <f>[3]main!E266</f>
        <v>302480</v>
      </c>
      <c r="E39" s="54">
        <f>IF(B31-SUM(E36:E38)&gt;D39,D39,B31-SUM(E36:E38))</f>
        <v>0</v>
      </c>
      <c r="F39" s="54">
        <f>D39-E39</f>
        <v>302480</v>
      </c>
      <c r="G39" s="1"/>
      <c r="H39" s="30"/>
      <c r="I39" s="30"/>
      <c r="J39" s="30"/>
    </row>
    <row r="40" spans="1:10" x14ac:dyDescent="0.2">
      <c r="A40" s="58" t="s">
        <v>42</v>
      </c>
      <c r="B40" s="59"/>
      <c r="C40" s="53">
        <f>[3]main!C90</f>
        <v>0</v>
      </c>
      <c r="D40" s="54">
        <f>[3]main!E90</f>
        <v>0</v>
      </c>
      <c r="E40" s="54">
        <f>IF(B31-SUM(E36:E39)&gt;D40,D40,B31-SUM(E36:E39))</f>
        <v>0</v>
      </c>
      <c r="F40" s="54">
        <f>D40-E40</f>
        <v>0</v>
      </c>
      <c r="G40" s="1"/>
      <c r="H40" s="30"/>
      <c r="I40" s="30"/>
      <c r="J40" s="30"/>
    </row>
    <row r="41" spans="1:10" x14ac:dyDescent="0.2">
      <c r="A41" s="55" t="s">
        <v>20</v>
      </c>
      <c r="B41" s="56"/>
      <c r="C41" s="63"/>
      <c r="D41" s="64"/>
      <c r="E41" s="64"/>
      <c r="F41" s="64" t="s">
        <v>14</v>
      </c>
      <c r="G41" s="1"/>
      <c r="H41" s="57" t="s">
        <v>44</v>
      </c>
      <c r="I41" s="30"/>
      <c r="J41" s="30"/>
    </row>
    <row r="42" spans="1:10" x14ac:dyDescent="0.2">
      <c r="A42" s="58" t="s">
        <v>21</v>
      </c>
      <c r="B42" s="59"/>
      <c r="C42" s="53">
        <f>'[6]Sheet 1'!C32</f>
        <v>63.832000000000001</v>
      </c>
      <c r="D42" s="54">
        <f>'[6]Sheet 1'!E32</f>
        <v>203240.52</v>
      </c>
      <c r="E42" s="54">
        <f>IF(B31-SUM(E36:E41)&gt;D42,D42,B31-SUM(E36:E41))</f>
        <v>0</v>
      </c>
      <c r="F42" s="54">
        <f t="shared" ref="F42:F50" si="0">D42-E42</f>
        <v>203240.52</v>
      </c>
      <c r="G42" s="1"/>
      <c r="H42" s="57">
        <f>'[6]Sheet 1'!N148</f>
        <v>262762.42</v>
      </c>
      <c r="I42" s="30"/>
      <c r="J42" s="30"/>
    </row>
    <row r="43" spans="1:10" x14ac:dyDescent="0.2">
      <c r="A43" s="59" t="s">
        <v>22</v>
      </c>
      <c r="B43" s="59"/>
      <c r="C43" s="53">
        <f>'[6]Sheet 1'!F32</f>
        <v>5.19</v>
      </c>
      <c r="D43" s="54">
        <f>'[6]Sheet 1'!H32</f>
        <v>16524.96</v>
      </c>
      <c r="E43" s="54">
        <f>IF(B31-SUM(E36:E42)&gt;D43,D43,B31-SUM(E36:E42))</f>
        <v>0</v>
      </c>
      <c r="F43" s="54">
        <f t="shared" si="0"/>
        <v>16524.96</v>
      </c>
      <c r="G43" s="1"/>
      <c r="H43" s="57">
        <f>SUM(D42:D48)</f>
        <v>262762.42</v>
      </c>
      <c r="I43" s="30"/>
      <c r="J43" s="30"/>
    </row>
    <row r="44" spans="1:10" x14ac:dyDescent="0.2">
      <c r="A44" s="59" t="s">
        <v>23</v>
      </c>
      <c r="B44" s="59"/>
      <c r="C44" s="53">
        <f>'[6]Sheet 1'!C90</f>
        <v>10.29</v>
      </c>
      <c r="D44" s="54">
        <f>'[6]Sheet 1'!E90</f>
        <v>32763.360000000001</v>
      </c>
      <c r="E44" s="54">
        <f>IF(B31-SUM(E36:E43)&gt;D44,D44,B31-SUM(E36:E43))</f>
        <v>0</v>
      </c>
      <c r="F44" s="54">
        <f t="shared" si="0"/>
        <v>32763.360000000001</v>
      </c>
      <c r="G44" s="1"/>
      <c r="H44" s="57">
        <f>+H42-H43</f>
        <v>0</v>
      </c>
      <c r="I44" s="30"/>
      <c r="J44" s="30"/>
    </row>
    <row r="45" spans="1:10" x14ac:dyDescent="0.2">
      <c r="A45" s="58" t="s">
        <v>24</v>
      </c>
      <c r="B45" s="59"/>
      <c r="C45" s="53">
        <f>'[6]Sheet 1'!F90</f>
        <v>1.0940000000000001</v>
      </c>
      <c r="D45" s="54">
        <f>'[6]Sheet 1'!H90</f>
        <v>3483.3</v>
      </c>
      <c r="E45" s="54">
        <f>IF(B31-SUM(E36:E44)&gt;D45,D45,B31-SUM(E36:E44))</f>
        <v>0</v>
      </c>
      <c r="F45" s="54">
        <f t="shared" si="0"/>
        <v>3483.3</v>
      </c>
      <c r="G45" s="1"/>
      <c r="H45" s="30"/>
      <c r="I45" s="30"/>
      <c r="J45" s="30"/>
    </row>
    <row r="46" spans="1:10" x14ac:dyDescent="0.2">
      <c r="A46" s="59" t="s">
        <v>71</v>
      </c>
      <c r="B46" s="59"/>
      <c r="C46" s="53">
        <f>'[6]Sheet 1'!C148</f>
        <v>2.12</v>
      </c>
      <c r="D46" s="54">
        <f>'[6]Sheet 1'!E148</f>
        <v>6750.28</v>
      </c>
      <c r="E46" s="54">
        <f>IF(B31-SUM(E36:E45)&gt;D46,D46,B31-SUM(E36:E45))</f>
        <v>0</v>
      </c>
      <c r="F46" s="54">
        <f t="shared" si="0"/>
        <v>6750.28</v>
      </c>
      <c r="G46" s="1"/>
      <c r="H46" s="30"/>
      <c r="I46" s="30"/>
      <c r="J46" s="30"/>
    </row>
    <row r="47" spans="1:10" x14ac:dyDescent="0.2">
      <c r="A47" s="59" t="s">
        <v>57</v>
      </c>
      <c r="B47" s="59"/>
      <c r="C47" s="53">
        <f>'[6]Sheet 1'!F148</f>
        <v>0</v>
      </c>
      <c r="D47" s="54">
        <f>'[6]Sheet 1'!H148</f>
        <v>0</v>
      </c>
      <c r="E47" s="54">
        <f>IF(B32-SUM(E37:E46)&gt;D47,D47,B32-SUM(E37:E46))</f>
        <v>0</v>
      </c>
      <c r="F47" s="54">
        <f t="shared" si="0"/>
        <v>0</v>
      </c>
      <c r="G47" s="1"/>
      <c r="H47" s="30"/>
      <c r="I47" s="30"/>
      <c r="J47" s="30"/>
    </row>
    <row r="48" spans="1:10" x14ac:dyDescent="0.2">
      <c r="A48" s="59" t="s">
        <v>64</v>
      </c>
      <c r="B48" s="59"/>
      <c r="C48" s="53">
        <f>'[6]Sheet 1'!I148</f>
        <v>0</v>
      </c>
      <c r="D48" s="54">
        <f>'[6]Sheet 1'!K148</f>
        <v>0</v>
      </c>
      <c r="E48" s="54">
        <f>IF(B34-SUM(E38:E47)&gt;D48,D48,B34-SUM(E38:E47))</f>
        <v>0</v>
      </c>
      <c r="F48" s="54">
        <f t="shared" si="0"/>
        <v>0</v>
      </c>
      <c r="G48" s="1"/>
      <c r="H48" s="57" t="s">
        <v>46</v>
      </c>
      <c r="I48" s="30"/>
      <c r="J48" s="30"/>
    </row>
    <row r="49" spans="1:10" x14ac:dyDescent="0.2">
      <c r="A49" s="59" t="s">
        <v>58</v>
      </c>
      <c r="B49" s="59"/>
      <c r="C49" s="53">
        <f>'[6]Sheet 1'!C206</f>
        <v>42.414000000000001</v>
      </c>
      <c r="D49" s="54">
        <f>'[6]Sheet 1'!E206</f>
        <v>135045.74</v>
      </c>
      <c r="E49" s="54">
        <f>IF(B31-SUM(E36:E46)&gt;D49,D49,B31-SUM(E36:E46))</f>
        <v>0</v>
      </c>
      <c r="F49" s="54">
        <f t="shared" si="0"/>
        <v>135045.74</v>
      </c>
      <c r="G49" s="4"/>
      <c r="H49" s="57">
        <f>+'[6]Sheet 1'!E206</f>
        <v>135045.74</v>
      </c>
      <c r="I49" s="30"/>
      <c r="J49" s="30"/>
    </row>
    <row r="50" spans="1:10" x14ac:dyDescent="0.2">
      <c r="A50" s="58" t="s">
        <v>59</v>
      </c>
      <c r="B50" s="59"/>
      <c r="C50" s="53">
        <f>'[5]Sheet 1'!C32</f>
        <v>30.72</v>
      </c>
      <c r="D50" s="54">
        <f>'[5]Sheet 1'!E32</f>
        <v>97811.14</v>
      </c>
      <c r="E50" s="54">
        <f>IF(B31-SUM(E36:E49)&gt;D50,D50,B31-SUM(E36:E49))</f>
        <v>0</v>
      </c>
      <c r="F50" s="54">
        <f t="shared" si="0"/>
        <v>97811.14</v>
      </c>
      <c r="G50" s="5"/>
      <c r="H50" s="57">
        <f>+D49</f>
        <v>135045.74</v>
      </c>
      <c r="I50" s="30"/>
      <c r="J50" s="30"/>
    </row>
    <row r="51" spans="1:10" x14ac:dyDescent="0.2">
      <c r="A51" s="65" t="s">
        <v>28</v>
      </c>
      <c r="B51" s="56"/>
      <c r="C51" s="66">
        <f>SUM(C36:C50)</f>
        <v>1202.8699999999999</v>
      </c>
      <c r="D51" s="67">
        <f>SUM(D36:D50)</f>
        <v>3829938.67</v>
      </c>
      <c r="E51" s="67">
        <f>SUM(E36:E50)</f>
        <v>1468103</v>
      </c>
      <c r="F51" s="67">
        <f>SUM(F36:F50)</f>
        <v>2361835.67</v>
      </c>
      <c r="G51" s="1"/>
      <c r="H51" s="57">
        <f>+H49-H50</f>
        <v>0</v>
      </c>
      <c r="I51" s="30"/>
      <c r="J51" s="30"/>
    </row>
    <row r="52" spans="1:10" x14ac:dyDescent="0.2">
      <c r="A52" s="68" t="s">
        <v>26</v>
      </c>
      <c r="B52" s="56"/>
      <c r="C52" s="69"/>
      <c r="D52" s="54"/>
      <c r="E52" s="54"/>
      <c r="F52" s="54"/>
      <c r="G52" s="1"/>
      <c r="H52" s="57" t="s">
        <v>47</v>
      </c>
      <c r="I52" s="30"/>
      <c r="J52" s="57" t="s">
        <v>52</v>
      </c>
    </row>
    <row r="53" spans="1:10" x14ac:dyDescent="0.2">
      <c r="A53" s="58" t="s">
        <v>56</v>
      </c>
      <c r="B53" s="59"/>
      <c r="C53" s="20"/>
      <c r="D53" s="70">
        <f>[1]Main!F33</f>
        <v>11100.96</v>
      </c>
      <c r="E53" s="54">
        <f>IF($B31-SUM($E51)&gt;D53,D53,$B31-SUM($E51))</f>
        <v>0</v>
      </c>
      <c r="F53" s="54">
        <f t="shared" ref="F53:F71" si="1">D53-E53</f>
        <v>11100.96</v>
      </c>
      <c r="G53" s="1"/>
      <c r="H53" s="57">
        <f>[1]Main!G33</f>
        <v>231129.1</v>
      </c>
      <c r="I53" s="30"/>
      <c r="J53" s="57">
        <f>+[1]Main!D494</f>
        <v>747011.03</v>
      </c>
    </row>
    <row r="54" spans="1:10" x14ac:dyDescent="0.2">
      <c r="A54" s="59" t="s">
        <v>25</v>
      </c>
      <c r="B54" s="59"/>
      <c r="C54" s="20"/>
      <c r="D54" s="70">
        <f>[1]Main!C33</f>
        <v>220028.14</v>
      </c>
      <c r="E54" s="54">
        <f>IF($B31-SUM($E51:E53)&gt;D54,D54,B31-SUM($E51:E53))</f>
        <v>0</v>
      </c>
      <c r="F54" s="54">
        <f t="shared" si="1"/>
        <v>220028.14</v>
      </c>
      <c r="G54" s="1"/>
      <c r="H54" s="57">
        <f>SUM(D53:D55)</f>
        <v>231129.1</v>
      </c>
      <c r="I54" s="30"/>
      <c r="J54" s="57">
        <f>SUM(D53:D80)-E66</f>
        <v>747011.03</v>
      </c>
    </row>
    <row r="55" spans="1:10" x14ac:dyDescent="0.2">
      <c r="A55" s="71" t="s">
        <v>27</v>
      </c>
      <c r="B55" s="59"/>
      <c r="C55" s="20"/>
      <c r="D55" s="70">
        <f>[1]Main!D33</f>
        <v>0</v>
      </c>
      <c r="E55" s="54">
        <f>IF($B31-SUM($E51:E54)&gt;D55,D55,$B31-SUM($E51:E54))</f>
        <v>0</v>
      </c>
      <c r="F55" s="54">
        <f>D55-E55</f>
        <v>0</v>
      </c>
      <c r="G55" s="1"/>
      <c r="H55" s="57">
        <f>+H53-H54</f>
        <v>0</v>
      </c>
      <c r="I55" s="30"/>
      <c r="J55" s="57">
        <f>+J53-J54</f>
        <v>0</v>
      </c>
    </row>
    <row r="56" spans="1:10" x14ac:dyDescent="0.2">
      <c r="A56" s="72" t="s">
        <v>72</v>
      </c>
      <c r="B56" s="59"/>
      <c r="C56" s="20"/>
      <c r="D56" s="70">
        <f>[1]Main!E33</f>
        <v>0</v>
      </c>
      <c r="E56" s="54">
        <f>IF($B32-SUM($E52:E55)&gt;D56,D56,$B32-SUM($E52:E55))</f>
        <v>0</v>
      </c>
      <c r="F56" s="54">
        <f>D56-E56</f>
        <v>0</v>
      </c>
      <c r="G56" s="1"/>
      <c r="H56" s="30"/>
      <c r="I56" s="30"/>
      <c r="J56" s="30"/>
    </row>
    <row r="57" spans="1:10" x14ac:dyDescent="0.2">
      <c r="A57" s="72" t="s">
        <v>73</v>
      </c>
      <c r="B57" s="59"/>
      <c r="C57" s="20"/>
      <c r="D57" s="54">
        <f>+[1]Main!$F149</f>
        <v>2242.5</v>
      </c>
      <c r="E57" s="54">
        <f>IF($B31-SUM($E51:E55)&gt;D57,D57,$B31-SUM($E51:E55))</f>
        <v>0</v>
      </c>
      <c r="F57" s="54">
        <f t="shared" si="1"/>
        <v>2242.5</v>
      </c>
      <c r="G57" s="1"/>
      <c r="H57" s="30"/>
      <c r="I57" s="30"/>
      <c r="J57" s="30"/>
    </row>
    <row r="58" spans="1:10" x14ac:dyDescent="0.2">
      <c r="A58" s="71" t="s">
        <v>74</v>
      </c>
      <c r="B58" s="59"/>
      <c r="C58" s="20"/>
      <c r="D58" s="54">
        <f>+[1]Main!$C91</f>
        <v>21367</v>
      </c>
      <c r="E58" s="54">
        <f>IF($B31-SUM($E51:E57)&gt;D58,D58,$B31-SUM($E51:E57))</f>
        <v>0</v>
      </c>
      <c r="F58" s="54">
        <f t="shared" si="1"/>
        <v>21367</v>
      </c>
      <c r="G58" s="1"/>
      <c r="H58" s="30"/>
      <c r="I58" s="30"/>
      <c r="J58" s="30"/>
    </row>
    <row r="59" spans="1:10" x14ac:dyDescent="0.2">
      <c r="A59" s="71" t="s">
        <v>75</v>
      </c>
      <c r="B59" s="59"/>
      <c r="C59" s="20"/>
      <c r="D59" s="54">
        <f>+[1]Main!$D91</f>
        <v>0</v>
      </c>
      <c r="E59" s="54">
        <f>IF($B31-SUM($E51:E58)&gt;D59,D59,$B31-SUM($E51:E58))</f>
        <v>0</v>
      </c>
      <c r="F59" s="54">
        <f t="shared" si="1"/>
        <v>0</v>
      </c>
      <c r="G59" s="1"/>
      <c r="H59" s="30"/>
      <c r="I59" s="30"/>
      <c r="J59" s="30"/>
    </row>
    <row r="60" spans="1:10" x14ac:dyDescent="0.2">
      <c r="A60" s="71" t="s">
        <v>76</v>
      </c>
      <c r="B60" s="59"/>
      <c r="C60" s="20"/>
      <c r="D60" s="54">
        <f>+[1]Main!$E91</f>
        <v>0</v>
      </c>
      <c r="E60" s="54">
        <f>IF($B31-SUM($E51:E59)&gt;D60,D60,$B31-SUM($E51:E59))</f>
        <v>0</v>
      </c>
      <c r="F60" s="54">
        <f t="shared" si="1"/>
        <v>0</v>
      </c>
      <c r="G60" s="1"/>
      <c r="H60" s="30"/>
      <c r="I60" s="30"/>
      <c r="J60" s="30"/>
    </row>
    <row r="61" spans="1:10" x14ac:dyDescent="0.2">
      <c r="A61" s="71" t="s">
        <v>77</v>
      </c>
      <c r="B61" s="59"/>
      <c r="C61" s="20"/>
      <c r="D61" s="54">
        <f>[1]Main!F91</f>
        <v>0</v>
      </c>
      <c r="E61" s="54">
        <f>IF($B31-SUM($E51:E60)&gt;D61,D61,$B31-SUM($E51:E60))</f>
        <v>0</v>
      </c>
      <c r="F61" s="54">
        <f t="shared" si="1"/>
        <v>0</v>
      </c>
      <c r="G61" s="1"/>
      <c r="H61" s="57" t="s">
        <v>48</v>
      </c>
      <c r="I61" s="30"/>
      <c r="J61" s="30"/>
    </row>
    <row r="62" spans="1:10" x14ac:dyDescent="0.2">
      <c r="A62" s="71" t="s">
        <v>79</v>
      </c>
      <c r="B62" s="59"/>
      <c r="C62" s="20"/>
      <c r="D62" s="54">
        <f>[1]Main!G91</f>
        <v>0</v>
      </c>
      <c r="E62" s="54">
        <f>IF($B31-SUM($E51:E61)&gt;D62,D62,$B31-SUM($E51:E61))</f>
        <v>0</v>
      </c>
      <c r="F62" s="54">
        <f t="shared" si="1"/>
        <v>0</v>
      </c>
      <c r="G62" s="1"/>
      <c r="H62" s="57"/>
      <c r="I62" s="30"/>
      <c r="J62" s="30"/>
    </row>
    <row r="63" spans="1:10" x14ac:dyDescent="0.2">
      <c r="A63" s="71" t="s">
        <v>78</v>
      </c>
      <c r="B63" s="59"/>
      <c r="C63" s="20"/>
      <c r="D63" s="54">
        <f>[1]Main!G149</f>
        <v>36995.230000000003</v>
      </c>
      <c r="E63" s="54">
        <f>IF($B31-SUM($E51:E62)&gt;D63,D63,$B31-SUM($E51:E62))</f>
        <v>0</v>
      </c>
      <c r="F63" s="54">
        <f t="shared" si="1"/>
        <v>36995.230000000003</v>
      </c>
      <c r="G63" s="1"/>
      <c r="H63" s="73">
        <f>+[1]Main!D207</f>
        <v>60604.73</v>
      </c>
      <c r="I63" s="30"/>
      <c r="J63" s="30"/>
    </row>
    <row r="64" spans="1:10" x14ac:dyDescent="0.2">
      <c r="A64" s="71" t="s">
        <v>80</v>
      </c>
      <c r="B64" s="59"/>
      <c r="C64" s="20"/>
      <c r="D64" s="54">
        <f>[1]Main!C207</f>
        <v>0</v>
      </c>
      <c r="E64" s="54"/>
      <c r="F64" s="54">
        <f t="shared" si="1"/>
        <v>0</v>
      </c>
      <c r="G64" s="1"/>
      <c r="H64" s="57">
        <f>+SUM(D57:D64)</f>
        <v>60604.73</v>
      </c>
      <c r="I64" s="30"/>
      <c r="J64" s="30"/>
    </row>
    <row r="65" spans="1:10" x14ac:dyDescent="0.2">
      <c r="A65" s="71" t="s">
        <v>81</v>
      </c>
      <c r="B65" s="59"/>
      <c r="C65" s="20"/>
      <c r="D65" s="54">
        <f>[1]Main!C265</f>
        <v>141836</v>
      </c>
      <c r="E65" s="54">
        <v>0</v>
      </c>
      <c r="F65" s="54">
        <f t="shared" si="1"/>
        <v>141836</v>
      </c>
      <c r="G65" s="1"/>
      <c r="H65" s="57">
        <f>+H63-H64</f>
        <v>0</v>
      </c>
      <c r="I65" s="30"/>
      <c r="J65" s="30"/>
    </row>
    <row r="66" spans="1:10" x14ac:dyDescent="0.2">
      <c r="A66" s="71" t="s">
        <v>82</v>
      </c>
      <c r="B66" s="59"/>
      <c r="C66" s="20"/>
      <c r="D66" s="54">
        <f>+[7]Main!I32+[7]Main!J32</f>
        <v>132535.10999999999</v>
      </c>
      <c r="E66" s="74">
        <f>[7]Main!J32</f>
        <v>98220.41</v>
      </c>
      <c r="F66" s="54">
        <f t="shared" si="1"/>
        <v>34314.699999999997</v>
      </c>
      <c r="G66" s="1"/>
      <c r="H66" s="30"/>
      <c r="I66" s="30"/>
      <c r="J66" s="30"/>
    </row>
    <row r="67" spans="1:10" x14ac:dyDescent="0.2">
      <c r="A67" s="71" t="s">
        <v>83</v>
      </c>
      <c r="B67" s="59"/>
      <c r="C67" s="20"/>
      <c r="D67" s="54">
        <f>[1]Main!F265</f>
        <v>33699</v>
      </c>
      <c r="E67" s="54">
        <v>0</v>
      </c>
      <c r="F67" s="54">
        <f t="shared" si="1"/>
        <v>33699</v>
      </c>
      <c r="G67" s="1"/>
      <c r="H67" s="30"/>
      <c r="I67" s="30"/>
      <c r="J67" s="30"/>
    </row>
    <row r="68" spans="1:10" x14ac:dyDescent="0.2">
      <c r="A68" s="71" t="s">
        <v>84</v>
      </c>
      <c r="B68" s="59"/>
      <c r="C68" s="7"/>
      <c r="D68" s="54">
        <f>[1]Main!E265</f>
        <v>0</v>
      </c>
      <c r="E68" s="54">
        <v>0</v>
      </c>
      <c r="F68" s="54">
        <f t="shared" si="1"/>
        <v>0</v>
      </c>
      <c r="G68" s="1"/>
      <c r="H68" s="57" t="s">
        <v>49</v>
      </c>
      <c r="I68" s="30"/>
      <c r="J68" s="30"/>
    </row>
    <row r="69" spans="1:10" x14ac:dyDescent="0.2">
      <c r="A69" s="71" t="s">
        <v>85</v>
      </c>
      <c r="B69" s="59"/>
      <c r="C69" s="7"/>
      <c r="D69" s="54">
        <f>[1]Main!G265</f>
        <v>0</v>
      </c>
      <c r="E69" s="54">
        <v>0</v>
      </c>
      <c r="F69" s="54">
        <f t="shared" si="1"/>
        <v>0</v>
      </c>
      <c r="G69" s="1"/>
      <c r="H69" s="57">
        <f>+[1]Main!C494</f>
        <v>439727.03</v>
      </c>
      <c r="I69" s="57"/>
      <c r="J69" s="57"/>
    </row>
    <row r="70" spans="1:10" x14ac:dyDescent="0.2">
      <c r="A70" s="71" t="s">
        <v>86</v>
      </c>
      <c r="B70" s="59"/>
      <c r="C70" s="20"/>
      <c r="D70" s="54">
        <f>[1]Main!C323</f>
        <v>0</v>
      </c>
      <c r="E70" s="54">
        <v>0</v>
      </c>
      <c r="F70" s="54">
        <f t="shared" si="1"/>
        <v>0</v>
      </c>
      <c r="G70" s="1"/>
      <c r="H70" s="57">
        <f>+SUM(D65:D75)-E66</f>
        <v>439727.03</v>
      </c>
      <c r="I70" s="57"/>
      <c r="J70" s="57">
        <f>+H70-H69</f>
        <v>0</v>
      </c>
    </row>
    <row r="71" spans="1:10" x14ac:dyDescent="0.2">
      <c r="A71" s="71" t="s">
        <v>87</v>
      </c>
      <c r="C71" s="8"/>
      <c r="D71" s="76">
        <f>[1]Main!D323</f>
        <v>197065.51</v>
      </c>
      <c r="E71" s="77">
        <v>0</v>
      </c>
      <c r="F71" s="77">
        <f t="shared" si="1"/>
        <v>197065.51</v>
      </c>
      <c r="G71" s="5"/>
      <c r="H71" s="57">
        <f>+H69-H70</f>
        <v>0</v>
      </c>
      <c r="I71" s="57"/>
      <c r="J71" s="57"/>
    </row>
    <row r="72" spans="1:10" x14ac:dyDescent="0.2">
      <c r="A72" s="71" t="s">
        <v>88</v>
      </c>
      <c r="B72" s="59"/>
      <c r="C72" s="20"/>
      <c r="D72" s="54">
        <f>+[1]Main!$E323</f>
        <v>1350.24</v>
      </c>
      <c r="E72" s="54">
        <v>0</v>
      </c>
      <c r="F72" s="54">
        <f>D72-E72</f>
        <v>1350.24</v>
      </c>
      <c r="G72" s="4"/>
      <c r="H72" s="30"/>
      <c r="I72" s="30"/>
      <c r="J72" s="30"/>
    </row>
    <row r="73" spans="1:10" x14ac:dyDescent="0.2">
      <c r="A73" s="71" t="s">
        <v>89</v>
      </c>
      <c r="B73" s="59"/>
      <c r="C73" s="20"/>
      <c r="D73" s="54">
        <f>[1]Main!F323</f>
        <v>1805.91</v>
      </c>
      <c r="E73" s="54">
        <v>0</v>
      </c>
      <c r="F73" s="54">
        <f>D73-E73</f>
        <v>1805.91</v>
      </c>
      <c r="G73" s="4"/>
      <c r="H73" s="30"/>
      <c r="I73" s="30"/>
      <c r="J73" s="30"/>
    </row>
    <row r="74" spans="1:10" x14ac:dyDescent="0.2">
      <c r="A74" s="71" t="s">
        <v>90</v>
      </c>
      <c r="B74" s="59"/>
      <c r="C74" s="20"/>
      <c r="D74" s="54">
        <f>[1]Main!G323</f>
        <v>0</v>
      </c>
      <c r="E74" s="54">
        <v>0</v>
      </c>
      <c r="F74" s="54">
        <f>D74-E74</f>
        <v>0</v>
      </c>
      <c r="G74" s="1"/>
      <c r="H74" s="57" t="s">
        <v>50</v>
      </c>
      <c r="I74" s="30"/>
      <c r="J74" s="30"/>
    </row>
    <row r="75" spans="1:10" x14ac:dyDescent="0.2">
      <c r="A75" s="71" t="s">
        <v>93</v>
      </c>
      <c r="B75" s="59"/>
      <c r="C75" s="20"/>
      <c r="D75" s="54">
        <f>[1]Main!F380</f>
        <v>29655.67</v>
      </c>
      <c r="E75" s="54">
        <v>0</v>
      </c>
      <c r="F75" s="54">
        <f>D75-E75</f>
        <v>29655.67</v>
      </c>
      <c r="G75" s="1"/>
      <c r="H75" s="57"/>
      <c r="I75" s="30"/>
      <c r="J75" s="30"/>
    </row>
    <row r="76" spans="1:10" x14ac:dyDescent="0.2">
      <c r="A76" s="55" t="s">
        <v>30</v>
      </c>
      <c r="B76" s="78"/>
      <c r="C76" s="79"/>
      <c r="D76" s="64"/>
      <c r="E76" s="64"/>
      <c r="F76" s="64"/>
      <c r="G76" s="1"/>
      <c r="H76" s="57"/>
      <c r="I76" s="30"/>
      <c r="J76" s="30"/>
    </row>
    <row r="77" spans="1:10" x14ac:dyDescent="0.2">
      <c r="A77" s="71" t="s">
        <v>60</v>
      </c>
      <c r="B77" s="59"/>
      <c r="C77" s="20"/>
      <c r="D77" s="54">
        <f>[1]Main!C437</f>
        <v>7126.66</v>
      </c>
      <c r="E77" s="54">
        <v>0</v>
      </c>
      <c r="F77" s="54">
        <f>D77-E77</f>
        <v>7126.66</v>
      </c>
      <c r="G77" s="1"/>
      <c r="H77" s="57">
        <f>+[1]Main!G437</f>
        <v>15550.17</v>
      </c>
      <c r="I77" s="30"/>
      <c r="J77" s="30"/>
    </row>
    <row r="78" spans="1:10" x14ac:dyDescent="0.2">
      <c r="A78" s="71" t="s">
        <v>63</v>
      </c>
      <c r="B78" s="59"/>
      <c r="C78" s="20"/>
      <c r="D78" s="54">
        <f>[1]Main!D437</f>
        <v>0</v>
      </c>
      <c r="E78" s="54">
        <v>0</v>
      </c>
      <c r="F78" s="54">
        <f>D78-E78</f>
        <v>0</v>
      </c>
      <c r="G78" s="4"/>
      <c r="H78" s="57">
        <f>SUM(D77:D80)</f>
        <v>15550.17</v>
      </c>
      <c r="I78" s="30"/>
      <c r="J78" s="30"/>
    </row>
    <row r="79" spans="1:10" x14ac:dyDescent="0.2">
      <c r="A79" s="71" t="s">
        <v>91</v>
      </c>
      <c r="B79" s="59"/>
      <c r="C79" s="20"/>
      <c r="D79" s="54">
        <f>[1]Main!E437</f>
        <v>0</v>
      </c>
      <c r="E79" s="54">
        <v>0</v>
      </c>
      <c r="F79" s="54">
        <f>D79-E79</f>
        <v>0</v>
      </c>
      <c r="G79" s="4"/>
      <c r="H79" s="57">
        <f>+H77-H78</f>
        <v>0</v>
      </c>
      <c r="I79" s="30"/>
      <c r="J79" s="30"/>
    </row>
    <row r="80" spans="1:10" x14ac:dyDescent="0.2">
      <c r="A80" s="71" t="s">
        <v>92</v>
      </c>
      <c r="B80" s="59"/>
      <c r="C80" s="20"/>
      <c r="D80" s="54">
        <f>[1]Main!F437</f>
        <v>8423.51</v>
      </c>
      <c r="E80" s="54">
        <v>0</v>
      </c>
      <c r="F80" s="54">
        <f>D80-E80</f>
        <v>8423.51</v>
      </c>
      <c r="G80" s="1"/>
      <c r="H80" s="30"/>
      <c r="I80" s="30"/>
      <c r="J80" s="30"/>
    </row>
    <row r="81" spans="1:10" x14ac:dyDescent="0.2">
      <c r="A81" s="55" t="s">
        <v>31</v>
      </c>
      <c r="B81" s="78"/>
      <c r="C81" s="79"/>
      <c r="D81" s="64"/>
      <c r="E81" s="64"/>
      <c r="F81" s="64"/>
      <c r="G81" s="1"/>
      <c r="H81" s="30"/>
      <c r="I81" s="30"/>
      <c r="J81" s="30"/>
    </row>
    <row r="82" spans="1:10" x14ac:dyDescent="0.2">
      <c r="A82" s="58" t="s">
        <v>69</v>
      </c>
      <c r="B82" s="59"/>
      <c r="C82" s="20"/>
      <c r="D82" s="54">
        <f>+[1]Main!$G550</f>
        <v>1130658.1200000001</v>
      </c>
      <c r="E82" s="54">
        <f>+[1]Main!$D550</f>
        <v>1130658.1200000001</v>
      </c>
      <c r="F82" s="54">
        <f>+D82-E82</f>
        <v>0</v>
      </c>
      <c r="G82" s="1"/>
      <c r="H82" s="30"/>
      <c r="I82" s="30"/>
      <c r="J82" s="30"/>
    </row>
    <row r="83" spans="1:10" x14ac:dyDescent="0.2">
      <c r="A83" s="59" t="s">
        <v>68</v>
      </c>
      <c r="B83" s="59"/>
      <c r="C83" s="20"/>
      <c r="D83" s="54">
        <f>+[1]Main!$G605</f>
        <v>350591.67</v>
      </c>
      <c r="E83" s="54">
        <f>+[1]Main!$D605</f>
        <v>350591.67</v>
      </c>
      <c r="F83" s="54">
        <f>+D83-E83</f>
        <v>0</v>
      </c>
      <c r="G83" s="1"/>
      <c r="H83" s="30"/>
      <c r="I83" s="30"/>
      <c r="J83" s="30"/>
    </row>
    <row r="84" spans="1:10" ht="13.5" thickBot="1" x14ac:dyDescent="0.25">
      <c r="A84" s="80"/>
      <c r="B84" s="81"/>
      <c r="C84" s="82" t="s">
        <v>29</v>
      </c>
      <c r="D84" s="83">
        <f>SUM(D51:D83)</f>
        <v>6156419.9000000004</v>
      </c>
      <c r="E84" s="83">
        <f>SUM(E51:E83)</f>
        <v>3047573.2</v>
      </c>
      <c r="F84" s="83">
        <f>SUM(F51:F83)</f>
        <v>3108846.7</v>
      </c>
      <c r="G84" s="1"/>
      <c r="H84" s="30"/>
      <c r="I84" s="30"/>
      <c r="J84" s="30"/>
    </row>
    <row r="85" spans="1:10" ht="13.5" thickTop="1" x14ac:dyDescent="0.2">
      <c r="A85" s="84"/>
      <c r="B85" s="59"/>
      <c r="C85" s="85"/>
      <c r="D85" s="86"/>
      <c r="E85" s="86"/>
      <c r="F85" s="87"/>
      <c r="G85" s="1"/>
      <c r="H85" s="30"/>
      <c r="I85" s="30"/>
      <c r="J85" s="30"/>
    </row>
    <row r="86" spans="1:10" x14ac:dyDescent="0.2">
      <c r="A86" s="88" t="s">
        <v>40</v>
      </c>
      <c r="B86" s="78"/>
      <c r="C86" s="89"/>
      <c r="D86" s="90"/>
      <c r="E86" s="91"/>
      <c r="F86" s="92" t="s">
        <v>36</v>
      </c>
      <c r="G86" s="6"/>
      <c r="H86" s="57" t="s">
        <v>51</v>
      </c>
      <c r="I86" s="30"/>
      <c r="J86" s="57" t="s">
        <v>7</v>
      </c>
    </row>
    <row r="87" spans="1:10" x14ac:dyDescent="0.2">
      <c r="A87" s="93" t="s">
        <v>33</v>
      </c>
      <c r="B87" s="94"/>
      <c r="C87" s="95"/>
      <c r="D87" s="96"/>
      <c r="E87" s="96"/>
      <c r="F87" s="91"/>
      <c r="G87" s="6"/>
      <c r="H87" s="30"/>
      <c r="I87" s="30"/>
      <c r="J87" s="30"/>
    </row>
    <row r="88" spans="1:10" x14ac:dyDescent="0.2">
      <c r="A88" s="59" t="s">
        <v>34</v>
      </c>
      <c r="B88" s="59"/>
      <c r="C88" s="22"/>
      <c r="D88" s="27"/>
      <c r="E88" s="27"/>
      <c r="F88" s="97">
        <f>+[8]Main!$C33</f>
        <v>50000</v>
      </c>
      <c r="G88" s="5"/>
      <c r="H88" s="57">
        <f>+[1]Main!G661</f>
        <v>1481249.79</v>
      </c>
      <c r="I88" s="30"/>
      <c r="J88" s="57">
        <f>+[1]Main!E661+[1]Main!F661</f>
        <v>0</v>
      </c>
    </row>
    <row r="89" spans="1:10" x14ac:dyDescent="0.2">
      <c r="A89" s="59" t="s">
        <v>66</v>
      </c>
      <c r="B89" s="59"/>
      <c r="C89" s="22"/>
      <c r="D89" s="27"/>
      <c r="E89" s="27"/>
      <c r="F89" s="97">
        <f>+[8]Main!$D33</f>
        <v>0</v>
      </c>
      <c r="G89" s="5"/>
      <c r="H89" s="57">
        <f>+D82+D83</f>
        <v>1481249.79</v>
      </c>
      <c r="I89" s="30"/>
      <c r="J89" s="57">
        <f>+F82+F83</f>
        <v>0</v>
      </c>
    </row>
    <row r="90" spans="1:10" x14ac:dyDescent="0.2">
      <c r="A90" s="32" t="s">
        <v>65</v>
      </c>
      <c r="B90" s="32"/>
      <c r="C90" s="22"/>
      <c r="D90" s="28"/>
      <c r="E90" s="28"/>
      <c r="F90" s="97">
        <f>+[8]Main!$E33</f>
        <v>0</v>
      </c>
      <c r="G90" s="1"/>
      <c r="H90" s="57">
        <f>+H88-H89</f>
        <v>0</v>
      </c>
      <c r="I90" s="30"/>
      <c r="J90" s="57">
        <f>+J88-J89</f>
        <v>0</v>
      </c>
    </row>
    <row r="91" spans="1:10" x14ac:dyDescent="0.2">
      <c r="A91" s="32" t="s">
        <v>67</v>
      </c>
      <c r="B91" s="32"/>
      <c r="C91" s="22"/>
      <c r="D91" s="28"/>
      <c r="E91" s="28"/>
      <c r="F91" s="97">
        <f>+[8]Main!$F33</f>
        <v>0</v>
      </c>
      <c r="G91" s="1"/>
      <c r="H91" s="30"/>
      <c r="I91" s="30"/>
      <c r="J91" s="30"/>
    </row>
    <row r="92" spans="1:10" x14ac:dyDescent="0.2">
      <c r="A92" s="88" t="s">
        <v>35</v>
      </c>
      <c r="B92" s="78"/>
      <c r="C92" s="89"/>
      <c r="D92" s="90"/>
      <c r="E92" s="91"/>
      <c r="F92" s="54">
        <f>+[8]Main!$C91</f>
        <v>11758.64</v>
      </c>
      <c r="G92" s="1"/>
      <c r="H92" s="30"/>
      <c r="I92" s="30"/>
      <c r="J92" s="30"/>
    </row>
    <row r="93" spans="1:10" ht="13.5" thickBot="1" x14ac:dyDescent="0.25">
      <c r="A93" s="98"/>
      <c r="B93" s="99"/>
      <c r="C93" s="100" t="s">
        <v>29</v>
      </c>
      <c r="D93" s="101"/>
      <c r="E93" s="102"/>
      <c r="F93" s="103">
        <f>SUM(F88:F92)</f>
        <v>61758.64</v>
      </c>
      <c r="G93" s="1"/>
      <c r="H93" s="30"/>
      <c r="I93" s="30"/>
      <c r="J93" s="30"/>
    </row>
    <row r="94" spans="1:10" ht="13.5" thickBot="1" x14ac:dyDescent="0.25">
      <c r="A94" s="104"/>
      <c r="B94" s="105"/>
      <c r="C94" s="106" t="s">
        <v>53</v>
      </c>
      <c r="D94" s="107"/>
      <c r="E94" s="108"/>
      <c r="F94" s="109">
        <f>+F93+F84</f>
        <v>3170605.34</v>
      </c>
      <c r="G94" s="1"/>
      <c r="H94" s="57" t="s">
        <v>54</v>
      </c>
      <c r="I94" s="30"/>
      <c r="J94" s="30"/>
    </row>
    <row r="95" spans="1:10" x14ac:dyDescent="0.2">
      <c r="A95" s="11"/>
      <c r="B95" s="12"/>
      <c r="C95" s="9"/>
      <c r="D95" s="29"/>
      <c r="E95" s="29"/>
      <c r="F95" s="110"/>
      <c r="G95" s="1"/>
      <c r="H95" s="57">
        <f>+[8]Main!$G33</f>
        <v>50000</v>
      </c>
      <c r="I95" s="30"/>
      <c r="J95" s="30"/>
    </row>
    <row r="96" spans="1:10" x14ac:dyDescent="0.2">
      <c r="A96" s="11"/>
      <c r="B96" s="12"/>
      <c r="C96" s="9"/>
      <c r="D96" s="29"/>
      <c r="E96" s="29"/>
      <c r="F96" s="110"/>
      <c r="G96" s="1"/>
      <c r="H96" s="57">
        <f>SUM(F88:F91)</f>
        <v>50000</v>
      </c>
      <c r="I96" s="30"/>
      <c r="J96" s="30"/>
    </row>
    <row r="97" spans="1:10" x14ac:dyDescent="0.2">
      <c r="A97" s="1"/>
      <c r="B97" s="1"/>
      <c r="C97" s="7"/>
      <c r="D97" s="26"/>
      <c r="E97" s="26"/>
      <c r="F97" s="86">
        <f>+F93+F84</f>
        <v>3170605.34</v>
      </c>
      <c r="G97" s="1"/>
      <c r="H97" s="57">
        <f>+H95-H96</f>
        <v>0</v>
      </c>
      <c r="I97" s="30"/>
      <c r="J97" s="30"/>
    </row>
    <row r="98" spans="1:10" x14ac:dyDescent="0.2">
      <c r="A98" s="1"/>
      <c r="B98" s="1"/>
      <c r="C98" s="7"/>
      <c r="D98" s="26"/>
      <c r="E98" s="26"/>
      <c r="F98" s="86">
        <f>+[1]Main!$F777</f>
        <v>3170605.34</v>
      </c>
      <c r="G98" s="1"/>
      <c r="H98" s="30"/>
      <c r="I98" s="30"/>
      <c r="J98" s="30"/>
    </row>
    <row r="99" spans="1:10" x14ac:dyDescent="0.2">
      <c r="A99" s="1"/>
      <c r="B99" s="1"/>
      <c r="C99" s="7"/>
      <c r="D99" s="26"/>
      <c r="E99" s="86">
        <f>+E84+[1]Main!$E777</f>
        <v>0</v>
      </c>
      <c r="F99" s="86">
        <f>+F98-F97</f>
        <v>0</v>
      </c>
      <c r="G99" s="1"/>
      <c r="H99" s="30"/>
      <c r="I99" s="30"/>
      <c r="J99" s="30"/>
    </row>
    <row r="100" spans="1:10" x14ac:dyDescent="0.2">
      <c r="A100" s="59"/>
      <c r="B100" s="59"/>
      <c r="C100" s="85"/>
      <c r="D100" s="86"/>
      <c r="E100" s="86"/>
      <c r="F100" s="86"/>
      <c r="G100" s="59"/>
      <c r="H100" s="57"/>
      <c r="I100" s="57"/>
      <c r="J100" s="57"/>
    </row>
    <row r="101" spans="1:10" x14ac:dyDescent="0.2">
      <c r="A101" s="59"/>
      <c r="B101" s="59"/>
      <c r="C101" s="85"/>
      <c r="D101" s="86"/>
      <c r="E101" s="86"/>
      <c r="F101" s="86"/>
      <c r="G101" s="59"/>
      <c r="H101" s="57"/>
      <c r="I101" s="57"/>
      <c r="J101" s="57"/>
    </row>
    <row r="102" spans="1:10" x14ac:dyDescent="0.2">
      <c r="A102" s="59"/>
      <c r="B102" s="59"/>
      <c r="C102" s="85"/>
      <c r="D102" s="86"/>
      <c r="E102" s="86"/>
      <c r="F102" s="86"/>
      <c r="G102" s="59"/>
      <c r="H102" s="111" t="s">
        <v>55</v>
      </c>
      <c r="I102" s="57"/>
      <c r="J102" s="57"/>
    </row>
    <row r="103" spans="1:10" x14ac:dyDescent="0.2">
      <c r="G103" s="59"/>
      <c r="H103" s="113"/>
      <c r="I103" s="112"/>
      <c r="J103" s="112"/>
    </row>
    <row r="104" spans="1:10" x14ac:dyDescent="0.2">
      <c r="G104" s="59"/>
      <c r="H104" s="112"/>
      <c r="I104" s="112"/>
      <c r="J104" s="112"/>
    </row>
    <row r="105" spans="1:10" x14ac:dyDescent="0.2">
      <c r="G105" s="59"/>
      <c r="H105" s="112"/>
      <c r="I105" s="112"/>
      <c r="J105" s="112"/>
    </row>
    <row r="106" spans="1:10" x14ac:dyDescent="0.2">
      <c r="G106" s="59"/>
      <c r="H106" s="112"/>
      <c r="I106" s="112"/>
      <c r="J106" s="112"/>
    </row>
    <row r="107" spans="1:10" x14ac:dyDescent="0.2">
      <c r="G107" s="59"/>
      <c r="H107" s="112"/>
      <c r="I107" s="112"/>
      <c r="J107" s="112"/>
    </row>
    <row r="108" spans="1:10" x14ac:dyDescent="0.2">
      <c r="G108" s="59"/>
      <c r="H108" s="71"/>
      <c r="I108" s="112"/>
      <c r="J108" s="112"/>
    </row>
  </sheetData>
  <mergeCells count="1">
    <mergeCell ref="D27:E27"/>
  </mergeCells>
  <phoneticPr fontId="0" type="noConversion"/>
  <printOptions horizontalCentered="1" verticalCentered="1"/>
  <pageMargins left="0.5" right="0.25" top="0.5" bottom="0.5" header="0.5" footer="0.5"/>
  <pageSetup scale="89" orientation="portrait" horizontalDpi="1200" r:id="rId1"/>
  <headerFooter alignWithMargins="0">
    <oddHeader>&amp;R&amp;8Current as of: &amp;D</oddHeader>
    <oddFooter>&amp;L&amp;8USOE, Finance and Statistics&amp;R&amp;8&amp;F</oddFooter>
  </headerFooter>
  <picture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J109"/>
  <sheetViews>
    <sheetView topLeftCell="A49" workbookViewId="0">
      <selection activeCell="H80" sqref="H80"/>
    </sheetView>
  </sheetViews>
  <sheetFormatPr defaultColWidth="18.28515625" defaultRowHeight="12.75" x14ac:dyDescent="0.2"/>
  <cols>
    <col min="1" max="1" width="27" style="75" customWidth="1"/>
    <col min="2" max="2" width="16.7109375" style="75" customWidth="1"/>
    <col min="3" max="3" width="15.85546875" style="75" customWidth="1"/>
    <col min="4" max="4" width="16.28515625" style="75" customWidth="1"/>
    <col min="5" max="5" width="15.5703125" style="75" customWidth="1"/>
    <col min="6" max="6" width="17.42578125" style="75" customWidth="1"/>
    <col min="7" max="7" width="5.7109375" style="75" customWidth="1"/>
    <col min="8" max="8" width="21.5703125" style="75" customWidth="1"/>
    <col min="9" max="9" width="5" style="75" customWidth="1"/>
    <col min="10" max="10" width="20.85546875" style="75" customWidth="1"/>
    <col min="11" max="16384" width="18.28515625" style="75"/>
  </cols>
  <sheetData>
    <row r="1" spans="1:10" x14ac:dyDescent="0.2">
      <c r="A1" s="8"/>
      <c r="B1" s="8"/>
      <c r="C1" s="8"/>
      <c r="D1" s="8"/>
      <c r="E1" s="8"/>
      <c r="F1" s="8"/>
      <c r="G1" s="8"/>
      <c r="H1" s="8"/>
      <c r="I1" s="8"/>
      <c r="J1" s="8"/>
    </row>
    <row r="2" spans="1:10" x14ac:dyDescent="0.2">
      <c r="A2" s="8"/>
      <c r="B2" s="8"/>
      <c r="C2" s="8"/>
      <c r="D2" s="8"/>
      <c r="E2" s="8"/>
      <c r="F2" s="8"/>
      <c r="G2" s="8"/>
      <c r="H2" s="8"/>
      <c r="I2" s="8"/>
      <c r="J2" s="8"/>
    </row>
    <row r="3" spans="1:10" x14ac:dyDescent="0.2">
      <c r="A3" s="8"/>
      <c r="B3" s="8"/>
      <c r="C3" s="8"/>
      <c r="D3" s="8"/>
      <c r="E3" s="8"/>
      <c r="F3" s="8"/>
      <c r="G3" s="8"/>
      <c r="H3" s="8"/>
      <c r="I3" s="8"/>
      <c r="J3" s="8"/>
    </row>
    <row r="4" spans="1:10" x14ac:dyDescent="0.2">
      <c r="A4" s="8"/>
      <c r="B4" s="8"/>
      <c r="C4" s="8"/>
      <c r="D4" s="8"/>
      <c r="E4" s="8"/>
      <c r="F4" s="8"/>
      <c r="G4" s="8"/>
      <c r="H4" s="8"/>
      <c r="I4" s="8"/>
      <c r="J4" s="8"/>
    </row>
    <row r="5" spans="1:10" x14ac:dyDescent="0.2">
      <c r="A5" s="8"/>
      <c r="B5" s="8"/>
      <c r="C5" s="8"/>
      <c r="D5" s="8"/>
      <c r="E5" s="8"/>
      <c r="F5" s="8"/>
      <c r="G5" s="8"/>
      <c r="H5" s="8"/>
      <c r="I5" s="8"/>
      <c r="J5" s="8"/>
    </row>
    <row r="6" spans="1:10" x14ac:dyDescent="0.2">
      <c r="A6" s="8"/>
      <c r="B6" s="8"/>
      <c r="C6" s="8"/>
      <c r="D6" s="8"/>
      <c r="E6" s="8"/>
      <c r="F6" s="8"/>
      <c r="G6" s="8"/>
      <c r="H6" s="8"/>
      <c r="I6" s="8"/>
      <c r="J6" s="8"/>
    </row>
    <row r="7" spans="1:10" x14ac:dyDescent="0.2">
      <c r="A7" s="8"/>
      <c r="B7" s="8"/>
      <c r="C7" s="8"/>
      <c r="D7" s="8"/>
      <c r="E7" s="8"/>
      <c r="F7" s="8"/>
      <c r="G7" s="8"/>
      <c r="H7" s="8"/>
      <c r="I7" s="8"/>
      <c r="J7" s="8"/>
    </row>
    <row r="8" spans="1:10" x14ac:dyDescent="0.2">
      <c r="A8" s="8"/>
      <c r="B8" s="8"/>
      <c r="C8" s="8"/>
      <c r="D8" s="8"/>
      <c r="E8" s="8"/>
      <c r="F8" s="8"/>
      <c r="G8" s="8"/>
      <c r="H8" s="8"/>
      <c r="I8" s="8"/>
      <c r="J8" s="8"/>
    </row>
    <row r="9" spans="1:10" x14ac:dyDescent="0.2">
      <c r="A9" s="8"/>
      <c r="B9" s="8"/>
      <c r="C9" s="8"/>
      <c r="D9" s="8"/>
      <c r="E9" s="8"/>
      <c r="F9" s="8"/>
      <c r="G9" s="8"/>
      <c r="H9" s="8"/>
      <c r="I9" s="8"/>
      <c r="J9" s="8"/>
    </row>
    <row r="10" spans="1:10" x14ac:dyDescent="0.2">
      <c r="A10" s="8"/>
      <c r="B10" s="15"/>
      <c r="C10" s="8"/>
      <c r="D10" s="8"/>
      <c r="E10" s="8"/>
      <c r="F10" s="8"/>
      <c r="G10" s="8"/>
      <c r="H10" s="8"/>
      <c r="I10" s="8"/>
      <c r="J10" s="8"/>
    </row>
    <row r="11" spans="1:10" x14ac:dyDescent="0.2">
      <c r="A11" s="8"/>
      <c r="B11" s="8"/>
      <c r="C11" s="8"/>
      <c r="D11" s="8"/>
      <c r="E11" s="8"/>
      <c r="F11" s="8"/>
      <c r="G11" s="8"/>
      <c r="H11" s="8"/>
      <c r="I11" s="8"/>
      <c r="J11" s="8"/>
    </row>
    <row r="12" spans="1:10" x14ac:dyDescent="0.2">
      <c r="A12" s="8"/>
      <c r="B12" s="8"/>
      <c r="C12" s="8"/>
      <c r="D12" s="8"/>
      <c r="E12" s="8"/>
      <c r="F12" s="8"/>
      <c r="G12" s="8"/>
      <c r="H12" s="8"/>
      <c r="I12" s="8"/>
      <c r="J12" s="8"/>
    </row>
    <row r="13" spans="1:10" x14ac:dyDescent="0.2">
      <c r="A13" s="8"/>
      <c r="B13" s="8"/>
      <c r="C13" s="8"/>
      <c r="D13" s="8"/>
      <c r="E13" s="8"/>
      <c r="F13" s="8"/>
      <c r="G13" s="8"/>
      <c r="H13" s="8"/>
      <c r="I13" s="8"/>
      <c r="J13" s="8"/>
    </row>
    <row r="14" spans="1:10" x14ac:dyDescent="0.2">
      <c r="A14" s="8"/>
      <c r="B14" s="8"/>
      <c r="C14" s="8"/>
      <c r="D14" s="8"/>
      <c r="E14" s="8"/>
      <c r="F14" s="8"/>
      <c r="G14" s="8"/>
      <c r="H14" s="8"/>
      <c r="I14" s="8"/>
      <c r="J14" s="8"/>
    </row>
    <row r="15" spans="1:10" x14ac:dyDescent="0.2">
      <c r="A15" s="8"/>
      <c r="B15" s="8"/>
      <c r="C15" s="8"/>
      <c r="D15" s="8"/>
      <c r="E15" s="8"/>
      <c r="F15" s="8"/>
      <c r="G15" s="8"/>
      <c r="H15" s="8"/>
      <c r="I15" s="8"/>
      <c r="J15" s="8"/>
    </row>
    <row r="16" spans="1:10" x14ac:dyDescent="0.2">
      <c r="A16" s="8"/>
      <c r="B16" s="8"/>
      <c r="C16" s="8"/>
      <c r="D16" s="8"/>
      <c r="E16" s="8"/>
      <c r="F16" s="8"/>
      <c r="G16" s="8"/>
      <c r="H16" s="8"/>
      <c r="I16" s="8"/>
      <c r="J16" s="8"/>
    </row>
    <row r="17" spans="1:10" x14ac:dyDescent="0.2">
      <c r="A17" s="8"/>
      <c r="B17" s="8"/>
      <c r="C17" s="8"/>
      <c r="D17" s="8"/>
      <c r="E17" s="8"/>
      <c r="F17" s="8"/>
      <c r="G17" s="8"/>
      <c r="H17" s="8"/>
      <c r="I17" s="8"/>
      <c r="J17" s="8"/>
    </row>
    <row r="18" spans="1:10" x14ac:dyDescent="0.2">
      <c r="A18" s="8"/>
      <c r="B18" s="8"/>
      <c r="C18" s="8"/>
      <c r="D18" s="8"/>
      <c r="E18" s="8"/>
      <c r="F18" s="8"/>
      <c r="G18" s="8"/>
      <c r="H18" s="8"/>
      <c r="I18" s="8"/>
      <c r="J18" s="8"/>
    </row>
    <row r="19" spans="1:10" x14ac:dyDescent="0.2">
      <c r="A19" s="8"/>
      <c r="B19" s="8"/>
      <c r="C19" s="8"/>
      <c r="D19" s="8"/>
      <c r="E19" s="8"/>
      <c r="F19" s="8"/>
      <c r="G19" s="8"/>
      <c r="H19" s="8"/>
      <c r="I19" s="8"/>
      <c r="J19" s="8"/>
    </row>
    <row r="20" spans="1:10" x14ac:dyDescent="0.2">
      <c r="A20" s="8"/>
      <c r="B20" s="8"/>
      <c r="C20" s="8"/>
      <c r="D20" s="8"/>
      <c r="E20" s="8"/>
      <c r="F20" s="8"/>
      <c r="G20" s="8"/>
      <c r="H20" s="8"/>
      <c r="I20" s="8"/>
      <c r="J20" s="8"/>
    </row>
    <row r="21" spans="1:10" x14ac:dyDescent="0.2">
      <c r="A21" s="8"/>
      <c r="B21" s="8"/>
      <c r="C21" s="8"/>
      <c r="D21" s="8"/>
      <c r="E21" s="8"/>
      <c r="F21" s="8"/>
      <c r="G21" s="8"/>
      <c r="H21" s="8"/>
      <c r="I21" s="8"/>
      <c r="J21" s="8"/>
    </row>
    <row r="22" spans="1:10" x14ac:dyDescent="0.2">
      <c r="A22" s="8"/>
      <c r="B22" s="8"/>
      <c r="C22" s="8"/>
      <c r="D22" s="8"/>
      <c r="E22" s="8"/>
      <c r="F22" s="8"/>
      <c r="G22" s="8"/>
      <c r="H22" s="8"/>
      <c r="I22" s="8"/>
      <c r="J22" s="8"/>
    </row>
    <row r="23" spans="1:10" x14ac:dyDescent="0.2">
      <c r="A23" s="8"/>
      <c r="B23" s="8"/>
      <c r="C23" s="8"/>
      <c r="D23" s="8"/>
      <c r="E23" s="8"/>
      <c r="F23" s="8"/>
      <c r="G23" s="8"/>
      <c r="H23" s="8"/>
      <c r="I23" s="8"/>
      <c r="J23" s="8"/>
    </row>
    <row r="24" spans="1:10" x14ac:dyDescent="0.2">
      <c r="A24" s="8"/>
      <c r="B24" s="8"/>
      <c r="C24" s="8"/>
      <c r="D24" s="8"/>
      <c r="E24" s="8"/>
      <c r="F24" s="8"/>
      <c r="G24" s="8"/>
      <c r="H24" s="8"/>
      <c r="I24" s="8"/>
      <c r="J24" s="8"/>
    </row>
    <row r="25" spans="1:10" x14ac:dyDescent="0.2">
      <c r="A25" s="32" t="s">
        <v>0</v>
      </c>
      <c r="B25" s="33">
        <v>3184</v>
      </c>
      <c r="C25" s="34" t="s">
        <v>1</v>
      </c>
      <c r="D25" s="35"/>
      <c r="E25" s="35"/>
      <c r="F25" s="35"/>
      <c r="G25" s="1"/>
      <c r="H25" s="30"/>
      <c r="I25" s="30"/>
      <c r="J25" s="30"/>
    </row>
    <row r="26" spans="1:10" x14ac:dyDescent="0.2">
      <c r="A26" s="32" t="s">
        <v>61</v>
      </c>
      <c r="B26" s="36">
        <f>+[1]Main!$C551</f>
        <v>1.6000000000000001E-3</v>
      </c>
      <c r="C26" s="34" t="s">
        <v>41</v>
      </c>
      <c r="D26" s="35"/>
      <c r="E26" s="35"/>
      <c r="F26" s="35"/>
      <c r="G26" s="1"/>
      <c r="H26" s="30"/>
      <c r="I26" s="30"/>
      <c r="J26" s="30"/>
    </row>
    <row r="27" spans="1:10" x14ac:dyDescent="0.2">
      <c r="A27" s="32" t="s">
        <v>62</v>
      </c>
      <c r="B27" s="36">
        <f>+[1]Main!$C606</f>
        <v>1.8979999999999999E-3</v>
      </c>
      <c r="C27" s="34" t="s">
        <v>95</v>
      </c>
      <c r="D27" s="35"/>
      <c r="E27" s="37"/>
      <c r="F27" s="35"/>
      <c r="G27" s="1"/>
      <c r="H27" s="30"/>
      <c r="I27" s="30"/>
      <c r="J27" s="30"/>
    </row>
    <row r="28" spans="1:10" x14ac:dyDescent="0.2">
      <c r="A28" s="38" t="s">
        <v>32</v>
      </c>
      <c r="B28" s="39">
        <f>[2]Sheet1!E33</f>
        <v>726252524</v>
      </c>
      <c r="C28" s="21"/>
      <c r="D28" s="31"/>
      <c r="E28" s="31"/>
      <c r="F28" s="23"/>
      <c r="G28" s="1"/>
      <c r="H28" s="30"/>
      <c r="I28" s="30"/>
      <c r="J28" s="30"/>
    </row>
    <row r="29" spans="1:10" x14ac:dyDescent="0.2">
      <c r="A29" s="32" t="s">
        <v>2</v>
      </c>
      <c r="B29" s="40">
        <f>[2]Sheet1!F33</f>
        <v>0.9516</v>
      </c>
      <c r="C29" s="7"/>
      <c r="D29" s="41" t="s">
        <v>3</v>
      </c>
      <c r="E29" s="42" t="str">
        <f>+[3]main!B34</f>
        <v>San Juan</v>
      </c>
      <c r="F29" s="43">
        <f>+[3]main!A34</f>
        <v>25</v>
      </c>
      <c r="G29" s="1"/>
      <c r="H29" s="30"/>
      <c r="I29" s="30"/>
      <c r="J29" s="30"/>
    </row>
    <row r="30" spans="1:10" x14ac:dyDescent="0.2">
      <c r="A30" s="32" t="s">
        <v>4</v>
      </c>
      <c r="B30" s="44">
        <f>[2]Sheet1!G33</f>
        <v>1.6750000000000001E-3</v>
      </c>
      <c r="C30" s="8"/>
      <c r="D30" s="24"/>
      <c r="E30" s="25"/>
      <c r="F30" s="24"/>
      <c r="G30" s="1"/>
      <c r="H30" s="30"/>
      <c r="I30" s="30"/>
      <c r="J30" s="30"/>
    </row>
    <row r="31" spans="1:10" x14ac:dyDescent="0.2">
      <c r="A31" s="32" t="s">
        <v>5</v>
      </c>
      <c r="B31" s="45">
        <f>[2]Sheet1!$C$89</f>
        <v>1405125</v>
      </c>
      <c r="C31" s="46"/>
      <c r="D31" s="47" t="s">
        <v>38</v>
      </c>
      <c r="E31" s="48" t="s">
        <v>7</v>
      </c>
      <c r="F31" s="47" t="s">
        <v>6</v>
      </c>
      <c r="G31" s="1"/>
      <c r="H31" s="30"/>
      <c r="I31" s="30"/>
      <c r="J31" s="30"/>
    </row>
    <row r="32" spans="1:10" x14ac:dyDescent="0.2">
      <c r="A32" s="32" t="s">
        <v>8</v>
      </c>
      <c r="B32" s="45">
        <f>+B31</f>
        <v>1405125</v>
      </c>
      <c r="C32" s="49"/>
      <c r="D32" s="50" t="s">
        <v>9</v>
      </c>
      <c r="E32" s="50" t="s">
        <v>37</v>
      </c>
      <c r="F32" s="50" t="s">
        <v>10</v>
      </c>
      <c r="G32" s="1"/>
      <c r="H32" s="30"/>
      <c r="I32" s="30"/>
      <c r="J32" s="30"/>
    </row>
    <row r="33" spans="1:10" x14ac:dyDescent="0.2">
      <c r="A33" s="32" t="s">
        <v>11</v>
      </c>
      <c r="B33" s="45">
        <v>0</v>
      </c>
      <c r="C33" s="51" t="s">
        <v>39</v>
      </c>
      <c r="D33" s="52" t="s">
        <v>12</v>
      </c>
      <c r="E33" s="52" t="s">
        <v>9</v>
      </c>
      <c r="F33" s="52" t="s">
        <v>9</v>
      </c>
      <c r="G33" s="1"/>
      <c r="H33" s="30"/>
      <c r="I33" s="30"/>
      <c r="J33" s="30"/>
    </row>
    <row r="34" spans="1:10" x14ac:dyDescent="0.2">
      <c r="A34" s="32" t="s">
        <v>70</v>
      </c>
      <c r="B34" s="45">
        <f>'[4]LRF FY17'!U31</f>
        <v>9515</v>
      </c>
      <c r="C34" s="53"/>
      <c r="D34" s="54"/>
      <c r="E34" s="54"/>
      <c r="F34" s="54" t="s">
        <v>14</v>
      </c>
      <c r="G34" s="1"/>
      <c r="H34" s="30"/>
      <c r="I34" s="30"/>
      <c r="J34" s="30"/>
    </row>
    <row r="35" spans="1:10" x14ac:dyDescent="0.2">
      <c r="A35" s="55" t="s">
        <v>13</v>
      </c>
      <c r="B35" s="56"/>
      <c r="C35" s="53"/>
      <c r="D35" s="54"/>
      <c r="E35" s="54"/>
      <c r="F35" s="54"/>
      <c r="G35" s="2"/>
      <c r="H35" s="30"/>
      <c r="I35" s="30"/>
      <c r="J35" s="30"/>
    </row>
    <row r="36" spans="1:10" x14ac:dyDescent="0.2">
      <c r="A36" s="55" t="s">
        <v>15</v>
      </c>
      <c r="B36" s="56"/>
      <c r="C36" s="53"/>
      <c r="D36" s="54"/>
      <c r="E36" s="54"/>
      <c r="F36" s="54"/>
      <c r="G36" s="2"/>
      <c r="H36" s="57" t="s">
        <v>43</v>
      </c>
      <c r="I36" s="30"/>
      <c r="J36" s="57" t="s">
        <v>45</v>
      </c>
    </row>
    <row r="37" spans="1:10" x14ac:dyDescent="0.2">
      <c r="A37" s="58" t="s">
        <v>16</v>
      </c>
      <c r="B37" s="59"/>
      <c r="C37" s="60">
        <f>[3]main!C208-[3]main!F150</f>
        <v>2791.518</v>
      </c>
      <c r="D37" s="61">
        <f>[3]main!E208-[3]main!H150</f>
        <v>8888193.1199999992</v>
      </c>
      <c r="E37" s="62">
        <f>IF(B32&gt;D37,D37,B32)</f>
        <v>1405125</v>
      </c>
      <c r="F37" s="62">
        <f>D37-E37</f>
        <v>7483068.1200000001</v>
      </c>
      <c r="G37" s="1"/>
      <c r="H37" s="57">
        <f>[3]main!H267</f>
        <v>13385593.43</v>
      </c>
      <c r="I37" s="30"/>
      <c r="J37" s="57">
        <f>'[5]Sheet 1'!E91</f>
        <v>16182939.300000001</v>
      </c>
    </row>
    <row r="38" spans="1:10" x14ac:dyDescent="0.2">
      <c r="A38" s="58" t="s">
        <v>17</v>
      </c>
      <c r="B38" s="59"/>
      <c r="C38" s="53">
        <f>[3]main!F150</f>
        <v>1003.744</v>
      </c>
      <c r="D38" s="54">
        <f>[3]main!H150</f>
        <v>3195921.44</v>
      </c>
      <c r="E38" s="54">
        <f>IF(B31-SUM(E35:E37)&gt;D38,D38,B31-SUM(E35:E37))</f>
        <v>0</v>
      </c>
      <c r="F38" s="54">
        <f>D38-E38</f>
        <v>3195921.44</v>
      </c>
      <c r="G38" s="1"/>
      <c r="H38" s="57">
        <f>SUM(D37:D41)</f>
        <v>13385593.43</v>
      </c>
      <c r="I38" s="30"/>
      <c r="J38" s="57">
        <f>D52</f>
        <v>16182939.300000001</v>
      </c>
    </row>
    <row r="39" spans="1:10" x14ac:dyDescent="0.2">
      <c r="A39" s="58" t="s">
        <v>18</v>
      </c>
      <c r="B39" s="59"/>
      <c r="C39" s="53">
        <f>[3]main!F208</f>
        <v>348.75599999999997</v>
      </c>
      <c r="D39" s="54">
        <f>[3]main!H208</f>
        <v>1110438.8700000001</v>
      </c>
      <c r="E39" s="54">
        <f>IF(B32-SUM(E37:E38)&gt;D39,D39,B32-SUM(E37:E38))</f>
        <v>0</v>
      </c>
      <c r="F39" s="54">
        <f>D39-E39</f>
        <v>1110438.8700000001</v>
      </c>
      <c r="G39" s="1"/>
      <c r="H39" s="57">
        <f>+H37-H38</f>
        <v>0</v>
      </c>
      <c r="I39" s="30"/>
      <c r="J39" s="57">
        <f>+J37-J38</f>
        <v>0</v>
      </c>
    </row>
    <row r="40" spans="1:10" x14ac:dyDescent="0.2">
      <c r="A40" s="58" t="s">
        <v>19</v>
      </c>
      <c r="B40" s="59"/>
      <c r="C40" s="53">
        <f>[3]main!C267</f>
        <v>60</v>
      </c>
      <c r="D40" s="54">
        <f>[3]main!E267</f>
        <v>191040</v>
      </c>
      <c r="E40" s="54">
        <f>IF(B32-SUM(E37:E39)&gt;D40,D40,B32-SUM(E37:E39))</f>
        <v>0</v>
      </c>
      <c r="F40" s="54">
        <f>D40-E40</f>
        <v>191040</v>
      </c>
      <c r="G40" s="1"/>
      <c r="H40" s="30"/>
      <c r="I40" s="30"/>
      <c r="J40" s="30"/>
    </row>
    <row r="41" spans="1:10" x14ac:dyDescent="0.2">
      <c r="A41" s="58" t="s">
        <v>42</v>
      </c>
      <c r="B41" s="59"/>
      <c r="C41" s="53">
        <f>[3]main!C91</f>
        <v>0</v>
      </c>
      <c r="D41" s="54">
        <f>[3]main!E91</f>
        <v>0</v>
      </c>
      <c r="E41" s="54">
        <f>IF(B32-SUM(E37:E40)&gt;D41,D41,B32-SUM(E37:E40))</f>
        <v>0</v>
      </c>
      <c r="F41" s="54">
        <f>D41-E41</f>
        <v>0</v>
      </c>
      <c r="G41" s="1"/>
      <c r="H41" s="30"/>
      <c r="I41" s="30"/>
      <c r="J41" s="30"/>
    </row>
    <row r="42" spans="1:10" x14ac:dyDescent="0.2">
      <c r="A42" s="55" t="s">
        <v>20</v>
      </c>
      <c r="B42" s="56"/>
      <c r="C42" s="63"/>
      <c r="D42" s="64"/>
      <c r="E42" s="64"/>
      <c r="F42" s="64" t="s">
        <v>14</v>
      </c>
      <c r="G42" s="1"/>
      <c r="H42" s="57" t="s">
        <v>44</v>
      </c>
      <c r="I42" s="30"/>
      <c r="J42" s="30"/>
    </row>
    <row r="43" spans="1:10" x14ac:dyDescent="0.2">
      <c r="A43" s="58" t="s">
        <v>21</v>
      </c>
      <c r="B43" s="59"/>
      <c r="C43" s="53">
        <f>'[6]Sheet 1'!C33</f>
        <v>339.71600000000001</v>
      </c>
      <c r="D43" s="54">
        <f>'[6]Sheet 1'!E33</f>
        <v>1081655.04</v>
      </c>
      <c r="E43" s="54">
        <f>IF(B32-SUM(E37:E42)&gt;D43,D43,B32-SUM(E37:E42))</f>
        <v>0</v>
      </c>
      <c r="F43" s="54">
        <f t="shared" ref="F43:F51" si="0">D43-E43</f>
        <v>1081655.04</v>
      </c>
      <c r="G43" s="1"/>
      <c r="H43" s="57">
        <f>'[6]Sheet 1'!N149</f>
        <v>1436236.3</v>
      </c>
      <c r="I43" s="30"/>
      <c r="J43" s="30"/>
    </row>
    <row r="44" spans="1:10" x14ac:dyDescent="0.2">
      <c r="A44" s="59" t="s">
        <v>22</v>
      </c>
      <c r="B44" s="59"/>
      <c r="C44" s="53">
        <f>'[6]Sheet 1'!F33</f>
        <v>24.82</v>
      </c>
      <c r="D44" s="54">
        <f>'[6]Sheet 1'!H33</f>
        <v>79026.880000000005</v>
      </c>
      <c r="E44" s="54">
        <f>IF(B32-SUM(E37:E43)&gt;D44,D44,B32-SUM(E37:E43))</f>
        <v>0</v>
      </c>
      <c r="F44" s="54">
        <f t="shared" si="0"/>
        <v>79026.880000000005</v>
      </c>
      <c r="G44" s="1"/>
      <c r="H44" s="57">
        <f>SUM(D43:D49)</f>
        <v>1436236.3</v>
      </c>
      <c r="I44" s="30"/>
      <c r="J44" s="30"/>
    </row>
    <row r="45" spans="1:10" x14ac:dyDescent="0.2">
      <c r="A45" s="59" t="s">
        <v>23</v>
      </c>
      <c r="B45" s="59"/>
      <c r="C45" s="53">
        <f>'[6]Sheet 1'!C91</f>
        <v>72.03</v>
      </c>
      <c r="D45" s="54">
        <f>'[6]Sheet 1'!E91</f>
        <v>229343.52</v>
      </c>
      <c r="E45" s="54">
        <f>IF(B32-SUM(E37:E44)&gt;D45,D45,B32-SUM(E37:E44))</f>
        <v>0</v>
      </c>
      <c r="F45" s="54">
        <f t="shared" si="0"/>
        <v>229343.52</v>
      </c>
      <c r="G45" s="1"/>
      <c r="H45" s="57">
        <f>+H43-H44</f>
        <v>0</v>
      </c>
      <c r="I45" s="30"/>
      <c r="J45" s="30"/>
    </row>
    <row r="46" spans="1:10" x14ac:dyDescent="0.2">
      <c r="A46" s="58" t="s">
        <v>24</v>
      </c>
      <c r="B46" s="59"/>
      <c r="C46" s="53">
        <f>'[6]Sheet 1'!F91</f>
        <v>2.585</v>
      </c>
      <c r="D46" s="54">
        <f>'[6]Sheet 1'!H91</f>
        <v>8230.86</v>
      </c>
      <c r="E46" s="54">
        <f>IF(B32-SUM(E37:E45)&gt;D46,D46,B32-SUM(E37:E45))</f>
        <v>0</v>
      </c>
      <c r="F46" s="54">
        <f t="shared" si="0"/>
        <v>8230.86</v>
      </c>
      <c r="G46" s="1"/>
      <c r="H46" s="30"/>
      <c r="I46" s="30"/>
      <c r="J46" s="30"/>
    </row>
    <row r="47" spans="1:10" x14ac:dyDescent="0.2">
      <c r="A47" s="59" t="s">
        <v>71</v>
      </c>
      <c r="B47" s="59"/>
      <c r="C47" s="53">
        <f>'[6]Sheet 1'!C149</f>
        <v>10.340999999999999</v>
      </c>
      <c r="D47" s="54">
        <f>'[6]Sheet 1'!E149</f>
        <v>32926.379999999997</v>
      </c>
      <c r="E47" s="54">
        <f>IF(B32-SUM(E37:E46)&gt;D47,D47,B32-SUM(E37:E46))</f>
        <v>0</v>
      </c>
      <c r="F47" s="54">
        <f t="shared" si="0"/>
        <v>32926.379999999997</v>
      </c>
      <c r="G47" s="1"/>
      <c r="H47" s="30"/>
      <c r="I47" s="30"/>
      <c r="J47" s="30"/>
    </row>
    <row r="48" spans="1:10" x14ac:dyDescent="0.2">
      <c r="A48" s="59" t="s">
        <v>57</v>
      </c>
      <c r="B48" s="59"/>
      <c r="C48" s="53">
        <f>'[6]Sheet 1'!F149</f>
        <v>0</v>
      </c>
      <c r="D48" s="54">
        <f>'[6]Sheet 1'!H149</f>
        <v>0</v>
      </c>
      <c r="E48" s="54">
        <f>IF(B33-SUM(E38:E47)&gt;D48,D48,B33-SUM(E38:E47))</f>
        <v>0</v>
      </c>
      <c r="F48" s="54">
        <f t="shared" si="0"/>
        <v>0</v>
      </c>
      <c r="G48" s="1"/>
      <c r="H48" s="30"/>
      <c r="I48" s="30"/>
      <c r="J48" s="30"/>
    </row>
    <row r="49" spans="1:10" x14ac:dyDescent="0.2">
      <c r="A49" s="59" t="s">
        <v>64</v>
      </c>
      <c r="B49" s="59"/>
      <c r="C49" s="53">
        <f>'[6]Sheet 1'!I149</f>
        <v>1.587</v>
      </c>
      <c r="D49" s="54">
        <f>'[6]Sheet 1'!K149</f>
        <v>5053.62</v>
      </c>
      <c r="E49" s="54">
        <f>IF(B35-SUM(E39:E48)&gt;D49,D49,B35-SUM(E39:E48))</f>
        <v>0</v>
      </c>
      <c r="F49" s="54">
        <f t="shared" si="0"/>
        <v>5053.62</v>
      </c>
      <c r="G49" s="1"/>
      <c r="H49" s="57" t="s">
        <v>46</v>
      </c>
      <c r="I49" s="30"/>
      <c r="J49" s="30"/>
    </row>
    <row r="50" spans="1:10" x14ac:dyDescent="0.2">
      <c r="A50" s="59" t="s">
        <v>58</v>
      </c>
      <c r="B50" s="59"/>
      <c r="C50" s="53">
        <f>'[6]Sheet 1'!C207</f>
        <v>251.59299999999999</v>
      </c>
      <c r="D50" s="54">
        <f>'[6]Sheet 1'!E207</f>
        <v>801069.42</v>
      </c>
      <c r="E50" s="54">
        <f>IF(B32-SUM(E37:E47)&gt;D50,D50,B32-SUM(E37:E47))</f>
        <v>0</v>
      </c>
      <c r="F50" s="54">
        <f t="shared" si="0"/>
        <v>801069.42</v>
      </c>
      <c r="G50" s="4"/>
      <c r="H50" s="57">
        <f>+'[6]Sheet 1'!E207</f>
        <v>801069.42</v>
      </c>
      <c r="I50" s="30"/>
      <c r="J50" s="30"/>
    </row>
    <row r="51" spans="1:10" x14ac:dyDescent="0.2">
      <c r="A51" s="58" t="s">
        <v>59</v>
      </c>
      <c r="B51" s="59"/>
      <c r="C51" s="53">
        <f>'[5]Sheet 1'!C33</f>
        <v>175.892</v>
      </c>
      <c r="D51" s="54">
        <f>'[5]Sheet 1'!E33</f>
        <v>560040.15</v>
      </c>
      <c r="E51" s="54">
        <f>IF(B32-SUM(E37:E50)&gt;D51,D51,B32-SUM(E37:E50))</f>
        <v>0</v>
      </c>
      <c r="F51" s="54">
        <f t="shared" si="0"/>
        <v>560040.15</v>
      </c>
      <c r="G51" s="5"/>
      <c r="H51" s="57">
        <f>+D50</f>
        <v>801069.42</v>
      </c>
      <c r="I51" s="30"/>
      <c r="J51" s="30"/>
    </row>
    <row r="52" spans="1:10" x14ac:dyDescent="0.2">
      <c r="A52" s="65" t="s">
        <v>28</v>
      </c>
      <c r="B52" s="56"/>
      <c r="C52" s="66">
        <f>SUM(C37:C51)</f>
        <v>5082.5820000000003</v>
      </c>
      <c r="D52" s="67">
        <f>SUM(D37:D51)</f>
        <v>16182939.300000001</v>
      </c>
      <c r="E52" s="67">
        <f>SUM(E37:E51)</f>
        <v>1405125</v>
      </c>
      <c r="F52" s="67">
        <f>SUM(F37:F51)</f>
        <v>14777814.300000001</v>
      </c>
      <c r="G52" s="1"/>
      <c r="H52" s="57">
        <f>+H50-H51</f>
        <v>0</v>
      </c>
      <c r="I52" s="30"/>
      <c r="J52" s="30"/>
    </row>
    <row r="53" spans="1:10" x14ac:dyDescent="0.2">
      <c r="A53" s="68" t="s">
        <v>26</v>
      </c>
      <c r="B53" s="56"/>
      <c r="C53" s="69"/>
      <c r="D53" s="54"/>
      <c r="E53" s="54"/>
      <c r="F53" s="54"/>
      <c r="G53" s="1"/>
      <c r="H53" s="57" t="s">
        <v>47</v>
      </c>
      <c r="I53" s="30"/>
      <c r="J53" s="57" t="s">
        <v>52</v>
      </c>
    </row>
    <row r="54" spans="1:10" x14ac:dyDescent="0.2">
      <c r="A54" s="58" t="s">
        <v>56</v>
      </c>
      <c r="B54" s="59"/>
      <c r="C54" s="20"/>
      <c r="D54" s="70">
        <f>[1]Main!F34</f>
        <v>46905.74</v>
      </c>
      <c r="E54" s="54">
        <f>IF($B32-SUM($E52)&gt;D54,D54,$B32-SUM($E52))</f>
        <v>0</v>
      </c>
      <c r="F54" s="54">
        <f t="shared" ref="F54:F72" si="1">D54-E54</f>
        <v>46905.74</v>
      </c>
      <c r="G54" s="1"/>
      <c r="H54" s="57">
        <f>[1]Main!G34</f>
        <v>2068341.22</v>
      </c>
      <c r="I54" s="30"/>
      <c r="J54" s="57">
        <f>+[1]Main!D495</f>
        <v>4996661.2300000004</v>
      </c>
    </row>
    <row r="55" spans="1:10" x14ac:dyDescent="0.2">
      <c r="A55" s="59" t="s">
        <v>25</v>
      </c>
      <c r="B55" s="59"/>
      <c r="C55" s="20"/>
      <c r="D55" s="70">
        <f>[1]Main!C34</f>
        <v>1759518.48</v>
      </c>
      <c r="E55" s="54">
        <f>IF($B32-SUM($E52:E54)&gt;D55,D55,B32-SUM($E52:E54))</f>
        <v>0</v>
      </c>
      <c r="F55" s="54">
        <f t="shared" si="1"/>
        <v>1759518.48</v>
      </c>
      <c r="G55" s="1"/>
      <c r="H55" s="57">
        <f>SUM(D54:D56)</f>
        <v>2068341.22</v>
      </c>
      <c r="I55" s="30"/>
      <c r="J55" s="57">
        <f>SUM(D54:D81)-E67</f>
        <v>4996661.24</v>
      </c>
    </row>
    <row r="56" spans="1:10" x14ac:dyDescent="0.2">
      <c r="A56" s="71" t="s">
        <v>27</v>
      </c>
      <c r="B56" s="59"/>
      <c r="C56" s="20"/>
      <c r="D56" s="70">
        <f>[1]Main!D34</f>
        <v>261917</v>
      </c>
      <c r="E56" s="54">
        <f>IF($B32-SUM($E52:E55)&gt;D56,D56,$B32-SUM($E52:E55))</f>
        <v>0</v>
      </c>
      <c r="F56" s="54">
        <f>D56-E56</f>
        <v>261917</v>
      </c>
      <c r="G56" s="1"/>
      <c r="H56" s="57">
        <f>+H54-H55</f>
        <v>0</v>
      </c>
      <c r="I56" s="30"/>
      <c r="J56" s="57">
        <f>+J54-J55</f>
        <v>-0.01</v>
      </c>
    </row>
    <row r="57" spans="1:10" x14ac:dyDescent="0.2">
      <c r="A57" s="72" t="s">
        <v>72</v>
      </c>
      <c r="B57" s="59"/>
      <c r="C57" s="20"/>
      <c r="D57" s="70">
        <f>[1]Main!E34</f>
        <v>0</v>
      </c>
      <c r="E57" s="54">
        <f>IF($B33-SUM($E53:E56)&gt;D57,D57,$B33-SUM($E53:E56))</f>
        <v>0</v>
      </c>
      <c r="F57" s="54">
        <f>D57-E57</f>
        <v>0</v>
      </c>
      <c r="G57" s="1"/>
      <c r="H57" s="30"/>
      <c r="I57" s="30"/>
      <c r="J57" s="30"/>
    </row>
    <row r="58" spans="1:10" x14ac:dyDescent="0.2">
      <c r="A58" s="72" t="s">
        <v>73</v>
      </c>
      <c r="B58" s="59"/>
      <c r="C58" s="20"/>
      <c r="D58" s="54">
        <f>+[1]Main!$F150</f>
        <v>759.91</v>
      </c>
      <c r="E58" s="54">
        <f>IF($B32-SUM($E52:E56)&gt;D58,D58,$B32-SUM($E52:E56))</f>
        <v>0</v>
      </c>
      <c r="F58" s="54">
        <f t="shared" si="1"/>
        <v>759.91</v>
      </c>
      <c r="G58" s="1"/>
      <c r="H58" s="30"/>
      <c r="I58" s="30"/>
      <c r="J58" s="30"/>
    </row>
    <row r="59" spans="1:10" x14ac:dyDescent="0.2">
      <c r="A59" s="71" t="s">
        <v>74</v>
      </c>
      <c r="B59" s="59"/>
      <c r="C59" s="20"/>
      <c r="D59" s="54">
        <f>+[1]Main!$C92</f>
        <v>810925</v>
      </c>
      <c r="E59" s="54">
        <f>IF($B32-SUM($E52:E58)&gt;D59,D59,$B32-SUM($E52:E58))</f>
        <v>0</v>
      </c>
      <c r="F59" s="54">
        <f t="shared" si="1"/>
        <v>810925</v>
      </c>
      <c r="G59" s="1"/>
      <c r="H59" s="30"/>
      <c r="I59" s="30"/>
      <c r="J59" s="30"/>
    </row>
    <row r="60" spans="1:10" x14ac:dyDescent="0.2">
      <c r="A60" s="71" t="s">
        <v>75</v>
      </c>
      <c r="B60" s="59"/>
      <c r="C60" s="20"/>
      <c r="D60" s="54">
        <f>+[1]Main!$D92</f>
        <v>0</v>
      </c>
      <c r="E60" s="54">
        <f>IF($B32-SUM($E52:E59)&gt;D60,D60,$B32-SUM($E52:E59))</f>
        <v>0</v>
      </c>
      <c r="F60" s="54">
        <f t="shared" si="1"/>
        <v>0</v>
      </c>
      <c r="G60" s="1"/>
      <c r="H60" s="30"/>
      <c r="I60" s="30"/>
      <c r="J60" s="30"/>
    </row>
    <row r="61" spans="1:10" x14ac:dyDescent="0.2">
      <c r="A61" s="71" t="s">
        <v>76</v>
      </c>
      <c r="B61" s="59"/>
      <c r="C61" s="20"/>
      <c r="D61" s="54">
        <f>+[1]Main!$E92</f>
        <v>151459</v>
      </c>
      <c r="E61" s="54">
        <f>IF($B32-SUM($E52:E60)&gt;D61,D61,$B32-SUM($E52:E60))</f>
        <v>0</v>
      </c>
      <c r="F61" s="54">
        <f t="shared" si="1"/>
        <v>151459</v>
      </c>
      <c r="G61" s="1"/>
      <c r="H61" s="30"/>
      <c r="I61" s="30"/>
      <c r="J61" s="30"/>
    </row>
    <row r="62" spans="1:10" x14ac:dyDescent="0.2">
      <c r="A62" s="71" t="s">
        <v>77</v>
      </c>
      <c r="B62" s="59"/>
      <c r="C62" s="20"/>
      <c r="D62" s="54">
        <f>[1]Main!F92</f>
        <v>123025</v>
      </c>
      <c r="E62" s="54">
        <f>IF($B32-SUM($E52:E61)&gt;D62,D62,$B32-SUM($E52:E61))</f>
        <v>0</v>
      </c>
      <c r="F62" s="54">
        <f t="shared" si="1"/>
        <v>123025</v>
      </c>
      <c r="G62" s="1"/>
      <c r="H62" s="57" t="s">
        <v>48</v>
      </c>
      <c r="I62" s="30"/>
      <c r="J62" s="30"/>
    </row>
    <row r="63" spans="1:10" x14ac:dyDescent="0.2">
      <c r="A63" s="71" t="s">
        <v>79</v>
      </c>
      <c r="B63" s="59"/>
      <c r="C63" s="20"/>
      <c r="D63" s="54">
        <f>[1]Main!G92</f>
        <v>0</v>
      </c>
      <c r="E63" s="54">
        <f>IF($B32-SUM($E52:E62)&gt;D63,D63,$B32-SUM($E52:E62))</f>
        <v>0</v>
      </c>
      <c r="F63" s="54">
        <f t="shared" si="1"/>
        <v>0</v>
      </c>
      <c r="G63" s="1"/>
      <c r="H63" s="57"/>
      <c r="I63" s="30"/>
      <c r="J63" s="30"/>
    </row>
    <row r="64" spans="1:10" x14ac:dyDescent="0.2">
      <c r="A64" s="71" t="s">
        <v>78</v>
      </c>
      <c r="B64" s="59"/>
      <c r="C64" s="20"/>
      <c r="D64" s="54">
        <f>[1]Main!G150</f>
        <v>55571.49</v>
      </c>
      <c r="E64" s="54">
        <f>IF($B32-SUM($E52:E63)&gt;D64,D64,$B32-SUM($E52:E63))</f>
        <v>0</v>
      </c>
      <c r="F64" s="54">
        <f t="shared" si="1"/>
        <v>55571.49</v>
      </c>
      <c r="G64" s="1"/>
      <c r="H64" s="73">
        <f>+[1]Main!D208</f>
        <v>1201740.3999999999</v>
      </c>
      <c r="I64" s="30"/>
      <c r="J64" s="30"/>
    </row>
    <row r="65" spans="1:10" x14ac:dyDescent="0.2">
      <c r="A65" s="71" t="s">
        <v>80</v>
      </c>
      <c r="B65" s="59"/>
      <c r="C65" s="20"/>
      <c r="D65" s="54">
        <f>[1]Main!C208</f>
        <v>60000</v>
      </c>
      <c r="E65" s="54"/>
      <c r="F65" s="54">
        <f t="shared" si="1"/>
        <v>60000</v>
      </c>
      <c r="G65" s="1"/>
      <c r="H65" s="57">
        <f>+SUM(D58:D65)</f>
        <v>1201740.3999999999</v>
      </c>
      <c r="I65" s="30"/>
      <c r="J65" s="30"/>
    </row>
    <row r="66" spans="1:10" x14ac:dyDescent="0.2">
      <c r="A66" s="71" t="s">
        <v>81</v>
      </c>
      <c r="B66" s="59"/>
      <c r="C66" s="20"/>
      <c r="D66" s="54">
        <f>[1]Main!C266</f>
        <v>315586</v>
      </c>
      <c r="E66" s="54">
        <v>0</v>
      </c>
      <c r="F66" s="54">
        <f t="shared" si="1"/>
        <v>315586</v>
      </c>
      <c r="G66" s="1"/>
      <c r="H66" s="57">
        <f>+H64-H65</f>
        <v>0</v>
      </c>
      <c r="I66" s="30"/>
      <c r="J66" s="30"/>
    </row>
    <row r="67" spans="1:10" x14ac:dyDescent="0.2">
      <c r="A67" s="71" t="s">
        <v>82</v>
      </c>
      <c r="B67" s="59"/>
      <c r="C67" s="20"/>
      <c r="D67" s="54">
        <f>+[7]Main!I33+[7]Main!J33</f>
        <v>261256.88</v>
      </c>
      <c r="E67" s="74">
        <f>[7]Main!J33</f>
        <v>114846.63</v>
      </c>
      <c r="F67" s="54">
        <f t="shared" si="1"/>
        <v>146410.25</v>
      </c>
      <c r="G67" s="1"/>
      <c r="H67" s="30"/>
      <c r="I67" s="30"/>
      <c r="J67" s="30"/>
    </row>
    <row r="68" spans="1:10" x14ac:dyDescent="0.2">
      <c r="A68" s="71" t="s">
        <v>83</v>
      </c>
      <c r="B68" s="59"/>
      <c r="C68" s="20"/>
      <c r="D68" s="54">
        <f>[1]Main!F266</f>
        <v>106726</v>
      </c>
      <c r="E68" s="54">
        <v>0</v>
      </c>
      <c r="F68" s="54">
        <f t="shared" si="1"/>
        <v>106726</v>
      </c>
      <c r="G68" s="1"/>
      <c r="H68" s="30"/>
      <c r="I68" s="30"/>
      <c r="J68" s="30"/>
    </row>
    <row r="69" spans="1:10" x14ac:dyDescent="0.2">
      <c r="A69" s="71" t="s">
        <v>84</v>
      </c>
      <c r="B69" s="59"/>
      <c r="C69" s="7"/>
      <c r="D69" s="54">
        <f>[1]Main!E266</f>
        <v>7648.12</v>
      </c>
      <c r="E69" s="54">
        <v>0</v>
      </c>
      <c r="F69" s="54">
        <f t="shared" si="1"/>
        <v>7648.12</v>
      </c>
      <c r="G69" s="1"/>
      <c r="H69" s="57" t="s">
        <v>49</v>
      </c>
      <c r="I69" s="30"/>
      <c r="J69" s="30"/>
    </row>
    <row r="70" spans="1:10" x14ac:dyDescent="0.2">
      <c r="A70" s="71" t="s">
        <v>85</v>
      </c>
      <c r="B70" s="59"/>
      <c r="C70" s="7"/>
      <c r="D70" s="54">
        <f>[1]Main!G266</f>
        <v>0</v>
      </c>
      <c r="E70" s="54">
        <v>0</v>
      </c>
      <c r="F70" s="54">
        <f t="shared" si="1"/>
        <v>0</v>
      </c>
      <c r="G70" s="1"/>
      <c r="H70" s="57">
        <f>+[1]Main!C495</f>
        <v>1668733.05</v>
      </c>
      <c r="I70" s="57"/>
      <c r="J70" s="57"/>
    </row>
    <row r="71" spans="1:10" x14ac:dyDescent="0.2">
      <c r="A71" s="71" t="s">
        <v>86</v>
      </c>
      <c r="B71" s="59"/>
      <c r="C71" s="20"/>
      <c r="D71" s="54">
        <f>[1]Main!C324</f>
        <v>0</v>
      </c>
      <c r="E71" s="54">
        <v>0</v>
      </c>
      <c r="F71" s="54">
        <f t="shared" si="1"/>
        <v>0</v>
      </c>
      <c r="G71" s="1"/>
      <c r="H71" s="57">
        <f>+SUM(D66:D76)-E67</f>
        <v>1668733.05</v>
      </c>
      <c r="I71" s="57"/>
      <c r="J71" s="57">
        <f>+H71-H70</f>
        <v>0</v>
      </c>
    </row>
    <row r="72" spans="1:10" x14ac:dyDescent="0.2">
      <c r="A72" s="71" t="s">
        <v>87</v>
      </c>
      <c r="C72" s="8"/>
      <c r="D72" s="76">
        <f>[1]Main!D324</f>
        <v>993924.39</v>
      </c>
      <c r="E72" s="77">
        <v>0</v>
      </c>
      <c r="F72" s="77">
        <f t="shared" si="1"/>
        <v>993924.39</v>
      </c>
      <c r="G72" s="5"/>
      <c r="H72" s="57">
        <f>+H70-H71</f>
        <v>0</v>
      </c>
      <c r="I72" s="57"/>
      <c r="J72" s="57"/>
    </row>
    <row r="73" spans="1:10" x14ac:dyDescent="0.2">
      <c r="A73" s="71" t="s">
        <v>88</v>
      </c>
      <c r="B73" s="59"/>
      <c r="C73" s="20"/>
      <c r="D73" s="54">
        <f>+[1]Main!$E324</f>
        <v>5537.24</v>
      </c>
      <c r="E73" s="54">
        <v>0</v>
      </c>
      <c r="F73" s="54">
        <f>D73-E73</f>
        <v>5537.24</v>
      </c>
      <c r="G73" s="4"/>
      <c r="H73" s="30"/>
      <c r="I73" s="30"/>
      <c r="J73" s="30"/>
    </row>
    <row r="74" spans="1:10" x14ac:dyDescent="0.2">
      <c r="A74" s="71" t="s">
        <v>89</v>
      </c>
      <c r="B74" s="59"/>
      <c r="C74" s="20"/>
      <c r="D74" s="54">
        <f>[1]Main!F324</f>
        <v>27457.06</v>
      </c>
      <c r="E74" s="54">
        <v>0</v>
      </c>
      <c r="F74" s="54">
        <f>D74-E74</f>
        <v>27457.06</v>
      </c>
      <c r="G74" s="4"/>
      <c r="H74" s="30"/>
      <c r="I74" s="30"/>
      <c r="J74" s="30"/>
    </row>
    <row r="75" spans="1:10" x14ac:dyDescent="0.2">
      <c r="A75" s="71" t="s">
        <v>90</v>
      </c>
      <c r="B75" s="59"/>
      <c r="C75" s="20"/>
      <c r="D75" s="54">
        <f>[1]Main!G324</f>
        <v>0</v>
      </c>
      <c r="E75" s="54">
        <v>0</v>
      </c>
      <c r="F75" s="54">
        <f>D75-E75</f>
        <v>0</v>
      </c>
      <c r="G75" s="1"/>
      <c r="H75" s="57" t="s">
        <v>50</v>
      </c>
      <c r="I75" s="30"/>
      <c r="J75" s="30"/>
    </row>
    <row r="76" spans="1:10" x14ac:dyDescent="0.2">
      <c r="A76" s="71" t="s">
        <v>93</v>
      </c>
      <c r="B76" s="59"/>
      <c r="C76" s="20"/>
      <c r="D76" s="54">
        <f>[1]Main!F381</f>
        <v>65443.99</v>
      </c>
      <c r="E76" s="54">
        <v>0</v>
      </c>
      <c r="F76" s="54">
        <f>D76-E76</f>
        <v>65443.99</v>
      </c>
      <c r="G76" s="1"/>
      <c r="H76" s="57"/>
      <c r="I76" s="30"/>
      <c r="J76" s="30"/>
    </row>
    <row r="77" spans="1:10" x14ac:dyDescent="0.2">
      <c r="A77" s="55" t="s">
        <v>30</v>
      </c>
      <c r="B77" s="78"/>
      <c r="C77" s="79"/>
      <c r="D77" s="64"/>
      <c r="E77" s="64"/>
      <c r="F77" s="64"/>
      <c r="G77" s="1"/>
      <c r="H77" s="57"/>
      <c r="I77" s="30"/>
      <c r="J77" s="30"/>
    </row>
    <row r="78" spans="1:10" x14ac:dyDescent="0.2">
      <c r="A78" s="71" t="s">
        <v>60</v>
      </c>
      <c r="B78" s="59"/>
      <c r="C78" s="20"/>
      <c r="D78" s="54">
        <f>[1]Main!C438</f>
        <v>35276.68</v>
      </c>
      <c r="E78" s="54">
        <v>0</v>
      </c>
      <c r="F78" s="54">
        <f>D78-E78</f>
        <v>35276.68</v>
      </c>
      <c r="G78" s="1"/>
      <c r="H78" s="57">
        <f>+[1]Main!G438</f>
        <v>57846.559999999998</v>
      </c>
      <c r="I78" s="30"/>
      <c r="J78" s="30"/>
    </row>
    <row r="79" spans="1:10" x14ac:dyDescent="0.2">
      <c r="A79" s="71" t="s">
        <v>63</v>
      </c>
      <c r="B79" s="59"/>
      <c r="C79" s="20"/>
      <c r="D79" s="54">
        <f>[1]Main!D438</f>
        <v>3998.12</v>
      </c>
      <c r="E79" s="54">
        <v>0</v>
      </c>
      <c r="F79" s="54">
        <f>D79-E79</f>
        <v>3998.12</v>
      </c>
      <c r="G79" s="4"/>
      <c r="H79" s="57">
        <f>SUM(D78:D81)-0.01</f>
        <v>57846.559999999998</v>
      </c>
      <c r="I79" s="30"/>
      <c r="J79" s="30"/>
    </row>
    <row r="80" spans="1:10" x14ac:dyDescent="0.2">
      <c r="A80" s="71" t="s">
        <v>91</v>
      </c>
      <c r="B80" s="59"/>
      <c r="C80" s="20"/>
      <c r="D80" s="54">
        <f>[1]Main!E438</f>
        <v>0</v>
      </c>
      <c r="E80" s="54">
        <v>0</v>
      </c>
      <c r="F80" s="54">
        <f>D80-E80</f>
        <v>0</v>
      </c>
      <c r="G80" s="4"/>
      <c r="H80" s="57">
        <f>+H78-H79</f>
        <v>0</v>
      </c>
      <c r="I80" s="30"/>
      <c r="J80" s="30"/>
    </row>
    <row r="81" spans="1:10" x14ac:dyDescent="0.2">
      <c r="A81" s="71" t="s">
        <v>92</v>
      </c>
      <c r="B81" s="59"/>
      <c r="C81" s="20"/>
      <c r="D81" s="54">
        <f>[1]Main!F438</f>
        <v>18571.77</v>
      </c>
      <c r="E81" s="54">
        <v>0</v>
      </c>
      <c r="F81" s="54">
        <f>D81-E81</f>
        <v>18571.77</v>
      </c>
      <c r="G81" s="1"/>
      <c r="H81" s="30"/>
      <c r="I81" s="30"/>
      <c r="J81" s="30"/>
    </row>
    <row r="82" spans="1:10" x14ac:dyDescent="0.2">
      <c r="A82" s="55" t="s">
        <v>31</v>
      </c>
      <c r="B82" s="78"/>
      <c r="C82" s="79"/>
      <c r="D82" s="64"/>
      <c r="E82" s="64"/>
      <c r="F82" s="64"/>
      <c r="G82" s="1"/>
      <c r="H82" s="30"/>
      <c r="I82" s="30"/>
      <c r="J82" s="30"/>
    </row>
    <row r="83" spans="1:10" x14ac:dyDescent="0.2">
      <c r="A83" s="58" t="s">
        <v>69</v>
      </c>
      <c r="B83" s="59"/>
      <c r="C83" s="20"/>
      <c r="D83" s="54">
        <f>+[1]Main!$G551</f>
        <v>3134519.74</v>
      </c>
      <c r="E83" s="54">
        <f>+[1]Main!$D551</f>
        <v>1342209.36</v>
      </c>
      <c r="F83" s="54">
        <f>+D83-E83</f>
        <v>1792310.38</v>
      </c>
      <c r="G83" s="1"/>
      <c r="H83" s="30"/>
      <c r="I83" s="30"/>
      <c r="J83" s="30"/>
    </row>
    <row r="84" spans="1:10" x14ac:dyDescent="0.2">
      <c r="A84" s="59" t="s">
        <v>68</v>
      </c>
      <c r="B84" s="59"/>
      <c r="C84" s="20"/>
      <c r="D84" s="54">
        <f>+[1]Main!$G606</f>
        <v>783629.93</v>
      </c>
      <c r="E84" s="54">
        <f>+[1]Main!$D606</f>
        <v>335552.34</v>
      </c>
      <c r="F84" s="54">
        <f>+D84-E84</f>
        <v>448077.59</v>
      </c>
      <c r="G84" s="1"/>
      <c r="H84" s="30"/>
      <c r="I84" s="30"/>
      <c r="J84" s="30"/>
    </row>
    <row r="85" spans="1:10" ht="13.5" thickBot="1" x14ac:dyDescent="0.25">
      <c r="A85" s="80"/>
      <c r="B85" s="81"/>
      <c r="C85" s="82" t="s">
        <v>29</v>
      </c>
      <c r="D85" s="83">
        <f>SUM(D52:D84)</f>
        <v>25212596.84</v>
      </c>
      <c r="E85" s="83">
        <f>SUM(E52:E84)</f>
        <v>3197733.33</v>
      </c>
      <c r="F85" s="83">
        <f>SUM(F52:F84)</f>
        <v>22014863.510000002</v>
      </c>
      <c r="G85" s="1"/>
      <c r="H85" s="30"/>
      <c r="I85" s="30"/>
      <c r="J85" s="30"/>
    </row>
    <row r="86" spans="1:10" ht="13.5" thickTop="1" x14ac:dyDescent="0.2">
      <c r="A86" s="84"/>
      <c r="B86" s="59"/>
      <c r="C86" s="85"/>
      <c r="D86" s="86"/>
      <c r="E86" s="86"/>
      <c r="F86" s="87"/>
      <c r="G86" s="1"/>
      <c r="H86" s="30"/>
      <c r="I86" s="30"/>
      <c r="J86" s="30"/>
    </row>
    <row r="87" spans="1:10" x14ac:dyDescent="0.2">
      <c r="A87" s="88" t="s">
        <v>40</v>
      </c>
      <c r="B87" s="78"/>
      <c r="C87" s="89"/>
      <c r="D87" s="90"/>
      <c r="E87" s="91"/>
      <c r="F87" s="92" t="s">
        <v>36</v>
      </c>
      <c r="G87" s="6"/>
      <c r="H87" s="57" t="s">
        <v>51</v>
      </c>
      <c r="I87" s="30"/>
      <c r="J87" s="57" t="s">
        <v>7</v>
      </c>
    </row>
    <row r="88" spans="1:10" x14ac:dyDescent="0.2">
      <c r="A88" s="93" t="s">
        <v>33</v>
      </c>
      <c r="B88" s="94"/>
      <c r="C88" s="95"/>
      <c r="D88" s="96"/>
      <c r="E88" s="96"/>
      <c r="F88" s="91"/>
      <c r="G88" s="6"/>
      <c r="H88" s="30"/>
      <c r="I88" s="30"/>
      <c r="J88" s="30"/>
    </row>
    <row r="89" spans="1:10" x14ac:dyDescent="0.2">
      <c r="A89" s="59" t="s">
        <v>34</v>
      </c>
      <c r="B89" s="59"/>
      <c r="C89" s="22"/>
      <c r="D89" s="27"/>
      <c r="E89" s="27"/>
      <c r="F89" s="97">
        <f>+[8]Main!$C34</f>
        <v>0</v>
      </c>
      <c r="G89" s="5"/>
      <c r="H89" s="57">
        <f>+[1]Main!G662</f>
        <v>3918149.67</v>
      </c>
      <c r="I89" s="30"/>
      <c r="J89" s="57">
        <f>+[1]Main!E662+[1]Main!F662</f>
        <v>2240387.9700000002</v>
      </c>
    </row>
    <row r="90" spans="1:10" x14ac:dyDescent="0.2">
      <c r="A90" s="59" t="s">
        <v>66</v>
      </c>
      <c r="B90" s="59"/>
      <c r="C90" s="22"/>
      <c r="D90" s="27"/>
      <c r="E90" s="27"/>
      <c r="F90" s="97">
        <f>+[8]Main!$D34</f>
        <v>0</v>
      </c>
      <c r="G90" s="5"/>
      <c r="H90" s="57">
        <f>+D83+D84</f>
        <v>3918149.67</v>
      </c>
      <c r="I90" s="30"/>
      <c r="J90" s="57">
        <f>+F83+F84</f>
        <v>2240387.9700000002</v>
      </c>
    </row>
    <row r="91" spans="1:10" x14ac:dyDescent="0.2">
      <c r="A91" s="32" t="s">
        <v>65</v>
      </c>
      <c r="B91" s="32"/>
      <c r="C91" s="22"/>
      <c r="D91" s="28"/>
      <c r="E91" s="28"/>
      <c r="F91" s="97">
        <f>+[8]Main!$E34</f>
        <v>0</v>
      </c>
      <c r="G91" s="1"/>
      <c r="H91" s="57">
        <f>+H89-H90</f>
        <v>0</v>
      </c>
      <c r="I91" s="30"/>
      <c r="J91" s="57">
        <f>+J89-J90</f>
        <v>0</v>
      </c>
    </row>
    <row r="92" spans="1:10" x14ac:dyDescent="0.2">
      <c r="A92" s="32" t="s">
        <v>67</v>
      </c>
      <c r="B92" s="32"/>
      <c r="C92" s="22"/>
      <c r="D92" s="28"/>
      <c r="E92" s="28"/>
      <c r="F92" s="97">
        <f>+[8]Main!$F34</f>
        <v>0</v>
      </c>
      <c r="G92" s="1"/>
      <c r="H92" s="30"/>
      <c r="I92" s="30"/>
      <c r="J92" s="30"/>
    </row>
    <row r="93" spans="1:10" x14ac:dyDescent="0.2">
      <c r="A93" s="88" t="s">
        <v>35</v>
      </c>
      <c r="B93" s="78"/>
      <c r="C93" s="89"/>
      <c r="D93" s="90"/>
      <c r="E93" s="91"/>
      <c r="F93" s="54">
        <f>+[8]Main!$C92</f>
        <v>17029.2</v>
      </c>
      <c r="G93" s="1"/>
      <c r="H93" s="30"/>
      <c r="I93" s="30"/>
      <c r="J93" s="30"/>
    </row>
    <row r="94" spans="1:10" ht="13.5" thickBot="1" x14ac:dyDescent="0.25">
      <c r="A94" s="98"/>
      <c r="B94" s="99"/>
      <c r="C94" s="100" t="s">
        <v>29</v>
      </c>
      <c r="D94" s="101"/>
      <c r="E94" s="102"/>
      <c r="F94" s="103">
        <f>SUM(F89:F93)</f>
        <v>17029.2</v>
      </c>
      <c r="G94" s="1"/>
      <c r="H94" s="30"/>
      <c r="I94" s="30"/>
      <c r="J94" s="30"/>
    </row>
    <row r="95" spans="1:10" ht="13.5" thickBot="1" x14ac:dyDescent="0.25">
      <c r="A95" s="104"/>
      <c r="B95" s="105"/>
      <c r="C95" s="106" t="s">
        <v>53</v>
      </c>
      <c r="D95" s="107"/>
      <c r="E95" s="108"/>
      <c r="F95" s="109">
        <f>+F94+F85</f>
        <v>22031892.710000001</v>
      </c>
      <c r="G95" s="1"/>
      <c r="H95" s="57" t="s">
        <v>54</v>
      </c>
      <c r="I95" s="30"/>
      <c r="J95" s="30"/>
    </row>
    <row r="96" spans="1:10" x14ac:dyDescent="0.2">
      <c r="A96" s="11"/>
      <c r="B96" s="12"/>
      <c r="C96" s="9"/>
      <c r="D96" s="29"/>
      <c r="E96" s="29"/>
      <c r="F96" s="110"/>
      <c r="G96" s="1"/>
      <c r="H96" s="57">
        <f>+[8]Main!$G34</f>
        <v>0</v>
      </c>
      <c r="I96" s="30"/>
      <c r="J96" s="30"/>
    </row>
    <row r="97" spans="1:10" x14ac:dyDescent="0.2">
      <c r="A97" s="11"/>
      <c r="B97" s="12"/>
      <c r="C97" s="9"/>
      <c r="D97" s="29"/>
      <c r="E97" s="29"/>
      <c r="F97" s="110"/>
      <c r="G97" s="1"/>
      <c r="H97" s="57">
        <f>SUM(F89:F92)</f>
        <v>0</v>
      </c>
      <c r="I97" s="30"/>
      <c r="J97" s="30"/>
    </row>
    <row r="98" spans="1:10" x14ac:dyDescent="0.2">
      <c r="A98" s="1"/>
      <c r="B98" s="1"/>
      <c r="C98" s="7"/>
      <c r="D98" s="26"/>
      <c r="E98" s="26"/>
      <c r="F98" s="86">
        <f>+F94+F85</f>
        <v>22031892.710000001</v>
      </c>
      <c r="G98" s="1"/>
      <c r="H98" s="57">
        <f>+H96-H97</f>
        <v>0</v>
      </c>
      <c r="I98" s="30"/>
      <c r="J98" s="30"/>
    </row>
    <row r="99" spans="1:10" x14ac:dyDescent="0.2">
      <c r="A99" s="1"/>
      <c r="B99" s="1"/>
      <c r="C99" s="7"/>
      <c r="D99" s="26"/>
      <c r="E99" s="26"/>
      <c r="F99" s="86">
        <f>+[1]Main!$F778</f>
        <v>22031892.699999999</v>
      </c>
      <c r="G99" s="1"/>
      <c r="H99" s="30"/>
      <c r="I99" s="30"/>
      <c r="J99" s="30"/>
    </row>
    <row r="100" spans="1:10" x14ac:dyDescent="0.2">
      <c r="A100" s="1"/>
      <c r="B100" s="1"/>
      <c r="C100" s="7"/>
      <c r="D100" s="26"/>
      <c r="E100" s="86">
        <f>+E85+[1]Main!$E778</f>
        <v>0</v>
      </c>
      <c r="F100" s="86">
        <f>+F99-F98</f>
        <v>-0.01</v>
      </c>
      <c r="G100" s="1"/>
      <c r="H100" s="30"/>
      <c r="I100" s="30"/>
      <c r="J100" s="30"/>
    </row>
    <row r="101" spans="1:10" x14ac:dyDescent="0.2">
      <c r="A101" s="59"/>
      <c r="B101" s="59"/>
      <c r="C101" s="85"/>
      <c r="D101" s="86"/>
      <c r="E101" s="86"/>
      <c r="F101" s="86"/>
      <c r="G101" s="59"/>
      <c r="H101" s="57"/>
      <c r="I101" s="57"/>
      <c r="J101" s="57"/>
    </row>
    <row r="102" spans="1:10" x14ac:dyDescent="0.2">
      <c r="A102" s="59"/>
      <c r="B102" s="59"/>
      <c r="C102" s="85"/>
      <c r="D102" s="86"/>
      <c r="E102" s="86"/>
      <c r="F102" s="86"/>
      <c r="G102" s="59"/>
      <c r="H102" s="57"/>
      <c r="I102" s="57"/>
      <c r="J102" s="57"/>
    </row>
    <row r="103" spans="1:10" x14ac:dyDescent="0.2">
      <c r="A103" s="59"/>
      <c r="B103" s="59"/>
      <c r="C103" s="85"/>
      <c r="D103" s="86"/>
      <c r="E103" s="86"/>
      <c r="F103" s="86"/>
      <c r="G103" s="59"/>
      <c r="H103" s="111" t="s">
        <v>55</v>
      </c>
      <c r="I103" s="57"/>
      <c r="J103" s="57"/>
    </row>
    <row r="104" spans="1:10" x14ac:dyDescent="0.2">
      <c r="G104" s="59"/>
      <c r="H104" s="113"/>
      <c r="I104" s="112"/>
      <c r="J104" s="112"/>
    </row>
    <row r="105" spans="1:10" x14ac:dyDescent="0.2">
      <c r="G105" s="59"/>
      <c r="H105" s="112"/>
      <c r="I105" s="112"/>
      <c r="J105" s="112"/>
    </row>
    <row r="106" spans="1:10" x14ac:dyDescent="0.2">
      <c r="G106" s="59"/>
      <c r="H106" s="112"/>
      <c r="I106" s="112"/>
      <c r="J106" s="112"/>
    </row>
    <row r="107" spans="1:10" x14ac:dyDescent="0.2">
      <c r="G107" s="59"/>
      <c r="H107" s="112"/>
      <c r="I107" s="112"/>
      <c r="J107" s="112"/>
    </row>
    <row r="108" spans="1:10" x14ac:dyDescent="0.2">
      <c r="G108" s="59"/>
      <c r="H108" s="112"/>
      <c r="I108" s="112"/>
      <c r="J108" s="112"/>
    </row>
    <row r="109" spans="1:10" x14ac:dyDescent="0.2">
      <c r="G109" s="59"/>
      <c r="H109" s="71"/>
      <c r="I109" s="112"/>
      <c r="J109" s="112"/>
    </row>
  </sheetData>
  <mergeCells count="1">
    <mergeCell ref="D28:E28"/>
  </mergeCells>
  <phoneticPr fontId="0" type="noConversion"/>
  <printOptions horizontalCentered="1" verticalCentered="1"/>
  <pageMargins left="0.5" right="0.25" top="0.5" bottom="0.5" header="0.5" footer="0.5"/>
  <pageSetup scale="89" orientation="portrait" horizontalDpi="1200" r:id="rId1"/>
  <headerFooter alignWithMargins="0">
    <oddHeader>&amp;R&amp;8Current as of: &amp;D</oddHeader>
    <oddFooter>&amp;L&amp;8USOE, Finance and Statistics&amp;R&amp;8&amp;F</oddFooter>
  </headerFooter>
  <picture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J110"/>
  <sheetViews>
    <sheetView topLeftCell="A58" workbookViewId="0">
      <selection activeCell="B33" sqref="B33"/>
    </sheetView>
  </sheetViews>
  <sheetFormatPr defaultColWidth="18.28515625" defaultRowHeight="12.75" x14ac:dyDescent="0.2"/>
  <cols>
    <col min="1" max="1" width="27" style="75" customWidth="1"/>
    <col min="2" max="2" width="16.7109375" style="75" customWidth="1"/>
    <col min="3" max="3" width="15.85546875" style="75" customWidth="1"/>
    <col min="4" max="4" width="16.28515625" style="75" customWidth="1"/>
    <col min="5" max="5" width="15.5703125" style="75" customWidth="1"/>
    <col min="6" max="6" width="17.42578125" style="75" customWidth="1"/>
    <col min="7" max="7" width="5.7109375" style="75" customWidth="1"/>
    <col min="8" max="8" width="21.5703125" style="75" customWidth="1"/>
    <col min="9" max="9" width="5" style="75" customWidth="1"/>
    <col min="10" max="10" width="20.85546875" style="75" customWidth="1"/>
    <col min="11" max="16384" width="18.28515625" style="75"/>
  </cols>
  <sheetData>
    <row r="1" spans="1:10" x14ac:dyDescent="0.2">
      <c r="A1" s="8"/>
      <c r="B1" s="8"/>
      <c r="C1" s="8"/>
      <c r="D1" s="8"/>
      <c r="E1" s="8"/>
      <c r="F1" s="8"/>
      <c r="G1" s="8"/>
      <c r="H1" s="8"/>
      <c r="I1" s="8"/>
      <c r="J1" s="8"/>
    </row>
    <row r="2" spans="1:10" x14ac:dyDescent="0.2">
      <c r="A2" s="8"/>
      <c r="B2" s="8"/>
      <c r="C2" s="8"/>
      <c r="D2" s="8"/>
      <c r="E2" s="8"/>
      <c r="F2" s="8"/>
      <c r="G2" s="8"/>
      <c r="H2" s="8"/>
      <c r="I2" s="8"/>
      <c r="J2" s="8"/>
    </row>
    <row r="3" spans="1:10" x14ac:dyDescent="0.2">
      <c r="A3" s="8"/>
      <c r="B3" s="8"/>
      <c r="C3" s="8"/>
      <c r="D3" s="8"/>
      <c r="E3" s="8"/>
      <c r="F3" s="8"/>
      <c r="G3" s="8"/>
      <c r="H3" s="8"/>
      <c r="I3" s="8"/>
      <c r="J3" s="8"/>
    </row>
    <row r="4" spans="1:10" x14ac:dyDescent="0.2">
      <c r="A4" s="8"/>
      <c r="B4" s="8"/>
      <c r="C4" s="8"/>
      <c r="D4" s="8"/>
      <c r="E4" s="8"/>
      <c r="F4" s="8"/>
      <c r="G4" s="8"/>
      <c r="H4" s="8"/>
      <c r="I4" s="8"/>
      <c r="J4" s="8"/>
    </row>
    <row r="5" spans="1:10" x14ac:dyDescent="0.2">
      <c r="A5" s="8"/>
      <c r="B5" s="8"/>
      <c r="C5" s="8"/>
      <c r="D5" s="8"/>
      <c r="E5" s="8"/>
      <c r="F5" s="8"/>
      <c r="G5" s="8"/>
      <c r="H5" s="8"/>
      <c r="I5" s="8"/>
      <c r="J5" s="8"/>
    </row>
    <row r="6" spans="1:10" x14ac:dyDescent="0.2">
      <c r="A6" s="8"/>
      <c r="B6" s="8"/>
      <c r="C6" s="8"/>
      <c r="D6" s="8"/>
      <c r="E6" s="8"/>
      <c r="F6" s="8"/>
      <c r="G6" s="8"/>
      <c r="H6" s="8"/>
      <c r="I6" s="8"/>
      <c r="J6" s="8"/>
    </row>
    <row r="7" spans="1:10" x14ac:dyDescent="0.2">
      <c r="A7" s="8"/>
      <c r="B7" s="8"/>
      <c r="C7" s="8"/>
      <c r="D7" s="8"/>
      <c r="E7" s="8"/>
      <c r="F7" s="8"/>
      <c r="G7" s="8"/>
      <c r="H7" s="8"/>
      <c r="I7" s="8"/>
      <c r="J7" s="8"/>
    </row>
    <row r="8" spans="1:10" x14ac:dyDescent="0.2">
      <c r="A8" s="8"/>
      <c r="B8" s="8"/>
      <c r="C8" s="8"/>
      <c r="D8" s="8"/>
      <c r="E8" s="8"/>
      <c r="F8" s="8"/>
      <c r="G8" s="8"/>
      <c r="H8" s="8"/>
      <c r="I8" s="8"/>
      <c r="J8" s="8"/>
    </row>
    <row r="9" spans="1:10" x14ac:dyDescent="0.2">
      <c r="A9" s="8"/>
      <c r="B9" s="8"/>
      <c r="C9" s="8"/>
      <c r="D9" s="8"/>
      <c r="E9" s="8"/>
      <c r="F9" s="8"/>
      <c r="G9" s="8"/>
      <c r="H9" s="8"/>
      <c r="I9" s="8"/>
      <c r="J9" s="8"/>
    </row>
    <row r="10" spans="1:10" x14ac:dyDescent="0.2">
      <c r="A10" s="8"/>
      <c r="B10" s="15"/>
      <c r="C10" s="8"/>
      <c r="D10" s="8"/>
      <c r="E10" s="8"/>
      <c r="F10" s="8"/>
      <c r="G10" s="8"/>
      <c r="H10" s="8"/>
      <c r="I10" s="8"/>
      <c r="J10" s="8"/>
    </row>
    <row r="11" spans="1:10" x14ac:dyDescent="0.2">
      <c r="A11" s="8"/>
      <c r="B11" s="8"/>
      <c r="C11" s="8"/>
      <c r="D11" s="8"/>
      <c r="E11" s="8"/>
      <c r="F11" s="8"/>
      <c r="G11" s="8"/>
      <c r="H11" s="8"/>
      <c r="I11" s="8"/>
      <c r="J11" s="8"/>
    </row>
    <row r="12" spans="1:10" x14ac:dyDescent="0.2">
      <c r="A12" s="8"/>
      <c r="B12" s="8"/>
      <c r="C12" s="8"/>
      <c r="D12" s="8"/>
      <c r="E12" s="8"/>
      <c r="F12" s="8"/>
      <c r="G12" s="8"/>
      <c r="H12" s="8"/>
      <c r="I12" s="8"/>
      <c r="J12" s="8"/>
    </row>
    <row r="13" spans="1:10" x14ac:dyDescent="0.2">
      <c r="A13" s="8"/>
      <c r="B13" s="8"/>
      <c r="C13" s="8"/>
      <c r="D13" s="8"/>
      <c r="E13" s="8"/>
      <c r="F13" s="8"/>
      <c r="G13" s="8"/>
      <c r="H13" s="8"/>
      <c r="I13" s="8"/>
      <c r="J13" s="8"/>
    </row>
    <row r="14" spans="1:10" x14ac:dyDescent="0.2">
      <c r="A14" s="8"/>
      <c r="B14" s="8"/>
      <c r="C14" s="8"/>
      <c r="D14" s="8"/>
      <c r="E14" s="8"/>
      <c r="F14" s="8"/>
      <c r="G14" s="8"/>
      <c r="H14" s="8"/>
      <c r="I14" s="8"/>
      <c r="J14" s="8"/>
    </row>
    <row r="15" spans="1:10" x14ac:dyDescent="0.2">
      <c r="A15" s="8"/>
      <c r="B15" s="8"/>
      <c r="C15" s="8"/>
      <c r="D15" s="8"/>
      <c r="E15" s="8"/>
      <c r="F15" s="8"/>
      <c r="G15" s="8"/>
      <c r="H15" s="8"/>
      <c r="I15" s="8"/>
      <c r="J15" s="8"/>
    </row>
    <row r="16" spans="1:10" x14ac:dyDescent="0.2">
      <c r="A16" s="8"/>
      <c r="B16" s="8"/>
      <c r="C16" s="8"/>
      <c r="D16" s="8"/>
      <c r="E16" s="8"/>
      <c r="F16" s="8"/>
      <c r="G16" s="8"/>
      <c r="H16" s="8"/>
      <c r="I16" s="8"/>
      <c r="J16" s="8"/>
    </row>
    <row r="17" spans="1:10" x14ac:dyDescent="0.2">
      <c r="A17" s="8"/>
      <c r="B17" s="8"/>
      <c r="C17" s="8"/>
      <c r="D17" s="8"/>
      <c r="E17" s="8"/>
      <c r="F17" s="8"/>
      <c r="G17" s="8"/>
      <c r="H17" s="8"/>
      <c r="I17" s="8"/>
      <c r="J17" s="8"/>
    </row>
    <row r="18" spans="1:10" x14ac:dyDescent="0.2">
      <c r="A18" s="8"/>
      <c r="B18" s="8"/>
      <c r="C18" s="8"/>
      <c r="D18" s="8"/>
      <c r="E18" s="8"/>
      <c r="F18" s="8"/>
      <c r="G18" s="8"/>
      <c r="H18" s="8"/>
      <c r="I18" s="8"/>
      <c r="J18" s="8"/>
    </row>
    <row r="19" spans="1:10" x14ac:dyDescent="0.2">
      <c r="A19" s="8"/>
      <c r="B19" s="8"/>
      <c r="C19" s="8"/>
      <c r="D19" s="8"/>
      <c r="E19" s="8"/>
      <c r="F19" s="8"/>
      <c r="G19" s="8"/>
      <c r="H19" s="8"/>
      <c r="I19" s="8"/>
      <c r="J19" s="8"/>
    </row>
    <row r="20" spans="1:10" x14ac:dyDescent="0.2">
      <c r="A20" s="8"/>
      <c r="B20" s="8"/>
      <c r="C20" s="8"/>
      <c r="D20" s="8"/>
      <c r="E20" s="8"/>
      <c r="F20" s="8"/>
      <c r="G20" s="8"/>
      <c r="H20" s="8"/>
      <c r="I20" s="8"/>
      <c r="J20" s="8"/>
    </row>
    <row r="21" spans="1:10" x14ac:dyDescent="0.2">
      <c r="A21" s="8"/>
      <c r="B21" s="8"/>
      <c r="C21" s="8"/>
      <c r="D21" s="8"/>
      <c r="E21" s="8"/>
      <c r="F21" s="8"/>
      <c r="G21" s="8"/>
      <c r="H21" s="8"/>
      <c r="I21" s="8"/>
      <c r="J21" s="8"/>
    </row>
    <row r="22" spans="1:10" x14ac:dyDescent="0.2">
      <c r="A22" s="8"/>
      <c r="B22" s="8"/>
      <c r="C22" s="8"/>
      <c r="D22" s="8"/>
      <c r="E22" s="8"/>
      <c r="F22" s="8"/>
      <c r="G22" s="8"/>
      <c r="H22" s="8"/>
      <c r="I22" s="8"/>
      <c r="J22" s="8"/>
    </row>
    <row r="23" spans="1:10" x14ac:dyDescent="0.2">
      <c r="A23" s="8"/>
      <c r="B23" s="8"/>
      <c r="C23" s="8"/>
      <c r="D23" s="8"/>
      <c r="E23" s="8"/>
      <c r="F23" s="8"/>
      <c r="G23" s="8"/>
      <c r="H23" s="8"/>
      <c r="I23" s="8"/>
      <c r="J23" s="8"/>
    </row>
    <row r="24" spans="1:10" x14ac:dyDescent="0.2">
      <c r="A24" s="8"/>
      <c r="B24" s="8"/>
      <c r="C24" s="8"/>
      <c r="D24" s="8"/>
      <c r="E24" s="8"/>
      <c r="F24" s="8"/>
      <c r="G24" s="8"/>
      <c r="H24" s="8"/>
      <c r="I24" s="8"/>
      <c r="J24" s="8"/>
    </row>
    <row r="25" spans="1:10" x14ac:dyDescent="0.2">
      <c r="A25" s="8"/>
      <c r="B25" s="8"/>
      <c r="C25" s="8"/>
      <c r="D25" s="8"/>
      <c r="E25" s="8"/>
      <c r="F25" s="8"/>
      <c r="G25" s="8"/>
      <c r="H25" s="8"/>
      <c r="I25" s="8"/>
      <c r="J25" s="8"/>
    </row>
    <row r="26" spans="1:10" x14ac:dyDescent="0.2">
      <c r="A26" s="32" t="s">
        <v>0</v>
      </c>
      <c r="B26" s="33">
        <v>3184</v>
      </c>
      <c r="C26" s="34" t="s">
        <v>1</v>
      </c>
      <c r="D26" s="35"/>
      <c r="E26" s="35"/>
      <c r="F26" s="35"/>
      <c r="G26" s="1"/>
      <c r="H26" s="30"/>
      <c r="I26" s="30"/>
      <c r="J26" s="30"/>
    </row>
    <row r="27" spans="1:10" x14ac:dyDescent="0.2">
      <c r="A27" s="32" t="s">
        <v>61</v>
      </c>
      <c r="B27" s="36">
        <f>+[1]Main!$C552</f>
        <v>1.307E-3</v>
      </c>
      <c r="C27" s="34" t="s">
        <v>41</v>
      </c>
      <c r="D27" s="35"/>
      <c r="E27" s="35"/>
      <c r="F27" s="35"/>
      <c r="G27" s="1"/>
      <c r="H27" s="30"/>
      <c r="I27" s="30"/>
      <c r="J27" s="30"/>
    </row>
    <row r="28" spans="1:10" x14ac:dyDescent="0.2">
      <c r="A28" s="32" t="s">
        <v>62</v>
      </c>
      <c r="B28" s="36">
        <f>+[1]Main!$C607</f>
        <v>1.9620000000000002E-3</v>
      </c>
      <c r="C28" s="34" t="s">
        <v>95</v>
      </c>
      <c r="D28" s="35"/>
      <c r="E28" s="37"/>
      <c r="F28" s="35"/>
      <c r="G28" s="1"/>
      <c r="H28" s="30"/>
      <c r="I28" s="30"/>
      <c r="J28" s="30"/>
    </row>
    <row r="29" spans="1:10" x14ac:dyDescent="0.2">
      <c r="A29" s="38" t="s">
        <v>32</v>
      </c>
      <c r="B29" s="39">
        <f>[2]Sheet1!E34</f>
        <v>1289482146</v>
      </c>
      <c r="C29" s="21"/>
      <c r="D29" s="31"/>
      <c r="E29" s="31"/>
      <c r="F29" s="23"/>
      <c r="G29" s="1"/>
      <c r="H29" s="30"/>
      <c r="I29" s="30"/>
      <c r="J29" s="30"/>
    </row>
    <row r="30" spans="1:10" x14ac:dyDescent="0.2">
      <c r="A30" s="32" t="s">
        <v>2</v>
      </c>
      <c r="B30" s="40">
        <f>[2]Sheet1!F34</f>
        <v>0.95679999999999998</v>
      </c>
      <c r="C30" s="7"/>
      <c r="D30" s="41" t="s">
        <v>3</v>
      </c>
      <c r="E30" s="42" t="str">
        <f>+[3]main!B35</f>
        <v>Sevier</v>
      </c>
      <c r="F30" s="43">
        <f>+[3]main!A35</f>
        <v>26</v>
      </c>
      <c r="G30" s="1"/>
      <c r="H30" s="30"/>
      <c r="I30" s="30"/>
      <c r="J30" s="30"/>
    </row>
    <row r="31" spans="1:10" x14ac:dyDescent="0.2">
      <c r="A31" s="32" t="s">
        <v>4</v>
      </c>
      <c r="B31" s="44">
        <f>[2]Sheet1!G34</f>
        <v>1.6750000000000001E-3</v>
      </c>
      <c r="C31" s="8"/>
      <c r="D31" s="24"/>
      <c r="E31" s="25"/>
      <c r="F31" s="24"/>
      <c r="G31" s="1"/>
      <c r="H31" s="30"/>
      <c r="I31" s="30"/>
      <c r="J31" s="30"/>
    </row>
    <row r="32" spans="1:10" x14ac:dyDescent="0.2">
      <c r="A32" s="32" t="s">
        <v>5</v>
      </c>
      <c r="B32" s="45">
        <f>[2]Sheet1!$C$90</f>
        <v>2333726</v>
      </c>
      <c r="C32" s="46"/>
      <c r="D32" s="47" t="s">
        <v>38</v>
      </c>
      <c r="E32" s="48" t="s">
        <v>7</v>
      </c>
      <c r="F32" s="47" t="s">
        <v>6</v>
      </c>
      <c r="G32" s="1"/>
      <c r="H32" s="30"/>
      <c r="I32" s="30"/>
      <c r="J32" s="30"/>
    </row>
    <row r="33" spans="1:10" x14ac:dyDescent="0.2">
      <c r="A33" s="32" t="s">
        <v>8</v>
      </c>
      <c r="B33" s="45">
        <f>+B32</f>
        <v>2333726</v>
      </c>
      <c r="C33" s="49"/>
      <c r="D33" s="50" t="s">
        <v>9</v>
      </c>
      <c r="E33" s="50" t="s">
        <v>37</v>
      </c>
      <c r="F33" s="50" t="s">
        <v>10</v>
      </c>
      <c r="G33" s="1"/>
      <c r="H33" s="30"/>
      <c r="I33" s="30"/>
      <c r="J33" s="30"/>
    </row>
    <row r="34" spans="1:10" x14ac:dyDescent="0.2">
      <c r="A34" s="32" t="s">
        <v>11</v>
      </c>
      <c r="B34" s="45">
        <v>0</v>
      </c>
      <c r="C34" s="51" t="s">
        <v>39</v>
      </c>
      <c r="D34" s="52" t="s">
        <v>12</v>
      </c>
      <c r="E34" s="52" t="s">
        <v>9</v>
      </c>
      <c r="F34" s="52" t="s">
        <v>9</v>
      </c>
      <c r="G34" s="1"/>
      <c r="H34" s="30"/>
      <c r="I34" s="30"/>
      <c r="J34" s="30"/>
    </row>
    <row r="35" spans="1:10" x14ac:dyDescent="0.2">
      <c r="A35" s="32" t="s">
        <v>70</v>
      </c>
      <c r="B35" s="45">
        <f>'[4]LRF FY17'!U32</f>
        <v>48243</v>
      </c>
      <c r="C35" s="53"/>
      <c r="D35" s="54"/>
      <c r="E35" s="54"/>
      <c r="F35" s="54" t="s">
        <v>14</v>
      </c>
      <c r="G35" s="1"/>
      <c r="H35" s="30"/>
      <c r="I35" s="30"/>
      <c r="J35" s="30"/>
    </row>
    <row r="36" spans="1:10" x14ac:dyDescent="0.2">
      <c r="A36" s="55" t="s">
        <v>13</v>
      </c>
      <c r="B36" s="56"/>
      <c r="C36" s="53"/>
      <c r="D36" s="54"/>
      <c r="E36" s="54"/>
      <c r="F36" s="54"/>
      <c r="G36" s="2"/>
      <c r="H36" s="30"/>
      <c r="I36" s="30"/>
      <c r="J36" s="30"/>
    </row>
    <row r="37" spans="1:10" x14ac:dyDescent="0.2">
      <c r="A37" s="55" t="s">
        <v>15</v>
      </c>
      <c r="B37" s="56"/>
      <c r="C37" s="53"/>
      <c r="D37" s="54"/>
      <c r="E37" s="54"/>
      <c r="F37" s="54"/>
      <c r="G37" s="2"/>
      <c r="H37" s="57" t="s">
        <v>43</v>
      </c>
      <c r="I37" s="30"/>
      <c r="J37" s="57" t="s">
        <v>45</v>
      </c>
    </row>
    <row r="38" spans="1:10" x14ac:dyDescent="0.2">
      <c r="A38" s="58" t="s">
        <v>16</v>
      </c>
      <c r="B38" s="59"/>
      <c r="C38" s="60">
        <f>[3]main!C209-[3]main!F151</f>
        <v>4283.0339999999997</v>
      </c>
      <c r="D38" s="61">
        <f>[3]main!E209-[3]main!H151</f>
        <v>13637181.35</v>
      </c>
      <c r="E38" s="62">
        <f>IF(B33&gt;D38,D38,B33)</f>
        <v>2333726</v>
      </c>
      <c r="F38" s="62">
        <f>D38-E38</f>
        <v>11303455.35</v>
      </c>
      <c r="G38" s="1"/>
      <c r="H38" s="57">
        <f>[3]main!H268</f>
        <v>17161876.18</v>
      </c>
      <c r="I38" s="30"/>
      <c r="J38" s="57">
        <f>'[5]Sheet 1'!E92</f>
        <v>21584901.859999999</v>
      </c>
    </row>
    <row r="39" spans="1:10" x14ac:dyDescent="0.2">
      <c r="A39" s="58" t="s">
        <v>17</v>
      </c>
      <c r="B39" s="59"/>
      <c r="C39" s="53">
        <f>[3]main!F151</f>
        <v>546.67499999999995</v>
      </c>
      <c r="D39" s="54">
        <f>[3]main!H151</f>
        <v>1740612.82</v>
      </c>
      <c r="E39" s="54">
        <f>IF(B32-SUM(E36:E38)&gt;D39,D39,B32-SUM(E36:E38))</f>
        <v>0</v>
      </c>
      <c r="F39" s="54">
        <f>D39-E39</f>
        <v>1740612.82</v>
      </c>
      <c r="G39" s="1"/>
      <c r="H39" s="57">
        <f>SUM(D38:D42)</f>
        <v>17161876.18</v>
      </c>
      <c r="I39" s="30"/>
      <c r="J39" s="57">
        <f>D53</f>
        <v>21584901.859999999</v>
      </c>
    </row>
    <row r="40" spans="1:10" x14ac:dyDescent="0.2">
      <c r="A40" s="58" t="s">
        <v>18</v>
      </c>
      <c r="B40" s="59"/>
      <c r="C40" s="53">
        <f>[3]main!F209</f>
        <v>494.327</v>
      </c>
      <c r="D40" s="54">
        <f>[3]main!H209</f>
        <v>1573938.01</v>
      </c>
      <c r="E40" s="54">
        <f>IF(B33-SUM(E38:E39)&gt;D40,D40,B33-SUM(E38:E39))</f>
        <v>0</v>
      </c>
      <c r="F40" s="54">
        <f>D40-E40</f>
        <v>1573938.01</v>
      </c>
      <c r="G40" s="1"/>
      <c r="H40" s="57">
        <f>+H38-H39</f>
        <v>0</v>
      </c>
      <c r="I40" s="30"/>
      <c r="J40" s="57">
        <f>+J38-J39</f>
        <v>0</v>
      </c>
    </row>
    <row r="41" spans="1:10" x14ac:dyDescent="0.2">
      <c r="A41" s="58" t="s">
        <v>19</v>
      </c>
      <c r="B41" s="59"/>
      <c r="C41" s="53">
        <f>[3]main!C268</f>
        <v>60</v>
      </c>
      <c r="D41" s="54">
        <f>[3]main!E268</f>
        <v>191040</v>
      </c>
      <c r="E41" s="54">
        <f>IF(B33-SUM(E38:E40)&gt;D41,D41,B33-SUM(E38:E40))</f>
        <v>0</v>
      </c>
      <c r="F41" s="54">
        <f>D41-E41</f>
        <v>191040</v>
      </c>
      <c r="G41" s="1"/>
      <c r="H41" s="30"/>
      <c r="I41" s="30"/>
      <c r="J41" s="30"/>
    </row>
    <row r="42" spans="1:10" x14ac:dyDescent="0.2">
      <c r="A42" s="58" t="s">
        <v>42</v>
      </c>
      <c r="B42" s="59"/>
      <c r="C42" s="53">
        <f>[3]main!C92</f>
        <v>6</v>
      </c>
      <c r="D42" s="54">
        <f>[3]main!E92</f>
        <v>19104</v>
      </c>
      <c r="E42" s="54">
        <f>IF(B33-SUM(E38:E41)&gt;D42,D42,B33-SUM(E38:E41))</f>
        <v>0</v>
      </c>
      <c r="F42" s="54">
        <f>D42-E42</f>
        <v>19104</v>
      </c>
      <c r="G42" s="1"/>
      <c r="H42" s="30"/>
      <c r="I42" s="30"/>
      <c r="J42" s="30"/>
    </row>
    <row r="43" spans="1:10" x14ac:dyDescent="0.2">
      <c r="A43" s="55" t="s">
        <v>20</v>
      </c>
      <c r="B43" s="56"/>
      <c r="C43" s="63"/>
      <c r="D43" s="64"/>
      <c r="E43" s="64"/>
      <c r="F43" s="64" t="s">
        <v>14</v>
      </c>
      <c r="G43" s="1"/>
      <c r="H43" s="57" t="s">
        <v>44</v>
      </c>
      <c r="I43" s="30"/>
      <c r="J43" s="30"/>
    </row>
    <row r="44" spans="1:10" x14ac:dyDescent="0.2">
      <c r="A44" s="58" t="s">
        <v>21</v>
      </c>
      <c r="B44" s="59"/>
      <c r="C44" s="53">
        <f>'[6]Sheet 1'!C34</f>
        <v>543.34199999999998</v>
      </c>
      <c r="D44" s="54">
        <f>'[6]Sheet 1'!E34</f>
        <v>1730001.86</v>
      </c>
      <c r="E44" s="54">
        <f>IF(B33-SUM(E38:E43)&gt;D44,D44,B33-SUM(E38:E43))</f>
        <v>0</v>
      </c>
      <c r="F44" s="54">
        <f t="shared" ref="F44:F52" si="0">D44-E44</f>
        <v>1730001.86</v>
      </c>
      <c r="G44" s="1"/>
      <c r="H44" s="57">
        <f>'[6]Sheet 1'!N150</f>
        <v>2361032.71</v>
      </c>
      <c r="I44" s="30"/>
      <c r="J44" s="30"/>
    </row>
    <row r="45" spans="1:10" x14ac:dyDescent="0.2">
      <c r="A45" s="59" t="s">
        <v>22</v>
      </c>
      <c r="B45" s="59"/>
      <c r="C45" s="53">
        <f>'[6]Sheet 1'!F34</f>
        <v>58.05</v>
      </c>
      <c r="D45" s="54">
        <f>'[6]Sheet 1'!H34</f>
        <v>184831.2</v>
      </c>
      <c r="E45" s="54">
        <f>IF(B33-SUM(E38:E44)&gt;D45,D45,B33-SUM(E38:E44))</f>
        <v>0</v>
      </c>
      <c r="F45" s="54">
        <f t="shared" si="0"/>
        <v>184831.2</v>
      </c>
      <c r="G45" s="1"/>
      <c r="H45" s="57">
        <f>SUM(D44:D50)</f>
        <v>2361032.71</v>
      </c>
      <c r="I45" s="30"/>
      <c r="J45" s="30"/>
    </row>
    <row r="46" spans="1:10" x14ac:dyDescent="0.2">
      <c r="A46" s="59" t="s">
        <v>23</v>
      </c>
      <c r="B46" s="59"/>
      <c r="C46" s="53">
        <f>'[6]Sheet 1'!C92</f>
        <v>119.07</v>
      </c>
      <c r="D46" s="54">
        <f>'[6]Sheet 1'!E92</f>
        <v>379118.88</v>
      </c>
      <c r="E46" s="54">
        <f>IF(B33-SUM(E38:E45)&gt;D46,D46,B33-SUM(E38:E45))</f>
        <v>0</v>
      </c>
      <c r="F46" s="54">
        <f t="shared" si="0"/>
        <v>379118.88</v>
      </c>
      <c r="G46" s="1"/>
      <c r="H46" s="57">
        <f>+H44-H45</f>
        <v>0</v>
      </c>
      <c r="I46" s="30"/>
      <c r="J46" s="30"/>
    </row>
    <row r="47" spans="1:10" x14ac:dyDescent="0.2">
      <c r="A47" s="58" t="s">
        <v>24</v>
      </c>
      <c r="B47" s="59"/>
      <c r="C47" s="53">
        <f>'[6]Sheet 1'!F92</f>
        <v>3.3879999999999999</v>
      </c>
      <c r="D47" s="54">
        <f>'[6]Sheet 1'!H92</f>
        <v>10788.28</v>
      </c>
      <c r="E47" s="54">
        <f>IF(B33-SUM(E38:E46)&gt;D47,D47,B33-SUM(E38:E46))</f>
        <v>0</v>
      </c>
      <c r="F47" s="54">
        <f t="shared" si="0"/>
        <v>10788.28</v>
      </c>
      <c r="G47" s="1"/>
      <c r="H47" s="30"/>
      <c r="I47" s="30"/>
      <c r="J47" s="30"/>
    </row>
    <row r="48" spans="1:10" x14ac:dyDescent="0.2">
      <c r="A48" s="59" t="s">
        <v>71</v>
      </c>
      <c r="B48" s="59"/>
      <c r="C48" s="53">
        <f>'[6]Sheet 1'!C150</f>
        <v>14.77</v>
      </c>
      <c r="D48" s="54">
        <f>'[6]Sheet 1'!E150</f>
        <v>47026.96</v>
      </c>
      <c r="E48" s="54">
        <f>IF(B33-SUM(E38:E47)&gt;D48,D48,B33-SUM(E38:E47))</f>
        <v>0</v>
      </c>
      <c r="F48" s="54">
        <f t="shared" si="0"/>
        <v>47026.96</v>
      </c>
      <c r="G48" s="1"/>
      <c r="H48" s="30"/>
      <c r="I48" s="30"/>
      <c r="J48" s="30"/>
    </row>
    <row r="49" spans="1:10" x14ac:dyDescent="0.2">
      <c r="A49" s="59" t="s">
        <v>57</v>
      </c>
      <c r="B49" s="59"/>
      <c r="C49" s="53">
        <f>'[6]Sheet 1'!F150</f>
        <v>0</v>
      </c>
      <c r="D49" s="54">
        <f>'[6]Sheet 1'!H150</f>
        <v>0</v>
      </c>
      <c r="E49" s="54">
        <f>IF(B34-SUM(E39:E48)&gt;D49,D49,B34-SUM(E39:E48))</f>
        <v>0</v>
      </c>
      <c r="F49" s="54">
        <f t="shared" si="0"/>
        <v>0</v>
      </c>
      <c r="G49" s="1"/>
      <c r="H49" s="30"/>
      <c r="I49" s="30"/>
      <c r="J49" s="30"/>
    </row>
    <row r="50" spans="1:10" x14ac:dyDescent="0.2">
      <c r="A50" s="59" t="s">
        <v>64</v>
      </c>
      <c r="B50" s="59"/>
      <c r="C50" s="53">
        <f>'[6]Sheet 1'!I150</f>
        <v>2.91</v>
      </c>
      <c r="D50" s="54">
        <f>'[6]Sheet 1'!K150</f>
        <v>9265.5300000000007</v>
      </c>
      <c r="E50" s="54">
        <f>IF(B36-SUM(E40:E49)&gt;D50,D50,B36-SUM(E40:E49))</f>
        <v>0</v>
      </c>
      <c r="F50" s="54">
        <f t="shared" si="0"/>
        <v>9265.5300000000007</v>
      </c>
      <c r="G50" s="1"/>
      <c r="H50" s="57" t="s">
        <v>46</v>
      </c>
      <c r="I50" s="30"/>
      <c r="J50" s="30"/>
    </row>
    <row r="51" spans="1:10" x14ac:dyDescent="0.2">
      <c r="A51" s="59" t="s">
        <v>58</v>
      </c>
      <c r="B51" s="59"/>
      <c r="C51" s="53">
        <f>'[6]Sheet 1'!C208</f>
        <v>368.36799999999999</v>
      </c>
      <c r="D51" s="54">
        <f>'[6]Sheet 1'!E208</f>
        <v>1172885.07</v>
      </c>
      <c r="E51" s="54">
        <f>IF(B33-SUM(E38:E48)&gt;D51,D51,B33-SUM(E38:E48))</f>
        <v>0</v>
      </c>
      <c r="F51" s="54">
        <f t="shared" si="0"/>
        <v>1172885.07</v>
      </c>
      <c r="G51" s="4"/>
      <c r="H51" s="57">
        <f>+'[6]Sheet 1'!E208</f>
        <v>1172885.07</v>
      </c>
      <c r="I51" s="30"/>
      <c r="J51" s="30"/>
    </row>
    <row r="52" spans="1:10" x14ac:dyDescent="0.2">
      <c r="A52" s="58" t="s">
        <v>59</v>
      </c>
      <c r="B52" s="59"/>
      <c r="C52" s="53">
        <f>'[5]Sheet 1'!C34</f>
        <v>279.24200000000002</v>
      </c>
      <c r="D52" s="54">
        <f>'[5]Sheet 1'!E34</f>
        <v>889107.9</v>
      </c>
      <c r="E52" s="54">
        <f>IF(B33-SUM(E38:E51)&gt;D52,D52,B33-SUM(E38:E51))</f>
        <v>0</v>
      </c>
      <c r="F52" s="54">
        <f t="shared" si="0"/>
        <v>889107.9</v>
      </c>
      <c r="G52" s="5"/>
      <c r="H52" s="57">
        <f>+D51</f>
        <v>1172885.07</v>
      </c>
      <c r="I52" s="30"/>
      <c r="J52" s="30"/>
    </row>
    <row r="53" spans="1:10" x14ac:dyDescent="0.2">
      <c r="A53" s="65" t="s">
        <v>28</v>
      </c>
      <c r="B53" s="56"/>
      <c r="C53" s="66">
        <f>SUM(C38:C52)</f>
        <v>6779.1760000000004</v>
      </c>
      <c r="D53" s="67">
        <f>SUM(D38:D52)</f>
        <v>21584901.859999999</v>
      </c>
      <c r="E53" s="67">
        <f>SUM(E38:E52)</f>
        <v>2333726</v>
      </c>
      <c r="F53" s="67">
        <f>SUM(F38:F52)</f>
        <v>19251175.859999999</v>
      </c>
      <c r="G53" s="1"/>
      <c r="H53" s="57">
        <f>+H51-H52</f>
        <v>0</v>
      </c>
      <c r="I53" s="30"/>
      <c r="J53" s="30"/>
    </row>
    <row r="54" spans="1:10" x14ac:dyDescent="0.2">
      <c r="A54" s="68" t="s">
        <v>26</v>
      </c>
      <c r="B54" s="56"/>
      <c r="C54" s="69"/>
      <c r="D54" s="54"/>
      <c r="E54" s="54"/>
      <c r="F54" s="54"/>
      <c r="G54" s="1"/>
      <c r="H54" s="57" t="s">
        <v>47</v>
      </c>
      <c r="I54" s="30"/>
      <c r="J54" s="57" t="s">
        <v>52</v>
      </c>
    </row>
    <row r="55" spans="1:10" x14ac:dyDescent="0.2">
      <c r="A55" s="58" t="s">
        <v>56</v>
      </c>
      <c r="B55" s="59"/>
      <c r="C55" s="20"/>
      <c r="D55" s="70">
        <f>[1]Main!F35</f>
        <v>62507.77</v>
      </c>
      <c r="E55" s="54">
        <f>IF($B33-SUM($E53)&gt;D55,D55,$B33-SUM($E53))</f>
        <v>0</v>
      </c>
      <c r="F55" s="54">
        <f t="shared" ref="F55:F73" si="1">D55-E55</f>
        <v>62507.77</v>
      </c>
      <c r="G55" s="1"/>
      <c r="H55" s="57">
        <f>[1]Main!G35</f>
        <v>1012281.09</v>
      </c>
      <c r="I55" s="30"/>
      <c r="J55" s="57">
        <f>+[1]Main!D496</f>
        <v>3800256.97</v>
      </c>
    </row>
    <row r="56" spans="1:10" x14ac:dyDescent="0.2">
      <c r="A56" s="59" t="s">
        <v>25</v>
      </c>
      <c r="B56" s="59"/>
      <c r="C56" s="20"/>
      <c r="D56" s="70">
        <f>[1]Main!C35</f>
        <v>916381.32</v>
      </c>
      <c r="E56" s="54">
        <f>IF($B33-SUM($E53:E55)&gt;D56,D56,B33-SUM($E53:E55))</f>
        <v>0</v>
      </c>
      <c r="F56" s="54">
        <f t="shared" si="1"/>
        <v>916381.32</v>
      </c>
      <c r="G56" s="1"/>
      <c r="H56" s="57">
        <f>SUM(D55:D57)</f>
        <v>1012281.09</v>
      </c>
      <c r="I56" s="30"/>
      <c r="J56" s="57">
        <f>SUM(D55:D82)-E68</f>
        <v>3800256.97</v>
      </c>
    </row>
    <row r="57" spans="1:10" x14ac:dyDescent="0.2">
      <c r="A57" s="71" t="s">
        <v>27</v>
      </c>
      <c r="B57" s="59"/>
      <c r="C57" s="20"/>
      <c r="D57" s="70">
        <f>[1]Main!D35</f>
        <v>33392</v>
      </c>
      <c r="E57" s="54">
        <f>IF($B33-SUM($E53:E56)&gt;D57,D57,$B33-SUM($E53:E56))</f>
        <v>0</v>
      </c>
      <c r="F57" s="54">
        <f>D57-E57</f>
        <v>33392</v>
      </c>
      <c r="G57" s="1"/>
      <c r="H57" s="57">
        <f>+H55-H56</f>
        <v>0</v>
      </c>
      <c r="I57" s="30"/>
      <c r="J57" s="57">
        <f>+J55-J56</f>
        <v>0</v>
      </c>
    </row>
    <row r="58" spans="1:10" x14ac:dyDescent="0.2">
      <c r="A58" s="72" t="s">
        <v>72</v>
      </c>
      <c r="B58" s="59"/>
      <c r="C58" s="20"/>
      <c r="D58" s="70">
        <f>[1]Main!E35</f>
        <v>0</v>
      </c>
      <c r="E58" s="54">
        <f>IF($B34-SUM($E54:E57)&gt;D58,D58,$B34-SUM($E54:E57))</f>
        <v>0</v>
      </c>
      <c r="F58" s="54">
        <f>D58-E58</f>
        <v>0</v>
      </c>
      <c r="G58" s="1"/>
      <c r="H58" s="30"/>
      <c r="I58" s="30"/>
      <c r="J58" s="30"/>
    </row>
    <row r="59" spans="1:10" x14ac:dyDescent="0.2">
      <c r="A59" s="72" t="s">
        <v>73</v>
      </c>
      <c r="B59" s="59"/>
      <c r="C59" s="20"/>
      <c r="D59" s="54">
        <f>+[1]Main!$F151</f>
        <v>21097.75</v>
      </c>
      <c r="E59" s="54">
        <f>IF($B33-SUM($E53:E57)&gt;D59,D59,$B33-SUM($E53:E57))</f>
        <v>0</v>
      </c>
      <c r="F59" s="54">
        <f t="shared" si="1"/>
        <v>21097.75</v>
      </c>
      <c r="G59" s="1"/>
      <c r="H59" s="30"/>
      <c r="I59" s="30"/>
      <c r="J59" s="30"/>
    </row>
    <row r="60" spans="1:10" x14ac:dyDescent="0.2">
      <c r="A60" s="71" t="s">
        <v>74</v>
      </c>
      <c r="B60" s="59"/>
      <c r="C60" s="20"/>
      <c r="D60" s="54">
        <f>+[1]Main!$C93</f>
        <v>175018</v>
      </c>
      <c r="E60" s="54">
        <f>IF($B33-SUM($E53:E59)&gt;D60,D60,$B33-SUM($E53:E59))</f>
        <v>0</v>
      </c>
      <c r="F60" s="54">
        <f t="shared" si="1"/>
        <v>175018</v>
      </c>
      <c r="G60" s="1"/>
      <c r="H60" s="30"/>
      <c r="I60" s="30"/>
      <c r="J60" s="30"/>
    </row>
    <row r="61" spans="1:10" x14ac:dyDescent="0.2">
      <c r="A61" s="71" t="s">
        <v>75</v>
      </c>
      <c r="B61" s="59"/>
      <c r="C61" s="20"/>
      <c r="D61" s="54">
        <f>+[1]Main!$D93</f>
        <v>0</v>
      </c>
      <c r="E61" s="54">
        <f>IF($B33-SUM($E53:E60)&gt;D61,D61,$B33-SUM($E53:E60))</f>
        <v>0</v>
      </c>
      <c r="F61" s="54">
        <f t="shared" si="1"/>
        <v>0</v>
      </c>
      <c r="G61" s="1"/>
      <c r="H61" s="30"/>
      <c r="I61" s="30"/>
      <c r="J61" s="30"/>
    </row>
    <row r="62" spans="1:10" x14ac:dyDescent="0.2">
      <c r="A62" s="71" t="s">
        <v>76</v>
      </c>
      <c r="B62" s="59"/>
      <c r="C62" s="20"/>
      <c r="D62" s="54">
        <f>+[1]Main!$E93</f>
        <v>183835</v>
      </c>
      <c r="E62" s="54">
        <f>IF($B33-SUM($E53:E61)&gt;D62,D62,$B33-SUM($E53:E61))</f>
        <v>0</v>
      </c>
      <c r="F62" s="54">
        <f t="shared" si="1"/>
        <v>183835</v>
      </c>
      <c r="G62" s="1"/>
      <c r="H62" s="30"/>
      <c r="I62" s="30"/>
      <c r="J62" s="30"/>
    </row>
    <row r="63" spans="1:10" x14ac:dyDescent="0.2">
      <c r="A63" s="71" t="s">
        <v>77</v>
      </c>
      <c r="B63" s="59"/>
      <c r="C63" s="20"/>
      <c r="D63" s="54">
        <f>[1]Main!F93</f>
        <v>44267</v>
      </c>
      <c r="E63" s="54">
        <f>IF($B33-SUM($E53:E62)&gt;D63,D63,$B33-SUM($E53:E62))</f>
        <v>0</v>
      </c>
      <c r="F63" s="54">
        <f t="shared" si="1"/>
        <v>44267</v>
      </c>
      <c r="G63" s="1"/>
      <c r="H63" s="57" t="s">
        <v>48</v>
      </c>
      <c r="I63" s="30"/>
      <c r="J63" s="30"/>
    </row>
    <row r="64" spans="1:10" x14ac:dyDescent="0.2">
      <c r="A64" s="71" t="s">
        <v>79</v>
      </c>
      <c r="B64" s="59"/>
      <c r="C64" s="20"/>
      <c r="D64" s="54">
        <f>[1]Main!G93</f>
        <v>0</v>
      </c>
      <c r="E64" s="54">
        <f>IF($B33-SUM($E53:E63)&gt;D64,D64,$B33-SUM($E53:E63))</f>
        <v>0</v>
      </c>
      <c r="F64" s="54">
        <f t="shared" si="1"/>
        <v>0</v>
      </c>
      <c r="G64" s="1"/>
      <c r="H64" s="57"/>
      <c r="I64" s="30"/>
      <c r="J64" s="30"/>
    </row>
    <row r="65" spans="1:10" x14ac:dyDescent="0.2">
      <c r="A65" s="71" t="s">
        <v>78</v>
      </c>
      <c r="B65" s="59"/>
      <c r="C65" s="20"/>
      <c r="D65" s="54">
        <f>[1]Main!G151</f>
        <v>71086.36</v>
      </c>
      <c r="E65" s="54">
        <f>IF($B33-SUM($E53:E64)&gt;D65,D65,$B33-SUM($E53:E64))</f>
        <v>0</v>
      </c>
      <c r="F65" s="54">
        <f t="shared" si="1"/>
        <v>71086.36</v>
      </c>
      <c r="G65" s="1"/>
      <c r="H65" s="73">
        <f>+[1]Main!D209</f>
        <v>495304.11</v>
      </c>
      <c r="I65" s="30"/>
      <c r="J65" s="30"/>
    </row>
    <row r="66" spans="1:10" x14ac:dyDescent="0.2">
      <c r="A66" s="71" t="s">
        <v>80</v>
      </c>
      <c r="B66" s="59"/>
      <c r="C66" s="20"/>
      <c r="D66" s="54">
        <f>[1]Main!C209</f>
        <v>0</v>
      </c>
      <c r="E66" s="54"/>
      <c r="F66" s="54">
        <f t="shared" si="1"/>
        <v>0</v>
      </c>
      <c r="G66" s="1"/>
      <c r="H66" s="57">
        <f>+SUM(D59:D66)</f>
        <v>495304.11</v>
      </c>
      <c r="I66" s="30"/>
      <c r="J66" s="30"/>
    </row>
    <row r="67" spans="1:10" x14ac:dyDescent="0.2">
      <c r="A67" s="71" t="s">
        <v>81</v>
      </c>
      <c r="B67" s="59"/>
      <c r="C67" s="20"/>
      <c r="D67" s="54">
        <f>[1]Main!C267</f>
        <v>423699</v>
      </c>
      <c r="E67" s="54">
        <v>0</v>
      </c>
      <c r="F67" s="54">
        <f t="shared" si="1"/>
        <v>423699</v>
      </c>
      <c r="G67" s="1"/>
      <c r="H67" s="57">
        <f>+H65-H66</f>
        <v>0</v>
      </c>
      <c r="I67" s="30"/>
      <c r="J67" s="30"/>
    </row>
    <row r="68" spans="1:10" x14ac:dyDescent="0.2">
      <c r="A68" s="71" t="s">
        <v>82</v>
      </c>
      <c r="B68" s="59"/>
      <c r="C68" s="20"/>
      <c r="D68" s="54">
        <f>+[7]Main!I34+[7]Main!J34</f>
        <v>310582.89</v>
      </c>
      <c r="E68" s="74">
        <f>[7]Main!J34</f>
        <v>175555.92</v>
      </c>
      <c r="F68" s="54">
        <f t="shared" si="1"/>
        <v>135026.97</v>
      </c>
      <c r="G68" s="1"/>
      <c r="H68" s="30"/>
      <c r="I68" s="30"/>
      <c r="J68" s="30"/>
    </row>
    <row r="69" spans="1:10" x14ac:dyDescent="0.2">
      <c r="A69" s="71" t="s">
        <v>83</v>
      </c>
      <c r="B69" s="59"/>
      <c r="C69" s="20"/>
      <c r="D69" s="54">
        <f>[1]Main!F267</f>
        <v>91495</v>
      </c>
      <c r="E69" s="54">
        <v>0</v>
      </c>
      <c r="F69" s="54">
        <f t="shared" si="1"/>
        <v>91495</v>
      </c>
      <c r="G69" s="1"/>
      <c r="H69" s="30"/>
      <c r="I69" s="30"/>
      <c r="J69" s="30"/>
    </row>
    <row r="70" spans="1:10" x14ac:dyDescent="0.2">
      <c r="A70" s="71" t="s">
        <v>84</v>
      </c>
      <c r="B70" s="59"/>
      <c r="C70" s="7"/>
      <c r="D70" s="54">
        <f>[1]Main!E267</f>
        <v>9754.16</v>
      </c>
      <c r="E70" s="54">
        <v>0</v>
      </c>
      <c r="F70" s="54">
        <f t="shared" si="1"/>
        <v>9754.16</v>
      </c>
      <c r="G70" s="1"/>
      <c r="H70" s="57" t="s">
        <v>49</v>
      </c>
      <c r="I70" s="30"/>
      <c r="J70" s="30"/>
    </row>
    <row r="71" spans="1:10" x14ac:dyDescent="0.2">
      <c r="A71" s="71" t="s">
        <v>85</v>
      </c>
      <c r="B71" s="59"/>
      <c r="C71" s="7"/>
      <c r="D71" s="54">
        <f>[1]Main!G267</f>
        <v>51908</v>
      </c>
      <c r="E71" s="54">
        <v>0</v>
      </c>
      <c r="F71" s="54">
        <f t="shared" si="1"/>
        <v>51908</v>
      </c>
      <c r="G71" s="1"/>
      <c r="H71" s="57">
        <f>+[1]Main!C496</f>
        <v>2215993.7200000002</v>
      </c>
      <c r="I71" s="57"/>
      <c r="J71" s="57"/>
    </row>
    <row r="72" spans="1:10" x14ac:dyDescent="0.2">
      <c r="A72" s="71" t="s">
        <v>86</v>
      </c>
      <c r="B72" s="59"/>
      <c r="C72" s="20"/>
      <c r="D72" s="54">
        <f>[1]Main!C325</f>
        <v>0</v>
      </c>
      <c r="E72" s="54">
        <v>0</v>
      </c>
      <c r="F72" s="54">
        <f t="shared" si="1"/>
        <v>0</v>
      </c>
      <c r="G72" s="1"/>
      <c r="H72" s="57">
        <f>+SUM(D67:D77)-E68</f>
        <v>2215993.7200000002</v>
      </c>
      <c r="I72" s="57"/>
      <c r="J72" s="57">
        <f>+H72-H71</f>
        <v>0</v>
      </c>
    </row>
    <row r="73" spans="1:10" x14ac:dyDescent="0.2">
      <c r="A73" s="71" t="s">
        <v>87</v>
      </c>
      <c r="C73" s="8"/>
      <c r="D73" s="76">
        <f>[1]Main!D325</f>
        <v>1217639.6000000001</v>
      </c>
      <c r="E73" s="77">
        <v>0</v>
      </c>
      <c r="F73" s="77">
        <f t="shared" si="1"/>
        <v>1217639.6000000001</v>
      </c>
      <c r="G73" s="5"/>
      <c r="H73" s="57">
        <f>+H71-H72</f>
        <v>0</v>
      </c>
      <c r="I73" s="57"/>
      <c r="J73" s="57"/>
    </row>
    <row r="74" spans="1:10" x14ac:dyDescent="0.2">
      <c r="A74" s="71" t="s">
        <v>88</v>
      </c>
      <c r="B74" s="59"/>
      <c r="C74" s="20"/>
      <c r="D74" s="54">
        <f>+[1]Main!$E325</f>
        <v>7128.06</v>
      </c>
      <c r="E74" s="54">
        <v>0</v>
      </c>
      <c r="F74" s="54">
        <f>D74-E74</f>
        <v>7128.06</v>
      </c>
      <c r="G74" s="4"/>
      <c r="H74" s="30"/>
      <c r="I74" s="30"/>
      <c r="J74" s="30"/>
    </row>
    <row r="75" spans="1:10" x14ac:dyDescent="0.2">
      <c r="A75" s="71" t="s">
        <v>89</v>
      </c>
      <c r="B75" s="59"/>
      <c r="C75" s="20"/>
      <c r="D75" s="54">
        <f>[1]Main!F325</f>
        <v>22830.34</v>
      </c>
      <c r="E75" s="54">
        <v>0</v>
      </c>
      <c r="F75" s="54">
        <f>D75-E75</f>
        <v>22830.34</v>
      </c>
      <c r="G75" s="4"/>
      <c r="H75" s="30"/>
      <c r="I75" s="30"/>
      <c r="J75" s="30"/>
    </row>
    <row r="76" spans="1:10" x14ac:dyDescent="0.2">
      <c r="A76" s="71" t="s">
        <v>90</v>
      </c>
      <c r="B76" s="59"/>
      <c r="C76" s="20"/>
      <c r="D76" s="54">
        <f>[1]Main!G325</f>
        <v>168800</v>
      </c>
      <c r="E76" s="54">
        <v>0</v>
      </c>
      <c r="F76" s="54">
        <f>D76-E76</f>
        <v>168800</v>
      </c>
      <c r="G76" s="1"/>
      <c r="H76" s="57" t="s">
        <v>50</v>
      </c>
      <c r="I76" s="30"/>
      <c r="J76" s="30"/>
    </row>
    <row r="77" spans="1:10" x14ac:dyDescent="0.2">
      <c r="A77" s="71" t="s">
        <v>93</v>
      </c>
      <c r="B77" s="59"/>
      <c r="C77" s="20"/>
      <c r="D77" s="54">
        <f>[1]Main!F382</f>
        <v>87712.59</v>
      </c>
      <c r="E77" s="54">
        <v>0</v>
      </c>
      <c r="F77" s="54">
        <f>D77-E77</f>
        <v>87712.59</v>
      </c>
      <c r="G77" s="1"/>
      <c r="H77" s="57"/>
      <c r="I77" s="30"/>
      <c r="J77" s="30"/>
    </row>
    <row r="78" spans="1:10" x14ac:dyDescent="0.2">
      <c r="A78" s="55" t="s">
        <v>30</v>
      </c>
      <c r="B78" s="78"/>
      <c r="C78" s="79"/>
      <c r="D78" s="64"/>
      <c r="E78" s="64"/>
      <c r="F78" s="64"/>
      <c r="G78" s="1"/>
      <c r="H78" s="57"/>
      <c r="I78" s="30"/>
      <c r="J78" s="30"/>
    </row>
    <row r="79" spans="1:10" x14ac:dyDescent="0.2">
      <c r="A79" s="71" t="s">
        <v>60</v>
      </c>
      <c r="B79" s="59"/>
      <c r="C79" s="20"/>
      <c r="D79" s="54">
        <f>[1]Main!C439</f>
        <v>44461.39</v>
      </c>
      <c r="E79" s="54">
        <v>0</v>
      </c>
      <c r="F79" s="54">
        <f>D79-E79</f>
        <v>44461.39</v>
      </c>
      <c r="G79" s="1"/>
      <c r="H79" s="57">
        <f>+[1]Main!G439</f>
        <v>76678.039999999994</v>
      </c>
      <c r="I79" s="30"/>
      <c r="J79" s="30"/>
    </row>
    <row r="80" spans="1:10" x14ac:dyDescent="0.2">
      <c r="A80" s="71" t="s">
        <v>63</v>
      </c>
      <c r="B80" s="59"/>
      <c r="C80" s="20"/>
      <c r="D80" s="54">
        <f>[1]Main!D439</f>
        <v>7330.33</v>
      </c>
      <c r="E80" s="54">
        <v>0</v>
      </c>
      <c r="F80" s="54">
        <f>D80-E80</f>
        <v>7330.33</v>
      </c>
      <c r="G80" s="4"/>
      <c r="H80" s="57">
        <f>SUM(D79:D82)</f>
        <v>76678.05</v>
      </c>
      <c r="I80" s="30"/>
      <c r="J80" s="30"/>
    </row>
    <row r="81" spans="1:10" x14ac:dyDescent="0.2">
      <c r="A81" s="71" t="s">
        <v>91</v>
      </c>
      <c r="B81" s="59"/>
      <c r="C81" s="20"/>
      <c r="D81" s="54">
        <f>[1]Main!E439</f>
        <v>0</v>
      </c>
      <c r="E81" s="54">
        <v>0</v>
      </c>
      <c r="F81" s="54">
        <f>D81-E81</f>
        <v>0</v>
      </c>
      <c r="G81" s="4"/>
      <c r="H81" s="57">
        <f>+H79-H80</f>
        <v>-0.01</v>
      </c>
      <c r="I81" s="30"/>
      <c r="J81" s="30"/>
    </row>
    <row r="82" spans="1:10" x14ac:dyDescent="0.2">
      <c r="A82" s="71" t="s">
        <v>92</v>
      </c>
      <c r="B82" s="59"/>
      <c r="C82" s="20"/>
      <c r="D82" s="54">
        <f>[1]Main!F439</f>
        <v>24886.33</v>
      </c>
      <c r="E82" s="54">
        <v>0</v>
      </c>
      <c r="F82" s="54">
        <f>D82-E82</f>
        <v>24886.33</v>
      </c>
      <c r="G82" s="1"/>
      <c r="H82" s="30"/>
      <c r="I82" s="30"/>
      <c r="J82" s="30"/>
    </row>
    <row r="83" spans="1:10" x14ac:dyDescent="0.2">
      <c r="A83" s="55" t="s">
        <v>31</v>
      </c>
      <c r="B83" s="78"/>
      <c r="C83" s="79"/>
      <c r="D83" s="64"/>
      <c r="E83" s="64"/>
      <c r="F83" s="64"/>
      <c r="G83" s="1"/>
      <c r="H83" s="30"/>
      <c r="I83" s="30"/>
      <c r="J83" s="30"/>
    </row>
    <row r="84" spans="1:10" x14ac:dyDescent="0.2">
      <c r="A84" s="58" t="s">
        <v>69</v>
      </c>
      <c r="B84" s="59"/>
      <c r="C84" s="20"/>
      <c r="D84" s="54">
        <f>+[1]Main!$G552</f>
        <v>3412201.26</v>
      </c>
      <c r="E84" s="54">
        <f>+[1]Main!$D552</f>
        <v>1821002.57</v>
      </c>
      <c r="F84" s="54">
        <f>+D84-E84</f>
        <v>1591198.69</v>
      </c>
      <c r="G84" s="1"/>
      <c r="H84" s="30"/>
      <c r="I84" s="30"/>
      <c r="J84" s="30"/>
    </row>
    <row r="85" spans="1:10" x14ac:dyDescent="0.2">
      <c r="A85" s="59" t="s">
        <v>68</v>
      </c>
      <c r="B85" s="59"/>
      <c r="C85" s="20"/>
      <c r="D85" s="54">
        <f>+[1]Main!$G607</f>
        <v>1044285.01</v>
      </c>
      <c r="E85" s="54">
        <f>+[1]Main!$D607</f>
        <v>557307.6</v>
      </c>
      <c r="F85" s="54">
        <f>+D85-E85</f>
        <v>486977.41</v>
      </c>
      <c r="G85" s="1"/>
      <c r="H85" s="30"/>
      <c r="I85" s="30"/>
      <c r="J85" s="30"/>
    </row>
    <row r="86" spans="1:10" ht="13.5" thickBot="1" x14ac:dyDescent="0.25">
      <c r="A86" s="80"/>
      <c r="B86" s="81"/>
      <c r="C86" s="82" t="s">
        <v>29</v>
      </c>
      <c r="D86" s="83">
        <f>SUM(D53:D85)</f>
        <v>30017201.02</v>
      </c>
      <c r="E86" s="83">
        <f>SUM(E53:E85)</f>
        <v>4887592.09</v>
      </c>
      <c r="F86" s="83">
        <f>SUM(F53:F85)</f>
        <v>25129608.93</v>
      </c>
      <c r="G86" s="1"/>
      <c r="H86" s="30"/>
      <c r="I86" s="30"/>
      <c r="J86" s="30"/>
    </row>
    <row r="87" spans="1:10" ht="13.5" thickTop="1" x14ac:dyDescent="0.2">
      <c r="A87" s="84"/>
      <c r="B87" s="59"/>
      <c r="C87" s="85"/>
      <c r="D87" s="86"/>
      <c r="E87" s="86"/>
      <c r="F87" s="87"/>
      <c r="G87" s="1"/>
      <c r="H87" s="30"/>
      <c r="I87" s="30"/>
      <c r="J87" s="30"/>
    </row>
    <row r="88" spans="1:10" x14ac:dyDescent="0.2">
      <c r="A88" s="88" t="s">
        <v>40</v>
      </c>
      <c r="B88" s="78"/>
      <c r="C88" s="89"/>
      <c r="D88" s="90"/>
      <c r="E88" s="91"/>
      <c r="F88" s="92" t="s">
        <v>36</v>
      </c>
      <c r="G88" s="6"/>
      <c r="H88" s="57" t="s">
        <v>51</v>
      </c>
      <c r="I88" s="30"/>
      <c r="J88" s="57" t="s">
        <v>7</v>
      </c>
    </row>
    <row r="89" spans="1:10" x14ac:dyDescent="0.2">
      <c r="A89" s="93" t="s">
        <v>33</v>
      </c>
      <c r="B89" s="94"/>
      <c r="C89" s="95"/>
      <c r="D89" s="96"/>
      <c r="E89" s="96"/>
      <c r="F89" s="91"/>
      <c r="G89" s="6"/>
      <c r="H89" s="30"/>
      <c r="I89" s="30"/>
      <c r="J89" s="30"/>
    </row>
    <row r="90" spans="1:10" x14ac:dyDescent="0.2">
      <c r="A90" s="59" t="s">
        <v>34</v>
      </c>
      <c r="B90" s="59"/>
      <c r="C90" s="22"/>
      <c r="D90" s="27"/>
      <c r="E90" s="27"/>
      <c r="F90" s="97">
        <f>+[8]Main!$C35</f>
        <v>0</v>
      </c>
      <c r="G90" s="5"/>
      <c r="H90" s="57">
        <f>+[1]Main!G663</f>
        <v>4456486.2699999996</v>
      </c>
      <c r="I90" s="30"/>
      <c r="J90" s="57">
        <f>+[1]Main!E663+[1]Main!F663</f>
        <v>2078176.1</v>
      </c>
    </row>
    <row r="91" spans="1:10" x14ac:dyDescent="0.2">
      <c r="A91" s="59" t="s">
        <v>66</v>
      </c>
      <c r="B91" s="59"/>
      <c r="C91" s="22"/>
      <c r="D91" s="27"/>
      <c r="E91" s="27"/>
      <c r="F91" s="97">
        <f>+[8]Main!$D35</f>
        <v>0</v>
      </c>
      <c r="G91" s="5"/>
      <c r="H91" s="57">
        <f>+D84+D85</f>
        <v>4456486.2699999996</v>
      </c>
      <c r="I91" s="30"/>
      <c r="J91" s="57">
        <f>+F84+F85</f>
        <v>2078176.1</v>
      </c>
    </row>
    <row r="92" spans="1:10" x14ac:dyDescent="0.2">
      <c r="A92" s="32" t="s">
        <v>65</v>
      </c>
      <c r="B92" s="32"/>
      <c r="C92" s="22"/>
      <c r="D92" s="28"/>
      <c r="E92" s="28"/>
      <c r="F92" s="97">
        <f>+[8]Main!$E35</f>
        <v>0</v>
      </c>
      <c r="G92" s="1"/>
      <c r="H92" s="57">
        <f>+H90-H91</f>
        <v>0</v>
      </c>
      <c r="I92" s="30"/>
      <c r="J92" s="57">
        <f>+J90-J91</f>
        <v>0</v>
      </c>
    </row>
    <row r="93" spans="1:10" x14ac:dyDescent="0.2">
      <c r="A93" s="32" t="s">
        <v>67</v>
      </c>
      <c r="B93" s="32"/>
      <c r="C93" s="22"/>
      <c r="D93" s="28"/>
      <c r="E93" s="28"/>
      <c r="F93" s="97">
        <f>+[8]Main!$F35</f>
        <v>0</v>
      </c>
      <c r="G93" s="1"/>
      <c r="H93" s="30"/>
      <c r="I93" s="30"/>
      <c r="J93" s="30"/>
    </row>
    <row r="94" spans="1:10" x14ac:dyDescent="0.2">
      <c r="A94" s="88" t="s">
        <v>35</v>
      </c>
      <c r="B94" s="78"/>
      <c r="C94" s="89"/>
      <c r="D94" s="90"/>
      <c r="E94" s="91"/>
      <c r="F94" s="54">
        <f>+[8]Main!$C93</f>
        <v>20308.71</v>
      </c>
      <c r="G94" s="1"/>
      <c r="H94" s="30"/>
      <c r="I94" s="30"/>
      <c r="J94" s="30"/>
    </row>
    <row r="95" spans="1:10" ht="13.5" thickBot="1" x14ac:dyDescent="0.25">
      <c r="A95" s="98"/>
      <c r="B95" s="99"/>
      <c r="C95" s="100" t="s">
        <v>29</v>
      </c>
      <c r="D95" s="101"/>
      <c r="E95" s="102"/>
      <c r="F95" s="103">
        <f>SUM(F90:F94)</f>
        <v>20308.71</v>
      </c>
      <c r="G95" s="1"/>
      <c r="H95" s="30"/>
      <c r="I95" s="30"/>
      <c r="J95" s="30"/>
    </row>
    <row r="96" spans="1:10" ht="13.5" thickBot="1" x14ac:dyDescent="0.25">
      <c r="A96" s="104"/>
      <c r="B96" s="105"/>
      <c r="C96" s="106" t="s">
        <v>53</v>
      </c>
      <c r="D96" s="107"/>
      <c r="E96" s="108"/>
      <c r="F96" s="109">
        <f>+F95+F86</f>
        <v>25149917.640000001</v>
      </c>
      <c r="G96" s="1"/>
      <c r="H96" s="57" t="s">
        <v>54</v>
      </c>
      <c r="I96" s="30"/>
      <c r="J96" s="30"/>
    </row>
    <row r="97" spans="1:10" x14ac:dyDescent="0.2">
      <c r="A97" s="11"/>
      <c r="B97" s="12"/>
      <c r="C97" s="9"/>
      <c r="D97" s="29"/>
      <c r="E97" s="29"/>
      <c r="F97" s="110"/>
      <c r="G97" s="1"/>
      <c r="H97" s="57">
        <f>+[8]Main!$G35</f>
        <v>0</v>
      </c>
      <c r="I97" s="30"/>
      <c r="J97" s="30"/>
    </row>
    <row r="98" spans="1:10" x14ac:dyDescent="0.2">
      <c r="A98" s="11"/>
      <c r="B98" s="12"/>
      <c r="C98" s="9"/>
      <c r="D98" s="29"/>
      <c r="E98" s="29"/>
      <c r="F98" s="110"/>
      <c r="G98" s="1"/>
      <c r="H98" s="57">
        <f>SUM(F90:F93)</f>
        <v>0</v>
      </c>
      <c r="I98" s="30"/>
      <c r="J98" s="30"/>
    </row>
    <row r="99" spans="1:10" x14ac:dyDescent="0.2">
      <c r="A99" s="1"/>
      <c r="B99" s="1"/>
      <c r="C99" s="7"/>
      <c r="D99" s="26"/>
      <c r="E99" s="26"/>
      <c r="F99" s="86">
        <f>+F95+F86</f>
        <v>25149917.640000001</v>
      </c>
      <c r="G99" s="1"/>
      <c r="H99" s="57">
        <f>+H97-H98</f>
        <v>0</v>
      </c>
      <c r="I99" s="30"/>
      <c r="J99" s="30"/>
    </row>
    <row r="100" spans="1:10" x14ac:dyDescent="0.2">
      <c r="A100" s="1"/>
      <c r="B100" s="1"/>
      <c r="C100" s="7"/>
      <c r="D100" s="26"/>
      <c r="E100" s="26"/>
      <c r="F100" s="86">
        <f>+[1]Main!$F779</f>
        <v>25149917.640000001</v>
      </c>
      <c r="G100" s="1"/>
      <c r="H100" s="30"/>
      <c r="I100" s="30"/>
      <c r="J100" s="30"/>
    </row>
    <row r="101" spans="1:10" x14ac:dyDescent="0.2">
      <c r="A101" s="1"/>
      <c r="B101" s="1"/>
      <c r="C101" s="7"/>
      <c r="D101" s="26"/>
      <c r="E101" s="86">
        <f>+E86+[1]Main!$E779</f>
        <v>0</v>
      </c>
      <c r="F101" s="86">
        <f>+F100-F99</f>
        <v>0</v>
      </c>
      <c r="G101" s="1"/>
      <c r="H101" s="30"/>
      <c r="I101" s="30"/>
      <c r="J101" s="30"/>
    </row>
    <row r="102" spans="1:10" x14ac:dyDescent="0.2">
      <c r="A102" s="59"/>
      <c r="B102" s="59"/>
      <c r="C102" s="85"/>
      <c r="D102" s="86"/>
      <c r="E102" s="86"/>
      <c r="F102" s="86"/>
      <c r="G102" s="59"/>
      <c r="H102" s="57"/>
      <c r="I102" s="57"/>
      <c r="J102" s="57"/>
    </row>
    <row r="103" spans="1:10" x14ac:dyDescent="0.2">
      <c r="A103" s="59"/>
      <c r="B103" s="59"/>
      <c r="C103" s="85"/>
      <c r="D103" s="86"/>
      <c r="E103" s="86"/>
      <c r="F103" s="86"/>
      <c r="G103" s="59"/>
      <c r="H103" s="57"/>
      <c r="I103" s="57"/>
      <c r="J103" s="57"/>
    </row>
    <row r="104" spans="1:10" x14ac:dyDescent="0.2">
      <c r="A104" s="59"/>
      <c r="B104" s="59"/>
      <c r="C104" s="85"/>
      <c r="D104" s="86"/>
      <c r="E104" s="86"/>
      <c r="F104" s="86"/>
      <c r="G104" s="59"/>
      <c r="H104" s="111" t="s">
        <v>55</v>
      </c>
      <c r="I104" s="57"/>
      <c r="J104" s="57"/>
    </row>
    <row r="105" spans="1:10" x14ac:dyDescent="0.2">
      <c r="G105" s="59"/>
      <c r="H105" s="113"/>
      <c r="I105" s="112"/>
      <c r="J105" s="112"/>
    </row>
    <row r="106" spans="1:10" x14ac:dyDescent="0.2">
      <c r="G106" s="59"/>
      <c r="H106" s="112"/>
      <c r="I106" s="112"/>
      <c r="J106" s="112"/>
    </row>
    <row r="107" spans="1:10" x14ac:dyDescent="0.2">
      <c r="G107" s="59"/>
      <c r="H107" s="112"/>
      <c r="I107" s="112"/>
      <c r="J107" s="112"/>
    </row>
    <row r="108" spans="1:10" x14ac:dyDescent="0.2">
      <c r="G108" s="59"/>
      <c r="H108" s="112"/>
      <c r="I108" s="112"/>
      <c r="J108" s="112"/>
    </row>
    <row r="109" spans="1:10" x14ac:dyDescent="0.2">
      <c r="G109" s="59"/>
      <c r="H109" s="112"/>
      <c r="I109" s="112"/>
      <c r="J109" s="112"/>
    </row>
    <row r="110" spans="1:10" x14ac:dyDescent="0.2">
      <c r="G110" s="59"/>
      <c r="H110" s="71"/>
      <c r="I110" s="112"/>
      <c r="J110" s="112"/>
    </row>
  </sheetData>
  <mergeCells count="1">
    <mergeCell ref="D29:E29"/>
  </mergeCells>
  <phoneticPr fontId="0" type="noConversion"/>
  <printOptions horizontalCentered="1" verticalCentered="1"/>
  <pageMargins left="0.5" right="0.25" top="0.5" bottom="0.5" header="0.5" footer="0.5"/>
  <pageSetup scale="89" orientation="portrait" horizontalDpi="1200" r:id="rId1"/>
  <headerFooter alignWithMargins="0">
    <oddHeader>&amp;R&amp;8Current as of: &amp;D</oddHeader>
    <oddFooter>&amp;L&amp;8USOE, Finance and Statistics&amp;R&amp;8&amp;F</oddFooter>
  </headerFooter>
  <picture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J111"/>
  <sheetViews>
    <sheetView topLeftCell="A46" workbookViewId="0">
      <selection activeCell="B34" sqref="B34"/>
    </sheetView>
  </sheetViews>
  <sheetFormatPr defaultColWidth="18.28515625" defaultRowHeight="12.75" x14ac:dyDescent="0.2"/>
  <cols>
    <col min="1" max="1" width="27" style="75" customWidth="1"/>
    <col min="2" max="2" width="16.7109375" style="75" customWidth="1"/>
    <col min="3" max="3" width="15.85546875" style="75" customWidth="1"/>
    <col min="4" max="4" width="16.28515625" style="75" customWidth="1"/>
    <col min="5" max="5" width="15.5703125" style="75" customWidth="1"/>
    <col min="6" max="6" width="17.42578125" style="75" customWidth="1"/>
    <col min="7" max="7" width="5.7109375" style="75" customWidth="1"/>
    <col min="8" max="8" width="21.5703125" style="75" customWidth="1"/>
    <col min="9" max="9" width="5" style="75" customWidth="1"/>
    <col min="10" max="10" width="20.85546875" style="75" customWidth="1"/>
    <col min="11" max="16384" width="18.28515625" style="75"/>
  </cols>
  <sheetData>
    <row r="1" spans="1:10" x14ac:dyDescent="0.2">
      <c r="A1" s="8"/>
      <c r="B1" s="8"/>
      <c r="C1" s="8"/>
      <c r="D1" s="8"/>
      <c r="E1" s="8"/>
      <c r="F1" s="8"/>
      <c r="G1" s="8"/>
      <c r="H1" s="8"/>
      <c r="I1" s="8"/>
      <c r="J1" s="8"/>
    </row>
    <row r="2" spans="1:10" x14ac:dyDescent="0.2">
      <c r="A2" s="8"/>
      <c r="B2" s="8"/>
      <c r="C2" s="8"/>
      <c r="D2" s="8"/>
      <c r="E2" s="8"/>
      <c r="F2" s="8"/>
      <c r="G2" s="8"/>
      <c r="H2" s="8"/>
      <c r="I2" s="8"/>
      <c r="J2" s="8"/>
    </row>
    <row r="3" spans="1:10" x14ac:dyDescent="0.2">
      <c r="A3" s="8"/>
      <c r="B3" s="8"/>
      <c r="C3" s="8"/>
      <c r="D3" s="8"/>
      <c r="E3" s="8"/>
      <c r="F3" s="8"/>
      <c r="G3" s="8"/>
      <c r="H3" s="8"/>
      <c r="I3" s="8"/>
      <c r="J3" s="8"/>
    </row>
    <row r="4" spans="1:10" x14ac:dyDescent="0.2">
      <c r="A4" s="8"/>
      <c r="B4" s="8"/>
      <c r="C4" s="8"/>
      <c r="D4" s="8"/>
      <c r="E4" s="8"/>
      <c r="F4" s="8"/>
      <c r="G4" s="8"/>
      <c r="H4" s="8"/>
      <c r="I4" s="8"/>
      <c r="J4" s="8"/>
    </row>
    <row r="5" spans="1:10" x14ac:dyDescent="0.2">
      <c r="A5" s="8"/>
      <c r="B5" s="8"/>
      <c r="C5" s="8"/>
      <c r="D5" s="8"/>
      <c r="E5" s="8"/>
      <c r="F5" s="8"/>
      <c r="G5" s="8"/>
      <c r="H5" s="8"/>
      <c r="I5" s="8"/>
      <c r="J5" s="8"/>
    </row>
    <row r="6" spans="1:10" x14ac:dyDescent="0.2">
      <c r="A6" s="8"/>
      <c r="B6" s="8"/>
      <c r="C6" s="8"/>
      <c r="D6" s="8"/>
      <c r="E6" s="8"/>
      <c r="F6" s="8"/>
      <c r="G6" s="8"/>
      <c r="H6" s="8"/>
      <c r="I6" s="8"/>
      <c r="J6" s="8"/>
    </row>
    <row r="7" spans="1:10" x14ac:dyDescent="0.2">
      <c r="A7" s="8"/>
      <c r="B7" s="8"/>
      <c r="C7" s="8"/>
      <c r="D7" s="8"/>
      <c r="E7" s="8"/>
      <c r="F7" s="8"/>
      <c r="G7" s="8"/>
      <c r="H7" s="8"/>
      <c r="I7" s="8"/>
      <c r="J7" s="8"/>
    </row>
    <row r="8" spans="1:10" x14ac:dyDescent="0.2">
      <c r="A8" s="8"/>
      <c r="B8" s="8"/>
      <c r="C8" s="8"/>
      <c r="D8" s="8"/>
      <c r="E8" s="8"/>
      <c r="F8" s="8"/>
      <c r="G8" s="8"/>
      <c r="H8" s="8"/>
      <c r="I8" s="8"/>
      <c r="J8" s="8"/>
    </row>
    <row r="9" spans="1:10" x14ac:dyDescent="0.2">
      <c r="A9" s="8"/>
      <c r="B9" s="8"/>
      <c r="C9" s="8"/>
      <c r="D9" s="8"/>
      <c r="E9" s="8"/>
      <c r="F9" s="8"/>
      <c r="G9" s="8"/>
      <c r="H9" s="8"/>
      <c r="I9" s="8"/>
      <c r="J9" s="8"/>
    </row>
    <row r="10" spans="1:10" x14ac:dyDescent="0.2">
      <c r="A10" s="8"/>
      <c r="B10" s="15"/>
      <c r="C10" s="8"/>
      <c r="D10" s="8"/>
      <c r="E10" s="8"/>
      <c r="F10" s="8"/>
      <c r="G10" s="8"/>
      <c r="H10" s="8"/>
      <c r="I10" s="8"/>
      <c r="J10" s="8"/>
    </row>
    <row r="11" spans="1:10" x14ac:dyDescent="0.2">
      <c r="A11" s="8"/>
      <c r="B11" s="8"/>
      <c r="C11" s="8"/>
      <c r="D11" s="8"/>
      <c r="E11" s="8"/>
      <c r="F11" s="8"/>
      <c r="G11" s="8"/>
      <c r="H11" s="8"/>
      <c r="I11" s="8"/>
      <c r="J11" s="8"/>
    </row>
    <row r="12" spans="1:10" x14ac:dyDescent="0.2">
      <c r="A12" s="8"/>
      <c r="B12" s="8"/>
      <c r="C12" s="8"/>
      <c r="D12" s="8"/>
      <c r="E12" s="8"/>
      <c r="F12" s="8"/>
      <c r="G12" s="8"/>
      <c r="H12" s="8"/>
      <c r="I12" s="8"/>
      <c r="J12" s="8"/>
    </row>
    <row r="13" spans="1:10" x14ac:dyDescent="0.2">
      <c r="A13" s="8"/>
      <c r="B13" s="8"/>
      <c r="C13" s="8"/>
      <c r="D13" s="8"/>
      <c r="E13" s="8"/>
      <c r="F13" s="8"/>
      <c r="G13" s="8"/>
      <c r="H13" s="8"/>
      <c r="I13" s="8"/>
      <c r="J13" s="8"/>
    </row>
    <row r="14" spans="1:10" x14ac:dyDescent="0.2">
      <c r="A14" s="8"/>
      <c r="B14" s="8"/>
      <c r="C14" s="8"/>
      <c r="D14" s="8"/>
      <c r="E14" s="8"/>
      <c r="F14" s="8"/>
      <c r="G14" s="8"/>
      <c r="H14" s="8"/>
      <c r="I14" s="8"/>
      <c r="J14" s="8"/>
    </row>
    <row r="15" spans="1:10" x14ac:dyDescent="0.2">
      <c r="A15" s="8"/>
      <c r="B15" s="8"/>
      <c r="C15" s="8"/>
      <c r="D15" s="8"/>
      <c r="E15" s="8"/>
      <c r="F15" s="8"/>
      <c r="G15" s="8"/>
      <c r="H15" s="8"/>
      <c r="I15" s="8"/>
      <c r="J15" s="8"/>
    </row>
    <row r="16" spans="1:10" x14ac:dyDescent="0.2">
      <c r="A16" s="8"/>
      <c r="B16" s="8"/>
      <c r="C16" s="8"/>
      <c r="D16" s="8"/>
      <c r="E16" s="8"/>
      <c r="F16" s="8"/>
      <c r="G16" s="8"/>
      <c r="H16" s="8"/>
      <c r="I16" s="8"/>
      <c r="J16" s="8"/>
    </row>
    <row r="17" spans="1:10" x14ac:dyDescent="0.2">
      <c r="A17" s="8"/>
      <c r="B17" s="8"/>
      <c r="C17" s="8"/>
      <c r="D17" s="8"/>
      <c r="E17" s="8"/>
      <c r="F17" s="8"/>
      <c r="G17" s="8"/>
      <c r="H17" s="8"/>
      <c r="I17" s="8"/>
      <c r="J17" s="8"/>
    </row>
    <row r="18" spans="1:10" x14ac:dyDescent="0.2">
      <c r="A18" s="8"/>
      <c r="B18" s="8"/>
      <c r="C18" s="8"/>
      <c r="D18" s="8"/>
      <c r="E18" s="8"/>
      <c r="F18" s="8"/>
      <c r="G18" s="8"/>
      <c r="H18" s="8"/>
      <c r="I18" s="8"/>
      <c r="J18" s="8"/>
    </row>
    <row r="19" spans="1:10" x14ac:dyDescent="0.2">
      <c r="A19" s="8"/>
      <c r="B19" s="8"/>
      <c r="C19" s="8"/>
      <c r="D19" s="8"/>
      <c r="E19" s="8"/>
      <c r="F19" s="8"/>
      <c r="G19" s="8"/>
      <c r="H19" s="8"/>
      <c r="I19" s="8"/>
      <c r="J19" s="8"/>
    </row>
    <row r="20" spans="1:10" x14ac:dyDescent="0.2">
      <c r="A20" s="8"/>
      <c r="B20" s="8"/>
      <c r="C20" s="8"/>
      <c r="D20" s="8"/>
      <c r="E20" s="8"/>
      <c r="F20" s="8"/>
      <c r="G20" s="8"/>
      <c r="H20" s="8"/>
      <c r="I20" s="8"/>
      <c r="J20" s="8"/>
    </row>
    <row r="21" spans="1:10" x14ac:dyDescent="0.2">
      <c r="A21" s="8"/>
      <c r="B21" s="8"/>
      <c r="C21" s="8"/>
      <c r="D21" s="8"/>
      <c r="E21" s="8"/>
      <c r="F21" s="8"/>
      <c r="G21" s="8"/>
      <c r="H21" s="8"/>
      <c r="I21" s="8"/>
      <c r="J21" s="8"/>
    </row>
    <row r="22" spans="1:10" x14ac:dyDescent="0.2">
      <c r="A22" s="8"/>
      <c r="B22" s="8"/>
      <c r="C22" s="8"/>
      <c r="D22" s="8"/>
      <c r="E22" s="8"/>
      <c r="F22" s="8"/>
      <c r="G22" s="8"/>
      <c r="H22" s="8"/>
      <c r="I22" s="8"/>
      <c r="J22" s="8"/>
    </row>
    <row r="23" spans="1:10" x14ac:dyDescent="0.2">
      <c r="A23" s="8"/>
      <c r="B23" s="8"/>
      <c r="C23" s="8"/>
      <c r="D23" s="8"/>
      <c r="E23" s="8"/>
      <c r="F23" s="8"/>
      <c r="G23" s="8"/>
      <c r="H23" s="8"/>
      <c r="I23" s="8"/>
      <c r="J23" s="8"/>
    </row>
    <row r="24" spans="1:10" x14ac:dyDescent="0.2">
      <c r="A24" s="8"/>
      <c r="B24" s="8"/>
      <c r="C24" s="8"/>
      <c r="D24" s="8"/>
      <c r="E24" s="8"/>
      <c r="F24" s="8"/>
      <c r="G24" s="8"/>
      <c r="H24" s="8"/>
      <c r="I24" s="8"/>
      <c r="J24" s="8"/>
    </row>
    <row r="25" spans="1:10" x14ac:dyDescent="0.2">
      <c r="A25" s="8"/>
      <c r="B25" s="8"/>
      <c r="C25" s="8"/>
      <c r="D25" s="8"/>
      <c r="E25" s="8"/>
      <c r="F25" s="8"/>
      <c r="G25" s="8"/>
      <c r="H25" s="8"/>
      <c r="I25" s="8"/>
      <c r="J25" s="8"/>
    </row>
    <row r="26" spans="1:10" x14ac:dyDescent="0.2">
      <c r="A26" s="8"/>
      <c r="B26" s="8"/>
      <c r="C26" s="8"/>
      <c r="D26" s="8"/>
      <c r="E26" s="8"/>
      <c r="F26" s="8"/>
      <c r="G26" s="8"/>
      <c r="H26" s="8"/>
      <c r="I26" s="8"/>
      <c r="J26" s="8"/>
    </row>
    <row r="27" spans="1:10" x14ac:dyDescent="0.2">
      <c r="A27" s="32" t="s">
        <v>0</v>
      </c>
      <c r="B27" s="33">
        <v>3184</v>
      </c>
      <c r="C27" s="34" t="s">
        <v>1</v>
      </c>
      <c r="D27" s="35"/>
      <c r="E27" s="35"/>
      <c r="F27" s="35"/>
      <c r="G27" s="1"/>
      <c r="H27" s="30"/>
      <c r="I27" s="30"/>
      <c r="J27" s="30"/>
    </row>
    <row r="28" spans="1:10" x14ac:dyDescent="0.2">
      <c r="A28" s="32" t="s">
        <v>61</v>
      </c>
      <c r="B28" s="36">
        <f>+[1]Main!$C553</f>
        <v>1.5679999999999999E-3</v>
      </c>
      <c r="C28" s="34" t="s">
        <v>41</v>
      </c>
      <c r="D28" s="35"/>
      <c r="E28" s="35"/>
      <c r="F28" s="35"/>
      <c r="G28" s="1"/>
      <c r="H28" s="30"/>
      <c r="I28" s="30"/>
      <c r="J28" s="30"/>
    </row>
    <row r="29" spans="1:10" x14ac:dyDescent="0.2">
      <c r="A29" s="32" t="s">
        <v>62</v>
      </c>
      <c r="B29" s="36">
        <f>+[1]Main!$C608</f>
        <v>1.797E-3</v>
      </c>
      <c r="C29" s="34" t="s">
        <v>95</v>
      </c>
      <c r="D29" s="35"/>
      <c r="E29" s="37"/>
      <c r="F29" s="35"/>
      <c r="G29" s="1"/>
      <c r="H29" s="30"/>
      <c r="I29" s="30"/>
      <c r="J29" s="30"/>
    </row>
    <row r="30" spans="1:10" x14ac:dyDescent="0.2">
      <c r="A30" s="38" t="s">
        <v>32</v>
      </c>
      <c r="B30" s="39">
        <f>[2]Sheet1!E35</f>
        <v>553224112</v>
      </c>
      <c r="C30" s="21"/>
      <c r="D30" s="31"/>
      <c r="E30" s="31"/>
      <c r="F30" s="23"/>
      <c r="G30" s="1"/>
      <c r="H30" s="30"/>
      <c r="I30" s="30"/>
      <c r="J30" s="30"/>
    </row>
    <row r="31" spans="1:10" x14ac:dyDescent="0.2">
      <c r="A31" s="32" t="s">
        <v>2</v>
      </c>
      <c r="B31" s="40">
        <f>[2]Sheet1!F35</f>
        <v>0.92949999999999999</v>
      </c>
      <c r="C31" s="7"/>
      <c r="D31" s="41" t="s">
        <v>3</v>
      </c>
      <c r="E31" s="42" t="str">
        <f>+[3]main!B36</f>
        <v>South Sanpete</v>
      </c>
      <c r="F31" s="43">
        <f>+[3]main!A36</f>
        <v>27</v>
      </c>
      <c r="G31" s="1"/>
      <c r="H31" s="30"/>
      <c r="I31" s="30"/>
      <c r="J31" s="30"/>
    </row>
    <row r="32" spans="1:10" x14ac:dyDescent="0.2">
      <c r="A32" s="32" t="s">
        <v>4</v>
      </c>
      <c r="B32" s="44">
        <f>[2]Sheet1!G35</f>
        <v>1.6750000000000001E-3</v>
      </c>
      <c r="C32" s="8"/>
      <c r="D32" s="24"/>
      <c r="E32" s="25"/>
      <c r="F32" s="24"/>
      <c r="G32" s="1"/>
      <c r="H32" s="30"/>
      <c r="I32" s="30"/>
      <c r="J32" s="30"/>
    </row>
    <row r="33" spans="1:10" x14ac:dyDescent="0.2">
      <c r="A33" s="32" t="s">
        <v>5</v>
      </c>
      <c r="B33" s="45">
        <f>[2]Sheet1!$C$91</f>
        <v>994497</v>
      </c>
      <c r="C33" s="46"/>
      <c r="D33" s="47" t="s">
        <v>38</v>
      </c>
      <c r="E33" s="48" t="s">
        <v>7</v>
      </c>
      <c r="F33" s="47" t="s">
        <v>6</v>
      </c>
      <c r="G33" s="1"/>
      <c r="H33" s="30"/>
      <c r="I33" s="30"/>
      <c r="J33" s="30"/>
    </row>
    <row r="34" spans="1:10" x14ac:dyDescent="0.2">
      <c r="A34" s="32" t="s">
        <v>8</v>
      </c>
      <c r="B34" s="45">
        <f>+B33</f>
        <v>994497</v>
      </c>
      <c r="C34" s="49"/>
      <c r="D34" s="50" t="s">
        <v>9</v>
      </c>
      <c r="E34" s="50" t="s">
        <v>37</v>
      </c>
      <c r="F34" s="50" t="s">
        <v>10</v>
      </c>
      <c r="G34" s="1"/>
      <c r="H34" s="30"/>
      <c r="I34" s="30"/>
      <c r="J34" s="30"/>
    </row>
    <row r="35" spans="1:10" x14ac:dyDescent="0.2">
      <c r="A35" s="32" t="s">
        <v>11</v>
      </c>
      <c r="B35" s="45">
        <v>0</v>
      </c>
      <c r="C35" s="51" t="s">
        <v>39</v>
      </c>
      <c r="D35" s="52" t="s">
        <v>12</v>
      </c>
      <c r="E35" s="52" t="s">
        <v>9</v>
      </c>
      <c r="F35" s="52" t="s">
        <v>9</v>
      </c>
      <c r="G35" s="1"/>
      <c r="H35" s="30"/>
      <c r="I35" s="30"/>
      <c r="J35" s="30"/>
    </row>
    <row r="36" spans="1:10" x14ac:dyDescent="0.2">
      <c r="A36" s="32" t="s">
        <v>70</v>
      </c>
      <c r="B36" s="45">
        <f>'[4]LRF FY17'!U33</f>
        <v>12363</v>
      </c>
      <c r="C36" s="53"/>
      <c r="D36" s="54"/>
      <c r="E36" s="54"/>
      <c r="F36" s="54" t="s">
        <v>14</v>
      </c>
      <c r="G36" s="1"/>
      <c r="H36" s="30"/>
      <c r="I36" s="30"/>
      <c r="J36" s="30"/>
    </row>
    <row r="37" spans="1:10" x14ac:dyDescent="0.2">
      <c r="A37" s="55" t="s">
        <v>13</v>
      </c>
      <c r="B37" s="56"/>
      <c r="C37" s="53"/>
      <c r="D37" s="54"/>
      <c r="E37" s="54"/>
      <c r="F37" s="54"/>
      <c r="G37" s="2"/>
      <c r="H37" s="30"/>
      <c r="I37" s="30"/>
      <c r="J37" s="30"/>
    </row>
    <row r="38" spans="1:10" x14ac:dyDescent="0.2">
      <c r="A38" s="55" t="s">
        <v>15</v>
      </c>
      <c r="B38" s="56"/>
      <c r="C38" s="53"/>
      <c r="D38" s="54"/>
      <c r="E38" s="54"/>
      <c r="F38" s="54"/>
      <c r="G38" s="2"/>
      <c r="H38" s="57" t="s">
        <v>43</v>
      </c>
      <c r="I38" s="30"/>
      <c r="J38" s="57" t="s">
        <v>45</v>
      </c>
    </row>
    <row r="39" spans="1:10" x14ac:dyDescent="0.2">
      <c r="A39" s="58" t="s">
        <v>16</v>
      </c>
      <c r="B39" s="59"/>
      <c r="C39" s="60">
        <f>[3]main!C210-[3]main!F152</f>
        <v>3046.873</v>
      </c>
      <c r="D39" s="61">
        <f>[3]main!E210-[3]main!H152</f>
        <v>9701244.0600000005</v>
      </c>
      <c r="E39" s="62">
        <f>IF(B34&gt;D39,D39,B34)</f>
        <v>994497</v>
      </c>
      <c r="F39" s="62">
        <f>D39-E39</f>
        <v>8706747.0600000005</v>
      </c>
      <c r="G39" s="1"/>
      <c r="H39" s="57">
        <f>[3]main!H269</f>
        <v>11749171.16</v>
      </c>
      <c r="I39" s="30"/>
      <c r="J39" s="57">
        <f>'[5]Sheet 1'!E93</f>
        <v>15384711.93</v>
      </c>
    </row>
    <row r="40" spans="1:10" x14ac:dyDescent="0.2">
      <c r="A40" s="58" t="s">
        <v>17</v>
      </c>
      <c r="B40" s="59"/>
      <c r="C40" s="53">
        <f>[3]main!F152</f>
        <v>264.21199999999999</v>
      </c>
      <c r="D40" s="54">
        <f>[3]main!H152</f>
        <v>841252.06</v>
      </c>
      <c r="E40" s="54">
        <f>IF(B33-SUM(E37:E39)&gt;D40,D40,B33-SUM(E37:E39))</f>
        <v>0</v>
      </c>
      <c r="F40" s="54">
        <f>D40-E40</f>
        <v>841252.06</v>
      </c>
      <c r="G40" s="1"/>
      <c r="H40" s="57">
        <f>SUM(D39:D43)</f>
        <v>11749171.16</v>
      </c>
      <c r="I40" s="30"/>
      <c r="J40" s="57">
        <f>D54</f>
        <v>15384711.93</v>
      </c>
    </row>
    <row r="41" spans="1:10" x14ac:dyDescent="0.2">
      <c r="A41" s="58" t="s">
        <v>18</v>
      </c>
      <c r="B41" s="59"/>
      <c r="C41" s="53">
        <f>[3]main!F210</f>
        <v>314.98099999999999</v>
      </c>
      <c r="D41" s="54">
        <f>[3]main!H210</f>
        <v>1002899.04</v>
      </c>
      <c r="E41" s="54">
        <f>IF(B34-SUM(E39:E40)&gt;D41,D41,B34-SUM(E39:E40))</f>
        <v>0</v>
      </c>
      <c r="F41" s="54">
        <f>D41-E41</f>
        <v>1002899.04</v>
      </c>
      <c r="G41" s="1"/>
      <c r="H41" s="57">
        <f>+H39-H40</f>
        <v>0</v>
      </c>
      <c r="I41" s="30"/>
      <c r="J41" s="57">
        <f>+J39-J40</f>
        <v>0</v>
      </c>
    </row>
    <row r="42" spans="1:10" x14ac:dyDescent="0.2">
      <c r="A42" s="58" t="s">
        <v>19</v>
      </c>
      <c r="B42" s="59"/>
      <c r="C42" s="53">
        <f>[3]main!C269</f>
        <v>60</v>
      </c>
      <c r="D42" s="54">
        <f>[3]main!E269</f>
        <v>191040</v>
      </c>
      <c r="E42" s="54">
        <f>IF(B34-SUM(E39:E41)&gt;D42,D42,B34-SUM(E39:E41))</f>
        <v>0</v>
      </c>
      <c r="F42" s="54">
        <f>D42-E42</f>
        <v>191040</v>
      </c>
      <c r="G42" s="1"/>
      <c r="H42" s="30"/>
      <c r="I42" s="30"/>
      <c r="J42" s="30"/>
    </row>
    <row r="43" spans="1:10" x14ac:dyDescent="0.2">
      <c r="A43" s="58" t="s">
        <v>42</v>
      </c>
      <c r="B43" s="59"/>
      <c r="C43" s="53">
        <f>[3]main!C93</f>
        <v>4</v>
      </c>
      <c r="D43" s="54">
        <f>[3]main!E93</f>
        <v>12736</v>
      </c>
      <c r="E43" s="54">
        <f>IF(B34-SUM(E39:E42)&gt;D43,D43,B34-SUM(E39:E42))</f>
        <v>0</v>
      </c>
      <c r="F43" s="54">
        <f>D43-E43</f>
        <v>12736</v>
      </c>
      <c r="G43" s="1"/>
      <c r="H43" s="30"/>
      <c r="I43" s="30"/>
      <c r="J43" s="30"/>
    </row>
    <row r="44" spans="1:10" x14ac:dyDescent="0.2">
      <c r="A44" s="55" t="s">
        <v>20</v>
      </c>
      <c r="B44" s="56"/>
      <c r="C44" s="63"/>
      <c r="D44" s="64"/>
      <c r="E44" s="64"/>
      <c r="F44" s="64" t="s">
        <v>14</v>
      </c>
      <c r="G44" s="1"/>
      <c r="H44" s="57" t="s">
        <v>44</v>
      </c>
      <c r="I44" s="30"/>
      <c r="J44" s="30"/>
    </row>
    <row r="45" spans="1:10" x14ac:dyDescent="0.2">
      <c r="A45" s="58" t="s">
        <v>21</v>
      </c>
      <c r="B45" s="59"/>
      <c r="C45" s="53">
        <f>'[6]Sheet 1'!C35</f>
        <v>514.15300000000002</v>
      </c>
      <c r="D45" s="54">
        <f>'[6]Sheet 1'!E35</f>
        <v>1637064.05</v>
      </c>
      <c r="E45" s="54">
        <f>IF(B34-SUM(E39:E44)&gt;D45,D45,B34-SUM(E39:E44))</f>
        <v>0</v>
      </c>
      <c r="F45" s="54">
        <f t="shared" ref="F45:F53" si="0">D45-E45</f>
        <v>1637064.05</v>
      </c>
      <c r="G45" s="1"/>
      <c r="H45" s="57">
        <f>'[6]Sheet 1'!N151</f>
        <v>2340935.29</v>
      </c>
      <c r="I45" s="30"/>
      <c r="J45" s="30"/>
    </row>
    <row r="46" spans="1:10" x14ac:dyDescent="0.2">
      <c r="A46" s="59" t="s">
        <v>22</v>
      </c>
      <c r="B46" s="59"/>
      <c r="C46" s="53">
        <f>'[6]Sheet 1'!F35</f>
        <v>40.47</v>
      </c>
      <c r="D46" s="54">
        <f>'[6]Sheet 1'!H35</f>
        <v>128856.48</v>
      </c>
      <c r="E46" s="54">
        <f>IF(B34-SUM(E39:E45)&gt;D46,D46,B34-SUM(E39:E45))</f>
        <v>0</v>
      </c>
      <c r="F46" s="54">
        <f t="shared" si="0"/>
        <v>128856.48</v>
      </c>
      <c r="G46" s="1"/>
      <c r="H46" s="57">
        <f>SUM(D45:D51)</f>
        <v>2340935.29</v>
      </c>
      <c r="I46" s="30"/>
      <c r="J46" s="30"/>
    </row>
    <row r="47" spans="1:10" x14ac:dyDescent="0.2">
      <c r="A47" s="59" t="s">
        <v>23</v>
      </c>
      <c r="B47" s="59"/>
      <c r="C47" s="53">
        <f>'[6]Sheet 1'!C93</f>
        <v>105.84</v>
      </c>
      <c r="D47" s="54">
        <f>'[6]Sheet 1'!E93</f>
        <v>336994.56</v>
      </c>
      <c r="E47" s="54">
        <f>IF(B34-SUM(E39:E46)&gt;D47,D47,B34-SUM(E39:E46))</f>
        <v>0</v>
      </c>
      <c r="F47" s="54">
        <f t="shared" si="0"/>
        <v>336994.56</v>
      </c>
      <c r="G47" s="1"/>
      <c r="H47" s="57">
        <f>+H45-H46</f>
        <v>0</v>
      </c>
      <c r="I47" s="30"/>
      <c r="J47" s="30"/>
    </row>
    <row r="48" spans="1:10" x14ac:dyDescent="0.2">
      <c r="A48" s="58" t="s">
        <v>24</v>
      </c>
      <c r="B48" s="59"/>
      <c r="C48" s="53">
        <f>'[6]Sheet 1'!F93</f>
        <v>2.9649999999999999</v>
      </c>
      <c r="D48" s="54">
        <f>'[6]Sheet 1'!H93</f>
        <v>9441.5499999999993</v>
      </c>
      <c r="E48" s="54">
        <f>IF(B34-SUM(E39:E47)&gt;D48,D48,B34-SUM(E39:E47))</f>
        <v>0</v>
      </c>
      <c r="F48" s="54">
        <f t="shared" si="0"/>
        <v>9441.5499999999993</v>
      </c>
      <c r="G48" s="1"/>
      <c r="H48" s="30"/>
      <c r="I48" s="30"/>
      <c r="J48" s="30"/>
    </row>
    <row r="49" spans="1:10" x14ac:dyDescent="0.2">
      <c r="A49" s="59" t="s">
        <v>71</v>
      </c>
      <c r="B49" s="59"/>
      <c r="C49" s="53">
        <f>'[6]Sheet 1'!C151</f>
        <v>71.790000000000006</v>
      </c>
      <c r="D49" s="54">
        <f>'[6]Sheet 1'!E151</f>
        <v>228578.65</v>
      </c>
      <c r="E49" s="54">
        <f>IF(B34-SUM(E39:E48)&gt;D49,D49,B34-SUM(E39:E48))</f>
        <v>0</v>
      </c>
      <c r="F49" s="54">
        <f t="shared" si="0"/>
        <v>228578.65</v>
      </c>
      <c r="G49" s="1"/>
      <c r="H49" s="30"/>
      <c r="I49" s="30"/>
      <c r="J49" s="30"/>
    </row>
    <row r="50" spans="1:10" x14ac:dyDescent="0.2">
      <c r="A50" s="59" t="s">
        <v>57</v>
      </c>
      <c r="B50" s="59"/>
      <c r="C50" s="53">
        <f>'[6]Sheet 1'!F151</f>
        <v>0</v>
      </c>
      <c r="D50" s="54">
        <f>'[6]Sheet 1'!H151</f>
        <v>0</v>
      </c>
      <c r="E50" s="54">
        <f>IF(B35-SUM(E40:E49)&gt;D50,D50,B35-SUM(E40:E49))</f>
        <v>0</v>
      </c>
      <c r="F50" s="54">
        <f t="shared" si="0"/>
        <v>0</v>
      </c>
      <c r="G50" s="1"/>
      <c r="H50" s="30"/>
      <c r="I50" s="30"/>
      <c r="J50" s="30"/>
    </row>
    <row r="51" spans="1:10" x14ac:dyDescent="0.2">
      <c r="A51" s="59" t="s">
        <v>64</v>
      </c>
      <c r="B51" s="59"/>
      <c r="C51" s="53">
        <f>'[6]Sheet 1'!I151</f>
        <v>0</v>
      </c>
      <c r="D51" s="54">
        <f>'[6]Sheet 1'!K151</f>
        <v>0</v>
      </c>
      <c r="E51" s="54">
        <f>IF(B37-SUM(E41:E50)&gt;D51,D51,B37-SUM(E41:E50))</f>
        <v>0</v>
      </c>
      <c r="F51" s="54">
        <f t="shared" si="0"/>
        <v>0</v>
      </c>
      <c r="G51" s="1"/>
      <c r="H51" s="57" t="s">
        <v>46</v>
      </c>
      <c r="I51" s="30"/>
      <c r="J51" s="30"/>
    </row>
    <row r="52" spans="1:10" x14ac:dyDescent="0.2">
      <c r="A52" s="59" t="s">
        <v>58</v>
      </c>
      <c r="B52" s="59"/>
      <c r="C52" s="53">
        <f>'[6]Sheet 1'!C209</f>
        <v>210.86799999999999</v>
      </c>
      <c r="D52" s="54">
        <f>'[6]Sheet 1'!E209</f>
        <v>671406.58</v>
      </c>
      <c r="E52" s="54">
        <f>IF(B34-SUM(E39:E49)&gt;D52,D52,B34-SUM(E39:E49))</f>
        <v>0</v>
      </c>
      <c r="F52" s="54">
        <f t="shared" si="0"/>
        <v>671406.58</v>
      </c>
      <c r="G52" s="4"/>
      <c r="H52" s="57">
        <f>+'[6]Sheet 1'!E209</f>
        <v>671406.58</v>
      </c>
      <c r="I52" s="30"/>
      <c r="J52" s="30"/>
    </row>
    <row r="53" spans="1:10" x14ac:dyDescent="0.2">
      <c r="A53" s="58" t="s">
        <v>59</v>
      </c>
      <c r="B53" s="59"/>
      <c r="C53" s="53">
        <f>'[5]Sheet 1'!C35</f>
        <v>195.72800000000001</v>
      </c>
      <c r="D53" s="54">
        <f>'[5]Sheet 1'!E35</f>
        <v>623198.9</v>
      </c>
      <c r="E53" s="54">
        <f>IF(B34-SUM(E39:E52)&gt;D53,D53,B34-SUM(E39:E52))</f>
        <v>0</v>
      </c>
      <c r="F53" s="54">
        <f t="shared" si="0"/>
        <v>623198.9</v>
      </c>
      <c r="G53" s="5"/>
      <c r="H53" s="57">
        <f>+D52</f>
        <v>671406.58</v>
      </c>
      <c r="I53" s="30"/>
      <c r="J53" s="30"/>
    </row>
    <row r="54" spans="1:10" x14ac:dyDescent="0.2">
      <c r="A54" s="65" t="s">
        <v>28</v>
      </c>
      <c r="B54" s="56"/>
      <c r="C54" s="66">
        <f>SUM(C39:C53)</f>
        <v>4831.88</v>
      </c>
      <c r="D54" s="67">
        <f>SUM(D39:D53)</f>
        <v>15384711.93</v>
      </c>
      <c r="E54" s="67">
        <f>SUM(E39:E53)</f>
        <v>994497</v>
      </c>
      <c r="F54" s="67">
        <f>SUM(F39:F53)</f>
        <v>14390214.93</v>
      </c>
      <c r="G54" s="1"/>
      <c r="H54" s="57">
        <f>+H52-H53</f>
        <v>0</v>
      </c>
      <c r="I54" s="30"/>
      <c r="J54" s="30"/>
    </row>
    <row r="55" spans="1:10" x14ac:dyDescent="0.2">
      <c r="A55" s="68" t="s">
        <v>26</v>
      </c>
      <c r="B55" s="56"/>
      <c r="C55" s="69"/>
      <c r="D55" s="54"/>
      <c r="E55" s="54"/>
      <c r="F55" s="54"/>
      <c r="G55" s="1"/>
      <c r="H55" s="57" t="s">
        <v>47</v>
      </c>
      <c r="I55" s="30"/>
      <c r="J55" s="57" t="s">
        <v>52</v>
      </c>
    </row>
    <row r="56" spans="1:10" x14ac:dyDescent="0.2">
      <c r="A56" s="58" t="s">
        <v>56</v>
      </c>
      <c r="B56" s="59"/>
      <c r="C56" s="20"/>
      <c r="D56" s="70">
        <f>[1]Main!F36</f>
        <v>44555.17</v>
      </c>
      <c r="E56" s="54">
        <f>IF($B34-SUM($E54)&gt;D56,D56,$B34-SUM($E54))</f>
        <v>0</v>
      </c>
      <c r="F56" s="54">
        <f t="shared" ref="F56:F74" si="1">D56-E56</f>
        <v>44555.17</v>
      </c>
      <c r="G56" s="1"/>
      <c r="H56" s="57">
        <f>[1]Main!G36</f>
        <v>604349</v>
      </c>
      <c r="I56" s="30"/>
      <c r="J56" s="57">
        <f>+[1]Main!D497</f>
        <v>4485574.91</v>
      </c>
    </row>
    <row r="57" spans="1:10" x14ac:dyDescent="0.2">
      <c r="A57" s="59" t="s">
        <v>25</v>
      </c>
      <c r="B57" s="59"/>
      <c r="C57" s="20"/>
      <c r="D57" s="70">
        <f>[1]Main!C36</f>
        <v>505913.83</v>
      </c>
      <c r="E57" s="54">
        <f>IF($B34-SUM($E54:E56)&gt;D57,D57,B34-SUM($E54:E56))</f>
        <v>0</v>
      </c>
      <c r="F57" s="54">
        <f t="shared" si="1"/>
        <v>505913.83</v>
      </c>
      <c r="G57" s="1"/>
      <c r="H57" s="57">
        <f>SUM(D56:D58)</f>
        <v>604349</v>
      </c>
      <c r="I57" s="30"/>
      <c r="J57" s="57">
        <f>SUM(D56:D83)-E69</f>
        <v>4485574.92</v>
      </c>
    </row>
    <row r="58" spans="1:10" x14ac:dyDescent="0.2">
      <c r="A58" s="71" t="s">
        <v>27</v>
      </c>
      <c r="B58" s="59"/>
      <c r="C58" s="20"/>
      <c r="D58" s="70">
        <f>[1]Main!D36</f>
        <v>53880</v>
      </c>
      <c r="E58" s="54">
        <f>IF($B34-SUM($E54:E57)&gt;D58,D58,$B34-SUM($E54:E57))</f>
        <v>0</v>
      </c>
      <c r="F58" s="54">
        <f>D58-E58</f>
        <v>53880</v>
      </c>
      <c r="G58" s="1"/>
      <c r="H58" s="57">
        <f>+H56-H57</f>
        <v>0</v>
      </c>
      <c r="I58" s="30"/>
      <c r="J58" s="57">
        <f>+J56-J57</f>
        <v>-0.01</v>
      </c>
    </row>
    <row r="59" spans="1:10" x14ac:dyDescent="0.2">
      <c r="A59" s="72" t="s">
        <v>72</v>
      </c>
      <c r="B59" s="59"/>
      <c r="C59" s="20"/>
      <c r="D59" s="70">
        <f>[1]Main!E36</f>
        <v>0</v>
      </c>
      <c r="E59" s="54">
        <f>IF($B35-SUM($E55:E58)&gt;D59,D59,$B35-SUM($E55:E58))</f>
        <v>0</v>
      </c>
      <c r="F59" s="54">
        <f>D59-E59</f>
        <v>0</v>
      </c>
      <c r="G59" s="1"/>
      <c r="H59" s="30"/>
      <c r="I59" s="30"/>
      <c r="J59" s="30"/>
    </row>
    <row r="60" spans="1:10" x14ac:dyDescent="0.2">
      <c r="A60" s="72" t="s">
        <v>73</v>
      </c>
      <c r="B60" s="59"/>
      <c r="C60" s="20"/>
      <c r="D60" s="54">
        <f>+[1]Main!$F152</f>
        <v>14871.8</v>
      </c>
      <c r="E60" s="54">
        <f>IF($B34-SUM($E54:E58)&gt;D60,D60,$B34-SUM($E54:E58))</f>
        <v>0</v>
      </c>
      <c r="F60" s="54">
        <f t="shared" si="1"/>
        <v>14871.8</v>
      </c>
      <c r="G60" s="1"/>
      <c r="H60" s="30"/>
      <c r="I60" s="30"/>
      <c r="J60" s="30"/>
    </row>
    <row r="61" spans="1:10" x14ac:dyDescent="0.2">
      <c r="A61" s="71" t="s">
        <v>74</v>
      </c>
      <c r="B61" s="59"/>
      <c r="C61" s="20"/>
      <c r="D61" s="54">
        <f>+[1]Main!$C94</f>
        <v>121907</v>
      </c>
      <c r="E61" s="54">
        <f>IF($B34-SUM($E54:E60)&gt;D61,D61,$B34-SUM($E54:E60))</f>
        <v>0</v>
      </c>
      <c r="F61" s="54">
        <f t="shared" si="1"/>
        <v>121907</v>
      </c>
      <c r="G61" s="1"/>
      <c r="H61" s="30"/>
      <c r="I61" s="30"/>
      <c r="J61" s="30"/>
    </row>
    <row r="62" spans="1:10" x14ac:dyDescent="0.2">
      <c r="A62" s="71" t="s">
        <v>75</v>
      </c>
      <c r="B62" s="59"/>
      <c r="C62" s="20"/>
      <c r="D62" s="54">
        <f>+[1]Main!$D94</f>
        <v>0</v>
      </c>
      <c r="E62" s="54">
        <f>IF($B34-SUM($E54:E61)&gt;D62,D62,$B34-SUM($E54:E61))</f>
        <v>0</v>
      </c>
      <c r="F62" s="54">
        <f t="shared" si="1"/>
        <v>0</v>
      </c>
      <c r="G62" s="1"/>
      <c r="H62" s="30"/>
      <c r="I62" s="30"/>
      <c r="J62" s="30"/>
    </row>
    <row r="63" spans="1:10" x14ac:dyDescent="0.2">
      <c r="A63" s="71" t="s">
        <v>76</v>
      </c>
      <c r="B63" s="59"/>
      <c r="C63" s="20"/>
      <c r="D63" s="54">
        <f>+[1]Main!$E94</f>
        <v>848362</v>
      </c>
      <c r="E63" s="54">
        <f>IF($B34-SUM($E54:E62)&gt;D63,D63,$B34-SUM($E54:E62))</f>
        <v>0</v>
      </c>
      <c r="F63" s="54">
        <f t="shared" si="1"/>
        <v>848362</v>
      </c>
      <c r="G63" s="1"/>
      <c r="H63" s="30"/>
      <c r="I63" s="30"/>
      <c r="J63" s="30"/>
    </row>
    <row r="64" spans="1:10" x14ac:dyDescent="0.2">
      <c r="A64" s="71" t="s">
        <v>77</v>
      </c>
      <c r="B64" s="59"/>
      <c r="C64" s="20"/>
      <c r="D64" s="54">
        <f>[1]Main!F94</f>
        <v>917878</v>
      </c>
      <c r="E64" s="54">
        <f>IF($B34-SUM($E54:E63)&gt;D64,D64,$B34-SUM($E54:E63))</f>
        <v>0</v>
      </c>
      <c r="F64" s="54">
        <f t="shared" si="1"/>
        <v>917878</v>
      </c>
      <c r="G64" s="1"/>
      <c r="H64" s="57" t="s">
        <v>48</v>
      </c>
      <c r="I64" s="30"/>
      <c r="J64" s="30"/>
    </row>
    <row r="65" spans="1:10" x14ac:dyDescent="0.2">
      <c r="A65" s="71" t="s">
        <v>79</v>
      </c>
      <c r="B65" s="59"/>
      <c r="C65" s="20"/>
      <c r="D65" s="54">
        <f>[1]Main!G94</f>
        <v>0</v>
      </c>
      <c r="E65" s="54">
        <f>IF($B34-SUM($E54:E64)&gt;D65,D65,$B34-SUM($E54:E64))</f>
        <v>0</v>
      </c>
      <c r="F65" s="54">
        <f t="shared" si="1"/>
        <v>0</v>
      </c>
      <c r="G65" s="1"/>
      <c r="H65" s="57"/>
      <c r="I65" s="30"/>
      <c r="J65" s="30"/>
    </row>
    <row r="66" spans="1:10" x14ac:dyDescent="0.2">
      <c r="A66" s="71" t="s">
        <v>78</v>
      </c>
      <c r="B66" s="59"/>
      <c r="C66" s="20"/>
      <c r="D66" s="54">
        <f>[1]Main!G152</f>
        <v>53643.69</v>
      </c>
      <c r="E66" s="54">
        <f>IF($B34-SUM($E54:E65)&gt;D66,D66,$B34-SUM($E54:E65))</f>
        <v>0</v>
      </c>
      <c r="F66" s="54">
        <f t="shared" si="1"/>
        <v>53643.69</v>
      </c>
      <c r="G66" s="1"/>
      <c r="H66" s="73">
        <f>+[1]Main!D210</f>
        <v>1956662.49</v>
      </c>
      <c r="I66" s="30"/>
      <c r="J66" s="30"/>
    </row>
    <row r="67" spans="1:10" x14ac:dyDescent="0.2">
      <c r="A67" s="71" t="s">
        <v>80</v>
      </c>
      <c r="B67" s="59"/>
      <c r="C67" s="20"/>
      <c r="D67" s="54">
        <f>[1]Main!C210</f>
        <v>0</v>
      </c>
      <c r="E67" s="54"/>
      <c r="F67" s="54">
        <f t="shared" si="1"/>
        <v>0</v>
      </c>
      <c r="G67" s="1"/>
      <c r="H67" s="57">
        <f>+SUM(D60:D67)</f>
        <v>1956662.49</v>
      </c>
      <c r="I67" s="30"/>
      <c r="J67" s="30"/>
    </row>
    <row r="68" spans="1:10" x14ac:dyDescent="0.2">
      <c r="A68" s="71" t="s">
        <v>81</v>
      </c>
      <c r="B68" s="59"/>
      <c r="C68" s="20"/>
      <c r="D68" s="54">
        <f>[1]Main!C268</f>
        <v>328322</v>
      </c>
      <c r="E68" s="54">
        <v>0</v>
      </c>
      <c r="F68" s="54">
        <f t="shared" si="1"/>
        <v>328322</v>
      </c>
      <c r="G68" s="1"/>
      <c r="H68" s="57">
        <f>+H66-H67</f>
        <v>0</v>
      </c>
      <c r="I68" s="30"/>
      <c r="J68" s="30"/>
    </row>
    <row r="69" spans="1:10" x14ac:dyDescent="0.2">
      <c r="A69" s="71" t="s">
        <v>82</v>
      </c>
      <c r="B69" s="59"/>
      <c r="C69" s="20"/>
      <c r="D69" s="54">
        <f>+[7]Main!I35+[7]Main!J35</f>
        <v>202909.59</v>
      </c>
      <c r="E69" s="74">
        <f>[7]Main!J35</f>
        <v>66752.960000000006</v>
      </c>
      <c r="F69" s="54">
        <f t="shared" si="1"/>
        <v>136156.63</v>
      </c>
      <c r="G69" s="1"/>
      <c r="H69" s="30"/>
      <c r="I69" s="30"/>
      <c r="J69" s="30"/>
    </row>
    <row r="70" spans="1:10" x14ac:dyDescent="0.2">
      <c r="A70" s="71" t="s">
        <v>83</v>
      </c>
      <c r="B70" s="59"/>
      <c r="C70" s="20"/>
      <c r="D70" s="54">
        <f>[1]Main!F268</f>
        <v>72049</v>
      </c>
      <c r="E70" s="54">
        <v>0</v>
      </c>
      <c r="F70" s="54">
        <f t="shared" si="1"/>
        <v>72049</v>
      </c>
      <c r="G70" s="1"/>
      <c r="H70" s="30"/>
      <c r="I70" s="30"/>
      <c r="J70" s="30"/>
    </row>
    <row r="71" spans="1:10" x14ac:dyDescent="0.2">
      <c r="A71" s="71" t="s">
        <v>84</v>
      </c>
      <c r="B71" s="59"/>
      <c r="C71" s="7"/>
      <c r="D71" s="54">
        <f>[1]Main!E268</f>
        <v>8024.34</v>
      </c>
      <c r="E71" s="54">
        <v>0</v>
      </c>
      <c r="F71" s="54">
        <f t="shared" si="1"/>
        <v>8024.34</v>
      </c>
      <c r="G71" s="1"/>
      <c r="H71" s="57" t="s">
        <v>49</v>
      </c>
      <c r="I71" s="30"/>
      <c r="J71" s="30"/>
    </row>
    <row r="72" spans="1:10" x14ac:dyDescent="0.2">
      <c r="A72" s="71" t="s">
        <v>85</v>
      </c>
      <c r="B72" s="59"/>
      <c r="C72" s="7"/>
      <c r="D72" s="54">
        <f>[1]Main!G268</f>
        <v>17834</v>
      </c>
      <c r="E72" s="54">
        <v>0</v>
      </c>
      <c r="F72" s="54">
        <f t="shared" si="1"/>
        <v>17834</v>
      </c>
      <c r="G72" s="1"/>
      <c r="H72" s="57">
        <f>+[1]Main!C497</f>
        <v>1869169.31</v>
      </c>
      <c r="I72" s="57"/>
      <c r="J72" s="57"/>
    </row>
    <row r="73" spans="1:10" x14ac:dyDescent="0.2">
      <c r="A73" s="71" t="s">
        <v>86</v>
      </c>
      <c r="B73" s="59"/>
      <c r="C73" s="20"/>
      <c r="D73" s="54">
        <f>[1]Main!C326</f>
        <v>0</v>
      </c>
      <c r="E73" s="54">
        <v>0</v>
      </c>
      <c r="F73" s="54">
        <f t="shared" si="1"/>
        <v>0</v>
      </c>
      <c r="G73" s="1"/>
      <c r="H73" s="57">
        <f>+SUM(D68:D78)-E69</f>
        <v>1869169.31</v>
      </c>
      <c r="I73" s="57"/>
      <c r="J73" s="57">
        <f>+H73-H72</f>
        <v>0</v>
      </c>
    </row>
    <row r="74" spans="1:10" x14ac:dyDescent="0.2">
      <c r="A74" s="71" t="s">
        <v>87</v>
      </c>
      <c r="C74" s="8"/>
      <c r="D74" s="76">
        <f>[1]Main!D326</f>
        <v>990579.76</v>
      </c>
      <c r="E74" s="77">
        <v>0</v>
      </c>
      <c r="F74" s="77">
        <f t="shared" si="1"/>
        <v>990579.76</v>
      </c>
      <c r="G74" s="5"/>
      <c r="H74" s="57">
        <f>+H72-H73</f>
        <v>0</v>
      </c>
      <c r="I74" s="57"/>
      <c r="J74" s="57"/>
    </row>
    <row r="75" spans="1:10" x14ac:dyDescent="0.2">
      <c r="A75" s="71" t="s">
        <v>88</v>
      </c>
      <c r="B75" s="59"/>
      <c r="C75" s="20"/>
      <c r="D75" s="54">
        <f>+[1]Main!$E326</f>
        <v>4897.4799999999996</v>
      </c>
      <c r="E75" s="54">
        <v>0</v>
      </c>
      <c r="F75" s="54">
        <f>D75-E75</f>
        <v>4897.4799999999996</v>
      </c>
      <c r="G75" s="4"/>
      <c r="H75" s="30"/>
      <c r="I75" s="30"/>
      <c r="J75" s="30"/>
    </row>
    <row r="76" spans="1:10" x14ac:dyDescent="0.2">
      <c r="A76" s="71" t="s">
        <v>89</v>
      </c>
      <c r="B76" s="59"/>
      <c r="C76" s="20"/>
      <c r="D76" s="54">
        <f>[1]Main!F326</f>
        <v>50038.879999999997</v>
      </c>
      <c r="E76" s="54">
        <v>0</v>
      </c>
      <c r="F76" s="54">
        <f>D76-E76</f>
        <v>50038.879999999997</v>
      </c>
      <c r="G76" s="4"/>
      <c r="H76" s="30"/>
      <c r="I76" s="30"/>
      <c r="J76" s="30"/>
    </row>
    <row r="77" spans="1:10" x14ac:dyDescent="0.2">
      <c r="A77" s="71" t="s">
        <v>90</v>
      </c>
      <c r="B77" s="59"/>
      <c r="C77" s="20"/>
      <c r="D77" s="54">
        <f>[1]Main!G326</f>
        <v>193200</v>
      </c>
      <c r="E77" s="54">
        <v>0</v>
      </c>
      <c r="F77" s="54">
        <f>D77-E77</f>
        <v>193200</v>
      </c>
      <c r="G77" s="1"/>
      <c r="H77" s="57" t="s">
        <v>50</v>
      </c>
      <c r="I77" s="30"/>
      <c r="J77" s="30"/>
    </row>
    <row r="78" spans="1:10" x14ac:dyDescent="0.2">
      <c r="A78" s="71" t="s">
        <v>93</v>
      </c>
      <c r="B78" s="59"/>
      <c r="C78" s="20"/>
      <c r="D78" s="54">
        <f>[1]Main!F383</f>
        <v>68067.22</v>
      </c>
      <c r="E78" s="54">
        <v>0</v>
      </c>
      <c r="F78" s="54">
        <f>D78-E78</f>
        <v>68067.22</v>
      </c>
      <c r="G78" s="1"/>
      <c r="H78" s="57"/>
      <c r="I78" s="30"/>
      <c r="J78" s="30"/>
    </row>
    <row r="79" spans="1:10" x14ac:dyDescent="0.2">
      <c r="A79" s="55" t="s">
        <v>30</v>
      </c>
      <c r="B79" s="78"/>
      <c r="C79" s="79"/>
      <c r="D79" s="64"/>
      <c r="E79" s="64"/>
      <c r="F79" s="64"/>
      <c r="G79" s="1"/>
      <c r="H79" s="57"/>
      <c r="I79" s="30"/>
      <c r="J79" s="30"/>
    </row>
    <row r="80" spans="1:10" x14ac:dyDescent="0.2">
      <c r="A80" s="71" t="s">
        <v>60</v>
      </c>
      <c r="B80" s="59"/>
      <c r="C80" s="20"/>
      <c r="D80" s="54">
        <f>[1]Main!C440</f>
        <v>36078.5</v>
      </c>
      <c r="E80" s="54">
        <v>0</v>
      </c>
      <c r="F80" s="54">
        <f>D80-E80</f>
        <v>36078.5</v>
      </c>
      <c r="G80" s="1"/>
      <c r="H80" s="57">
        <f>+[1]Main!G440</f>
        <v>55394.12</v>
      </c>
      <c r="I80" s="30"/>
      <c r="J80" s="30"/>
    </row>
    <row r="81" spans="1:10" x14ac:dyDescent="0.2">
      <c r="A81" s="71" t="s">
        <v>63</v>
      </c>
      <c r="B81" s="59"/>
      <c r="C81" s="20"/>
      <c r="D81" s="54">
        <f>[1]Main!D440</f>
        <v>0</v>
      </c>
      <c r="E81" s="54">
        <v>0</v>
      </c>
      <c r="F81" s="54">
        <f>D81-E81</f>
        <v>0</v>
      </c>
      <c r="G81" s="4"/>
      <c r="H81" s="57">
        <f>SUM(D80:D83)</f>
        <v>55394.12</v>
      </c>
      <c r="I81" s="30"/>
      <c r="J81" s="30"/>
    </row>
    <row r="82" spans="1:10" x14ac:dyDescent="0.2">
      <c r="A82" s="71" t="s">
        <v>91</v>
      </c>
      <c r="B82" s="59"/>
      <c r="C82" s="20"/>
      <c r="D82" s="54">
        <f>[1]Main!E440</f>
        <v>0</v>
      </c>
      <c r="E82" s="54">
        <v>0</v>
      </c>
      <c r="F82" s="54">
        <f>D82-E82</f>
        <v>0</v>
      </c>
      <c r="G82" s="4"/>
      <c r="H82" s="57">
        <f>+H80-H81</f>
        <v>0</v>
      </c>
      <c r="I82" s="30"/>
      <c r="J82" s="30"/>
    </row>
    <row r="83" spans="1:10" x14ac:dyDescent="0.2">
      <c r="A83" s="71" t="s">
        <v>92</v>
      </c>
      <c r="B83" s="59"/>
      <c r="C83" s="20"/>
      <c r="D83" s="54">
        <f>[1]Main!F440</f>
        <v>19315.62</v>
      </c>
      <c r="E83" s="54">
        <v>0</v>
      </c>
      <c r="F83" s="54">
        <f>D83-E83</f>
        <v>19315.62</v>
      </c>
      <c r="G83" s="1"/>
      <c r="H83" s="30"/>
      <c r="I83" s="30"/>
      <c r="J83" s="30"/>
    </row>
    <row r="84" spans="1:10" x14ac:dyDescent="0.2">
      <c r="A84" s="55" t="s">
        <v>31</v>
      </c>
      <c r="B84" s="78"/>
      <c r="C84" s="79"/>
      <c r="D84" s="64"/>
      <c r="E84" s="64"/>
      <c r="F84" s="64"/>
      <c r="G84" s="1"/>
      <c r="H84" s="30"/>
      <c r="I84" s="30"/>
      <c r="J84" s="30"/>
    </row>
    <row r="85" spans="1:10" x14ac:dyDescent="0.2">
      <c r="A85" s="58" t="s">
        <v>69</v>
      </c>
      <c r="B85" s="59"/>
      <c r="C85" s="20"/>
      <c r="D85" s="54">
        <f>+[1]Main!$G553</f>
        <v>2977440.87</v>
      </c>
      <c r="E85" s="54">
        <f>+[1]Main!$D553</f>
        <v>930968.29</v>
      </c>
      <c r="F85" s="54">
        <f>+D85-E85</f>
        <v>2046472.58</v>
      </c>
      <c r="G85" s="1"/>
      <c r="H85" s="30"/>
      <c r="I85" s="30"/>
      <c r="J85" s="30"/>
    </row>
    <row r="86" spans="1:10" x14ac:dyDescent="0.2">
      <c r="A86" s="59" t="s">
        <v>68</v>
      </c>
      <c r="B86" s="59"/>
      <c r="C86" s="20"/>
      <c r="D86" s="54">
        <f>+[1]Main!$G608</f>
        <v>744360.22</v>
      </c>
      <c r="E86" s="54">
        <f>+[1]Main!$D608</f>
        <v>237491.91</v>
      </c>
      <c r="F86" s="54">
        <f>+D86-E86</f>
        <v>506868.31</v>
      </c>
      <c r="G86" s="1"/>
      <c r="H86" s="30"/>
      <c r="I86" s="30"/>
      <c r="J86" s="30"/>
    </row>
    <row r="87" spans="1:10" ht="13.5" thickBot="1" x14ac:dyDescent="0.25">
      <c r="A87" s="80"/>
      <c r="B87" s="81"/>
      <c r="C87" s="82" t="s">
        <v>29</v>
      </c>
      <c r="D87" s="83">
        <f>SUM(D54:D86)</f>
        <v>23658840.899999999</v>
      </c>
      <c r="E87" s="83">
        <f>SUM(E54:E86)</f>
        <v>2229710.16</v>
      </c>
      <c r="F87" s="83">
        <f>SUM(F54:F86)</f>
        <v>21429130.739999998</v>
      </c>
      <c r="G87" s="1"/>
      <c r="H87" s="30"/>
      <c r="I87" s="30"/>
      <c r="J87" s="30"/>
    </row>
    <row r="88" spans="1:10" ht="13.5" thickTop="1" x14ac:dyDescent="0.2">
      <c r="A88" s="84"/>
      <c r="B88" s="59"/>
      <c r="C88" s="85"/>
      <c r="D88" s="86"/>
      <c r="E88" s="86"/>
      <c r="F88" s="87"/>
      <c r="G88" s="1"/>
      <c r="H88" s="30"/>
      <c r="I88" s="30"/>
      <c r="J88" s="30"/>
    </row>
    <row r="89" spans="1:10" x14ac:dyDescent="0.2">
      <c r="A89" s="88" t="s">
        <v>40</v>
      </c>
      <c r="B89" s="78"/>
      <c r="C89" s="89"/>
      <c r="D89" s="90"/>
      <c r="E89" s="91"/>
      <c r="F89" s="92" t="s">
        <v>36</v>
      </c>
      <c r="G89" s="6"/>
      <c r="H89" s="57" t="s">
        <v>51</v>
      </c>
      <c r="I89" s="30"/>
      <c r="J89" s="57" t="s">
        <v>7</v>
      </c>
    </row>
    <row r="90" spans="1:10" x14ac:dyDescent="0.2">
      <c r="A90" s="93" t="s">
        <v>33</v>
      </c>
      <c r="B90" s="94"/>
      <c r="C90" s="95"/>
      <c r="D90" s="96"/>
      <c r="E90" s="96"/>
      <c r="F90" s="91"/>
      <c r="G90" s="6"/>
      <c r="H90" s="30"/>
      <c r="I90" s="30"/>
      <c r="J90" s="30"/>
    </row>
    <row r="91" spans="1:10" x14ac:dyDescent="0.2">
      <c r="A91" s="59" t="s">
        <v>34</v>
      </c>
      <c r="B91" s="59"/>
      <c r="C91" s="22"/>
      <c r="D91" s="27"/>
      <c r="E91" s="27"/>
      <c r="F91" s="97">
        <f>+[8]Main!$C36</f>
        <v>903407</v>
      </c>
      <c r="G91" s="5"/>
      <c r="H91" s="57">
        <f>+[1]Main!G664</f>
        <v>3721801.09</v>
      </c>
      <c r="I91" s="30"/>
      <c r="J91" s="57">
        <f>+[1]Main!E664+[1]Main!F664</f>
        <v>2553340.89</v>
      </c>
    </row>
    <row r="92" spans="1:10" x14ac:dyDescent="0.2">
      <c r="A92" s="59" t="s">
        <v>66</v>
      </c>
      <c r="B92" s="59"/>
      <c r="C92" s="22"/>
      <c r="D92" s="27"/>
      <c r="E92" s="27"/>
      <c r="F92" s="97">
        <f>+[8]Main!$D36</f>
        <v>228086</v>
      </c>
      <c r="G92" s="5"/>
      <c r="H92" s="57">
        <f>+D85+D86</f>
        <v>3721801.09</v>
      </c>
      <c r="I92" s="30"/>
      <c r="J92" s="57">
        <f>+F85+F86</f>
        <v>2553340.89</v>
      </c>
    </row>
    <row r="93" spans="1:10" x14ac:dyDescent="0.2">
      <c r="A93" s="32" t="s">
        <v>65</v>
      </c>
      <c r="B93" s="32"/>
      <c r="C93" s="22"/>
      <c r="D93" s="28"/>
      <c r="E93" s="28"/>
      <c r="F93" s="97">
        <f>+[8]Main!$E36</f>
        <v>0</v>
      </c>
      <c r="G93" s="1"/>
      <c r="H93" s="57">
        <f>+H91-H92</f>
        <v>0</v>
      </c>
      <c r="I93" s="30"/>
      <c r="J93" s="57">
        <f>+J91-J92</f>
        <v>0</v>
      </c>
    </row>
    <row r="94" spans="1:10" x14ac:dyDescent="0.2">
      <c r="A94" s="32" t="s">
        <v>67</v>
      </c>
      <c r="B94" s="32"/>
      <c r="C94" s="22"/>
      <c r="D94" s="28"/>
      <c r="E94" s="28"/>
      <c r="F94" s="97">
        <f>+[8]Main!$F36</f>
        <v>0</v>
      </c>
      <c r="G94" s="1"/>
      <c r="H94" s="30"/>
      <c r="I94" s="30"/>
      <c r="J94" s="30"/>
    </row>
    <row r="95" spans="1:10" x14ac:dyDescent="0.2">
      <c r="A95" s="88" t="s">
        <v>35</v>
      </c>
      <c r="B95" s="78"/>
      <c r="C95" s="89"/>
      <c r="D95" s="90"/>
      <c r="E95" s="91"/>
      <c r="F95" s="54">
        <f>+[8]Main!$C94</f>
        <v>17415.52</v>
      </c>
      <c r="G95" s="1"/>
      <c r="H95" s="30"/>
      <c r="I95" s="30"/>
      <c r="J95" s="30"/>
    </row>
    <row r="96" spans="1:10" ht="13.5" thickBot="1" x14ac:dyDescent="0.25">
      <c r="A96" s="98"/>
      <c r="B96" s="99"/>
      <c r="C96" s="100" t="s">
        <v>29</v>
      </c>
      <c r="D96" s="101"/>
      <c r="E96" s="102"/>
      <c r="F96" s="103">
        <f>SUM(F91:F95)</f>
        <v>1148908.52</v>
      </c>
      <c r="G96" s="1"/>
      <c r="H96" s="30"/>
      <c r="I96" s="30"/>
      <c r="J96" s="30"/>
    </row>
    <row r="97" spans="1:10" ht="13.5" thickBot="1" x14ac:dyDescent="0.25">
      <c r="A97" s="104"/>
      <c r="B97" s="105"/>
      <c r="C97" s="106" t="s">
        <v>53</v>
      </c>
      <c r="D97" s="107"/>
      <c r="E97" s="108"/>
      <c r="F97" s="109">
        <f>+F96+F87</f>
        <v>22578039.260000002</v>
      </c>
      <c r="G97" s="1"/>
      <c r="H97" s="57" t="s">
        <v>54</v>
      </c>
      <c r="I97" s="30"/>
      <c r="J97" s="30"/>
    </row>
    <row r="98" spans="1:10" x14ac:dyDescent="0.2">
      <c r="A98" s="11"/>
      <c r="B98" s="12"/>
      <c r="C98" s="9"/>
      <c r="D98" s="29"/>
      <c r="E98" s="29"/>
      <c r="F98" s="110"/>
      <c r="G98" s="1"/>
      <c r="H98" s="57">
        <f>+[8]Main!$G36</f>
        <v>1131493</v>
      </c>
      <c r="I98" s="30"/>
      <c r="J98" s="30"/>
    </row>
    <row r="99" spans="1:10" x14ac:dyDescent="0.2">
      <c r="A99" s="11"/>
      <c r="B99" s="12"/>
      <c r="C99" s="9"/>
      <c r="D99" s="29"/>
      <c r="E99" s="29"/>
      <c r="F99" s="110"/>
      <c r="G99" s="1"/>
      <c r="H99" s="57">
        <f>SUM(F91:F94)</f>
        <v>1131493</v>
      </c>
      <c r="I99" s="30"/>
      <c r="J99" s="30"/>
    </row>
    <row r="100" spans="1:10" x14ac:dyDescent="0.2">
      <c r="A100" s="1"/>
      <c r="B100" s="1"/>
      <c r="C100" s="7"/>
      <c r="D100" s="26"/>
      <c r="E100" s="26"/>
      <c r="F100" s="86">
        <f>+F96+F87</f>
        <v>22578039.260000002</v>
      </c>
      <c r="G100" s="1"/>
      <c r="H100" s="57">
        <f>+H98-H99</f>
        <v>0</v>
      </c>
      <c r="I100" s="30"/>
      <c r="J100" s="30"/>
    </row>
    <row r="101" spans="1:10" x14ac:dyDescent="0.2">
      <c r="A101" s="1"/>
      <c r="B101" s="1"/>
      <c r="C101" s="7"/>
      <c r="D101" s="26"/>
      <c r="E101" s="26"/>
      <c r="F101" s="86">
        <f>+[1]Main!$F780</f>
        <v>22578039.25</v>
      </c>
      <c r="G101" s="1"/>
      <c r="H101" s="30"/>
      <c r="I101" s="30"/>
      <c r="J101" s="30"/>
    </row>
    <row r="102" spans="1:10" x14ac:dyDescent="0.2">
      <c r="A102" s="1"/>
      <c r="B102" s="1"/>
      <c r="C102" s="7"/>
      <c r="D102" s="26"/>
      <c r="E102" s="86">
        <f>+E87+[1]Main!$E780</f>
        <v>0</v>
      </c>
      <c r="F102" s="86">
        <f>+F101-F100</f>
        <v>-0.01</v>
      </c>
      <c r="G102" s="1"/>
      <c r="H102" s="30"/>
      <c r="I102" s="30"/>
      <c r="J102" s="30"/>
    </row>
    <row r="103" spans="1:10" x14ac:dyDescent="0.2">
      <c r="A103" s="59"/>
      <c r="B103" s="59"/>
      <c r="C103" s="85"/>
      <c r="D103" s="86"/>
      <c r="E103" s="86"/>
      <c r="F103" s="86"/>
      <c r="G103" s="59"/>
      <c r="H103" s="57"/>
      <c r="I103" s="57"/>
      <c r="J103" s="57"/>
    </row>
    <row r="104" spans="1:10" x14ac:dyDescent="0.2">
      <c r="A104" s="59"/>
      <c r="B104" s="59"/>
      <c r="C104" s="85"/>
      <c r="D104" s="86"/>
      <c r="E104" s="86"/>
      <c r="F104" s="86"/>
      <c r="G104" s="59"/>
      <c r="H104" s="57"/>
      <c r="I104" s="57"/>
      <c r="J104" s="57"/>
    </row>
    <row r="105" spans="1:10" x14ac:dyDescent="0.2">
      <c r="A105" s="59"/>
      <c r="B105" s="59"/>
      <c r="C105" s="85"/>
      <c r="D105" s="86"/>
      <c r="E105" s="86"/>
      <c r="F105" s="86"/>
      <c r="G105" s="59"/>
      <c r="H105" s="111" t="s">
        <v>55</v>
      </c>
      <c r="I105" s="57"/>
      <c r="J105" s="57"/>
    </row>
    <row r="106" spans="1:10" x14ac:dyDescent="0.2">
      <c r="G106" s="59"/>
      <c r="H106" s="113"/>
      <c r="I106" s="112"/>
      <c r="J106" s="112"/>
    </row>
    <row r="107" spans="1:10" x14ac:dyDescent="0.2">
      <c r="G107" s="59"/>
      <c r="H107" s="112"/>
      <c r="I107" s="112"/>
      <c r="J107" s="112"/>
    </row>
    <row r="108" spans="1:10" x14ac:dyDescent="0.2">
      <c r="G108" s="59"/>
      <c r="H108" s="112"/>
      <c r="I108" s="112"/>
      <c r="J108" s="112"/>
    </row>
    <row r="109" spans="1:10" x14ac:dyDescent="0.2">
      <c r="G109" s="59"/>
      <c r="H109" s="112"/>
      <c r="I109" s="112"/>
      <c r="J109" s="112"/>
    </row>
    <row r="110" spans="1:10" x14ac:dyDescent="0.2">
      <c r="G110" s="59"/>
      <c r="H110" s="112"/>
      <c r="I110" s="112"/>
      <c r="J110" s="112"/>
    </row>
    <row r="111" spans="1:10" x14ac:dyDescent="0.2">
      <c r="G111" s="59"/>
      <c r="H111" s="71"/>
      <c r="I111" s="112"/>
      <c r="J111" s="112"/>
    </row>
  </sheetData>
  <mergeCells count="1">
    <mergeCell ref="D30:E30"/>
  </mergeCells>
  <phoneticPr fontId="0" type="noConversion"/>
  <printOptions horizontalCentered="1" verticalCentered="1"/>
  <pageMargins left="0.5" right="0.25" top="0.5" bottom="0.5" header="0.5" footer="0.5"/>
  <pageSetup scale="89" orientation="portrait" horizontalDpi="1200" r:id="rId1"/>
  <headerFooter alignWithMargins="0">
    <oddHeader>&amp;R&amp;8Current as of: &amp;D</oddHeader>
    <oddFooter>&amp;L&amp;8USOE, Finance and Statistics&amp;R&amp;8&amp;F</oddFooter>
  </headerFooter>
  <picture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J112"/>
  <sheetViews>
    <sheetView topLeftCell="A55" workbookViewId="0">
      <selection activeCell="B35" sqref="B35"/>
    </sheetView>
  </sheetViews>
  <sheetFormatPr defaultColWidth="18.28515625" defaultRowHeight="12.75" x14ac:dyDescent="0.2"/>
  <cols>
    <col min="1" max="1" width="27" style="75" customWidth="1"/>
    <col min="2" max="2" width="16.7109375" style="75" customWidth="1"/>
    <col min="3" max="3" width="15.85546875" style="75" customWidth="1"/>
    <col min="4" max="4" width="16.28515625" style="75" customWidth="1"/>
    <col min="5" max="5" width="15.5703125" style="75" customWidth="1"/>
    <col min="6" max="6" width="17.42578125" style="75" customWidth="1"/>
    <col min="7" max="7" width="5.7109375" style="75" customWidth="1"/>
    <col min="8" max="8" width="21.5703125" style="75" customWidth="1"/>
    <col min="9" max="9" width="5" style="75" customWidth="1"/>
    <col min="10" max="10" width="20.85546875" style="75" customWidth="1"/>
    <col min="11" max="16384" width="18.28515625" style="75"/>
  </cols>
  <sheetData>
    <row r="1" spans="1:10" x14ac:dyDescent="0.2">
      <c r="A1" s="8"/>
      <c r="B1" s="8"/>
      <c r="C1" s="8"/>
      <c r="D1" s="8"/>
      <c r="E1" s="8"/>
      <c r="F1" s="8"/>
      <c r="G1" s="8"/>
      <c r="H1" s="8"/>
      <c r="I1" s="8"/>
      <c r="J1" s="8"/>
    </row>
    <row r="2" spans="1:10" x14ac:dyDescent="0.2">
      <c r="A2" s="8"/>
      <c r="B2" s="8"/>
      <c r="C2" s="8"/>
      <c r="D2" s="8"/>
      <c r="E2" s="8"/>
      <c r="F2" s="8"/>
      <c r="G2" s="8"/>
      <c r="H2" s="8"/>
      <c r="I2" s="8"/>
      <c r="J2" s="8"/>
    </row>
    <row r="3" spans="1:10" x14ac:dyDescent="0.2">
      <c r="A3" s="8"/>
      <c r="B3" s="8"/>
      <c r="C3" s="8"/>
      <c r="D3" s="8"/>
      <c r="E3" s="8"/>
      <c r="F3" s="8"/>
      <c r="G3" s="8"/>
      <c r="H3" s="8"/>
      <c r="I3" s="8"/>
      <c r="J3" s="8"/>
    </row>
    <row r="4" spans="1:10" x14ac:dyDescent="0.2">
      <c r="A4" s="8"/>
      <c r="B4" s="8"/>
      <c r="C4" s="8"/>
      <c r="D4" s="8"/>
      <c r="E4" s="8"/>
      <c r="F4" s="8"/>
      <c r="G4" s="8"/>
      <c r="H4" s="8"/>
      <c r="I4" s="8"/>
      <c r="J4" s="8"/>
    </row>
    <row r="5" spans="1:10" x14ac:dyDescent="0.2">
      <c r="A5" s="8"/>
      <c r="B5" s="8"/>
      <c r="C5" s="8"/>
      <c r="D5" s="8"/>
      <c r="E5" s="8"/>
      <c r="F5" s="8"/>
      <c r="G5" s="8"/>
      <c r="H5" s="8"/>
      <c r="I5" s="8"/>
      <c r="J5" s="8"/>
    </row>
    <row r="6" spans="1:10" x14ac:dyDescent="0.2">
      <c r="A6" s="8"/>
      <c r="B6" s="8"/>
      <c r="C6" s="8"/>
      <c r="D6" s="8"/>
      <c r="E6" s="8"/>
      <c r="F6" s="8"/>
      <c r="G6" s="8"/>
      <c r="H6" s="8"/>
      <c r="I6" s="8"/>
      <c r="J6" s="8"/>
    </row>
    <row r="7" spans="1:10" x14ac:dyDescent="0.2">
      <c r="A7" s="8"/>
      <c r="B7" s="8"/>
      <c r="C7" s="8"/>
      <c r="D7" s="8"/>
      <c r="E7" s="8"/>
      <c r="F7" s="8"/>
      <c r="G7" s="8"/>
      <c r="H7" s="8"/>
      <c r="I7" s="8"/>
      <c r="J7" s="8"/>
    </row>
    <row r="8" spans="1:10" x14ac:dyDescent="0.2">
      <c r="A8" s="8"/>
      <c r="B8" s="8"/>
      <c r="C8" s="8"/>
      <c r="D8" s="8"/>
      <c r="E8" s="8"/>
      <c r="F8" s="8"/>
      <c r="G8" s="8"/>
      <c r="H8" s="8"/>
      <c r="I8" s="8"/>
      <c r="J8" s="8"/>
    </row>
    <row r="9" spans="1:10" x14ac:dyDescent="0.2">
      <c r="A9" s="8"/>
      <c r="B9" s="8"/>
      <c r="C9" s="8"/>
      <c r="D9" s="8"/>
      <c r="E9" s="8"/>
      <c r="F9" s="8"/>
      <c r="G9" s="8"/>
      <c r="H9" s="8"/>
      <c r="I9" s="8"/>
      <c r="J9" s="8"/>
    </row>
    <row r="10" spans="1:10" x14ac:dyDescent="0.2">
      <c r="A10" s="8"/>
      <c r="B10" s="15"/>
      <c r="C10" s="8"/>
      <c r="D10" s="8"/>
      <c r="E10" s="8"/>
      <c r="F10" s="8"/>
      <c r="G10" s="8"/>
      <c r="H10" s="8"/>
      <c r="I10" s="8"/>
      <c r="J10" s="8"/>
    </row>
    <row r="11" spans="1:10" x14ac:dyDescent="0.2">
      <c r="A11" s="8"/>
      <c r="B11" s="8"/>
      <c r="C11" s="8"/>
      <c r="D11" s="8"/>
      <c r="E11" s="8"/>
      <c r="F11" s="8"/>
      <c r="G11" s="8"/>
      <c r="H11" s="8"/>
      <c r="I11" s="8"/>
      <c r="J11" s="8"/>
    </row>
    <row r="12" spans="1:10" x14ac:dyDescent="0.2">
      <c r="A12" s="8"/>
      <c r="B12" s="8"/>
      <c r="C12" s="8"/>
      <c r="D12" s="8"/>
      <c r="E12" s="8"/>
      <c r="F12" s="8"/>
      <c r="G12" s="8"/>
      <c r="H12" s="8"/>
      <c r="I12" s="8"/>
      <c r="J12" s="8"/>
    </row>
    <row r="13" spans="1:10" x14ac:dyDescent="0.2">
      <c r="A13" s="8"/>
      <c r="B13" s="8"/>
      <c r="C13" s="8"/>
      <c r="D13" s="8"/>
      <c r="E13" s="8"/>
      <c r="F13" s="8"/>
      <c r="G13" s="8"/>
      <c r="H13" s="8"/>
      <c r="I13" s="8"/>
      <c r="J13" s="8"/>
    </row>
    <row r="14" spans="1:10" x14ac:dyDescent="0.2">
      <c r="A14" s="8"/>
      <c r="B14" s="8"/>
      <c r="C14" s="8"/>
      <c r="D14" s="8"/>
      <c r="E14" s="8"/>
      <c r="F14" s="8"/>
      <c r="G14" s="8"/>
      <c r="H14" s="8"/>
      <c r="I14" s="8"/>
      <c r="J14" s="8"/>
    </row>
    <row r="15" spans="1:10" x14ac:dyDescent="0.2">
      <c r="A15" s="8"/>
      <c r="B15" s="8"/>
      <c r="C15" s="8"/>
      <c r="D15" s="8"/>
      <c r="E15" s="8"/>
      <c r="F15" s="8"/>
      <c r="G15" s="8"/>
      <c r="H15" s="8"/>
      <c r="I15" s="8"/>
      <c r="J15" s="8"/>
    </row>
    <row r="16" spans="1:10" x14ac:dyDescent="0.2">
      <c r="A16" s="8"/>
      <c r="B16" s="8"/>
      <c r="C16" s="8"/>
      <c r="D16" s="8"/>
      <c r="E16" s="8"/>
      <c r="F16" s="8"/>
      <c r="G16" s="8"/>
      <c r="H16" s="8"/>
      <c r="I16" s="8"/>
      <c r="J16" s="8"/>
    </row>
    <row r="17" spans="1:10" x14ac:dyDescent="0.2">
      <c r="A17" s="8"/>
      <c r="B17" s="8"/>
      <c r="C17" s="8"/>
      <c r="D17" s="8"/>
      <c r="E17" s="8"/>
      <c r="F17" s="8"/>
      <c r="G17" s="8"/>
      <c r="H17" s="8"/>
      <c r="I17" s="8"/>
      <c r="J17" s="8"/>
    </row>
    <row r="18" spans="1:10" x14ac:dyDescent="0.2">
      <c r="A18" s="8"/>
      <c r="B18" s="8"/>
      <c r="C18" s="8"/>
      <c r="D18" s="8"/>
      <c r="E18" s="8"/>
      <c r="F18" s="8"/>
      <c r="G18" s="8"/>
      <c r="H18" s="8"/>
      <c r="I18" s="8"/>
      <c r="J18" s="8"/>
    </row>
    <row r="19" spans="1:10" x14ac:dyDescent="0.2">
      <c r="A19" s="8"/>
      <c r="B19" s="8"/>
      <c r="C19" s="8"/>
      <c r="D19" s="8"/>
      <c r="E19" s="8"/>
      <c r="F19" s="8"/>
      <c r="G19" s="8"/>
      <c r="H19" s="8"/>
      <c r="I19" s="8"/>
      <c r="J19" s="8"/>
    </row>
    <row r="20" spans="1:10" x14ac:dyDescent="0.2">
      <c r="A20" s="8"/>
      <c r="B20" s="8"/>
      <c r="C20" s="8"/>
      <c r="D20" s="8"/>
      <c r="E20" s="8"/>
      <c r="F20" s="8"/>
      <c r="G20" s="8"/>
      <c r="H20" s="8"/>
      <c r="I20" s="8"/>
      <c r="J20" s="8"/>
    </row>
    <row r="21" spans="1:10" x14ac:dyDescent="0.2">
      <c r="A21" s="8"/>
      <c r="B21" s="8"/>
      <c r="C21" s="8"/>
      <c r="D21" s="8"/>
      <c r="E21" s="8"/>
      <c r="F21" s="8"/>
      <c r="G21" s="8"/>
      <c r="H21" s="8"/>
      <c r="I21" s="8"/>
      <c r="J21" s="8"/>
    </row>
    <row r="22" spans="1:10" x14ac:dyDescent="0.2">
      <c r="A22" s="8"/>
      <c r="B22" s="8"/>
      <c r="C22" s="8"/>
      <c r="D22" s="8"/>
      <c r="E22" s="8"/>
      <c r="F22" s="8"/>
      <c r="G22" s="8"/>
      <c r="H22" s="8"/>
      <c r="I22" s="8"/>
      <c r="J22" s="8"/>
    </row>
    <row r="23" spans="1:10" x14ac:dyDescent="0.2">
      <c r="A23" s="8"/>
      <c r="B23" s="8"/>
      <c r="C23" s="8"/>
      <c r="D23" s="8"/>
      <c r="E23" s="8"/>
      <c r="F23" s="8"/>
      <c r="G23" s="8"/>
      <c r="H23" s="8"/>
      <c r="I23" s="8"/>
      <c r="J23" s="8"/>
    </row>
    <row r="24" spans="1:10" x14ac:dyDescent="0.2">
      <c r="A24" s="8"/>
      <c r="B24" s="8"/>
      <c r="C24" s="8"/>
      <c r="D24" s="8"/>
      <c r="E24" s="8"/>
      <c r="F24" s="8"/>
      <c r="G24" s="8"/>
      <c r="H24" s="8"/>
      <c r="I24" s="8"/>
      <c r="J24" s="8"/>
    </row>
    <row r="25" spans="1:10" x14ac:dyDescent="0.2">
      <c r="A25" s="8"/>
      <c r="B25" s="8"/>
      <c r="C25" s="8"/>
      <c r="D25" s="8"/>
      <c r="E25" s="8"/>
      <c r="F25" s="8"/>
      <c r="G25" s="8"/>
      <c r="H25" s="8"/>
      <c r="I25" s="8"/>
      <c r="J25" s="8"/>
    </row>
    <row r="26" spans="1:10" x14ac:dyDescent="0.2">
      <c r="A26" s="8"/>
      <c r="B26" s="8"/>
      <c r="C26" s="8"/>
      <c r="D26" s="8"/>
      <c r="E26" s="8"/>
      <c r="F26" s="8"/>
      <c r="G26" s="8"/>
      <c r="H26" s="8"/>
      <c r="I26" s="8"/>
      <c r="J26" s="8"/>
    </row>
    <row r="27" spans="1:10" x14ac:dyDescent="0.2">
      <c r="A27" s="8"/>
      <c r="B27" s="8"/>
      <c r="C27" s="8"/>
      <c r="D27" s="8"/>
      <c r="E27" s="8"/>
      <c r="F27" s="8"/>
      <c r="G27" s="8"/>
      <c r="H27" s="8"/>
      <c r="I27" s="8"/>
      <c r="J27" s="8"/>
    </row>
    <row r="28" spans="1:10" x14ac:dyDescent="0.2">
      <c r="A28" s="32" t="s">
        <v>0</v>
      </c>
      <c r="B28" s="33">
        <v>3184</v>
      </c>
      <c r="C28" s="34" t="s">
        <v>1</v>
      </c>
      <c r="D28" s="35"/>
      <c r="E28" s="35"/>
      <c r="F28" s="35"/>
      <c r="G28" s="1"/>
      <c r="H28" s="30"/>
      <c r="I28" s="30"/>
      <c r="J28" s="30"/>
    </row>
    <row r="29" spans="1:10" x14ac:dyDescent="0.2">
      <c r="A29" s="32" t="s">
        <v>61</v>
      </c>
      <c r="B29" s="36">
        <f>+[1]Main!$C554</f>
        <v>5.9999999999999995E-4</v>
      </c>
      <c r="C29" s="34" t="s">
        <v>41</v>
      </c>
      <c r="D29" s="35"/>
      <c r="E29" s="35"/>
      <c r="F29" s="35"/>
      <c r="G29" s="1"/>
      <c r="H29" s="30"/>
      <c r="I29" s="30"/>
      <c r="J29" s="30"/>
    </row>
    <row r="30" spans="1:10" x14ac:dyDescent="0.2">
      <c r="A30" s="32" t="s">
        <v>62</v>
      </c>
      <c r="B30" s="36">
        <f>+[1]Main!$C609</f>
        <v>2.3249999999999998E-3</v>
      </c>
      <c r="C30" s="34" t="s">
        <v>95</v>
      </c>
      <c r="D30" s="35"/>
      <c r="E30" s="37"/>
      <c r="F30" s="35"/>
      <c r="G30" s="1"/>
      <c r="H30" s="30"/>
      <c r="I30" s="30"/>
      <c r="J30" s="30"/>
    </row>
    <row r="31" spans="1:10" x14ac:dyDescent="0.2">
      <c r="A31" s="38" t="s">
        <v>32</v>
      </c>
      <c r="B31" s="39">
        <f>[2]Sheet1!E36</f>
        <v>1766571236</v>
      </c>
      <c r="C31" s="21"/>
      <c r="D31" s="31"/>
      <c r="E31" s="31"/>
      <c r="F31" s="23"/>
      <c r="G31" s="1"/>
      <c r="H31" s="30"/>
      <c r="I31" s="30"/>
      <c r="J31" s="30"/>
    </row>
    <row r="32" spans="1:10" x14ac:dyDescent="0.2">
      <c r="A32" s="32" t="s">
        <v>2</v>
      </c>
      <c r="B32" s="40">
        <f>[2]Sheet1!F36</f>
        <v>0.93730000000000002</v>
      </c>
      <c r="C32" s="7"/>
      <c r="D32" s="41" t="s">
        <v>3</v>
      </c>
      <c r="E32" s="42" t="str">
        <f>+[3]main!B37</f>
        <v>South Summit</v>
      </c>
      <c r="F32" s="43">
        <f>+[3]main!A37</f>
        <v>28</v>
      </c>
      <c r="G32" s="1"/>
      <c r="H32" s="30"/>
      <c r="I32" s="30"/>
      <c r="J32" s="30"/>
    </row>
    <row r="33" spans="1:10" x14ac:dyDescent="0.2">
      <c r="A33" s="32" t="s">
        <v>4</v>
      </c>
      <c r="B33" s="44">
        <f>[2]Sheet1!G36</f>
        <v>1.6750000000000001E-3</v>
      </c>
      <c r="C33" s="8"/>
      <c r="D33" s="24"/>
      <c r="E33" s="25"/>
      <c r="F33" s="24"/>
      <c r="G33" s="1"/>
      <c r="H33" s="30"/>
      <c r="I33" s="30"/>
      <c r="J33" s="30"/>
    </row>
    <row r="34" spans="1:10" x14ac:dyDescent="0.2">
      <c r="A34" s="32" t="s">
        <v>5</v>
      </c>
      <c r="B34" s="45">
        <f>[2]Sheet1!$C$92</f>
        <v>3156966</v>
      </c>
      <c r="C34" s="46"/>
      <c r="D34" s="47" t="s">
        <v>38</v>
      </c>
      <c r="E34" s="48" t="s">
        <v>7</v>
      </c>
      <c r="F34" s="47" t="s">
        <v>6</v>
      </c>
      <c r="G34" s="1"/>
      <c r="H34" s="30"/>
      <c r="I34" s="30"/>
      <c r="J34" s="30"/>
    </row>
    <row r="35" spans="1:10" x14ac:dyDescent="0.2">
      <c r="A35" s="32" t="s">
        <v>8</v>
      </c>
      <c r="B35" s="45">
        <f>+B34</f>
        <v>3156966</v>
      </c>
      <c r="C35" s="49"/>
      <c r="D35" s="50" t="s">
        <v>9</v>
      </c>
      <c r="E35" s="50" t="s">
        <v>37</v>
      </c>
      <c r="F35" s="50" t="s">
        <v>10</v>
      </c>
      <c r="G35" s="1"/>
      <c r="H35" s="30"/>
      <c r="I35" s="30"/>
      <c r="J35" s="30"/>
    </row>
    <row r="36" spans="1:10" x14ac:dyDescent="0.2">
      <c r="A36" s="32" t="s">
        <v>11</v>
      </c>
      <c r="B36" s="45">
        <v>0</v>
      </c>
      <c r="C36" s="51" t="s">
        <v>39</v>
      </c>
      <c r="D36" s="52" t="s">
        <v>12</v>
      </c>
      <c r="E36" s="52" t="s">
        <v>9</v>
      </c>
      <c r="F36" s="52" t="s">
        <v>9</v>
      </c>
      <c r="G36" s="1"/>
      <c r="H36" s="30"/>
      <c r="I36" s="30"/>
      <c r="J36" s="30"/>
    </row>
    <row r="37" spans="1:10" x14ac:dyDescent="0.2">
      <c r="A37" s="32" t="s">
        <v>70</v>
      </c>
      <c r="B37" s="45">
        <f>'[4]LRF FY17'!U34</f>
        <v>66105</v>
      </c>
      <c r="C37" s="53"/>
      <c r="D37" s="54"/>
      <c r="E37" s="54"/>
      <c r="F37" s="54" t="s">
        <v>14</v>
      </c>
      <c r="G37" s="1"/>
      <c r="H37" s="30"/>
      <c r="I37" s="30"/>
      <c r="J37" s="30"/>
    </row>
    <row r="38" spans="1:10" x14ac:dyDescent="0.2">
      <c r="A38" s="55" t="s">
        <v>13</v>
      </c>
      <c r="B38" s="56"/>
      <c r="C38" s="53"/>
      <c r="D38" s="54"/>
      <c r="E38" s="54"/>
      <c r="F38" s="54"/>
      <c r="G38" s="2"/>
      <c r="H38" s="30"/>
      <c r="I38" s="30"/>
      <c r="J38" s="30"/>
    </row>
    <row r="39" spans="1:10" x14ac:dyDescent="0.2">
      <c r="A39" s="55" t="s">
        <v>15</v>
      </c>
      <c r="B39" s="56"/>
      <c r="C39" s="53"/>
      <c r="D39" s="54"/>
      <c r="E39" s="54"/>
      <c r="F39" s="54"/>
      <c r="G39" s="2"/>
      <c r="H39" s="57" t="s">
        <v>43</v>
      </c>
      <c r="I39" s="30"/>
      <c r="J39" s="57" t="s">
        <v>45</v>
      </c>
    </row>
    <row r="40" spans="1:10" x14ac:dyDescent="0.2">
      <c r="A40" s="58" t="s">
        <v>16</v>
      </c>
      <c r="B40" s="59"/>
      <c r="C40" s="60">
        <f>[3]main!C211-[3]main!F153</f>
        <v>1498.9860000000001</v>
      </c>
      <c r="D40" s="61">
        <f>[3]main!E211-[3]main!H153</f>
        <v>4772770.1900000004</v>
      </c>
      <c r="E40" s="62">
        <f>IF(B35&gt;D40,D40,B35)</f>
        <v>3156966</v>
      </c>
      <c r="F40" s="62">
        <f>D40-E40</f>
        <v>1615804.19</v>
      </c>
      <c r="G40" s="1"/>
      <c r="H40" s="57">
        <f>[3]main!H270</f>
        <v>5723416.8200000003</v>
      </c>
      <c r="I40" s="30"/>
      <c r="J40" s="57">
        <f>'[5]Sheet 1'!E94</f>
        <v>7391198.5199999996</v>
      </c>
    </row>
    <row r="41" spans="1:10" x14ac:dyDescent="0.2">
      <c r="A41" s="58" t="s">
        <v>17</v>
      </c>
      <c r="B41" s="59"/>
      <c r="C41" s="53">
        <f>[3]main!F153</f>
        <v>68.260999999999996</v>
      </c>
      <c r="D41" s="54">
        <f>[3]main!H153</f>
        <v>217343.49</v>
      </c>
      <c r="E41" s="54">
        <f>IF(B34-SUM(E38:E40)&gt;D41,D41,B34-SUM(E38:E40))</f>
        <v>0</v>
      </c>
      <c r="F41" s="54">
        <f>D41-E41</f>
        <v>217343.49</v>
      </c>
      <c r="G41" s="1"/>
      <c r="H41" s="57">
        <f>SUM(D40:D44)</f>
        <v>5723416.8200000003</v>
      </c>
      <c r="I41" s="30"/>
      <c r="J41" s="57">
        <f>D55</f>
        <v>7391198.5199999996</v>
      </c>
    </row>
    <row r="42" spans="1:10" x14ac:dyDescent="0.2">
      <c r="A42" s="58" t="s">
        <v>18</v>
      </c>
      <c r="B42" s="59"/>
      <c r="C42" s="53">
        <f>[3]main!F211</f>
        <v>160.309</v>
      </c>
      <c r="D42" s="54">
        <f>[3]main!H211</f>
        <v>510423.14</v>
      </c>
      <c r="E42" s="54">
        <f>IF(B35-SUM(E40:E41)&gt;D42,D42,B35-SUM(E40:E41))</f>
        <v>0</v>
      </c>
      <c r="F42" s="54">
        <f>D42-E42</f>
        <v>510423.14</v>
      </c>
      <c r="G42" s="1"/>
      <c r="H42" s="57">
        <f>+H40-H41</f>
        <v>0</v>
      </c>
      <c r="I42" s="30"/>
      <c r="J42" s="57">
        <f>+J40-J41</f>
        <v>0</v>
      </c>
    </row>
    <row r="43" spans="1:10" x14ac:dyDescent="0.2">
      <c r="A43" s="58" t="s">
        <v>19</v>
      </c>
      <c r="B43" s="59"/>
      <c r="C43" s="53">
        <f>[3]main!C270</f>
        <v>70</v>
      </c>
      <c r="D43" s="54">
        <f>[3]main!E270</f>
        <v>222880</v>
      </c>
      <c r="E43" s="54">
        <f>IF(B35-SUM(E40:E42)&gt;D43,D43,B35-SUM(E40:E42))</f>
        <v>0</v>
      </c>
      <c r="F43" s="54">
        <f>D43-E43</f>
        <v>222880</v>
      </c>
      <c r="G43" s="1"/>
      <c r="H43" s="30"/>
      <c r="I43" s="30"/>
      <c r="J43" s="30"/>
    </row>
    <row r="44" spans="1:10" x14ac:dyDescent="0.2">
      <c r="A44" s="58" t="s">
        <v>42</v>
      </c>
      <c r="B44" s="59"/>
      <c r="C44" s="53">
        <f>[3]main!C94</f>
        <v>0</v>
      </c>
      <c r="D44" s="54">
        <f>[3]main!E94</f>
        <v>0</v>
      </c>
      <c r="E44" s="54">
        <f>IF(B35-SUM(E40:E43)&gt;D44,D44,B35-SUM(E40:E43))</f>
        <v>0</v>
      </c>
      <c r="F44" s="54">
        <f>D44-E44</f>
        <v>0</v>
      </c>
      <c r="G44" s="1"/>
      <c r="H44" s="30"/>
      <c r="I44" s="30"/>
      <c r="J44" s="30"/>
    </row>
    <row r="45" spans="1:10" x14ac:dyDescent="0.2">
      <c r="A45" s="55" t="s">
        <v>20</v>
      </c>
      <c r="B45" s="56"/>
      <c r="C45" s="63"/>
      <c r="D45" s="64"/>
      <c r="E45" s="64"/>
      <c r="F45" s="64" t="s">
        <v>14</v>
      </c>
      <c r="G45" s="1"/>
      <c r="H45" s="57" t="s">
        <v>44</v>
      </c>
      <c r="I45" s="30"/>
      <c r="J45" s="30"/>
    </row>
    <row r="46" spans="1:10" x14ac:dyDescent="0.2">
      <c r="A46" s="58" t="s">
        <v>21</v>
      </c>
      <c r="B46" s="59"/>
      <c r="C46" s="53">
        <f>'[6]Sheet 1'!C36</f>
        <v>159.77099999999999</v>
      </c>
      <c r="D46" s="54">
        <f>'[6]Sheet 1'!E36</f>
        <v>508712.29</v>
      </c>
      <c r="E46" s="54">
        <f>IF(B35-SUM(E40:E45)&gt;D46,D46,B35-SUM(E40:E45))</f>
        <v>0</v>
      </c>
      <c r="F46" s="54">
        <f t="shared" ref="F46:F54" si="0">D46-E46</f>
        <v>508712.29</v>
      </c>
      <c r="G46" s="1"/>
      <c r="H46" s="57">
        <f>'[6]Sheet 1'!N152</f>
        <v>629083.29</v>
      </c>
      <c r="I46" s="30"/>
      <c r="J46" s="30"/>
    </row>
    <row r="47" spans="1:10" x14ac:dyDescent="0.2">
      <c r="A47" s="59" t="s">
        <v>22</v>
      </c>
      <c r="B47" s="59"/>
      <c r="C47" s="53">
        <f>'[6]Sheet 1'!F36</f>
        <v>7.95</v>
      </c>
      <c r="D47" s="54">
        <f>'[6]Sheet 1'!H36</f>
        <v>25312.799999999999</v>
      </c>
      <c r="E47" s="54">
        <f>IF(B35-SUM(E40:E46)&gt;D47,D47,B35-SUM(E40:E46))</f>
        <v>0</v>
      </c>
      <c r="F47" s="54">
        <f t="shared" si="0"/>
        <v>25312.799999999999</v>
      </c>
      <c r="G47" s="1"/>
      <c r="H47" s="57">
        <f>SUM(D46:D52)</f>
        <v>629083.29</v>
      </c>
      <c r="I47" s="30"/>
      <c r="J47" s="30"/>
    </row>
    <row r="48" spans="1:10" x14ac:dyDescent="0.2">
      <c r="A48" s="59" t="s">
        <v>23</v>
      </c>
      <c r="B48" s="59"/>
      <c r="C48" s="53">
        <f>'[6]Sheet 1'!C94</f>
        <v>23.52</v>
      </c>
      <c r="D48" s="54">
        <f>'[6]Sheet 1'!E94</f>
        <v>74887.679999999993</v>
      </c>
      <c r="E48" s="54">
        <f>IF(B35-SUM(E40:E47)&gt;D48,D48,B35-SUM(E40:E47))</f>
        <v>0</v>
      </c>
      <c r="F48" s="54">
        <f t="shared" si="0"/>
        <v>74887.679999999993</v>
      </c>
      <c r="G48" s="1"/>
      <c r="H48" s="57">
        <f>+H46-H47</f>
        <v>0</v>
      </c>
      <c r="I48" s="30"/>
      <c r="J48" s="30"/>
    </row>
    <row r="49" spans="1:10" x14ac:dyDescent="0.2">
      <c r="A49" s="58" t="s">
        <v>24</v>
      </c>
      <c r="B49" s="59"/>
      <c r="C49" s="53">
        <f>'[6]Sheet 1'!F94</f>
        <v>1.4570000000000001</v>
      </c>
      <c r="D49" s="54">
        <f>'[6]Sheet 1'!H94</f>
        <v>4639.58</v>
      </c>
      <c r="E49" s="54">
        <f>IF(B35-SUM(E40:E48)&gt;D49,D49,B35-SUM(E40:E48))</f>
        <v>0</v>
      </c>
      <c r="F49" s="54">
        <f t="shared" si="0"/>
        <v>4639.58</v>
      </c>
      <c r="G49" s="1"/>
      <c r="H49" s="30"/>
      <c r="I49" s="30"/>
      <c r="J49" s="30"/>
    </row>
    <row r="50" spans="1:10" x14ac:dyDescent="0.2">
      <c r="A50" s="59" t="s">
        <v>71</v>
      </c>
      <c r="B50" s="59"/>
      <c r="C50" s="53">
        <f>'[6]Sheet 1'!C152</f>
        <v>4.1219999999999999</v>
      </c>
      <c r="D50" s="54">
        <f>'[6]Sheet 1'!E152</f>
        <v>13125.55</v>
      </c>
      <c r="E50" s="54">
        <f>IF(B35-SUM(E40:E49)&gt;D50,D50,B35-SUM(E40:E49))</f>
        <v>0</v>
      </c>
      <c r="F50" s="54">
        <f t="shared" si="0"/>
        <v>13125.55</v>
      </c>
      <c r="G50" s="1"/>
      <c r="H50" s="30"/>
      <c r="I50" s="30"/>
      <c r="J50" s="30"/>
    </row>
    <row r="51" spans="1:10" x14ac:dyDescent="0.2">
      <c r="A51" s="59" t="s">
        <v>57</v>
      </c>
      <c r="B51" s="59"/>
      <c r="C51" s="53">
        <f>'[6]Sheet 1'!F152</f>
        <v>0</v>
      </c>
      <c r="D51" s="54">
        <f>'[6]Sheet 1'!H152</f>
        <v>0</v>
      </c>
      <c r="E51" s="54">
        <f>IF(B36-SUM(E41:E50)&gt;D51,D51,B36-SUM(E41:E50))</f>
        <v>0</v>
      </c>
      <c r="F51" s="54">
        <f t="shared" si="0"/>
        <v>0</v>
      </c>
      <c r="G51" s="1"/>
      <c r="H51" s="30"/>
      <c r="I51" s="30"/>
      <c r="J51" s="30"/>
    </row>
    <row r="52" spans="1:10" x14ac:dyDescent="0.2">
      <c r="A52" s="59" t="s">
        <v>64</v>
      </c>
      <c r="B52" s="59"/>
      <c r="C52" s="53">
        <f>'[6]Sheet 1'!I152</f>
        <v>0.755</v>
      </c>
      <c r="D52" s="54">
        <f>'[6]Sheet 1'!K152</f>
        <v>2405.39</v>
      </c>
      <c r="E52" s="54">
        <f>IF(B38-SUM(E42:E51)&gt;D52,D52,B38-SUM(E42:E51))</f>
        <v>0</v>
      </c>
      <c r="F52" s="54">
        <f t="shared" si="0"/>
        <v>2405.39</v>
      </c>
      <c r="G52" s="1"/>
      <c r="H52" s="57" t="s">
        <v>46</v>
      </c>
      <c r="I52" s="30"/>
      <c r="J52" s="30"/>
    </row>
    <row r="53" spans="1:10" x14ac:dyDescent="0.2">
      <c r="A53" s="59" t="s">
        <v>58</v>
      </c>
      <c r="B53" s="59"/>
      <c r="C53" s="53">
        <f>'[6]Sheet 1'!C210</f>
        <v>227.32599999999999</v>
      </c>
      <c r="D53" s="54">
        <f>'[6]Sheet 1'!E210</f>
        <v>723807.53</v>
      </c>
      <c r="E53" s="54">
        <f>IF(B35-SUM(E40:E50)&gt;D53,D53,B35-SUM(E40:E50))</f>
        <v>0</v>
      </c>
      <c r="F53" s="54">
        <f t="shared" si="0"/>
        <v>723807.53</v>
      </c>
      <c r="G53" s="4"/>
      <c r="H53" s="57">
        <f>+'[6]Sheet 1'!E210</f>
        <v>723807.53</v>
      </c>
      <c r="I53" s="30"/>
      <c r="J53" s="30"/>
    </row>
    <row r="54" spans="1:10" x14ac:dyDescent="0.2">
      <c r="A54" s="58" t="s">
        <v>59</v>
      </c>
      <c r="B54" s="59"/>
      <c r="C54" s="53">
        <f>'[5]Sheet 1'!C36</f>
        <v>98.897999999999996</v>
      </c>
      <c r="D54" s="54">
        <f>'[5]Sheet 1'!E36</f>
        <v>314890.88</v>
      </c>
      <c r="E54" s="54">
        <f>IF(B35-SUM(E40:E53)&gt;D54,D54,B35-SUM(E40:E53))</f>
        <v>0</v>
      </c>
      <c r="F54" s="54">
        <f t="shared" si="0"/>
        <v>314890.88</v>
      </c>
      <c r="G54" s="5"/>
      <c r="H54" s="57">
        <f>+D53</f>
        <v>723807.53</v>
      </c>
      <c r="I54" s="30"/>
      <c r="J54" s="30"/>
    </row>
    <row r="55" spans="1:10" x14ac:dyDescent="0.2">
      <c r="A55" s="65" t="s">
        <v>28</v>
      </c>
      <c r="B55" s="56"/>
      <c r="C55" s="66">
        <f>SUM(C40:C54)</f>
        <v>2321.355</v>
      </c>
      <c r="D55" s="67">
        <f>SUM(D40:D54)</f>
        <v>7391198.5199999996</v>
      </c>
      <c r="E55" s="67">
        <f>SUM(E40:E54)</f>
        <v>3156966</v>
      </c>
      <c r="F55" s="67">
        <f>SUM(F40:F54)</f>
        <v>4234232.5199999996</v>
      </c>
      <c r="G55" s="1"/>
      <c r="H55" s="57">
        <f>+H53-H54</f>
        <v>0</v>
      </c>
      <c r="I55" s="30"/>
      <c r="J55" s="30"/>
    </row>
    <row r="56" spans="1:10" x14ac:dyDescent="0.2">
      <c r="A56" s="68" t="s">
        <v>26</v>
      </c>
      <c r="B56" s="56"/>
      <c r="C56" s="69"/>
      <c r="D56" s="54"/>
      <c r="E56" s="54"/>
      <c r="F56" s="54"/>
      <c r="G56" s="1"/>
      <c r="H56" s="57" t="s">
        <v>47</v>
      </c>
      <c r="I56" s="30"/>
      <c r="J56" s="57" t="s">
        <v>52</v>
      </c>
    </row>
    <row r="57" spans="1:10" x14ac:dyDescent="0.2">
      <c r="A57" s="58" t="s">
        <v>56</v>
      </c>
      <c r="B57" s="59"/>
      <c r="C57" s="20"/>
      <c r="D57" s="70">
        <f>[1]Main!F37</f>
        <v>21423.15</v>
      </c>
      <c r="E57" s="54">
        <f>IF($B35-SUM($E55)&gt;D57,D57,$B35-SUM($E55))</f>
        <v>0</v>
      </c>
      <c r="F57" s="54">
        <f t="shared" ref="F57:F75" si="1">D57-E57</f>
        <v>21423.15</v>
      </c>
      <c r="G57" s="1"/>
      <c r="H57" s="57">
        <f>[1]Main!G37</f>
        <v>312400.09000000003</v>
      </c>
      <c r="I57" s="30"/>
      <c r="J57" s="57">
        <f>+[1]Main!D498</f>
        <v>1312778.03</v>
      </c>
    </row>
    <row r="58" spans="1:10" x14ac:dyDescent="0.2">
      <c r="A58" s="59" t="s">
        <v>25</v>
      </c>
      <c r="B58" s="59"/>
      <c r="C58" s="20"/>
      <c r="D58" s="70">
        <f>[1]Main!C37</f>
        <v>287805.94</v>
      </c>
      <c r="E58" s="54">
        <f>IF($B35-SUM($E55:E57)&gt;D58,D58,B35-SUM($E55:E57))</f>
        <v>0</v>
      </c>
      <c r="F58" s="54">
        <f t="shared" si="1"/>
        <v>287805.94</v>
      </c>
      <c r="G58" s="1"/>
      <c r="H58" s="57">
        <f>SUM(D57:D59)</f>
        <v>309229.09000000003</v>
      </c>
      <c r="I58" s="30"/>
      <c r="J58" s="57">
        <f>SUM(D57:D84)-E70</f>
        <v>1312778.03</v>
      </c>
    </row>
    <row r="59" spans="1:10" x14ac:dyDescent="0.2">
      <c r="A59" s="71" t="s">
        <v>27</v>
      </c>
      <c r="B59" s="59"/>
      <c r="C59" s="20"/>
      <c r="D59" s="70">
        <f>[1]Main!D37</f>
        <v>0</v>
      </c>
      <c r="E59" s="54">
        <f>IF($B35-SUM($E55:E58)&gt;D59,D59,$B35-SUM($E55:E58))</f>
        <v>0</v>
      </c>
      <c r="F59" s="54">
        <f>D59-E59</f>
        <v>0</v>
      </c>
      <c r="G59" s="1"/>
      <c r="H59" s="57">
        <f>+H57-H58</f>
        <v>3171</v>
      </c>
      <c r="I59" s="30"/>
      <c r="J59" s="57">
        <f>+J57-J58</f>
        <v>0</v>
      </c>
    </row>
    <row r="60" spans="1:10" x14ac:dyDescent="0.2">
      <c r="A60" s="72" t="s">
        <v>72</v>
      </c>
      <c r="B60" s="59"/>
      <c r="C60" s="20"/>
      <c r="D60" s="70">
        <f>[1]Main!E37</f>
        <v>3171</v>
      </c>
      <c r="E60" s="54">
        <f>IF($B36-SUM($E56:E59)&gt;D60,D60,$B36-SUM($E56:E59))</f>
        <v>0</v>
      </c>
      <c r="F60" s="54">
        <f>D60-E60</f>
        <v>3171</v>
      </c>
      <c r="G60" s="1"/>
      <c r="H60" s="30"/>
      <c r="I60" s="30"/>
      <c r="J60" s="30"/>
    </row>
    <row r="61" spans="1:10" x14ac:dyDescent="0.2">
      <c r="A61" s="72" t="s">
        <v>73</v>
      </c>
      <c r="B61" s="59"/>
      <c r="C61" s="20"/>
      <c r="D61" s="54">
        <f>+[1]Main!$F153</f>
        <v>9563.41</v>
      </c>
      <c r="E61" s="54">
        <f>IF($B35-SUM($E55:E59)&gt;D61,D61,$B35-SUM($E55:E59))</f>
        <v>0</v>
      </c>
      <c r="F61" s="54">
        <f t="shared" si="1"/>
        <v>9563.41</v>
      </c>
      <c r="G61" s="1"/>
      <c r="H61" s="30"/>
      <c r="I61" s="30"/>
      <c r="J61" s="30"/>
    </row>
    <row r="62" spans="1:10" x14ac:dyDescent="0.2">
      <c r="A62" s="71" t="s">
        <v>74</v>
      </c>
      <c r="B62" s="59"/>
      <c r="C62" s="20"/>
      <c r="D62" s="54">
        <f>+[1]Main!$C95</f>
        <v>40034</v>
      </c>
      <c r="E62" s="54">
        <f>IF($B35-SUM($E55:E61)&gt;D62,D62,$B35-SUM($E55:E61))</f>
        <v>0</v>
      </c>
      <c r="F62" s="54">
        <f t="shared" si="1"/>
        <v>40034</v>
      </c>
      <c r="G62" s="1"/>
      <c r="H62" s="30"/>
      <c r="I62" s="30"/>
      <c r="J62" s="30"/>
    </row>
    <row r="63" spans="1:10" x14ac:dyDescent="0.2">
      <c r="A63" s="71" t="s">
        <v>75</v>
      </c>
      <c r="B63" s="59"/>
      <c r="C63" s="20"/>
      <c r="D63" s="54">
        <f>+[1]Main!$D95</f>
        <v>0</v>
      </c>
      <c r="E63" s="54">
        <f>IF($B35-SUM($E55:E62)&gt;D63,D63,$B35-SUM($E55:E62))</f>
        <v>0</v>
      </c>
      <c r="F63" s="54">
        <f t="shared" si="1"/>
        <v>0</v>
      </c>
      <c r="G63" s="1"/>
      <c r="H63" s="30"/>
      <c r="I63" s="30"/>
      <c r="J63" s="30"/>
    </row>
    <row r="64" spans="1:10" x14ac:dyDescent="0.2">
      <c r="A64" s="71" t="s">
        <v>76</v>
      </c>
      <c r="B64" s="59"/>
      <c r="C64" s="20"/>
      <c r="D64" s="54">
        <f>+[1]Main!$E95</f>
        <v>0</v>
      </c>
      <c r="E64" s="54">
        <f>IF($B35-SUM($E55:E63)&gt;D64,D64,$B35-SUM($E55:E63))</f>
        <v>0</v>
      </c>
      <c r="F64" s="54">
        <f t="shared" si="1"/>
        <v>0</v>
      </c>
      <c r="G64" s="1"/>
      <c r="H64" s="30"/>
      <c r="I64" s="30"/>
      <c r="J64" s="30"/>
    </row>
    <row r="65" spans="1:10" x14ac:dyDescent="0.2">
      <c r="A65" s="71" t="s">
        <v>77</v>
      </c>
      <c r="B65" s="59"/>
      <c r="C65" s="20"/>
      <c r="D65" s="54">
        <f>[1]Main!F95</f>
        <v>31049</v>
      </c>
      <c r="E65" s="54">
        <f>IF($B35-SUM($E55:E64)&gt;D65,D65,$B35-SUM($E55:E64))</f>
        <v>0</v>
      </c>
      <c r="F65" s="54">
        <f t="shared" si="1"/>
        <v>31049</v>
      </c>
      <c r="G65" s="1"/>
      <c r="H65" s="57" t="s">
        <v>48</v>
      </c>
      <c r="I65" s="30"/>
      <c r="J65" s="30"/>
    </row>
    <row r="66" spans="1:10" x14ac:dyDescent="0.2">
      <c r="A66" s="71" t="s">
        <v>79</v>
      </c>
      <c r="B66" s="59"/>
      <c r="C66" s="20"/>
      <c r="D66" s="54">
        <f>[1]Main!G95</f>
        <v>0</v>
      </c>
      <c r="E66" s="54">
        <f>IF($B35-SUM($E55:E65)&gt;D66,D66,$B35-SUM($E55:E65))</f>
        <v>0</v>
      </c>
      <c r="F66" s="54">
        <f t="shared" si="1"/>
        <v>0</v>
      </c>
      <c r="G66" s="1"/>
      <c r="H66" s="57"/>
      <c r="I66" s="30"/>
      <c r="J66" s="30"/>
    </row>
    <row r="67" spans="1:10" x14ac:dyDescent="0.2">
      <c r="A67" s="71" t="s">
        <v>78</v>
      </c>
      <c r="B67" s="59"/>
      <c r="C67" s="20"/>
      <c r="D67" s="54">
        <f>[1]Main!G153</f>
        <v>29268.31</v>
      </c>
      <c r="E67" s="54">
        <f>IF($B35-SUM($E55:E66)&gt;D67,D67,$B35-SUM($E55:E66))</f>
        <v>0</v>
      </c>
      <c r="F67" s="54">
        <f t="shared" si="1"/>
        <v>29268.31</v>
      </c>
      <c r="G67" s="1"/>
      <c r="H67" s="73">
        <f>+[1]Main!D211</f>
        <v>109914.72</v>
      </c>
      <c r="I67" s="30"/>
      <c r="J67" s="30"/>
    </row>
    <row r="68" spans="1:10" x14ac:dyDescent="0.2">
      <c r="A68" s="71" t="s">
        <v>80</v>
      </c>
      <c r="B68" s="59"/>
      <c r="C68" s="20"/>
      <c r="D68" s="54">
        <f>[1]Main!C211</f>
        <v>0</v>
      </c>
      <c r="E68" s="54"/>
      <c r="F68" s="54">
        <f t="shared" si="1"/>
        <v>0</v>
      </c>
      <c r="G68" s="1"/>
      <c r="H68" s="57">
        <f>+SUM(D61:D68)</f>
        <v>109914.72</v>
      </c>
      <c r="I68" s="30"/>
      <c r="J68" s="30"/>
    </row>
    <row r="69" spans="1:10" x14ac:dyDescent="0.2">
      <c r="A69" s="71" t="s">
        <v>81</v>
      </c>
      <c r="B69" s="59"/>
      <c r="C69" s="20"/>
      <c r="D69" s="54">
        <f>[1]Main!C269</f>
        <v>214961</v>
      </c>
      <c r="E69" s="54">
        <v>0</v>
      </c>
      <c r="F69" s="54">
        <f t="shared" si="1"/>
        <v>214961</v>
      </c>
      <c r="G69" s="1"/>
      <c r="H69" s="57">
        <f>+H67-H68</f>
        <v>0</v>
      </c>
      <c r="I69" s="30"/>
      <c r="J69" s="30"/>
    </row>
    <row r="70" spans="1:10" x14ac:dyDescent="0.2">
      <c r="A70" s="71" t="s">
        <v>82</v>
      </c>
      <c r="B70" s="59"/>
      <c r="C70" s="20"/>
      <c r="D70" s="54">
        <f>+[7]Main!I36+[7]Main!J36</f>
        <v>231570.9</v>
      </c>
      <c r="E70" s="74">
        <f>[7]Main!J36</f>
        <v>191883.47</v>
      </c>
      <c r="F70" s="54">
        <f t="shared" si="1"/>
        <v>39687.43</v>
      </c>
      <c r="G70" s="1"/>
      <c r="H70" s="30"/>
      <c r="I70" s="30"/>
      <c r="J70" s="30"/>
    </row>
    <row r="71" spans="1:10" x14ac:dyDescent="0.2">
      <c r="A71" s="71" t="s">
        <v>83</v>
      </c>
      <c r="B71" s="59"/>
      <c r="C71" s="20"/>
      <c r="D71" s="54">
        <f>[1]Main!F269</f>
        <v>37681</v>
      </c>
      <c r="E71" s="54">
        <v>0</v>
      </c>
      <c r="F71" s="54">
        <f t="shared" si="1"/>
        <v>37681</v>
      </c>
      <c r="G71" s="1"/>
      <c r="H71" s="30"/>
      <c r="I71" s="30"/>
      <c r="J71" s="30"/>
    </row>
    <row r="72" spans="1:10" x14ac:dyDescent="0.2">
      <c r="A72" s="71" t="s">
        <v>84</v>
      </c>
      <c r="B72" s="59"/>
      <c r="C72" s="7"/>
      <c r="D72" s="54">
        <f>[1]Main!E269</f>
        <v>5819.23</v>
      </c>
      <c r="E72" s="54">
        <v>0</v>
      </c>
      <c r="F72" s="54">
        <f t="shared" si="1"/>
        <v>5819.23</v>
      </c>
      <c r="G72" s="1"/>
      <c r="H72" s="57" t="s">
        <v>49</v>
      </c>
      <c r="I72" s="30"/>
      <c r="J72" s="30"/>
    </row>
    <row r="73" spans="1:10" x14ac:dyDescent="0.2">
      <c r="A73" s="71" t="s">
        <v>85</v>
      </c>
      <c r="B73" s="59"/>
      <c r="C73" s="7"/>
      <c r="D73" s="54">
        <f>[1]Main!G269</f>
        <v>48104</v>
      </c>
      <c r="E73" s="54">
        <v>0</v>
      </c>
      <c r="F73" s="54">
        <f t="shared" si="1"/>
        <v>48104</v>
      </c>
      <c r="G73" s="1"/>
      <c r="H73" s="57">
        <f>+[1]Main!C498</f>
        <v>860198.46</v>
      </c>
      <c r="I73" s="57"/>
      <c r="J73" s="57"/>
    </row>
    <row r="74" spans="1:10" x14ac:dyDescent="0.2">
      <c r="A74" s="71" t="s">
        <v>86</v>
      </c>
      <c r="B74" s="59"/>
      <c r="C74" s="20"/>
      <c r="D74" s="54">
        <f>[1]Main!C327</f>
        <v>10000</v>
      </c>
      <c r="E74" s="54">
        <v>0</v>
      </c>
      <c r="F74" s="54">
        <f t="shared" si="1"/>
        <v>10000</v>
      </c>
      <c r="G74" s="1"/>
      <c r="H74" s="57">
        <f>+SUM(D69:D79)-E70</f>
        <v>860198.46</v>
      </c>
      <c r="I74" s="57"/>
      <c r="J74" s="57">
        <f>+H74-H73</f>
        <v>0</v>
      </c>
    </row>
    <row r="75" spans="1:10" x14ac:dyDescent="0.2">
      <c r="A75" s="71" t="s">
        <v>87</v>
      </c>
      <c r="C75" s="8"/>
      <c r="D75" s="76">
        <f>[1]Main!D327</f>
        <v>437015.14</v>
      </c>
      <c r="E75" s="77">
        <v>0</v>
      </c>
      <c r="F75" s="77">
        <f t="shared" si="1"/>
        <v>437015.14</v>
      </c>
      <c r="G75" s="5"/>
      <c r="H75" s="57">
        <f>+H73-H74</f>
        <v>0</v>
      </c>
      <c r="I75" s="57"/>
      <c r="J75" s="57"/>
    </row>
    <row r="76" spans="1:10" x14ac:dyDescent="0.2">
      <c r="A76" s="71" t="s">
        <v>88</v>
      </c>
      <c r="B76" s="59"/>
      <c r="C76" s="20"/>
      <c r="D76" s="54">
        <f>+[1]Main!$E327</f>
        <v>2623.3</v>
      </c>
      <c r="E76" s="54">
        <v>0</v>
      </c>
      <c r="F76" s="54">
        <f>D76-E76</f>
        <v>2623.3</v>
      </c>
      <c r="G76" s="4"/>
      <c r="H76" s="30"/>
      <c r="I76" s="30"/>
      <c r="J76" s="30"/>
    </row>
    <row r="77" spans="1:10" x14ac:dyDescent="0.2">
      <c r="A77" s="71" t="s">
        <v>89</v>
      </c>
      <c r="B77" s="59"/>
      <c r="C77" s="20"/>
      <c r="D77" s="54">
        <f>[1]Main!F327</f>
        <v>19589.75</v>
      </c>
      <c r="E77" s="54">
        <v>0</v>
      </c>
      <c r="F77" s="54">
        <f>D77-E77</f>
        <v>19589.75</v>
      </c>
      <c r="G77" s="4"/>
      <c r="H77" s="30"/>
      <c r="I77" s="30"/>
      <c r="J77" s="30"/>
    </row>
    <row r="78" spans="1:10" x14ac:dyDescent="0.2">
      <c r="A78" s="71" t="s">
        <v>90</v>
      </c>
      <c r="B78" s="59"/>
      <c r="C78" s="20"/>
      <c r="D78" s="54">
        <f>[1]Main!G327</f>
        <v>0</v>
      </c>
      <c r="E78" s="54">
        <v>0</v>
      </c>
      <c r="F78" s="54">
        <f>D78-E78</f>
        <v>0</v>
      </c>
      <c r="G78" s="1"/>
      <c r="H78" s="57" t="s">
        <v>50</v>
      </c>
      <c r="I78" s="30"/>
      <c r="J78" s="30"/>
    </row>
    <row r="79" spans="1:10" x14ac:dyDescent="0.2">
      <c r="A79" s="71" t="s">
        <v>93</v>
      </c>
      <c r="B79" s="59"/>
      <c r="C79" s="20"/>
      <c r="D79" s="54">
        <f>[1]Main!F384</f>
        <v>44717.61</v>
      </c>
      <c r="E79" s="54">
        <v>0</v>
      </c>
      <c r="F79" s="54">
        <f>D79-E79</f>
        <v>44717.61</v>
      </c>
      <c r="G79" s="1"/>
      <c r="H79" s="57"/>
      <c r="I79" s="30"/>
      <c r="J79" s="30"/>
    </row>
    <row r="80" spans="1:10" x14ac:dyDescent="0.2">
      <c r="A80" s="55" t="s">
        <v>30</v>
      </c>
      <c r="B80" s="78"/>
      <c r="C80" s="79"/>
      <c r="D80" s="64"/>
      <c r="E80" s="64"/>
      <c r="F80" s="64"/>
      <c r="G80" s="1"/>
      <c r="H80" s="57"/>
      <c r="I80" s="30"/>
      <c r="J80" s="30"/>
    </row>
    <row r="81" spans="1:10" x14ac:dyDescent="0.2">
      <c r="A81" s="71" t="s">
        <v>60</v>
      </c>
      <c r="B81" s="59"/>
      <c r="C81" s="20"/>
      <c r="D81" s="54">
        <f>[1]Main!C441</f>
        <v>15667.24</v>
      </c>
      <c r="E81" s="54">
        <v>0</v>
      </c>
      <c r="F81" s="54">
        <f>D81-E81</f>
        <v>15667.24</v>
      </c>
      <c r="G81" s="1"/>
      <c r="H81" s="57">
        <f>+[1]Main!G441</f>
        <v>30264.76</v>
      </c>
      <c r="I81" s="30"/>
      <c r="J81" s="30"/>
    </row>
    <row r="82" spans="1:10" x14ac:dyDescent="0.2">
      <c r="A82" s="71" t="s">
        <v>63</v>
      </c>
      <c r="B82" s="59"/>
      <c r="C82" s="20"/>
      <c r="D82" s="54">
        <f>[1]Main!D441</f>
        <v>1903</v>
      </c>
      <c r="E82" s="54">
        <v>0</v>
      </c>
      <c r="F82" s="54">
        <f>D82-E82</f>
        <v>1903</v>
      </c>
      <c r="G82" s="4"/>
      <c r="H82" s="57">
        <f>SUM(D81:D84)</f>
        <v>30264.76</v>
      </c>
      <c r="I82" s="30"/>
      <c r="J82" s="30"/>
    </row>
    <row r="83" spans="1:10" x14ac:dyDescent="0.2">
      <c r="A83" s="71" t="s">
        <v>91</v>
      </c>
      <c r="B83" s="59"/>
      <c r="C83" s="20"/>
      <c r="D83" s="54">
        <f>[1]Main!E441</f>
        <v>0</v>
      </c>
      <c r="E83" s="54">
        <v>0</v>
      </c>
      <c r="F83" s="54">
        <f>D83-E83</f>
        <v>0</v>
      </c>
      <c r="G83" s="4"/>
      <c r="H83" s="57">
        <f>+H81-H82</f>
        <v>0</v>
      </c>
      <c r="I83" s="30"/>
      <c r="J83" s="30"/>
    </row>
    <row r="84" spans="1:10" x14ac:dyDescent="0.2">
      <c r="A84" s="71" t="s">
        <v>92</v>
      </c>
      <c r="B84" s="59"/>
      <c r="C84" s="20"/>
      <c r="D84" s="54">
        <f>[1]Main!F441</f>
        <v>12694.52</v>
      </c>
      <c r="E84" s="54">
        <v>0</v>
      </c>
      <c r="F84" s="54">
        <f>D84-E84</f>
        <v>12694.52</v>
      </c>
      <c r="G84" s="1"/>
      <c r="H84" s="30"/>
      <c r="I84" s="30"/>
      <c r="J84" s="30"/>
    </row>
    <row r="85" spans="1:10" x14ac:dyDescent="0.2">
      <c r="A85" s="55" t="s">
        <v>31</v>
      </c>
      <c r="B85" s="78"/>
      <c r="C85" s="79"/>
      <c r="D85" s="64"/>
      <c r="E85" s="64"/>
      <c r="F85" s="64"/>
      <c r="G85" s="1"/>
      <c r="H85" s="30"/>
      <c r="I85" s="30"/>
      <c r="J85" s="30"/>
    </row>
    <row r="86" spans="1:10" x14ac:dyDescent="0.2">
      <c r="A86" s="58" t="s">
        <v>69</v>
      </c>
      <c r="B86" s="59"/>
      <c r="C86" s="20"/>
      <c r="D86" s="54">
        <f>+[1]Main!$G554</f>
        <v>1130853.3899999999</v>
      </c>
      <c r="E86" s="54">
        <f>+[1]Main!$D554</f>
        <v>1130853.3899999999</v>
      </c>
      <c r="F86" s="54">
        <f>+D86-E86</f>
        <v>0</v>
      </c>
      <c r="G86" s="1"/>
      <c r="H86" s="30"/>
      <c r="I86" s="30"/>
      <c r="J86" s="30"/>
    </row>
    <row r="87" spans="1:10" x14ac:dyDescent="0.2">
      <c r="A87" s="59" t="s">
        <v>68</v>
      </c>
      <c r="B87" s="59"/>
      <c r="C87" s="20"/>
      <c r="D87" s="54">
        <f>+[1]Main!$G609</f>
        <v>753902.26</v>
      </c>
      <c r="E87" s="54">
        <f>+[1]Main!$D609</f>
        <v>753902.26</v>
      </c>
      <c r="F87" s="54">
        <f>+D87-E87</f>
        <v>0</v>
      </c>
      <c r="G87" s="1"/>
      <c r="H87" s="30"/>
      <c r="I87" s="30"/>
      <c r="J87" s="30"/>
    </row>
    <row r="88" spans="1:10" ht="13.5" thickBot="1" x14ac:dyDescent="0.25">
      <c r="A88" s="80"/>
      <c r="B88" s="81"/>
      <c r="C88" s="82" t="s">
        <v>29</v>
      </c>
      <c r="D88" s="83">
        <f>SUM(D55:D87)</f>
        <v>10780615.67</v>
      </c>
      <c r="E88" s="83">
        <f>SUM(E55:E87)</f>
        <v>5233605.12</v>
      </c>
      <c r="F88" s="83">
        <f>SUM(F55:F87)</f>
        <v>5547010.5499999998</v>
      </c>
      <c r="G88" s="1"/>
      <c r="H88" s="30"/>
      <c r="I88" s="30"/>
      <c r="J88" s="30"/>
    </row>
    <row r="89" spans="1:10" ht="13.5" thickTop="1" x14ac:dyDescent="0.2">
      <c r="A89" s="84"/>
      <c r="B89" s="59"/>
      <c r="C89" s="85"/>
      <c r="D89" s="86"/>
      <c r="E89" s="86"/>
      <c r="F89" s="87"/>
      <c r="G89" s="1"/>
      <c r="H89" s="30"/>
      <c r="I89" s="30"/>
      <c r="J89" s="30"/>
    </row>
    <row r="90" spans="1:10" x14ac:dyDescent="0.2">
      <c r="A90" s="88" t="s">
        <v>40</v>
      </c>
      <c r="B90" s="78"/>
      <c r="C90" s="89"/>
      <c r="D90" s="90"/>
      <c r="E90" s="91"/>
      <c r="F90" s="92" t="s">
        <v>36</v>
      </c>
      <c r="G90" s="6"/>
      <c r="H90" s="57" t="s">
        <v>51</v>
      </c>
      <c r="I90" s="30"/>
      <c r="J90" s="57" t="s">
        <v>7</v>
      </c>
    </row>
    <row r="91" spans="1:10" x14ac:dyDescent="0.2">
      <c r="A91" s="93" t="s">
        <v>33</v>
      </c>
      <c r="B91" s="94"/>
      <c r="C91" s="95"/>
      <c r="D91" s="96"/>
      <c r="E91" s="96"/>
      <c r="F91" s="91"/>
      <c r="G91" s="6"/>
      <c r="H91" s="30"/>
      <c r="I91" s="30"/>
      <c r="J91" s="30"/>
    </row>
    <row r="92" spans="1:10" x14ac:dyDescent="0.2">
      <c r="A92" s="59" t="s">
        <v>34</v>
      </c>
      <c r="B92" s="59"/>
      <c r="C92" s="22"/>
      <c r="D92" s="27"/>
      <c r="E92" s="27"/>
      <c r="F92" s="97">
        <f>+[8]Main!$C37</f>
        <v>0</v>
      </c>
      <c r="G92" s="5"/>
      <c r="H92" s="57">
        <f>+[1]Main!G665</f>
        <v>1884755.65</v>
      </c>
      <c r="I92" s="30"/>
      <c r="J92" s="57">
        <f>+[1]Main!E665+[1]Main!F665</f>
        <v>0</v>
      </c>
    </row>
    <row r="93" spans="1:10" x14ac:dyDescent="0.2">
      <c r="A93" s="59" t="s">
        <v>66</v>
      </c>
      <c r="B93" s="59"/>
      <c r="C93" s="22"/>
      <c r="D93" s="27"/>
      <c r="E93" s="27"/>
      <c r="F93" s="97">
        <f>+[8]Main!$D37</f>
        <v>0</v>
      </c>
      <c r="G93" s="5"/>
      <c r="H93" s="57">
        <f>+D86+D87</f>
        <v>1884755.65</v>
      </c>
      <c r="I93" s="30"/>
      <c r="J93" s="57">
        <f>+F86+F87</f>
        <v>0</v>
      </c>
    </row>
    <row r="94" spans="1:10" x14ac:dyDescent="0.2">
      <c r="A94" s="32" t="s">
        <v>65</v>
      </c>
      <c r="B94" s="32"/>
      <c r="C94" s="22"/>
      <c r="D94" s="28"/>
      <c r="E94" s="28"/>
      <c r="F94" s="97">
        <f>+[8]Main!$E37</f>
        <v>0</v>
      </c>
      <c r="G94" s="1"/>
      <c r="H94" s="57">
        <f>+H92-H93</f>
        <v>0</v>
      </c>
      <c r="I94" s="30"/>
      <c r="J94" s="57">
        <f>+J92-J93</f>
        <v>0</v>
      </c>
    </row>
    <row r="95" spans="1:10" x14ac:dyDescent="0.2">
      <c r="A95" s="32" t="s">
        <v>67</v>
      </c>
      <c r="B95" s="32"/>
      <c r="C95" s="22"/>
      <c r="D95" s="28"/>
      <c r="E95" s="28"/>
      <c r="F95" s="97">
        <f>+[8]Main!$F37</f>
        <v>0</v>
      </c>
      <c r="G95" s="1"/>
      <c r="H95" s="30"/>
      <c r="I95" s="30"/>
      <c r="J95" s="30"/>
    </row>
    <row r="96" spans="1:10" x14ac:dyDescent="0.2">
      <c r="A96" s="88" t="s">
        <v>35</v>
      </c>
      <c r="B96" s="78"/>
      <c r="C96" s="89"/>
      <c r="D96" s="90"/>
      <c r="E96" s="91"/>
      <c r="F96" s="54">
        <f>+[8]Main!$C95</f>
        <v>13976.82</v>
      </c>
      <c r="G96" s="1"/>
      <c r="H96" s="30"/>
      <c r="I96" s="30"/>
      <c r="J96" s="30"/>
    </row>
    <row r="97" spans="1:10" ht="13.5" thickBot="1" x14ac:dyDescent="0.25">
      <c r="A97" s="98"/>
      <c r="B97" s="99"/>
      <c r="C97" s="100" t="s">
        <v>29</v>
      </c>
      <c r="D97" s="101"/>
      <c r="E97" s="102"/>
      <c r="F97" s="103">
        <f>SUM(F92:F96)</f>
        <v>13976.82</v>
      </c>
      <c r="G97" s="1"/>
      <c r="H97" s="30"/>
      <c r="I97" s="30"/>
      <c r="J97" s="30"/>
    </row>
    <row r="98" spans="1:10" ht="13.5" thickBot="1" x14ac:dyDescent="0.25">
      <c r="A98" s="104"/>
      <c r="B98" s="105"/>
      <c r="C98" s="106" t="s">
        <v>53</v>
      </c>
      <c r="D98" s="107"/>
      <c r="E98" s="108"/>
      <c r="F98" s="109">
        <f>+F97+F88</f>
        <v>5560987.3700000001</v>
      </c>
      <c r="G98" s="1"/>
      <c r="H98" s="57" t="s">
        <v>54</v>
      </c>
      <c r="I98" s="30"/>
      <c r="J98" s="30"/>
    </row>
    <row r="99" spans="1:10" x14ac:dyDescent="0.2">
      <c r="A99" s="11"/>
      <c r="B99" s="12"/>
      <c r="C99" s="9"/>
      <c r="D99" s="29"/>
      <c r="E99" s="29"/>
      <c r="F99" s="110"/>
      <c r="G99" s="1"/>
      <c r="H99" s="57">
        <f>+[8]Main!$G37</f>
        <v>0</v>
      </c>
      <c r="I99" s="30"/>
      <c r="J99" s="30"/>
    </row>
    <row r="100" spans="1:10" x14ac:dyDescent="0.2">
      <c r="A100" s="11"/>
      <c r="B100" s="12"/>
      <c r="C100" s="9"/>
      <c r="D100" s="29"/>
      <c r="E100" s="29"/>
      <c r="F100" s="110"/>
      <c r="G100" s="1"/>
      <c r="H100" s="57">
        <f>SUM(F92:F95)</f>
        <v>0</v>
      </c>
      <c r="I100" s="30"/>
      <c r="J100" s="30"/>
    </row>
    <row r="101" spans="1:10" x14ac:dyDescent="0.2">
      <c r="A101" s="1"/>
      <c r="B101" s="1"/>
      <c r="C101" s="7"/>
      <c r="D101" s="26"/>
      <c r="E101" s="26"/>
      <c r="F101" s="86">
        <f>+F97+F88</f>
        <v>5560987.3700000001</v>
      </c>
      <c r="G101" s="1"/>
      <c r="H101" s="57">
        <f>+H99-H100</f>
        <v>0</v>
      </c>
      <c r="I101" s="30"/>
      <c r="J101" s="30"/>
    </row>
    <row r="102" spans="1:10" x14ac:dyDescent="0.2">
      <c r="A102" s="1"/>
      <c r="B102" s="1"/>
      <c r="C102" s="7"/>
      <c r="D102" s="26"/>
      <c r="E102" s="26"/>
      <c r="F102" s="86">
        <f>+[1]Main!$F781</f>
        <v>5560987.3700000001</v>
      </c>
      <c r="G102" s="1"/>
      <c r="H102" s="30"/>
      <c r="I102" s="30"/>
      <c r="J102" s="30"/>
    </row>
    <row r="103" spans="1:10" x14ac:dyDescent="0.2">
      <c r="A103" s="1"/>
      <c r="B103" s="1"/>
      <c r="C103" s="7"/>
      <c r="D103" s="26"/>
      <c r="E103" s="86">
        <f>+E88+[1]Main!$E781</f>
        <v>0</v>
      </c>
      <c r="F103" s="86">
        <f>+F102-F101</f>
        <v>0</v>
      </c>
      <c r="G103" s="1"/>
      <c r="H103" s="30"/>
      <c r="I103" s="30"/>
      <c r="J103" s="30"/>
    </row>
    <row r="104" spans="1:10" x14ac:dyDescent="0.2">
      <c r="A104" s="59"/>
      <c r="B104" s="59"/>
      <c r="C104" s="85"/>
      <c r="D104" s="86"/>
      <c r="E104" s="86"/>
      <c r="F104" s="86"/>
      <c r="G104" s="59"/>
      <c r="H104" s="57"/>
      <c r="I104" s="57"/>
      <c r="J104" s="57"/>
    </row>
    <row r="105" spans="1:10" x14ac:dyDescent="0.2">
      <c r="A105" s="59"/>
      <c r="B105" s="59"/>
      <c r="C105" s="85"/>
      <c r="D105" s="86"/>
      <c r="E105" s="86"/>
      <c r="F105" s="86"/>
      <c r="G105" s="59"/>
      <c r="H105" s="57"/>
      <c r="I105" s="57"/>
      <c r="J105" s="57"/>
    </row>
    <row r="106" spans="1:10" x14ac:dyDescent="0.2">
      <c r="A106" s="59"/>
      <c r="B106" s="59"/>
      <c r="C106" s="85"/>
      <c r="D106" s="86"/>
      <c r="E106" s="86"/>
      <c r="F106" s="86"/>
      <c r="G106" s="59"/>
      <c r="H106" s="111" t="s">
        <v>55</v>
      </c>
      <c r="I106" s="57"/>
      <c r="J106" s="57"/>
    </row>
    <row r="107" spans="1:10" x14ac:dyDescent="0.2">
      <c r="G107" s="59"/>
      <c r="H107" s="113"/>
      <c r="I107" s="112"/>
      <c r="J107" s="112"/>
    </row>
    <row r="108" spans="1:10" x14ac:dyDescent="0.2">
      <c r="G108" s="59"/>
      <c r="H108" s="112"/>
      <c r="I108" s="112"/>
      <c r="J108" s="112"/>
    </row>
    <row r="109" spans="1:10" x14ac:dyDescent="0.2">
      <c r="G109" s="59"/>
      <c r="H109" s="112"/>
      <c r="I109" s="112"/>
      <c r="J109" s="112"/>
    </row>
    <row r="110" spans="1:10" x14ac:dyDescent="0.2">
      <c r="G110" s="59"/>
      <c r="H110" s="112"/>
      <c r="I110" s="112"/>
      <c r="J110" s="112"/>
    </row>
    <row r="111" spans="1:10" x14ac:dyDescent="0.2">
      <c r="G111" s="59"/>
      <c r="H111" s="112"/>
      <c r="I111" s="112"/>
      <c r="J111" s="112"/>
    </row>
    <row r="112" spans="1:10" x14ac:dyDescent="0.2">
      <c r="G112" s="59"/>
      <c r="H112" s="71"/>
      <c r="I112" s="112"/>
      <c r="J112" s="112"/>
    </row>
  </sheetData>
  <mergeCells count="1">
    <mergeCell ref="D31:E31"/>
  </mergeCells>
  <phoneticPr fontId="0" type="noConversion"/>
  <printOptions horizontalCentered="1" verticalCentered="1"/>
  <pageMargins left="0.5" right="0.25" top="0.5" bottom="0.5" header="0.5" footer="0.5"/>
  <pageSetup scale="89" orientation="portrait" horizontalDpi="1200" r:id="rId1"/>
  <headerFooter alignWithMargins="0">
    <oddHeader>&amp;R&amp;8Current as of: &amp;D</oddHeader>
    <oddFooter>&amp;L&amp;8USOE, Finance and Statistics&amp;R&amp;8&amp;F</oddFooter>
  </headerFooter>
  <picture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J113"/>
  <sheetViews>
    <sheetView topLeftCell="A67" workbookViewId="0">
      <selection activeCell="B36" sqref="B36"/>
    </sheetView>
  </sheetViews>
  <sheetFormatPr defaultColWidth="18.28515625" defaultRowHeight="12.75" x14ac:dyDescent="0.2"/>
  <cols>
    <col min="1" max="1" width="27" style="75" customWidth="1"/>
    <col min="2" max="2" width="16.7109375" style="75" customWidth="1"/>
    <col min="3" max="3" width="15.85546875" style="75" customWidth="1"/>
    <col min="4" max="4" width="16.28515625" style="75" customWidth="1"/>
    <col min="5" max="5" width="15.5703125" style="75" customWidth="1"/>
    <col min="6" max="6" width="17.42578125" style="75" customWidth="1"/>
    <col min="7" max="7" width="5.7109375" style="75" customWidth="1"/>
    <col min="8" max="8" width="21.5703125" style="75" customWidth="1"/>
    <col min="9" max="9" width="5" style="75" customWidth="1"/>
    <col min="10" max="10" width="20.85546875" style="75" customWidth="1"/>
    <col min="11" max="16384" width="18.28515625" style="75"/>
  </cols>
  <sheetData>
    <row r="1" spans="1:10" x14ac:dyDescent="0.2">
      <c r="A1" s="8"/>
      <c r="B1" s="8"/>
      <c r="C1" s="8"/>
      <c r="D1" s="8"/>
      <c r="E1" s="8"/>
      <c r="F1" s="8"/>
      <c r="G1" s="8"/>
      <c r="H1" s="8"/>
      <c r="I1" s="8"/>
      <c r="J1" s="8"/>
    </row>
    <row r="2" spans="1:10" x14ac:dyDescent="0.2">
      <c r="A2" s="8"/>
      <c r="B2" s="8"/>
      <c r="C2" s="8"/>
      <c r="D2" s="8"/>
      <c r="E2" s="8"/>
      <c r="F2" s="8"/>
      <c r="G2" s="8"/>
      <c r="H2" s="8"/>
      <c r="I2" s="8"/>
      <c r="J2" s="8"/>
    </row>
    <row r="3" spans="1:10" x14ac:dyDescent="0.2">
      <c r="A3" s="8"/>
      <c r="B3" s="8"/>
      <c r="C3" s="8"/>
      <c r="D3" s="8"/>
      <c r="E3" s="8"/>
      <c r="F3" s="8"/>
      <c r="G3" s="8"/>
      <c r="H3" s="8"/>
      <c r="I3" s="8"/>
      <c r="J3" s="8"/>
    </row>
    <row r="4" spans="1:10" x14ac:dyDescent="0.2">
      <c r="A4" s="8"/>
      <c r="B4" s="8"/>
      <c r="C4" s="8"/>
      <c r="D4" s="8"/>
      <c r="E4" s="8"/>
      <c r="F4" s="8"/>
      <c r="G4" s="8"/>
      <c r="H4" s="8"/>
      <c r="I4" s="8"/>
      <c r="J4" s="8"/>
    </row>
    <row r="5" spans="1:10" x14ac:dyDescent="0.2">
      <c r="A5" s="8"/>
      <c r="B5" s="8"/>
      <c r="C5" s="8"/>
      <c r="D5" s="8"/>
      <c r="E5" s="8"/>
      <c r="F5" s="8"/>
      <c r="G5" s="8"/>
      <c r="H5" s="8"/>
      <c r="I5" s="8"/>
      <c r="J5" s="8"/>
    </row>
    <row r="6" spans="1:10" x14ac:dyDescent="0.2">
      <c r="A6" s="8"/>
      <c r="B6" s="8"/>
      <c r="C6" s="8"/>
      <c r="D6" s="8"/>
      <c r="E6" s="8"/>
      <c r="F6" s="8"/>
      <c r="G6" s="8"/>
      <c r="H6" s="8"/>
      <c r="I6" s="8"/>
      <c r="J6" s="8"/>
    </row>
    <row r="7" spans="1:10" x14ac:dyDescent="0.2">
      <c r="A7" s="8"/>
      <c r="B7" s="8"/>
      <c r="C7" s="8"/>
      <c r="D7" s="8"/>
      <c r="E7" s="8"/>
      <c r="F7" s="8"/>
      <c r="G7" s="8"/>
      <c r="H7" s="8"/>
      <c r="I7" s="8"/>
      <c r="J7" s="8"/>
    </row>
    <row r="8" spans="1:10" x14ac:dyDescent="0.2">
      <c r="A8" s="8"/>
      <c r="B8" s="8"/>
      <c r="C8" s="8"/>
      <c r="D8" s="8"/>
      <c r="E8" s="8"/>
      <c r="F8" s="8"/>
      <c r="G8" s="8"/>
      <c r="H8" s="8"/>
      <c r="I8" s="8"/>
      <c r="J8" s="8"/>
    </row>
    <row r="9" spans="1:10" x14ac:dyDescent="0.2">
      <c r="A9" s="8"/>
      <c r="B9" s="8"/>
      <c r="C9" s="8"/>
      <c r="D9" s="8"/>
      <c r="E9" s="8"/>
      <c r="F9" s="8"/>
      <c r="G9" s="8"/>
      <c r="H9" s="8"/>
      <c r="I9" s="8"/>
      <c r="J9" s="8"/>
    </row>
    <row r="10" spans="1:10" x14ac:dyDescent="0.2">
      <c r="A10" s="8"/>
      <c r="B10" s="15"/>
      <c r="C10" s="8"/>
      <c r="D10" s="8"/>
      <c r="E10" s="8"/>
      <c r="F10" s="8"/>
      <c r="G10" s="8"/>
      <c r="H10" s="8"/>
      <c r="I10" s="8"/>
      <c r="J10" s="8"/>
    </row>
    <row r="11" spans="1:10" x14ac:dyDescent="0.2">
      <c r="A11" s="8"/>
      <c r="B11" s="8"/>
      <c r="C11" s="8"/>
      <c r="D11" s="8"/>
      <c r="E11" s="8"/>
      <c r="F11" s="8"/>
      <c r="G11" s="8"/>
      <c r="H11" s="8"/>
      <c r="I11" s="8"/>
      <c r="J11" s="8"/>
    </row>
    <row r="12" spans="1:10" x14ac:dyDescent="0.2">
      <c r="A12" s="8"/>
      <c r="B12" s="8"/>
      <c r="C12" s="8"/>
      <c r="D12" s="8"/>
      <c r="E12" s="8"/>
      <c r="F12" s="8"/>
      <c r="G12" s="8"/>
      <c r="H12" s="8"/>
      <c r="I12" s="8"/>
      <c r="J12" s="8"/>
    </row>
    <row r="13" spans="1:10" x14ac:dyDescent="0.2">
      <c r="A13" s="8"/>
      <c r="B13" s="8"/>
      <c r="C13" s="8"/>
      <c r="D13" s="8"/>
      <c r="E13" s="8"/>
      <c r="F13" s="8"/>
      <c r="G13" s="8"/>
      <c r="H13" s="8"/>
      <c r="I13" s="8"/>
      <c r="J13" s="8"/>
    </row>
    <row r="14" spans="1:10" x14ac:dyDescent="0.2">
      <c r="A14" s="8"/>
      <c r="B14" s="8"/>
      <c r="C14" s="8"/>
      <c r="D14" s="8"/>
      <c r="E14" s="8"/>
      <c r="F14" s="8"/>
      <c r="G14" s="8"/>
      <c r="H14" s="8"/>
      <c r="I14" s="8"/>
      <c r="J14" s="8"/>
    </row>
    <row r="15" spans="1:10" x14ac:dyDescent="0.2">
      <c r="A15" s="8"/>
      <c r="B15" s="8"/>
      <c r="C15" s="8"/>
      <c r="D15" s="8"/>
      <c r="E15" s="8"/>
      <c r="F15" s="8"/>
      <c r="G15" s="8"/>
      <c r="H15" s="8"/>
      <c r="I15" s="8"/>
      <c r="J15" s="8"/>
    </row>
    <row r="16" spans="1:10" x14ac:dyDescent="0.2">
      <c r="A16" s="8"/>
      <c r="B16" s="8"/>
      <c r="C16" s="8"/>
      <c r="D16" s="8"/>
      <c r="E16" s="8"/>
      <c r="F16" s="8"/>
      <c r="G16" s="8"/>
      <c r="H16" s="8"/>
      <c r="I16" s="8"/>
      <c r="J16" s="8"/>
    </row>
    <row r="17" spans="1:10" x14ac:dyDescent="0.2">
      <c r="A17" s="8"/>
      <c r="B17" s="8"/>
      <c r="C17" s="8"/>
      <c r="D17" s="8"/>
      <c r="E17" s="8"/>
      <c r="F17" s="8"/>
      <c r="G17" s="8"/>
      <c r="H17" s="8"/>
      <c r="I17" s="8"/>
      <c r="J17" s="8"/>
    </row>
    <row r="18" spans="1:10" x14ac:dyDescent="0.2">
      <c r="A18" s="8"/>
      <c r="B18" s="8"/>
      <c r="C18" s="8"/>
      <c r="D18" s="8"/>
      <c r="E18" s="8"/>
      <c r="F18" s="8"/>
      <c r="G18" s="8"/>
      <c r="H18" s="8"/>
      <c r="I18" s="8"/>
      <c r="J18" s="8"/>
    </row>
    <row r="19" spans="1:10" x14ac:dyDescent="0.2">
      <c r="A19" s="8"/>
      <c r="B19" s="8"/>
      <c r="C19" s="8"/>
      <c r="D19" s="8"/>
      <c r="E19" s="8"/>
      <c r="F19" s="8"/>
      <c r="G19" s="8"/>
      <c r="H19" s="8"/>
      <c r="I19" s="8"/>
      <c r="J19" s="8"/>
    </row>
    <row r="20" spans="1:10" x14ac:dyDescent="0.2">
      <c r="A20" s="8"/>
      <c r="B20" s="8"/>
      <c r="C20" s="8"/>
      <c r="D20" s="8"/>
      <c r="E20" s="8"/>
      <c r="F20" s="8"/>
      <c r="G20" s="8"/>
      <c r="H20" s="8"/>
      <c r="I20" s="8"/>
      <c r="J20" s="8"/>
    </row>
    <row r="21" spans="1:10" x14ac:dyDescent="0.2">
      <c r="A21" s="8"/>
      <c r="B21" s="8"/>
      <c r="C21" s="8"/>
      <c r="D21" s="8"/>
      <c r="E21" s="8"/>
      <c r="F21" s="8"/>
      <c r="G21" s="8"/>
      <c r="H21" s="8"/>
      <c r="I21" s="8"/>
      <c r="J21" s="8"/>
    </row>
    <row r="22" spans="1:10" x14ac:dyDescent="0.2">
      <c r="A22" s="8"/>
      <c r="B22" s="8"/>
      <c r="C22" s="8"/>
      <c r="D22" s="8"/>
      <c r="E22" s="8"/>
      <c r="F22" s="8"/>
      <c r="G22" s="8"/>
      <c r="H22" s="8"/>
      <c r="I22" s="8"/>
      <c r="J22" s="8"/>
    </row>
    <row r="23" spans="1:10" x14ac:dyDescent="0.2">
      <c r="A23" s="8"/>
      <c r="B23" s="8"/>
      <c r="C23" s="8"/>
      <c r="D23" s="8"/>
      <c r="E23" s="8"/>
      <c r="F23" s="8"/>
      <c r="G23" s="8"/>
      <c r="H23" s="8"/>
      <c r="I23" s="8"/>
      <c r="J23" s="8"/>
    </row>
    <row r="24" spans="1:10" x14ac:dyDescent="0.2">
      <c r="A24" s="8"/>
      <c r="B24" s="8"/>
      <c r="C24" s="8"/>
      <c r="D24" s="8"/>
      <c r="E24" s="8"/>
      <c r="F24" s="8"/>
      <c r="G24" s="8"/>
      <c r="H24" s="8"/>
      <c r="I24" s="8"/>
      <c r="J24" s="8"/>
    </row>
    <row r="25" spans="1:10" x14ac:dyDescent="0.2">
      <c r="A25" s="8"/>
      <c r="B25" s="8"/>
      <c r="C25" s="8"/>
      <c r="D25" s="8"/>
      <c r="E25" s="8"/>
      <c r="F25" s="8"/>
      <c r="G25" s="8"/>
      <c r="H25" s="8"/>
      <c r="I25" s="8"/>
      <c r="J25" s="8"/>
    </row>
    <row r="26" spans="1:10" x14ac:dyDescent="0.2">
      <c r="A26" s="8"/>
      <c r="B26" s="8"/>
      <c r="C26" s="8"/>
      <c r="D26" s="8"/>
      <c r="E26" s="8"/>
      <c r="F26" s="8"/>
      <c r="G26" s="8"/>
      <c r="H26" s="8"/>
      <c r="I26" s="8"/>
      <c r="J26" s="8"/>
    </row>
    <row r="27" spans="1:10" x14ac:dyDescent="0.2">
      <c r="A27" s="8"/>
      <c r="B27" s="8"/>
      <c r="C27" s="8"/>
      <c r="D27" s="8"/>
      <c r="E27" s="8"/>
      <c r="F27" s="8"/>
      <c r="G27" s="8"/>
      <c r="H27" s="8"/>
      <c r="I27" s="8"/>
      <c r="J27" s="8"/>
    </row>
    <row r="28" spans="1:10" x14ac:dyDescent="0.2">
      <c r="A28" s="8"/>
      <c r="B28" s="8"/>
      <c r="C28" s="8"/>
      <c r="D28" s="8"/>
      <c r="E28" s="8"/>
      <c r="F28" s="8"/>
      <c r="G28" s="8"/>
      <c r="H28" s="8"/>
      <c r="I28" s="8"/>
      <c r="J28" s="8"/>
    </row>
    <row r="29" spans="1:10" x14ac:dyDescent="0.2">
      <c r="A29" s="32" t="s">
        <v>0</v>
      </c>
      <c r="B29" s="33">
        <v>3184</v>
      </c>
      <c r="C29" s="34" t="s">
        <v>1</v>
      </c>
      <c r="D29" s="35"/>
      <c r="E29" s="35"/>
      <c r="F29" s="35"/>
      <c r="G29" s="1"/>
      <c r="H29" s="30"/>
      <c r="I29" s="30"/>
      <c r="J29" s="30"/>
    </row>
    <row r="30" spans="1:10" x14ac:dyDescent="0.2">
      <c r="A30" s="32" t="s">
        <v>61</v>
      </c>
      <c r="B30" s="36">
        <f>+[1]Main!$C555</f>
        <v>2.7339999999999999E-3</v>
      </c>
      <c r="C30" s="34" t="s">
        <v>41</v>
      </c>
      <c r="D30" s="35"/>
      <c r="E30" s="35"/>
      <c r="F30" s="35"/>
      <c r="G30" s="1"/>
      <c r="H30" s="30"/>
      <c r="I30" s="30"/>
      <c r="J30" s="30"/>
    </row>
    <row r="31" spans="1:10" x14ac:dyDescent="0.2">
      <c r="A31" s="32" t="s">
        <v>62</v>
      </c>
      <c r="B31" s="36">
        <f>+[1]Main!$C610</f>
        <v>9.7999999999999997E-4</v>
      </c>
      <c r="C31" s="34" t="s">
        <v>95</v>
      </c>
      <c r="D31" s="35"/>
      <c r="E31" s="37"/>
      <c r="F31" s="35"/>
      <c r="G31" s="1"/>
      <c r="H31" s="30"/>
      <c r="I31" s="30"/>
      <c r="J31" s="30"/>
    </row>
    <row r="32" spans="1:10" x14ac:dyDescent="0.2">
      <c r="A32" s="38" t="s">
        <v>32</v>
      </c>
      <c r="B32" s="39">
        <f>[2]Sheet1!E37</f>
        <v>56505607</v>
      </c>
      <c r="C32" s="21"/>
      <c r="D32" s="31"/>
      <c r="E32" s="31"/>
      <c r="F32" s="23"/>
      <c r="G32" s="1"/>
      <c r="H32" s="30"/>
      <c r="I32" s="30"/>
      <c r="J32" s="30"/>
    </row>
    <row r="33" spans="1:10" x14ac:dyDescent="0.2">
      <c r="A33" s="32" t="s">
        <v>2</v>
      </c>
      <c r="B33" s="40">
        <f>[2]Sheet1!F37</f>
        <v>0.92969999999999997</v>
      </c>
      <c r="C33" s="7"/>
      <c r="D33" s="41" t="s">
        <v>3</v>
      </c>
      <c r="E33" s="42" t="str">
        <f>+[3]main!B38</f>
        <v>Tintic</v>
      </c>
      <c r="F33" s="43">
        <f>+[3]main!A38</f>
        <v>29</v>
      </c>
      <c r="G33" s="1"/>
      <c r="H33" s="30"/>
      <c r="I33" s="30"/>
      <c r="J33" s="30"/>
    </row>
    <row r="34" spans="1:10" x14ac:dyDescent="0.2">
      <c r="A34" s="32" t="s">
        <v>4</v>
      </c>
      <c r="B34" s="44">
        <f>[2]Sheet1!G37</f>
        <v>1.6750000000000001E-3</v>
      </c>
      <c r="C34" s="8"/>
      <c r="D34" s="24"/>
      <c r="E34" s="25"/>
      <c r="F34" s="24"/>
      <c r="G34" s="1"/>
      <c r="H34" s="30"/>
      <c r="I34" s="30"/>
      <c r="J34" s="30"/>
    </row>
    <row r="35" spans="1:10" x14ac:dyDescent="0.2">
      <c r="A35" s="32" t="s">
        <v>5</v>
      </c>
      <c r="B35" s="45">
        <f>[2]Sheet1!$C$93</f>
        <v>107375</v>
      </c>
      <c r="C35" s="46"/>
      <c r="D35" s="47" t="s">
        <v>38</v>
      </c>
      <c r="E35" s="48" t="s">
        <v>7</v>
      </c>
      <c r="F35" s="47" t="s">
        <v>6</v>
      </c>
      <c r="G35" s="1"/>
      <c r="H35" s="30"/>
      <c r="I35" s="30"/>
      <c r="J35" s="30"/>
    </row>
    <row r="36" spans="1:10" x14ac:dyDescent="0.2">
      <c r="A36" s="32" t="s">
        <v>8</v>
      </c>
      <c r="B36" s="45">
        <f>+B35</f>
        <v>107375</v>
      </c>
      <c r="C36" s="49"/>
      <c r="D36" s="50" t="s">
        <v>9</v>
      </c>
      <c r="E36" s="50" t="s">
        <v>37</v>
      </c>
      <c r="F36" s="50" t="s">
        <v>10</v>
      </c>
      <c r="G36" s="1"/>
      <c r="H36" s="30"/>
      <c r="I36" s="30"/>
      <c r="J36" s="30"/>
    </row>
    <row r="37" spans="1:10" x14ac:dyDescent="0.2">
      <c r="A37" s="32" t="s">
        <v>11</v>
      </c>
      <c r="B37" s="45">
        <v>0</v>
      </c>
      <c r="C37" s="51" t="s">
        <v>39</v>
      </c>
      <c r="D37" s="52" t="s">
        <v>12</v>
      </c>
      <c r="E37" s="52" t="s">
        <v>9</v>
      </c>
      <c r="F37" s="52" t="s">
        <v>9</v>
      </c>
      <c r="G37" s="1"/>
      <c r="H37" s="30"/>
      <c r="I37" s="30"/>
      <c r="J37" s="30"/>
    </row>
    <row r="38" spans="1:10" x14ac:dyDescent="0.2">
      <c r="A38" s="32" t="s">
        <v>70</v>
      </c>
      <c r="B38" s="45">
        <f>'[4]LRF FY17'!U35</f>
        <v>433</v>
      </c>
      <c r="C38" s="53"/>
      <c r="D38" s="54"/>
      <c r="E38" s="54"/>
      <c r="F38" s="54" t="s">
        <v>14</v>
      </c>
      <c r="G38" s="1"/>
      <c r="H38" s="30"/>
      <c r="I38" s="30"/>
      <c r="J38" s="30"/>
    </row>
    <row r="39" spans="1:10" x14ac:dyDescent="0.2">
      <c r="A39" s="55" t="s">
        <v>13</v>
      </c>
      <c r="B39" s="56"/>
      <c r="C39" s="53"/>
      <c r="D39" s="54"/>
      <c r="E39" s="54"/>
      <c r="F39" s="54"/>
      <c r="G39" s="2"/>
      <c r="H39" s="30"/>
      <c r="I39" s="30"/>
      <c r="J39" s="30"/>
    </row>
    <row r="40" spans="1:10" x14ac:dyDescent="0.2">
      <c r="A40" s="55" t="s">
        <v>15</v>
      </c>
      <c r="B40" s="56"/>
      <c r="C40" s="53"/>
      <c r="D40" s="54"/>
      <c r="E40" s="54"/>
      <c r="F40" s="54"/>
      <c r="G40" s="2"/>
      <c r="H40" s="57" t="s">
        <v>43</v>
      </c>
      <c r="I40" s="30"/>
      <c r="J40" s="57" t="s">
        <v>45</v>
      </c>
    </row>
    <row r="41" spans="1:10" x14ac:dyDescent="0.2">
      <c r="A41" s="58" t="s">
        <v>16</v>
      </c>
      <c r="B41" s="59"/>
      <c r="C41" s="60">
        <f>[3]main!C212-[3]main!F154</f>
        <v>244.506</v>
      </c>
      <c r="D41" s="61">
        <f>[3]main!E212-[3]main!H154</f>
        <v>778505.69</v>
      </c>
      <c r="E41" s="62">
        <f>IF(B36&gt;D41,D41,B36)</f>
        <v>107375</v>
      </c>
      <c r="F41" s="62">
        <f>D41-E41</f>
        <v>671130.69</v>
      </c>
      <c r="G41" s="1"/>
      <c r="H41" s="57">
        <f>[3]main!H271</f>
        <v>2299721.7200000002</v>
      </c>
      <c r="I41" s="30"/>
      <c r="J41" s="57">
        <f>'[5]Sheet 1'!E95</f>
        <v>2669468.2999999998</v>
      </c>
    </row>
    <row r="42" spans="1:10" x14ac:dyDescent="0.2">
      <c r="A42" s="58" t="s">
        <v>17</v>
      </c>
      <c r="B42" s="59"/>
      <c r="C42" s="53">
        <f>[3]main!F154</f>
        <v>325.68</v>
      </c>
      <c r="D42" s="54">
        <f>[3]main!H154</f>
        <v>1036965.6</v>
      </c>
      <c r="E42" s="54">
        <f>IF(B35-SUM(E39:E41)&gt;D42,D42,B35-SUM(E39:E41))</f>
        <v>0</v>
      </c>
      <c r="F42" s="54">
        <f>D42-E42</f>
        <v>1036965.6</v>
      </c>
      <c r="G42" s="1"/>
      <c r="H42" s="57">
        <f>SUM(D41:D45)</f>
        <v>2299721.7200000002</v>
      </c>
      <c r="I42" s="30"/>
      <c r="J42" s="57">
        <f>D56</f>
        <v>2669468.2999999998</v>
      </c>
    </row>
    <row r="43" spans="1:10" x14ac:dyDescent="0.2">
      <c r="A43" s="58" t="s">
        <v>18</v>
      </c>
      <c r="B43" s="59"/>
      <c r="C43" s="53">
        <f>[3]main!F212</f>
        <v>57.088999999999999</v>
      </c>
      <c r="D43" s="54">
        <f>[3]main!H212</f>
        <v>181770.43</v>
      </c>
      <c r="E43" s="54">
        <f>IF(B36-SUM(E41:E42)&gt;D43,D43,B36-SUM(E41:E42))</f>
        <v>0</v>
      </c>
      <c r="F43" s="54">
        <f>D43-E43</f>
        <v>181770.43</v>
      </c>
      <c r="G43" s="1"/>
      <c r="H43" s="57">
        <f>+H41-H42</f>
        <v>0</v>
      </c>
      <c r="I43" s="30"/>
      <c r="J43" s="57">
        <f>+J41-J42</f>
        <v>0</v>
      </c>
    </row>
    <row r="44" spans="1:10" x14ac:dyDescent="0.2">
      <c r="A44" s="58" t="s">
        <v>19</v>
      </c>
      <c r="B44" s="59"/>
      <c r="C44" s="53">
        <f>[3]main!C271</f>
        <v>95</v>
      </c>
      <c r="D44" s="54">
        <f>[3]main!E271</f>
        <v>302480</v>
      </c>
      <c r="E44" s="54">
        <f>IF(B36-SUM(E41:E43)&gt;D44,D44,B36-SUM(E41:E43))</f>
        <v>0</v>
      </c>
      <c r="F44" s="54">
        <f>D44-E44</f>
        <v>302480</v>
      </c>
      <c r="G44" s="1"/>
      <c r="H44" s="30"/>
      <c r="I44" s="30"/>
      <c r="J44" s="30"/>
    </row>
    <row r="45" spans="1:10" x14ac:dyDescent="0.2">
      <c r="A45" s="58" t="s">
        <v>42</v>
      </c>
      <c r="B45" s="59"/>
      <c r="C45" s="53">
        <f>[3]main!C95</f>
        <v>0</v>
      </c>
      <c r="D45" s="54">
        <f>[3]main!E95</f>
        <v>0</v>
      </c>
      <c r="E45" s="54">
        <f>IF(B36-SUM(E41:E44)&gt;D45,D45,B36-SUM(E41:E44))</f>
        <v>0</v>
      </c>
      <c r="F45" s="54">
        <f>D45-E45</f>
        <v>0</v>
      </c>
      <c r="G45" s="1"/>
      <c r="H45" s="30"/>
      <c r="I45" s="30"/>
      <c r="J45" s="30"/>
    </row>
    <row r="46" spans="1:10" x14ac:dyDescent="0.2">
      <c r="A46" s="55" t="s">
        <v>20</v>
      </c>
      <c r="B46" s="56"/>
      <c r="C46" s="63"/>
      <c r="D46" s="64"/>
      <c r="E46" s="64"/>
      <c r="F46" s="64" t="s">
        <v>14</v>
      </c>
      <c r="G46" s="1"/>
      <c r="H46" s="57" t="s">
        <v>44</v>
      </c>
      <c r="I46" s="30"/>
      <c r="J46" s="30"/>
    </row>
    <row r="47" spans="1:10" x14ac:dyDescent="0.2">
      <c r="A47" s="58" t="s">
        <v>21</v>
      </c>
      <c r="B47" s="59"/>
      <c r="C47" s="53">
        <f>'[6]Sheet 1'!C37</f>
        <v>33.804000000000002</v>
      </c>
      <c r="D47" s="54">
        <f>'[6]Sheet 1'!E37</f>
        <v>107631.87</v>
      </c>
      <c r="E47" s="54">
        <f>IF(B36-SUM(E41:E46)&gt;D47,D47,B36-SUM(E41:E46))</f>
        <v>0</v>
      </c>
      <c r="F47" s="54">
        <f t="shared" ref="F47:F55" si="0">D47-E47</f>
        <v>107631.87</v>
      </c>
      <c r="G47" s="1"/>
      <c r="H47" s="57">
        <f>'[6]Sheet 1'!N153</f>
        <v>138679.26999999999</v>
      </c>
      <c r="I47" s="30"/>
      <c r="J47" s="30"/>
    </row>
    <row r="48" spans="1:10" x14ac:dyDescent="0.2">
      <c r="A48" s="59" t="s">
        <v>22</v>
      </c>
      <c r="B48" s="59"/>
      <c r="C48" s="53">
        <f>'[6]Sheet 1'!F37</f>
        <v>5.23</v>
      </c>
      <c r="D48" s="54">
        <f>'[6]Sheet 1'!H37</f>
        <v>16652.32</v>
      </c>
      <c r="E48" s="54">
        <f>IF(B36-SUM(E41:E47)&gt;D48,D48,B36-SUM(E41:E47))</f>
        <v>0</v>
      </c>
      <c r="F48" s="54">
        <f t="shared" si="0"/>
        <v>16652.32</v>
      </c>
      <c r="G48" s="1"/>
      <c r="H48" s="57">
        <f>SUM(D47:D53)</f>
        <v>138679.26999999999</v>
      </c>
      <c r="I48" s="30"/>
      <c r="J48" s="30"/>
    </row>
    <row r="49" spans="1:10" x14ac:dyDescent="0.2">
      <c r="A49" s="59" t="s">
        <v>23</v>
      </c>
      <c r="B49" s="59"/>
      <c r="C49" s="53">
        <f>'[6]Sheet 1'!C95</f>
        <v>2.94</v>
      </c>
      <c r="D49" s="54">
        <f>'[6]Sheet 1'!E95</f>
        <v>9360.9599999999991</v>
      </c>
      <c r="E49" s="54">
        <f>IF(B36-SUM(E41:E48)&gt;D49,D49,B36-SUM(E41:E48))</f>
        <v>0</v>
      </c>
      <c r="F49" s="54">
        <f t="shared" si="0"/>
        <v>9360.9599999999991</v>
      </c>
      <c r="G49" s="1"/>
      <c r="H49" s="57">
        <f>+H47-H48</f>
        <v>0</v>
      </c>
      <c r="I49" s="30"/>
      <c r="J49" s="30"/>
    </row>
    <row r="50" spans="1:10" x14ac:dyDescent="0.2">
      <c r="A50" s="58" t="s">
        <v>24</v>
      </c>
      <c r="B50" s="59"/>
      <c r="C50" s="53">
        <f>'[6]Sheet 1'!F95</f>
        <v>0.70899999999999996</v>
      </c>
      <c r="D50" s="54">
        <f>'[6]Sheet 1'!H95</f>
        <v>2259</v>
      </c>
      <c r="E50" s="54">
        <f>IF(B36-SUM(E41:E49)&gt;D50,D50,B36-SUM(E41:E49))</f>
        <v>0</v>
      </c>
      <c r="F50" s="54">
        <f t="shared" si="0"/>
        <v>2259</v>
      </c>
      <c r="G50" s="1"/>
      <c r="H50" s="30"/>
      <c r="I50" s="30"/>
      <c r="J50" s="30"/>
    </row>
    <row r="51" spans="1:10" x14ac:dyDescent="0.2">
      <c r="A51" s="59" t="s">
        <v>71</v>
      </c>
      <c r="B51" s="59"/>
      <c r="C51" s="53">
        <f>'[6]Sheet 1'!C153</f>
        <v>0.872</v>
      </c>
      <c r="D51" s="54">
        <f>'[6]Sheet 1'!E153</f>
        <v>2775.12</v>
      </c>
      <c r="E51" s="54">
        <f>IF(B36-SUM(E41:E50)&gt;D51,D51,B36-SUM(E41:E50))</f>
        <v>0</v>
      </c>
      <c r="F51" s="54">
        <f t="shared" si="0"/>
        <v>2775.12</v>
      </c>
      <c r="G51" s="1"/>
      <c r="H51" s="30"/>
      <c r="I51" s="30"/>
      <c r="J51" s="30"/>
    </row>
    <row r="52" spans="1:10" x14ac:dyDescent="0.2">
      <c r="A52" s="59" t="s">
        <v>57</v>
      </c>
      <c r="B52" s="59"/>
      <c r="C52" s="53">
        <f>'[6]Sheet 1'!F153</f>
        <v>0</v>
      </c>
      <c r="D52" s="54">
        <f>'[6]Sheet 1'!H153</f>
        <v>0</v>
      </c>
      <c r="E52" s="54">
        <f>IF(B37-SUM(E42:E51)&gt;D52,D52,B37-SUM(E42:E51))</f>
        <v>0</v>
      </c>
      <c r="F52" s="54">
        <f t="shared" si="0"/>
        <v>0</v>
      </c>
      <c r="G52" s="1"/>
      <c r="H52" s="30"/>
      <c r="I52" s="30"/>
      <c r="J52" s="30"/>
    </row>
    <row r="53" spans="1:10" x14ac:dyDescent="0.2">
      <c r="A53" s="59" t="s">
        <v>64</v>
      </c>
      <c r="B53" s="59"/>
      <c r="C53" s="53">
        <f>'[6]Sheet 1'!I153</f>
        <v>0</v>
      </c>
      <c r="D53" s="54">
        <f>'[6]Sheet 1'!K153</f>
        <v>0</v>
      </c>
      <c r="E53" s="54">
        <f>IF(B39-SUM(E43:E52)&gt;D53,D53,B39-SUM(E43:E52))</f>
        <v>0</v>
      </c>
      <c r="F53" s="54">
        <f t="shared" si="0"/>
        <v>0</v>
      </c>
      <c r="G53" s="1"/>
      <c r="H53" s="57" t="s">
        <v>46</v>
      </c>
      <c r="I53" s="30"/>
      <c r="J53" s="30"/>
    </row>
    <row r="54" spans="1:10" x14ac:dyDescent="0.2">
      <c r="A54" s="59" t="s">
        <v>58</v>
      </c>
      <c r="B54" s="59"/>
      <c r="C54" s="53">
        <f>'[6]Sheet 1'!C211</f>
        <v>59.091999999999999</v>
      </c>
      <c r="D54" s="54">
        <f>'[6]Sheet 1'!E211</f>
        <v>188147.55</v>
      </c>
      <c r="E54" s="54">
        <f>IF(B36-SUM(E41:E51)&gt;D54,D54,B36-SUM(E41:E51))</f>
        <v>0</v>
      </c>
      <c r="F54" s="54">
        <f t="shared" si="0"/>
        <v>188147.55</v>
      </c>
      <c r="G54" s="4"/>
      <c r="H54" s="57">
        <f>+'[6]Sheet 1'!E211</f>
        <v>188147.55</v>
      </c>
      <c r="I54" s="30"/>
      <c r="J54" s="30"/>
    </row>
    <row r="55" spans="1:10" x14ac:dyDescent="0.2">
      <c r="A55" s="58" t="s">
        <v>59</v>
      </c>
      <c r="B55" s="59"/>
      <c r="C55" s="53">
        <f>'[5]Sheet 1'!C37</f>
        <v>13.48</v>
      </c>
      <c r="D55" s="54">
        <f>'[5]Sheet 1'!E37</f>
        <v>42919.76</v>
      </c>
      <c r="E55" s="54">
        <f>IF(B36-SUM(E41:E54)&gt;D55,D55,B36-SUM(E41:E54))</f>
        <v>0</v>
      </c>
      <c r="F55" s="54">
        <f t="shared" si="0"/>
        <v>42919.76</v>
      </c>
      <c r="G55" s="5"/>
      <c r="H55" s="57">
        <f>+D54</f>
        <v>188147.55</v>
      </c>
      <c r="I55" s="30"/>
      <c r="J55" s="30"/>
    </row>
    <row r="56" spans="1:10" x14ac:dyDescent="0.2">
      <c r="A56" s="65" t="s">
        <v>28</v>
      </c>
      <c r="B56" s="56"/>
      <c r="C56" s="66">
        <f>SUM(C41:C55)</f>
        <v>838.40200000000004</v>
      </c>
      <c r="D56" s="67">
        <f>SUM(D41:D55)</f>
        <v>2669468.2999999998</v>
      </c>
      <c r="E56" s="67">
        <f>SUM(E41:E55)</f>
        <v>107375</v>
      </c>
      <c r="F56" s="67">
        <f>SUM(F41:F55)</f>
        <v>2562093.2999999998</v>
      </c>
      <c r="G56" s="1"/>
      <c r="H56" s="57">
        <f>+H54-H55</f>
        <v>0</v>
      </c>
      <c r="I56" s="30"/>
      <c r="J56" s="30"/>
    </row>
    <row r="57" spans="1:10" x14ac:dyDescent="0.2">
      <c r="A57" s="68" t="s">
        <v>26</v>
      </c>
      <c r="B57" s="56"/>
      <c r="C57" s="69"/>
      <c r="D57" s="54"/>
      <c r="E57" s="54"/>
      <c r="F57" s="54"/>
      <c r="G57" s="1"/>
      <c r="H57" s="57" t="s">
        <v>47</v>
      </c>
      <c r="I57" s="30"/>
      <c r="J57" s="57" t="s">
        <v>52</v>
      </c>
    </row>
    <row r="58" spans="1:10" x14ac:dyDescent="0.2">
      <c r="A58" s="58" t="s">
        <v>56</v>
      </c>
      <c r="B58" s="59"/>
      <c r="C58" s="20"/>
      <c r="D58" s="70">
        <f>[1]Main!F38</f>
        <v>7737.37</v>
      </c>
      <c r="E58" s="54">
        <f>IF($B36-SUM($E56)&gt;D58,D58,$B36-SUM($E56))</f>
        <v>0</v>
      </c>
      <c r="F58" s="54">
        <f t="shared" ref="F58:F76" si="1">D58-E58</f>
        <v>7737.37</v>
      </c>
      <c r="G58" s="1"/>
      <c r="H58" s="57">
        <f>[1]Main!G38</f>
        <v>81658.039999999994</v>
      </c>
      <c r="I58" s="30"/>
      <c r="J58" s="57">
        <f>+[1]Main!D499</f>
        <v>497965.15</v>
      </c>
    </row>
    <row r="59" spans="1:10" x14ac:dyDescent="0.2">
      <c r="A59" s="59" t="s">
        <v>25</v>
      </c>
      <c r="B59" s="59"/>
      <c r="C59" s="20"/>
      <c r="D59" s="70">
        <f>[1]Main!C38</f>
        <v>52910.67</v>
      </c>
      <c r="E59" s="54">
        <f>IF($B36-SUM($E56:E58)&gt;D59,D59,B36-SUM($E56:E58))</f>
        <v>0</v>
      </c>
      <c r="F59" s="54">
        <f t="shared" si="1"/>
        <v>52910.67</v>
      </c>
      <c r="G59" s="1"/>
      <c r="H59" s="57">
        <f>SUM(D58:D60)</f>
        <v>81658.039999999994</v>
      </c>
      <c r="I59" s="30"/>
      <c r="J59" s="57">
        <f>SUM(D58:D85)-E71</f>
        <v>497965.15</v>
      </c>
    </row>
    <row r="60" spans="1:10" x14ac:dyDescent="0.2">
      <c r="A60" s="71" t="s">
        <v>27</v>
      </c>
      <c r="B60" s="59"/>
      <c r="C60" s="20"/>
      <c r="D60" s="70">
        <f>[1]Main!D38</f>
        <v>21010</v>
      </c>
      <c r="E60" s="54">
        <f>IF($B36-SUM($E56:E59)&gt;D60,D60,$B36-SUM($E56:E59))</f>
        <v>0</v>
      </c>
      <c r="F60" s="54">
        <f>D60-E60</f>
        <v>21010</v>
      </c>
      <c r="G60" s="1"/>
      <c r="H60" s="57">
        <f>+H58-H59</f>
        <v>0</v>
      </c>
      <c r="I60" s="30"/>
      <c r="J60" s="57">
        <f>+J58-J59</f>
        <v>0</v>
      </c>
    </row>
    <row r="61" spans="1:10" x14ac:dyDescent="0.2">
      <c r="A61" s="72" t="s">
        <v>72</v>
      </c>
      <c r="B61" s="59"/>
      <c r="C61" s="20"/>
      <c r="D61" s="70">
        <f>[1]Main!E38</f>
        <v>0</v>
      </c>
      <c r="E61" s="54">
        <f>IF($B37-SUM($E57:E60)&gt;D61,D61,$B37-SUM($E57:E60))</f>
        <v>0</v>
      </c>
      <c r="F61" s="54">
        <f>D61-E61</f>
        <v>0</v>
      </c>
      <c r="G61" s="1"/>
      <c r="H61" s="30"/>
      <c r="I61" s="30"/>
      <c r="J61" s="30"/>
    </row>
    <row r="62" spans="1:10" x14ac:dyDescent="0.2">
      <c r="A62" s="72" t="s">
        <v>73</v>
      </c>
      <c r="B62" s="59"/>
      <c r="C62" s="20"/>
      <c r="D62" s="54">
        <f>+[1]Main!$F154</f>
        <v>1176.8</v>
      </c>
      <c r="E62" s="54">
        <f>IF($B36-SUM($E56:E60)&gt;D62,D62,$B36-SUM($E56:E60))</f>
        <v>0</v>
      </c>
      <c r="F62" s="54">
        <f t="shared" si="1"/>
        <v>1176.8</v>
      </c>
      <c r="G62" s="1"/>
      <c r="H62" s="30"/>
      <c r="I62" s="30"/>
      <c r="J62" s="30"/>
    </row>
    <row r="63" spans="1:10" x14ac:dyDescent="0.2">
      <c r="A63" s="71" t="s">
        <v>74</v>
      </c>
      <c r="B63" s="59"/>
      <c r="C63" s="20"/>
      <c r="D63" s="54">
        <f>+[1]Main!$C96</f>
        <v>16192</v>
      </c>
      <c r="E63" s="54">
        <f>IF($B36-SUM($E56:E62)&gt;D63,D63,$B36-SUM($E56:E62))</f>
        <v>0</v>
      </c>
      <c r="F63" s="54">
        <f t="shared" si="1"/>
        <v>16192</v>
      </c>
      <c r="G63" s="1"/>
      <c r="H63" s="30"/>
      <c r="I63" s="30"/>
      <c r="J63" s="30"/>
    </row>
    <row r="64" spans="1:10" x14ac:dyDescent="0.2">
      <c r="A64" s="71" t="s">
        <v>75</v>
      </c>
      <c r="B64" s="59"/>
      <c r="C64" s="20"/>
      <c r="D64" s="54">
        <f>+[1]Main!$D96</f>
        <v>0</v>
      </c>
      <c r="E64" s="54">
        <f>IF($B36-SUM($E56:E63)&gt;D64,D64,$B36-SUM($E56:E63))</f>
        <v>0</v>
      </c>
      <c r="F64" s="54">
        <f t="shared" si="1"/>
        <v>0</v>
      </c>
      <c r="G64" s="1"/>
      <c r="H64" s="30"/>
      <c r="I64" s="30"/>
      <c r="J64" s="30"/>
    </row>
    <row r="65" spans="1:10" x14ac:dyDescent="0.2">
      <c r="A65" s="71" t="s">
        <v>76</v>
      </c>
      <c r="B65" s="59"/>
      <c r="C65" s="20"/>
      <c r="D65" s="54">
        <f>+[1]Main!$E96</f>
        <v>0</v>
      </c>
      <c r="E65" s="54">
        <f>IF($B36-SUM($E56:E64)&gt;D65,D65,$B36-SUM($E56:E64))</f>
        <v>0</v>
      </c>
      <c r="F65" s="54">
        <f t="shared" si="1"/>
        <v>0</v>
      </c>
      <c r="G65" s="1"/>
      <c r="H65" s="30"/>
      <c r="I65" s="30"/>
      <c r="J65" s="30"/>
    </row>
    <row r="66" spans="1:10" x14ac:dyDescent="0.2">
      <c r="A66" s="71" t="s">
        <v>77</v>
      </c>
      <c r="B66" s="59"/>
      <c r="C66" s="20"/>
      <c r="D66" s="54">
        <f>[1]Main!F96</f>
        <v>28755</v>
      </c>
      <c r="E66" s="54">
        <f>IF($B36-SUM($E56:E65)&gt;D66,D66,$B36-SUM($E56:E65))</f>
        <v>0</v>
      </c>
      <c r="F66" s="54">
        <f t="shared" si="1"/>
        <v>28755</v>
      </c>
      <c r="G66" s="1"/>
      <c r="H66" s="57" t="s">
        <v>48</v>
      </c>
      <c r="I66" s="30"/>
      <c r="J66" s="30"/>
    </row>
    <row r="67" spans="1:10" x14ac:dyDescent="0.2">
      <c r="A67" s="71" t="s">
        <v>79</v>
      </c>
      <c r="B67" s="59"/>
      <c r="C67" s="20"/>
      <c r="D67" s="54">
        <f>[1]Main!G96</f>
        <v>0</v>
      </c>
      <c r="E67" s="54">
        <f>IF($B36-SUM($E56:E66)&gt;D67,D67,$B36-SUM($E56:E66))</f>
        <v>0</v>
      </c>
      <c r="F67" s="54">
        <f t="shared" si="1"/>
        <v>0</v>
      </c>
      <c r="G67" s="1"/>
      <c r="H67" s="57"/>
      <c r="I67" s="30"/>
      <c r="J67" s="30"/>
    </row>
    <row r="68" spans="1:10" x14ac:dyDescent="0.2">
      <c r="A68" s="71" t="s">
        <v>78</v>
      </c>
      <c r="B68" s="59"/>
      <c r="C68" s="20"/>
      <c r="D68" s="54">
        <f>[1]Main!G154</f>
        <v>13886.49</v>
      </c>
      <c r="E68" s="54">
        <f>IF($B36-SUM($E56:E67)&gt;D68,D68,$B36-SUM($E56:E67))</f>
        <v>0</v>
      </c>
      <c r="F68" s="54">
        <f t="shared" si="1"/>
        <v>13886.49</v>
      </c>
      <c r="G68" s="1"/>
      <c r="H68" s="73">
        <f>+[1]Main!D212</f>
        <v>60010.29</v>
      </c>
      <c r="I68" s="30"/>
      <c r="J68" s="30"/>
    </row>
    <row r="69" spans="1:10" x14ac:dyDescent="0.2">
      <c r="A69" s="71" t="s">
        <v>80</v>
      </c>
      <c r="B69" s="59"/>
      <c r="C69" s="20"/>
      <c r="D69" s="54">
        <f>[1]Main!C212</f>
        <v>0</v>
      </c>
      <c r="E69" s="54"/>
      <c r="F69" s="54">
        <f t="shared" si="1"/>
        <v>0</v>
      </c>
      <c r="G69" s="1"/>
      <c r="H69" s="57">
        <f>+SUM(D62:D69)</f>
        <v>60010.29</v>
      </c>
      <c r="I69" s="30"/>
      <c r="J69" s="30"/>
    </row>
    <row r="70" spans="1:10" x14ac:dyDescent="0.2">
      <c r="A70" s="71" t="s">
        <v>81</v>
      </c>
      <c r="B70" s="59"/>
      <c r="C70" s="20"/>
      <c r="D70" s="54">
        <f>[1]Main!C270</f>
        <v>125461</v>
      </c>
      <c r="E70" s="54">
        <v>0</v>
      </c>
      <c r="F70" s="54">
        <f t="shared" si="1"/>
        <v>125461</v>
      </c>
      <c r="G70" s="1"/>
      <c r="H70" s="57">
        <f>+H68-H69</f>
        <v>0</v>
      </c>
      <c r="I70" s="30"/>
      <c r="J70" s="30"/>
    </row>
    <row r="71" spans="1:10" x14ac:dyDescent="0.2">
      <c r="A71" s="71" t="s">
        <v>82</v>
      </c>
      <c r="B71" s="59"/>
      <c r="C71" s="20"/>
      <c r="D71" s="54">
        <f>+[7]Main!I37+[7]Main!J37</f>
        <v>52150.71</v>
      </c>
      <c r="E71" s="74">
        <f>[7]Main!J37</f>
        <v>6321.27</v>
      </c>
      <c r="F71" s="54">
        <f t="shared" si="1"/>
        <v>45829.440000000002</v>
      </c>
      <c r="G71" s="1"/>
      <c r="H71" s="30"/>
      <c r="I71" s="30"/>
      <c r="J71" s="30"/>
    </row>
    <row r="72" spans="1:10" x14ac:dyDescent="0.2">
      <c r="A72" s="71" t="s">
        <v>83</v>
      </c>
      <c r="B72" s="59"/>
      <c r="C72" s="20"/>
      <c r="D72" s="54">
        <f>[1]Main!F270</f>
        <v>31630</v>
      </c>
      <c r="E72" s="54">
        <v>0</v>
      </c>
      <c r="F72" s="54">
        <f t="shared" si="1"/>
        <v>31630</v>
      </c>
      <c r="G72" s="1"/>
      <c r="H72" s="30"/>
      <c r="I72" s="30"/>
      <c r="J72" s="30"/>
    </row>
    <row r="73" spans="1:10" x14ac:dyDescent="0.2">
      <c r="A73" s="71" t="s">
        <v>84</v>
      </c>
      <c r="B73" s="59"/>
      <c r="C73" s="7"/>
      <c r="D73" s="54">
        <f>[1]Main!E270</f>
        <v>0</v>
      </c>
      <c r="E73" s="54">
        <v>0</v>
      </c>
      <c r="F73" s="54">
        <f t="shared" si="1"/>
        <v>0</v>
      </c>
      <c r="G73" s="1"/>
      <c r="H73" s="57" t="s">
        <v>49</v>
      </c>
      <c r="I73" s="30"/>
      <c r="J73" s="30"/>
    </row>
    <row r="74" spans="1:10" x14ac:dyDescent="0.2">
      <c r="A74" s="71" t="s">
        <v>85</v>
      </c>
      <c r="B74" s="59"/>
      <c r="C74" s="7"/>
      <c r="D74" s="54">
        <f>[1]Main!G270</f>
        <v>0</v>
      </c>
      <c r="E74" s="54">
        <v>0</v>
      </c>
      <c r="F74" s="54">
        <f t="shared" si="1"/>
        <v>0</v>
      </c>
      <c r="G74" s="1"/>
      <c r="H74" s="57">
        <f>+[1]Main!C499</f>
        <v>344827.98</v>
      </c>
      <c r="I74" s="57"/>
      <c r="J74" s="57"/>
    </row>
    <row r="75" spans="1:10" x14ac:dyDescent="0.2">
      <c r="A75" s="71" t="s">
        <v>86</v>
      </c>
      <c r="B75" s="59"/>
      <c r="C75" s="20"/>
      <c r="D75" s="54">
        <f>[1]Main!C328</f>
        <v>0</v>
      </c>
      <c r="E75" s="54">
        <v>0</v>
      </c>
      <c r="F75" s="54">
        <f t="shared" si="1"/>
        <v>0</v>
      </c>
      <c r="G75" s="1"/>
      <c r="H75" s="57">
        <f>+SUM(D70:D80)-E71</f>
        <v>344827.98</v>
      </c>
      <c r="I75" s="57"/>
      <c r="J75" s="57">
        <f>+H75-H74</f>
        <v>0</v>
      </c>
    </row>
    <row r="76" spans="1:10" x14ac:dyDescent="0.2">
      <c r="A76" s="71" t="s">
        <v>87</v>
      </c>
      <c r="C76" s="8"/>
      <c r="D76" s="76">
        <f>[1]Main!D328</f>
        <v>109737.08</v>
      </c>
      <c r="E76" s="77">
        <v>0</v>
      </c>
      <c r="F76" s="77">
        <f t="shared" si="1"/>
        <v>109737.08</v>
      </c>
      <c r="G76" s="5"/>
      <c r="H76" s="57">
        <f>+H74-H75</f>
        <v>0</v>
      </c>
      <c r="I76" s="57"/>
      <c r="J76" s="57"/>
    </row>
    <row r="77" spans="1:10" x14ac:dyDescent="0.2">
      <c r="A77" s="71" t="s">
        <v>88</v>
      </c>
      <c r="B77" s="59"/>
      <c r="C77" s="20"/>
      <c r="D77" s="54">
        <f>+[1]Main!$E328</f>
        <v>1119.9100000000001</v>
      </c>
      <c r="E77" s="54">
        <v>0</v>
      </c>
      <c r="F77" s="54">
        <f>D77-E77</f>
        <v>1119.9100000000001</v>
      </c>
      <c r="G77" s="4"/>
      <c r="H77" s="30"/>
      <c r="I77" s="30"/>
      <c r="J77" s="30"/>
    </row>
    <row r="78" spans="1:10" x14ac:dyDescent="0.2">
      <c r="A78" s="71" t="s">
        <v>89</v>
      </c>
      <c r="B78" s="59"/>
      <c r="C78" s="20"/>
      <c r="D78" s="54">
        <f>[1]Main!F328</f>
        <v>4767.6000000000004</v>
      </c>
      <c r="E78" s="54">
        <v>0</v>
      </c>
      <c r="F78" s="54">
        <f>D78-E78</f>
        <v>4767.6000000000004</v>
      </c>
      <c r="G78" s="4"/>
      <c r="H78" s="30"/>
      <c r="I78" s="30"/>
      <c r="J78" s="30"/>
    </row>
    <row r="79" spans="1:10" x14ac:dyDescent="0.2">
      <c r="A79" s="71" t="s">
        <v>90</v>
      </c>
      <c r="B79" s="59"/>
      <c r="C79" s="20"/>
      <c r="D79" s="54">
        <f>[1]Main!G328</f>
        <v>0</v>
      </c>
      <c r="E79" s="54">
        <v>0</v>
      </c>
      <c r="F79" s="54">
        <f>D79-E79</f>
        <v>0</v>
      </c>
      <c r="G79" s="1"/>
      <c r="H79" s="57" t="s">
        <v>50</v>
      </c>
      <c r="I79" s="30"/>
      <c r="J79" s="30"/>
    </row>
    <row r="80" spans="1:10" x14ac:dyDescent="0.2">
      <c r="A80" s="71" t="s">
        <v>93</v>
      </c>
      <c r="B80" s="59"/>
      <c r="C80" s="20"/>
      <c r="D80" s="54">
        <f>[1]Main!F385</f>
        <v>26282.95</v>
      </c>
      <c r="E80" s="54">
        <v>0</v>
      </c>
      <c r="F80" s="54">
        <f>D80-E80</f>
        <v>26282.95</v>
      </c>
      <c r="G80" s="1"/>
      <c r="H80" s="57"/>
      <c r="I80" s="30"/>
      <c r="J80" s="30"/>
    </row>
    <row r="81" spans="1:10" x14ac:dyDescent="0.2">
      <c r="A81" s="55" t="s">
        <v>30</v>
      </c>
      <c r="B81" s="78"/>
      <c r="C81" s="79"/>
      <c r="D81" s="64"/>
      <c r="E81" s="64"/>
      <c r="F81" s="64"/>
      <c r="G81" s="1"/>
      <c r="H81" s="57"/>
      <c r="I81" s="30"/>
      <c r="J81" s="30"/>
    </row>
    <row r="82" spans="1:10" x14ac:dyDescent="0.2">
      <c r="A82" s="71" t="s">
        <v>60</v>
      </c>
      <c r="B82" s="59"/>
      <c r="C82" s="20"/>
      <c r="D82" s="54">
        <f>[1]Main!C442</f>
        <v>4001.71</v>
      </c>
      <c r="E82" s="54">
        <v>0</v>
      </c>
      <c r="F82" s="54">
        <f>D82-E82</f>
        <v>4001.71</v>
      </c>
      <c r="G82" s="1"/>
      <c r="H82" s="57">
        <f>+[1]Main!G442</f>
        <v>11468.84</v>
      </c>
      <c r="I82" s="30"/>
      <c r="J82" s="30"/>
    </row>
    <row r="83" spans="1:10" x14ac:dyDescent="0.2">
      <c r="A83" s="71" t="s">
        <v>63</v>
      </c>
      <c r="B83" s="59"/>
      <c r="C83" s="20"/>
      <c r="D83" s="54">
        <f>[1]Main!D442</f>
        <v>0</v>
      </c>
      <c r="E83" s="54">
        <v>0</v>
      </c>
      <c r="F83" s="54">
        <f>D83-E83</f>
        <v>0</v>
      </c>
      <c r="G83" s="4"/>
      <c r="H83" s="57">
        <f>SUM(D82:D85)</f>
        <v>11468.84</v>
      </c>
      <c r="I83" s="30"/>
      <c r="J83" s="30"/>
    </row>
    <row r="84" spans="1:10" x14ac:dyDescent="0.2">
      <c r="A84" s="71" t="s">
        <v>91</v>
      </c>
      <c r="B84" s="59"/>
      <c r="C84" s="20"/>
      <c r="D84" s="54">
        <f>[1]Main!E442</f>
        <v>0</v>
      </c>
      <c r="E84" s="54">
        <v>0</v>
      </c>
      <c r="F84" s="54">
        <f>D84-E84</f>
        <v>0</v>
      </c>
      <c r="G84" s="4"/>
      <c r="H84" s="57">
        <f>+H82-H83</f>
        <v>0</v>
      </c>
      <c r="I84" s="30"/>
      <c r="J84" s="30"/>
    </row>
    <row r="85" spans="1:10" x14ac:dyDescent="0.2">
      <c r="A85" s="71" t="s">
        <v>92</v>
      </c>
      <c r="B85" s="59"/>
      <c r="C85" s="20"/>
      <c r="D85" s="54">
        <f>[1]Main!F442</f>
        <v>7467.13</v>
      </c>
      <c r="E85" s="54">
        <v>0</v>
      </c>
      <c r="F85" s="54">
        <f>D85-E85</f>
        <v>7467.13</v>
      </c>
      <c r="G85" s="1"/>
      <c r="H85" s="30"/>
      <c r="I85" s="30"/>
      <c r="J85" s="30"/>
    </row>
    <row r="86" spans="1:10" x14ac:dyDescent="0.2">
      <c r="A86" s="55" t="s">
        <v>31</v>
      </c>
      <c r="B86" s="78"/>
      <c r="C86" s="79"/>
      <c r="D86" s="64"/>
      <c r="E86" s="64"/>
      <c r="F86" s="64"/>
      <c r="G86" s="1"/>
      <c r="H86" s="30"/>
      <c r="I86" s="30"/>
      <c r="J86" s="30"/>
    </row>
    <row r="87" spans="1:10" x14ac:dyDescent="0.2">
      <c r="A87" s="58" t="s">
        <v>69</v>
      </c>
      <c r="B87" s="59"/>
      <c r="C87" s="20"/>
      <c r="D87" s="54">
        <f>+[1]Main!$G555</f>
        <v>517057.12</v>
      </c>
      <c r="E87" s="54">
        <f>+[1]Main!$D555</f>
        <v>102566.85</v>
      </c>
      <c r="F87" s="54">
        <f>+D87-E87</f>
        <v>414490.27</v>
      </c>
      <c r="G87" s="1"/>
      <c r="H87" s="30"/>
      <c r="I87" s="30"/>
      <c r="J87" s="30"/>
    </row>
    <row r="88" spans="1:10" x14ac:dyDescent="0.2">
      <c r="A88" s="59" t="s">
        <v>68</v>
      </c>
      <c r="B88" s="59"/>
      <c r="C88" s="20"/>
      <c r="D88" s="54">
        <f>+[1]Main!$G610</f>
        <v>129264.28</v>
      </c>
      <c r="E88" s="54">
        <f>+[1]Main!$D610</f>
        <v>25641.71</v>
      </c>
      <c r="F88" s="54">
        <f>+D88-E88</f>
        <v>103622.57</v>
      </c>
      <c r="G88" s="1"/>
      <c r="H88" s="30"/>
      <c r="I88" s="30"/>
      <c r="J88" s="30"/>
    </row>
    <row r="89" spans="1:10" ht="13.5" thickBot="1" x14ac:dyDescent="0.25">
      <c r="A89" s="80"/>
      <c r="B89" s="81"/>
      <c r="C89" s="82" t="s">
        <v>29</v>
      </c>
      <c r="D89" s="83">
        <f>SUM(D56:D88)</f>
        <v>3820076.12</v>
      </c>
      <c r="E89" s="83">
        <f>SUM(E56:E88)</f>
        <v>241904.83</v>
      </c>
      <c r="F89" s="83">
        <f>SUM(F56:F88)</f>
        <v>3578171.29</v>
      </c>
      <c r="G89" s="1"/>
      <c r="H89" s="30"/>
      <c r="I89" s="30"/>
      <c r="J89" s="30"/>
    </row>
    <row r="90" spans="1:10" ht="13.5" thickTop="1" x14ac:dyDescent="0.2">
      <c r="A90" s="84"/>
      <c r="B90" s="59"/>
      <c r="C90" s="85"/>
      <c r="D90" s="86"/>
      <c r="E90" s="86"/>
      <c r="F90" s="87"/>
      <c r="G90" s="1"/>
      <c r="H90" s="30"/>
      <c r="I90" s="30"/>
      <c r="J90" s="30"/>
    </row>
    <row r="91" spans="1:10" x14ac:dyDescent="0.2">
      <c r="A91" s="88" t="s">
        <v>40</v>
      </c>
      <c r="B91" s="78"/>
      <c r="C91" s="89"/>
      <c r="D91" s="90"/>
      <c r="E91" s="91"/>
      <c r="F91" s="92" t="s">
        <v>36</v>
      </c>
      <c r="G91" s="6"/>
      <c r="H91" s="57" t="s">
        <v>51</v>
      </c>
      <c r="I91" s="30"/>
      <c r="J91" s="57" t="s">
        <v>7</v>
      </c>
    </row>
    <row r="92" spans="1:10" x14ac:dyDescent="0.2">
      <c r="A92" s="93" t="s">
        <v>33</v>
      </c>
      <c r="B92" s="94"/>
      <c r="C92" s="95"/>
      <c r="D92" s="96"/>
      <c r="E92" s="96"/>
      <c r="F92" s="91"/>
      <c r="G92" s="6"/>
      <c r="H92" s="30"/>
      <c r="I92" s="30"/>
      <c r="J92" s="30"/>
    </row>
    <row r="93" spans="1:10" x14ac:dyDescent="0.2">
      <c r="A93" s="59" t="s">
        <v>34</v>
      </c>
      <c r="B93" s="59"/>
      <c r="C93" s="22"/>
      <c r="D93" s="27"/>
      <c r="E93" s="27"/>
      <c r="F93" s="97">
        <f>+[8]Main!$C38</f>
        <v>200000</v>
      </c>
      <c r="G93" s="5"/>
      <c r="H93" s="57">
        <f>+[1]Main!G666</f>
        <v>646321.4</v>
      </c>
      <c r="I93" s="30"/>
      <c r="J93" s="57">
        <f>+[1]Main!E666+[1]Main!F666</f>
        <v>518112.84</v>
      </c>
    </row>
    <row r="94" spans="1:10" x14ac:dyDescent="0.2">
      <c r="A94" s="59" t="s">
        <v>66</v>
      </c>
      <c r="B94" s="59"/>
      <c r="C94" s="22"/>
      <c r="D94" s="27"/>
      <c r="E94" s="27"/>
      <c r="F94" s="97">
        <f>+[8]Main!$D38</f>
        <v>0</v>
      </c>
      <c r="G94" s="5"/>
      <c r="H94" s="57">
        <f>+D87+D88</f>
        <v>646321.4</v>
      </c>
      <c r="I94" s="30"/>
      <c r="J94" s="57">
        <f>+F87+F88</f>
        <v>518112.84</v>
      </c>
    </row>
    <row r="95" spans="1:10" x14ac:dyDescent="0.2">
      <c r="A95" s="32" t="s">
        <v>65</v>
      </c>
      <c r="B95" s="32"/>
      <c r="C95" s="22"/>
      <c r="D95" s="28"/>
      <c r="E95" s="28"/>
      <c r="F95" s="97">
        <f>+[8]Main!$E38</f>
        <v>3352</v>
      </c>
      <c r="G95" s="1"/>
      <c r="H95" s="57">
        <f>+H93-H94</f>
        <v>0</v>
      </c>
      <c r="I95" s="30"/>
      <c r="J95" s="57">
        <f>+J93-J94</f>
        <v>0</v>
      </c>
    </row>
    <row r="96" spans="1:10" x14ac:dyDescent="0.2">
      <c r="A96" s="32" t="s">
        <v>67</v>
      </c>
      <c r="B96" s="32"/>
      <c r="C96" s="22"/>
      <c r="D96" s="28"/>
      <c r="E96" s="28"/>
      <c r="F96" s="97">
        <f>+[8]Main!$F38</f>
        <v>6656</v>
      </c>
      <c r="G96" s="1"/>
      <c r="H96" s="30"/>
      <c r="I96" s="30"/>
      <c r="J96" s="30"/>
    </row>
    <row r="97" spans="1:10" x14ac:dyDescent="0.2">
      <c r="A97" s="88" t="s">
        <v>35</v>
      </c>
      <c r="B97" s="78"/>
      <c r="C97" s="89"/>
      <c r="D97" s="90"/>
      <c r="E97" s="91"/>
      <c r="F97" s="54">
        <f>+[8]Main!$C96</f>
        <v>11261.94</v>
      </c>
      <c r="G97" s="1"/>
      <c r="H97" s="30"/>
      <c r="I97" s="30"/>
      <c r="J97" s="30"/>
    </row>
    <row r="98" spans="1:10" ht="13.5" thickBot="1" x14ac:dyDescent="0.25">
      <c r="A98" s="98"/>
      <c r="B98" s="99"/>
      <c r="C98" s="100" t="s">
        <v>29</v>
      </c>
      <c r="D98" s="101"/>
      <c r="E98" s="102"/>
      <c r="F98" s="103">
        <f>SUM(F93:F97)</f>
        <v>221269.94</v>
      </c>
      <c r="G98" s="1"/>
      <c r="H98" s="30"/>
      <c r="I98" s="30"/>
      <c r="J98" s="30"/>
    </row>
    <row r="99" spans="1:10" ht="13.5" thickBot="1" x14ac:dyDescent="0.25">
      <c r="A99" s="104"/>
      <c r="B99" s="105"/>
      <c r="C99" s="106" t="s">
        <v>53</v>
      </c>
      <c r="D99" s="107"/>
      <c r="E99" s="108"/>
      <c r="F99" s="109">
        <f>+F98+F89</f>
        <v>3799441.23</v>
      </c>
      <c r="G99" s="1"/>
      <c r="H99" s="57" t="s">
        <v>54</v>
      </c>
      <c r="I99" s="30"/>
      <c r="J99" s="30"/>
    </row>
    <row r="100" spans="1:10" x14ac:dyDescent="0.2">
      <c r="A100" s="11"/>
      <c r="B100" s="12"/>
      <c r="C100" s="9"/>
      <c r="D100" s="29"/>
      <c r="E100" s="29"/>
      <c r="F100" s="110"/>
      <c r="G100" s="1"/>
      <c r="H100" s="57">
        <f>+[8]Main!$G38</f>
        <v>210008</v>
      </c>
      <c r="I100" s="30"/>
      <c r="J100" s="30"/>
    </row>
    <row r="101" spans="1:10" x14ac:dyDescent="0.2">
      <c r="A101" s="11"/>
      <c r="B101" s="12"/>
      <c r="C101" s="9"/>
      <c r="D101" s="29"/>
      <c r="E101" s="29"/>
      <c r="F101" s="110"/>
      <c r="G101" s="1"/>
      <c r="H101" s="57">
        <f>SUM(F93:F96)</f>
        <v>210008</v>
      </c>
      <c r="I101" s="30"/>
      <c r="J101" s="30"/>
    </row>
    <row r="102" spans="1:10" x14ac:dyDescent="0.2">
      <c r="A102" s="1"/>
      <c r="B102" s="1"/>
      <c r="C102" s="7"/>
      <c r="D102" s="26"/>
      <c r="E102" s="26"/>
      <c r="F102" s="86">
        <f>+F98+F89</f>
        <v>3799441.23</v>
      </c>
      <c r="G102" s="1"/>
      <c r="H102" s="57">
        <f>+H100-H101</f>
        <v>0</v>
      </c>
      <c r="I102" s="30"/>
      <c r="J102" s="30"/>
    </row>
    <row r="103" spans="1:10" x14ac:dyDescent="0.2">
      <c r="A103" s="1"/>
      <c r="B103" s="1"/>
      <c r="C103" s="7"/>
      <c r="D103" s="26"/>
      <c r="E103" s="26"/>
      <c r="F103" s="86">
        <f>+[1]Main!$F782</f>
        <v>3799441.23</v>
      </c>
      <c r="G103" s="1"/>
      <c r="H103" s="30"/>
      <c r="I103" s="30"/>
      <c r="J103" s="30"/>
    </row>
    <row r="104" spans="1:10" x14ac:dyDescent="0.2">
      <c r="A104" s="1"/>
      <c r="B104" s="1"/>
      <c r="C104" s="7"/>
      <c r="D104" s="26"/>
      <c r="E104" s="86">
        <f>+E89+[1]Main!$E782</f>
        <v>0</v>
      </c>
      <c r="F104" s="86">
        <f>+F103-F102</f>
        <v>0</v>
      </c>
      <c r="G104" s="1"/>
      <c r="H104" s="30"/>
      <c r="I104" s="30"/>
      <c r="J104" s="30"/>
    </row>
    <row r="105" spans="1:10" x14ac:dyDescent="0.2">
      <c r="A105" s="59"/>
      <c r="B105" s="59"/>
      <c r="C105" s="85"/>
      <c r="D105" s="86"/>
      <c r="E105" s="86"/>
      <c r="F105" s="86"/>
      <c r="G105" s="59"/>
      <c r="H105" s="57"/>
      <c r="I105" s="57"/>
      <c r="J105" s="57"/>
    </row>
    <row r="106" spans="1:10" x14ac:dyDescent="0.2">
      <c r="A106" s="59"/>
      <c r="B106" s="59"/>
      <c r="C106" s="85"/>
      <c r="D106" s="86"/>
      <c r="E106" s="86"/>
      <c r="F106" s="86"/>
      <c r="G106" s="59"/>
      <c r="H106" s="57"/>
      <c r="I106" s="57"/>
      <c r="J106" s="57"/>
    </row>
    <row r="107" spans="1:10" x14ac:dyDescent="0.2">
      <c r="A107" s="59"/>
      <c r="B107" s="59"/>
      <c r="C107" s="85"/>
      <c r="D107" s="86"/>
      <c r="E107" s="86"/>
      <c r="F107" s="86"/>
      <c r="G107" s="59"/>
      <c r="H107" s="111" t="s">
        <v>55</v>
      </c>
      <c r="I107" s="57"/>
      <c r="J107" s="57"/>
    </row>
    <row r="108" spans="1:10" x14ac:dyDescent="0.2">
      <c r="G108" s="59"/>
      <c r="H108" s="113"/>
      <c r="I108" s="112"/>
      <c r="J108" s="112"/>
    </row>
    <row r="109" spans="1:10" x14ac:dyDescent="0.2">
      <c r="G109" s="59"/>
      <c r="H109" s="112"/>
      <c r="I109" s="112"/>
      <c r="J109" s="112"/>
    </row>
    <row r="110" spans="1:10" x14ac:dyDescent="0.2">
      <c r="G110" s="59"/>
      <c r="H110" s="112"/>
      <c r="I110" s="112"/>
      <c r="J110" s="112"/>
    </row>
    <row r="111" spans="1:10" x14ac:dyDescent="0.2">
      <c r="G111" s="59"/>
      <c r="H111" s="112"/>
      <c r="I111" s="112"/>
      <c r="J111" s="112"/>
    </row>
    <row r="112" spans="1:10" x14ac:dyDescent="0.2">
      <c r="G112" s="59"/>
      <c r="H112" s="112"/>
      <c r="I112" s="112"/>
      <c r="J112" s="112"/>
    </row>
    <row r="113" spans="7:10" x14ac:dyDescent="0.2">
      <c r="G113" s="59"/>
      <c r="H113" s="71"/>
      <c r="I113" s="112"/>
      <c r="J113" s="112"/>
    </row>
  </sheetData>
  <mergeCells count="1">
    <mergeCell ref="D32:E32"/>
  </mergeCells>
  <phoneticPr fontId="0" type="noConversion"/>
  <printOptions horizontalCentered="1" verticalCentered="1"/>
  <pageMargins left="0.5" right="0.25" top="0.5" bottom="0.5" header="0.5" footer="0.5"/>
  <pageSetup scale="89" orientation="portrait" horizontalDpi="1200" r:id="rId1"/>
  <headerFooter alignWithMargins="0">
    <oddHeader>&amp;R&amp;8Current as of: &amp;D</oddHeader>
    <oddFooter>&amp;L&amp;8USOE, Finance and Statistics&amp;R&amp;8&amp;F</oddFooter>
  </headerFooter>
  <picture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J114"/>
  <sheetViews>
    <sheetView topLeftCell="A61" workbookViewId="0">
      <selection activeCell="B37" sqref="B37"/>
    </sheetView>
  </sheetViews>
  <sheetFormatPr defaultColWidth="18.28515625" defaultRowHeight="12.75" x14ac:dyDescent="0.2"/>
  <cols>
    <col min="1" max="1" width="27" style="75" customWidth="1"/>
    <col min="2" max="2" width="16.7109375" style="75" customWidth="1"/>
    <col min="3" max="3" width="15.85546875" style="75" customWidth="1"/>
    <col min="4" max="4" width="16.28515625" style="75" customWidth="1"/>
    <col min="5" max="5" width="15.5703125" style="75" customWidth="1"/>
    <col min="6" max="6" width="17.42578125" style="75" customWidth="1"/>
    <col min="7" max="7" width="5.7109375" style="75" customWidth="1"/>
    <col min="8" max="8" width="21.5703125" style="75" customWidth="1"/>
    <col min="9" max="9" width="5" style="75" customWidth="1"/>
    <col min="10" max="10" width="20.85546875" style="75" customWidth="1"/>
    <col min="11" max="16384" width="18.28515625" style="75"/>
  </cols>
  <sheetData>
    <row r="1" spans="1:10" x14ac:dyDescent="0.2">
      <c r="A1" s="8"/>
      <c r="B1" s="8"/>
      <c r="C1" s="8"/>
      <c r="D1" s="8"/>
      <c r="E1" s="8"/>
      <c r="F1" s="8"/>
      <c r="G1" s="8"/>
      <c r="H1" s="8"/>
      <c r="I1" s="8"/>
      <c r="J1" s="8"/>
    </row>
    <row r="2" spans="1:10" x14ac:dyDescent="0.2">
      <c r="A2" s="8"/>
      <c r="B2" s="8"/>
      <c r="C2" s="8"/>
      <c r="D2" s="8"/>
      <c r="E2" s="8"/>
      <c r="F2" s="8"/>
      <c r="G2" s="8"/>
      <c r="H2" s="8"/>
      <c r="I2" s="8"/>
      <c r="J2" s="8"/>
    </row>
    <row r="3" spans="1:10" x14ac:dyDescent="0.2">
      <c r="A3" s="8"/>
      <c r="B3" s="8"/>
      <c r="C3" s="8"/>
      <c r="D3" s="8"/>
      <c r="E3" s="8"/>
      <c r="F3" s="8"/>
      <c r="G3" s="8"/>
      <c r="H3" s="8"/>
      <c r="I3" s="8"/>
      <c r="J3" s="8"/>
    </row>
    <row r="4" spans="1:10" x14ac:dyDescent="0.2">
      <c r="A4" s="8"/>
      <c r="B4" s="8"/>
      <c r="C4" s="8"/>
      <c r="D4" s="8"/>
      <c r="E4" s="8"/>
      <c r="F4" s="8"/>
      <c r="G4" s="8"/>
      <c r="H4" s="8"/>
      <c r="I4" s="8"/>
      <c r="J4" s="8"/>
    </row>
    <row r="5" spans="1:10" x14ac:dyDescent="0.2">
      <c r="A5" s="8"/>
      <c r="B5" s="8"/>
      <c r="C5" s="8"/>
      <c r="D5" s="8"/>
      <c r="E5" s="8"/>
      <c r="F5" s="8"/>
      <c r="G5" s="8"/>
      <c r="H5" s="8"/>
      <c r="I5" s="8"/>
      <c r="J5" s="8"/>
    </row>
    <row r="6" spans="1:10" x14ac:dyDescent="0.2">
      <c r="A6" s="8"/>
      <c r="B6" s="8"/>
      <c r="C6" s="8"/>
      <c r="D6" s="8"/>
      <c r="E6" s="8"/>
      <c r="F6" s="8"/>
      <c r="G6" s="8"/>
      <c r="H6" s="8"/>
      <c r="I6" s="8"/>
      <c r="J6" s="8"/>
    </row>
    <row r="7" spans="1:10" x14ac:dyDescent="0.2">
      <c r="A7" s="8"/>
      <c r="B7" s="8"/>
      <c r="C7" s="8"/>
      <c r="D7" s="8"/>
      <c r="E7" s="8"/>
      <c r="F7" s="8"/>
      <c r="G7" s="8"/>
      <c r="H7" s="8"/>
      <c r="I7" s="8"/>
      <c r="J7" s="8"/>
    </row>
    <row r="8" spans="1:10" x14ac:dyDescent="0.2">
      <c r="A8" s="8"/>
      <c r="B8" s="8"/>
      <c r="C8" s="8"/>
      <c r="D8" s="8"/>
      <c r="E8" s="8"/>
      <c r="F8" s="8"/>
      <c r="G8" s="8"/>
      <c r="H8" s="8"/>
      <c r="I8" s="8"/>
      <c r="J8" s="8"/>
    </row>
    <row r="9" spans="1:10" x14ac:dyDescent="0.2">
      <c r="A9" s="8"/>
      <c r="B9" s="8"/>
      <c r="C9" s="8"/>
      <c r="D9" s="8"/>
      <c r="E9" s="8"/>
      <c r="F9" s="8"/>
      <c r="G9" s="8"/>
      <c r="H9" s="8"/>
      <c r="I9" s="8"/>
      <c r="J9" s="8"/>
    </row>
    <row r="10" spans="1:10" x14ac:dyDescent="0.2">
      <c r="A10" s="8"/>
      <c r="B10" s="15"/>
      <c r="C10" s="8"/>
      <c r="D10" s="8"/>
      <c r="E10" s="8"/>
      <c r="F10" s="8"/>
      <c r="G10" s="8"/>
      <c r="H10" s="8"/>
      <c r="I10" s="8"/>
      <c r="J10" s="8"/>
    </row>
    <row r="11" spans="1:10" x14ac:dyDescent="0.2">
      <c r="A11" s="8"/>
      <c r="B11" s="8"/>
      <c r="C11" s="8"/>
      <c r="D11" s="8"/>
      <c r="E11" s="8"/>
      <c r="F11" s="8"/>
      <c r="G11" s="8"/>
      <c r="H11" s="8"/>
      <c r="I11" s="8"/>
      <c r="J11" s="8"/>
    </row>
    <row r="12" spans="1:10" x14ac:dyDescent="0.2">
      <c r="A12" s="8"/>
      <c r="B12" s="8"/>
      <c r="C12" s="8"/>
      <c r="D12" s="8"/>
      <c r="E12" s="8"/>
      <c r="F12" s="8"/>
      <c r="G12" s="8"/>
      <c r="H12" s="8"/>
      <c r="I12" s="8"/>
      <c r="J12" s="8"/>
    </row>
    <row r="13" spans="1:10" x14ac:dyDescent="0.2">
      <c r="A13" s="8"/>
      <c r="B13" s="8"/>
      <c r="C13" s="8"/>
      <c r="D13" s="8"/>
      <c r="E13" s="8"/>
      <c r="F13" s="8"/>
      <c r="G13" s="8"/>
      <c r="H13" s="8"/>
      <c r="I13" s="8"/>
      <c r="J13" s="8"/>
    </row>
    <row r="14" spans="1:10" x14ac:dyDescent="0.2">
      <c r="A14" s="8"/>
      <c r="B14" s="8"/>
      <c r="C14" s="8"/>
      <c r="D14" s="8"/>
      <c r="E14" s="8"/>
      <c r="F14" s="8"/>
      <c r="G14" s="8"/>
      <c r="H14" s="8"/>
      <c r="I14" s="8"/>
      <c r="J14" s="8"/>
    </row>
    <row r="15" spans="1:10" x14ac:dyDescent="0.2">
      <c r="A15" s="8"/>
      <c r="B15" s="8"/>
      <c r="C15" s="8"/>
      <c r="D15" s="8"/>
      <c r="E15" s="8"/>
      <c r="F15" s="8"/>
      <c r="G15" s="8"/>
      <c r="H15" s="8"/>
      <c r="I15" s="8"/>
      <c r="J15" s="8"/>
    </row>
    <row r="16" spans="1:10" x14ac:dyDescent="0.2">
      <c r="A16" s="8"/>
      <c r="B16" s="8"/>
      <c r="C16" s="8"/>
      <c r="D16" s="8"/>
      <c r="E16" s="8"/>
      <c r="F16" s="8"/>
      <c r="G16" s="8"/>
      <c r="H16" s="8"/>
      <c r="I16" s="8"/>
      <c r="J16" s="8"/>
    </row>
    <row r="17" spans="1:10" x14ac:dyDescent="0.2">
      <c r="A17" s="8"/>
      <c r="B17" s="8"/>
      <c r="C17" s="8"/>
      <c r="D17" s="8"/>
      <c r="E17" s="8"/>
      <c r="F17" s="8"/>
      <c r="G17" s="8"/>
      <c r="H17" s="8"/>
      <c r="I17" s="8"/>
      <c r="J17" s="8"/>
    </row>
    <row r="18" spans="1:10" x14ac:dyDescent="0.2">
      <c r="A18" s="8"/>
      <c r="B18" s="8"/>
      <c r="C18" s="8"/>
      <c r="D18" s="8"/>
      <c r="E18" s="8"/>
      <c r="F18" s="8"/>
      <c r="G18" s="8"/>
      <c r="H18" s="8"/>
      <c r="I18" s="8"/>
      <c r="J18" s="8"/>
    </row>
    <row r="19" spans="1:10" x14ac:dyDescent="0.2">
      <c r="A19" s="8"/>
      <c r="B19" s="8"/>
      <c r="C19" s="8"/>
      <c r="D19" s="8"/>
      <c r="E19" s="8"/>
      <c r="F19" s="8"/>
      <c r="G19" s="8"/>
      <c r="H19" s="8"/>
      <c r="I19" s="8"/>
      <c r="J19" s="8"/>
    </row>
    <row r="20" spans="1:10" x14ac:dyDescent="0.2">
      <c r="A20" s="8"/>
      <c r="B20" s="8"/>
      <c r="C20" s="8"/>
      <c r="D20" s="8"/>
      <c r="E20" s="8"/>
      <c r="F20" s="8"/>
      <c r="G20" s="8"/>
      <c r="H20" s="8"/>
      <c r="I20" s="8"/>
      <c r="J20" s="8"/>
    </row>
    <row r="21" spans="1:10" x14ac:dyDescent="0.2">
      <c r="A21" s="8"/>
      <c r="B21" s="8"/>
      <c r="C21" s="8"/>
      <c r="D21" s="8"/>
      <c r="E21" s="8"/>
      <c r="F21" s="8"/>
      <c r="G21" s="8"/>
      <c r="H21" s="8"/>
      <c r="I21" s="8"/>
      <c r="J21" s="8"/>
    </row>
    <row r="22" spans="1:10" x14ac:dyDescent="0.2">
      <c r="A22" s="8"/>
      <c r="B22" s="8"/>
      <c r="C22" s="8"/>
      <c r="D22" s="8"/>
      <c r="E22" s="8"/>
      <c r="F22" s="8"/>
      <c r="G22" s="8"/>
      <c r="H22" s="8"/>
      <c r="I22" s="8"/>
      <c r="J22" s="8"/>
    </row>
    <row r="23" spans="1:10" x14ac:dyDescent="0.2">
      <c r="A23" s="8"/>
      <c r="B23" s="8"/>
      <c r="C23" s="8"/>
      <c r="D23" s="8"/>
      <c r="E23" s="8"/>
      <c r="F23" s="8"/>
      <c r="G23" s="8"/>
      <c r="H23" s="8"/>
      <c r="I23" s="8"/>
      <c r="J23" s="8"/>
    </row>
    <row r="24" spans="1:10" x14ac:dyDescent="0.2">
      <c r="A24" s="8"/>
      <c r="B24" s="8"/>
      <c r="C24" s="8"/>
      <c r="D24" s="8"/>
      <c r="E24" s="8"/>
      <c r="F24" s="8"/>
      <c r="G24" s="8"/>
      <c r="H24" s="8"/>
      <c r="I24" s="8"/>
      <c r="J24" s="8"/>
    </row>
    <row r="25" spans="1:10" x14ac:dyDescent="0.2">
      <c r="A25" s="8"/>
      <c r="B25" s="8"/>
      <c r="C25" s="8"/>
      <c r="D25" s="8"/>
      <c r="E25" s="8"/>
      <c r="F25" s="8"/>
      <c r="G25" s="8"/>
      <c r="H25" s="8"/>
      <c r="I25" s="8"/>
      <c r="J25" s="8"/>
    </row>
    <row r="26" spans="1:10" x14ac:dyDescent="0.2">
      <c r="A26" s="8"/>
      <c r="B26" s="8"/>
      <c r="C26" s="8"/>
      <c r="D26" s="8"/>
      <c r="E26" s="8"/>
      <c r="F26" s="8"/>
      <c r="G26" s="8"/>
      <c r="H26" s="8"/>
      <c r="I26" s="8"/>
      <c r="J26" s="8"/>
    </row>
    <row r="27" spans="1:10" x14ac:dyDescent="0.2">
      <c r="A27" s="8"/>
      <c r="B27" s="8"/>
      <c r="C27" s="8"/>
      <c r="D27" s="8"/>
      <c r="E27" s="8"/>
      <c r="F27" s="8"/>
      <c r="G27" s="8"/>
      <c r="H27" s="8"/>
      <c r="I27" s="8"/>
      <c r="J27" s="8"/>
    </row>
    <row r="28" spans="1:10" x14ac:dyDescent="0.2">
      <c r="A28" s="8"/>
      <c r="B28" s="8"/>
      <c r="C28" s="8"/>
      <c r="D28" s="8"/>
      <c r="E28" s="8"/>
      <c r="F28" s="8"/>
      <c r="G28" s="8"/>
      <c r="H28" s="8"/>
      <c r="I28" s="8"/>
      <c r="J28" s="8"/>
    </row>
    <row r="29" spans="1:10" x14ac:dyDescent="0.2">
      <c r="A29" s="8"/>
      <c r="B29" s="8"/>
      <c r="C29" s="8"/>
      <c r="D29" s="8"/>
      <c r="E29" s="8"/>
      <c r="F29" s="8"/>
      <c r="G29" s="8"/>
      <c r="H29" s="8"/>
      <c r="I29" s="8"/>
      <c r="J29" s="8"/>
    </row>
    <row r="30" spans="1:10" x14ac:dyDescent="0.2">
      <c r="A30" s="32" t="s">
        <v>0</v>
      </c>
      <c r="B30" s="33">
        <v>3184</v>
      </c>
      <c r="C30" s="34" t="s">
        <v>1</v>
      </c>
      <c r="D30" s="35"/>
      <c r="E30" s="35"/>
      <c r="F30" s="35"/>
      <c r="G30" s="1"/>
      <c r="H30" s="30"/>
      <c r="I30" s="30"/>
      <c r="J30" s="30"/>
    </row>
    <row r="31" spans="1:10" x14ac:dyDescent="0.2">
      <c r="A31" s="32" t="s">
        <v>61</v>
      </c>
      <c r="B31" s="36">
        <f>+[1]Main!$C556</f>
        <v>5.9999999999999995E-4</v>
      </c>
      <c r="C31" s="34" t="s">
        <v>41</v>
      </c>
      <c r="D31" s="35"/>
      <c r="E31" s="35"/>
      <c r="F31" s="35"/>
      <c r="G31" s="1"/>
      <c r="H31" s="30"/>
      <c r="I31" s="30"/>
      <c r="J31" s="30"/>
    </row>
    <row r="32" spans="1:10" x14ac:dyDescent="0.2">
      <c r="A32" s="32" t="s">
        <v>62</v>
      </c>
      <c r="B32" s="36">
        <f>+[1]Main!$C611</f>
        <v>2.5000000000000001E-3</v>
      </c>
      <c r="C32" s="34" t="s">
        <v>95</v>
      </c>
      <c r="D32" s="35"/>
      <c r="E32" s="37"/>
      <c r="F32" s="35"/>
      <c r="G32" s="1"/>
      <c r="H32" s="30"/>
      <c r="I32" s="30"/>
      <c r="J32" s="30"/>
    </row>
    <row r="33" spans="1:10" x14ac:dyDescent="0.2">
      <c r="A33" s="38" t="s">
        <v>32</v>
      </c>
      <c r="B33" s="39">
        <f>[2]Sheet1!E38</f>
        <v>3872175093</v>
      </c>
      <c r="C33" s="21"/>
      <c r="D33" s="31"/>
      <c r="E33" s="31"/>
      <c r="F33" s="23"/>
      <c r="G33" s="1"/>
      <c r="H33" s="30"/>
      <c r="I33" s="30"/>
      <c r="J33" s="30"/>
    </row>
    <row r="34" spans="1:10" x14ac:dyDescent="0.2">
      <c r="A34" s="32" t="s">
        <v>2</v>
      </c>
      <c r="B34" s="40">
        <f>[2]Sheet1!F38</f>
        <v>0.91479999999999995</v>
      </c>
      <c r="C34" s="7"/>
      <c r="D34" s="41" t="s">
        <v>3</v>
      </c>
      <c r="E34" s="42" t="str">
        <f>+[3]main!B39</f>
        <v>Tooele</v>
      </c>
      <c r="F34" s="43">
        <f>+[3]main!A39</f>
        <v>30</v>
      </c>
      <c r="G34" s="1"/>
      <c r="H34" s="30"/>
      <c r="I34" s="30"/>
      <c r="J34" s="30"/>
    </row>
    <row r="35" spans="1:10" x14ac:dyDescent="0.2">
      <c r="A35" s="32" t="s">
        <v>4</v>
      </c>
      <c r="B35" s="44">
        <f>[2]Sheet1!G38</f>
        <v>1.6750000000000001E-3</v>
      </c>
      <c r="C35" s="8"/>
      <c r="D35" s="24"/>
      <c r="E35" s="25"/>
      <c r="F35" s="24"/>
      <c r="G35" s="1"/>
      <c r="H35" s="30"/>
      <c r="I35" s="30"/>
      <c r="J35" s="30"/>
    </row>
    <row r="36" spans="1:10" x14ac:dyDescent="0.2">
      <c r="A36" s="32" t="s">
        <v>5</v>
      </c>
      <c r="B36" s="45">
        <f>[2]Sheet1!$C$94</f>
        <v>6675647</v>
      </c>
      <c r="C36" s="46"/>
      <c r="D36" s="47" t="s">
        <v>38</v>
      </c>
      <c r="E36" s="48" t="s">
        <v>7</v>
      </c>
      <c r="F36" s="47" t="s">
        <v>6</v>
      </c>
      <c r="G36" s="1"/>
      <c r="H36" s="30"/>
      <c r="I36" s="30"/>
      <c r="J36" s="30"/>
    </row>
    <row r="37" spans="1:10" x14ac:dyDescent="0.2">
      <c r="A37" s="32" t="s">
        <v>8</v>
      </c>
      <c r="B37" s="45">
        <f>+B36</f>
        <v>6675647</v>
      </c>
      <c r="C37" s="49"/>
      <c r="D37" s="50" t="s">
        <v>9</v>
      </c>
      <c r="E37" s="50" t="s">
        <v>37</v>
      </c>
      <c r="F37" s="50" t="s">
        <v>10</v>
      </c>
      <c r="G37" s="1"/>
      <c r="H37" s="30"/>
      <c r="I37" s="30"/>
      <c r="J37" s="30"/>
    </row>
    <row r="38" spans="1:10" x14ac:dyDescent="0.2">
      <c r="A38" s="32" t="s">
        <v>11</v>
      </c>
      <c r="B38" s="45">
        <v>0</v>
      </c>
      <c r="C38" s="51" t="s">
        <v>39</v>
      </c>
      <c r="D38" s="52" t="s">
        <v>12</v>
      </c>
      <c r="E38" s="52" t="s">
        <v>9</v>
      </c>
      <c r="F38" s="52" t="s">
        <v>9</v>
      </c>
      <c r="G38" s="1"/>
      <c r="H38" s="30"/>
      <c r="I38" s="30"/>
      <c r="J38" s="30"/>
    </row>
    <row r="39" spans="1:10" x14ac:dyDescent="0.2">
      <c r="A39" s="32" t="s">
        <v>70</v>
      </c>
      <c r="B39" s="45">
        <f>'[4]LRF FY17'!U36</f>
        <v>302301</v>
      </c>
      <c r="C39" s="53"/>
      <c r="D39" s="54"/>
      <c r="E39" s="54"/>
      <c r="F39" s="54" t="s">
        <v>14</v>
      </c>
      <c r="G39" s="1"/>
      <c r="H39" s="30"/>
      <c r="I39" s="30"/>
      <c r="J39" s="30"/>
    </row>
    <row r="40" spans="1:10" x14ac:dyDescent="0.2">
      <c r="A40" s="55" t="s">
        <v>13</v>
      </c>
      <c r="B40" s="56"/>
      <c r="C40" s="53"/>
      <c r="D40" s="54"/>
      <c r="E40" s="54"/>
      <c r="F40" s="54"/>
      <c r="G40" s="2"/>
      <c r="H40" s="30"/>
      <c r="I40" s="30"/>
      <c r="J40" s="30"/>
    </row>
    <row r="41" spans="1:10" x14ac:dyDescent="0.2">
      <c r="A41" s="55" t="s">
        <v>15</v>
      </c>
      <c r="B41" s="56"/>
      <c r="C41" s="53"/>
      <c r="D41" s="54"/>
      <c r="E41" s="54"/>
      <c r="F41" s="54"/>
      <c r="G41" s="2"/>
      <c r="H41" s="57" t="s">
        <v>43</v>
      </c>
      <c r="I41" s="30"/>
      <c r="J41" s="57" t="s">
        <v>45</v>
      </c>
    </row>
    <row r="42" spans="1:10" x14ac:dyDescent="0.2">
      <c r="A42" s="58" t="s">
        <v>16</v>
      </c>
      <c r="B42" s="59"/>
      <c r="C42" s="60">
        <f>[3]main!C213-[3]main!F155</f>
        <v>13505.035</v>
      </c>
      <c r="D42" s="61">
        <f>[3]main!E213-[3]main!H155</f>
        <v>43000030.109999999</v>
      </c>
      <c r="E42" s="62">
        <f>IF(B37&gt;D42,D42,B37)</f>
        <v>6675647</v>
      </c>
      <c r="F42" s="62">
        <f>D42-E42</f>
        <v>36324383.109999999</v>
      </c>
      <c r="G42" s="1"/>
      <c r="H42" s="57">
        <f>[3]main!H272</f>
        <v>48775393.649999999</v>
      </c>
      <c r="I42" s="30"/>
      <c r="J42" s="57">
        <f>'[5]Sheet 1'!E96</f>
        <v>62009912.009999998</v>
      </c>
    </row>
    <row r="43" spans="1:10" x14ac:dyDescent="0.2">
      <c r="A43" s="58" t="s">
        <v>17</v>
      </c>
      <c r="B43" s="59"/>
      <c r="C43" s="53">
        <f>[3]main!F155</f>
        <v>527.44399999999996</v>
      </c>
      <c r="D43" s="54">
        <f>[3]main!H155</f>
        <v>1679381.82</v>
      </c>
      <c r="E43" s="54">
        <f>IF(B36-SUM(E40:E42)&gt;D43,D43,B36-SUM(E40:E42))</f>
        <v>0</v>
      </c>
      <c r="F43" s="54">
        <f>D43-E43</f>
        <v>1679381.82</v>
      </c>
      <c r="G43" s="1"/>
      <c r="H43" s="57">
        <f>SUM(D42:D46)</f>
        <v>48775393.649999999</v>
      </c>
      <c r="I43" s="30"/>
      <c r="J43" s="57">
        <f>D57</f>
        <v>62009912.009999998</v>
      </c>
    </row>
    <row r="44" spans="1:10" x14ac:dyDescent="0.2">
      <c r="A44" s="58" t="s">
        <v>18</v>
      </c>
      <c r="B44" s="59"/>
      <c r="C44" s="53">
        <f>[3]main!F213</f>
        <v>1276.4259999999999</v>
      </c>
      <c r="D44" s="54">
        <f>[3]main!H213</f>
        <v>4064141.72</v>
      </c>
      <c r="E44" s="54">
        <f>IF(B37-SUM(E42:E43)&gt;D44,D44,B37-SUM(E42:E43))</f>
        <v>0</v>
      </c>
      <c r="F44" s="54">
        <f>D44-E44</f>
        <v>4064141.72</v>
      </c>
      <c r="G44" s="1"/>
      <c r="H44" s="57">
        <f>+H42-H43</f>
        <v>0</v>
      </c>
      <c r="I44" s="30"/>
      <c r="J44" s="57">
        <f>+J42-J43</f>
        <v>0</v>
      </c>
    </row>
    <row r="45" spans="1:10" x14ac:dyDescent="0.2">
      <c r="A45" s="58" t="s">
        <v>19</v>
      </c>
      <c r="B45" s="59"/>
      <c r="C45" s="53">
        <f>[3]main!C272</f>
        <v>0</v>
      </c>
      <c r="D45" s="54">
        <f>[3]main!E272</f>
        <v>0</v>
      </c>
      <c r="E45" s="54">
        <f>IF(B37-SUM(E42:E44)&gt;D45,D45,B37-SUM(E42:E44))</f>
        <v>0</v>
      </c>
      <c r="F45" s="54">
        <f>D45-E45</f>
        <v>0</v>
      </c>
      <c r="G45" s="1"/>
      <c r="H45" s="30"/>
      <c r="I45" s="30"/>
      <c r="J45" s="30"/>
    </row>
    <row r="46" spans="1:10" x14ac:dyDescent="0.2">
      <c r="A46" s="58" t="s">
        <v>42</v>
      </c>
      <c r="B46" s="59"/>
      <c r="C46" s="53">
        <f>[3]main!C96</f>
        <v>10</v>
      </c>
      <c r="D46" s="54">
        <f>[3]main!E96</f>
        <v>31840</v>
      </c>
      <c r="E46" s="54">
        <f>IF(B37-SUM(E42:E45)&gt;D46,D46,B37-SUM(E42:E45))</f>
        <v>0</v>
      </c>
      <c r="F46" s="54">
        <f>D46-E46</f>
        <v>31840</v>
      </c>
      <c r="G46" s="1"/>
      <c r="H46" s="30"/>
      <c r="I46" s="30"/>
      <c r="J46" s="30"/>
    </row>
    <row r="47" spans="1:10" x14ac:dyDescent="0.2">
      <c r="A47" s="55" t="s">
        <v>20</v>
      </c>
      <c r="B47" s="56"/>
      <c r="C47" s="63"/>
      <c r="D47" s="64"/>
      <c r="E47" s="64"/>
      <c r="F47" s="64" t="s">
        <v>14</v>
      </c>
      <c r="G47" s="1"/>
      <c r="H47" s="57" t="s">
        <v>44</v>
      </c>
      <c r="I47" s="30"/>
      <c r="J47" s="30"/>
    </row>
    <row r="48" spans="1:10" x14ac:dyDescent="0.2">
      <c r="A48" s="58" t="s">
        <v>21</v>
      </c>
      <c r="B48" s="59"/>
      <c r="C48" s="53">
        <f>'[6]Sheet 1'!C38</f>
        <v>1644.6849999999999</v>
      </c>
      <c r="D48" s="54">
        <f>'[6]Sheet 1'!E38</f>
        <v>5236675.84</v>
      </c>
      <c r="E48" s="54">
        <f>IF(B37-SUM(E42:E47)&gt;D48,D48,B37-SUM(E42:E47))</f>
        <v>0</v>
      </c>
      <c r="F48" s="54">
        <f t="shared" ref="F48:F56" si="0">D48-E48</f>
        <v>5236675.84</v>
      </c>
      <c r="G48" s="1"/>
      <c r="H48" s="57">
        <f>'[6]Sheet 1'!N154</f>
        <v>7350310.4100000001</v>
      </c>
      <c r="I48" s="30"/>
      <c r="J48" s="30"/>
    </row>
    <row r="49" spans="1:10" x14ac:dyDescent="0.2">
      <c r="A49" s="59" t="s">
        <v>22</v>
      </c>
      <c r="B49" s="59"/>
      <c r="C49" s="53">
        <f>'[6]Sheet 1'!F38</f>
        <v>362.33</v>
      </c>
      <c r="D49" s="54">
        <f>'[6]Sheet 1'!H38</f>
        <v>1153658.72</v>
      </c>
      <c r="E49" s="54">
        <f>IF(B37-SUM(E42:E48)&gt;D49,D49,B37-SUM(E42:E48))</f>
        <v>0</v>
      </c>
      <c r="F49" s="54">
        <f t="shared" si="0"/>
        <v>1153658.72</v>
      </c>
      <c r="G49" s="1"/>
      <c r="H49" s="57">
        <f>SUM(D48:D54)</f>
        <v>7350310.4100000001</v>
      </c>
      <c r="I49" s="30"/>
      <c r="J49" s="30"/>
    </row>
    <row r="50" spans="1:10" x14ac:dyDescent="0.2">
      <c r="A50" s="59" t="s">
        <v>23</v>
      </c>
      <c r="B50" s="59"/>
      <c r="C50" s="53">
        <f>'[6]Sheet 1'!C96</f>
        <v>244.02</v>
      </c>
      <c r="D50" s="54">
        <f>'[6]Sheet 1'!E96</f>
        <v>776959.68</v>
      </c>
      <c r="E50" s="54">
        <f>IF(B37-SUM(E42:E49)&gt;D50,D50,B37-SUM(E42:E49))</f>
        <v>0</v>
      </c>
      <c r="F50" s="54">
        <f t="shared" si="0"/>
        <v>776959.68</v>
      </c>
      <c r="G50" s="1"/>
      <c r="H50" s="57">
        <f>+H48-H49</f>
        <v>0</v>
      </c>
      <c r="I50" s="30"/>
      <c r="J50" s="30"/>
    </row>
    <row r="51" spans="1:10" x14ac:dyDescent="0.2">
      <c r="A51" s="58" t="s">
        <v>24</v>
      </c>
      <c r="B51" s="59"/>
      <c r="C51" s="53">
        <f>'[6]Sheet 1'!F96</f>
        <v>9.4250000000000007</v>
      </c>
      <c r="D51" s="54">
        <f>'[6]Sheet 1'!H96</f>
        <v>30009.78</v>
      </c>
      <c r="E51" s="54">
        <f>IF(B37-SUM(E42:E50)&gt;D51,D51,B37-SUM(E42:E50))</f>
        <v>0</v>
      </c>
      <c r="F51" s="54">
        <f t="shared" si="0"/>
        <v>30009.78</v>
      </c>
      <c r="G51" s="1"/>
      <c r="H51" s="30"/>
      <c r="I51" s="30"/>
      <c r="J51" s="30"/>
    </row>
    <row r="52" spans="1:10" x14ac:dyDescent="0.2">
      <c r="A52" s="59" t="s">
        <v>71</v>
      </c>
      <c r="B52" s="59"/>
      <c r="C52" s="53">
        <f>'[6]Sheet 1'!C154</f>
        <v>48.055</v>
      </c>
      <c r="D52" s="54">
        <f>'[6]Sheet 1'!E154</f>
        <v>153006.39000000001</v>
      </c>
      <c r="E52" s="54">
        <f>IF(B37-SUM(E42:E51)&gt;D52,D52,B37-SUM(E42:E51))</f>
        <v>0</v>
      </c>
      <c r="F52" s="54">
        <f t="shared" si="0"/>
        <v>153006.39000000001</v>
      </c>
      <c r="G52" s="1"/>
      <c r="H52" s="30"/>
      <c r="I52" s="30"/>
      <c r="J52" s="30"/>
    </row>
    <row r="53" spans="1:10" x14ac:dyDescent="0.2">
      <c r="A53" s="59" t="s">
        <v>57</v>
      </c>
      <c r="B53" s="59"/>
      <c r="C53" s="53">
        <f>'[6]Sheet 1'!F154</f>
        <v>0</v>
      </c>
      <c r="D53" s="54">
        <f>'[6]Sheet 1'!H154</f>
        <v>0</v>
      </c>
      <c r="E53" s="54">
        <f>IF(B38-SUM(E43:E52)&gt;D53,D53,B38-SUM(E43:E52))</f>
        <v>0</v>
      </c>
      <c r="F53" s="54">
        <f t="shared" si="0"/>
        <v>0</v>
      </c>
      <c r="G53" s="1"/>
      <c r="H53" s="30"/>
      <c r="I53" s="30"/>
      <c r="J53" s="30"/>
    </row>
    <row r="54" spans="1:10" x14ac:dyDescent="0.2">
      <c r="A54" s="59" t="s">
        <v>64</v>
      </c>
      <c r="B54" s="59"/>
      <c r="C54" s="53">
        <f>'[6]Sheet 1'!I154</f>
        <v>0</v>
      </c>
      <c r="D54" s="54">
        <f>'[6]Sheet 1'!K154</f>
        <v>0</v>
      </c>
      <c r="E54" s="54">
        <f>IF(B40-SUM(E44:E53)&gt;D54,D54,B40-SUM(E44:E53))</f>
        <v>0</v>
      </c>
      <c r="F54" s="54">
        <f t="shared" si="0"/>
        <v>0</v>
      </c>
      <c r="G54" s="1"/>
      <c r="H54" s="57" t="s">
        <v>46</v>
      </c>
      <c r="I54" s="30"/>
      <c r="J54" s="30"/>
    </row>
    <row r="55" spans="1:10" x14ac:dyDescent="0.2">
      <c r="A55" s="59" t="s">
        <v>58</v>
      </c>
      <c r="B55" s="59"/>
      <c r="C55" s="53">
        <f>'[6]Sheet 1'!C212</f>
        <v>993.25900000000001</v>
      </c>
      <c r="D55" s="54">
        <f>'[6]Sheet 1'!E212</f>
        <v>3162534.05</v>
      </c>
      <c r="E55" s="54">
        <f>IF(B37-SUM(E42:E52)&gt;D55,D55,B37-SUM(E42:E52))</f>
        <v>0</v>
      </c>
      <c r="F55" s="54">
        <f t="shared" si="0"/>
        <v>3162534.05</v>
      </c>
      <c r="G55" s="4"/>
      <c r="H55" s="57">
        <f>+'[6]Sheet 1'!E212</f>
        <v>3162534.05</v>
      </c>
      <c r="I55" s="30"/>
      <c r="J55" s="30"/>
    </row>
    <row r="56" spans="1:10" x14ac:dyDescent="0.2">
      <c r="A56" s="58" t="s">
        <v>59</v>
      </c>
      <c r="B56" s="59"/>
      <c r="C56" s="53">
        <f>'[5]Sheet 1'!C38</f>
        <v>854.79700000000003</v>
      </c>
      <c r="D56" s="54">
        <f>'[5]Sheet 1'!E38</f>
        <v>2721673.9</v>
      </c>
      <c r="E56" s="54">
        <f>IF(B37-SUM(E42:E55)&gt;D56,D56,B37-SUM(E42:E55))</f>
        <v>0</v>
      </c>
      <c r="F56" s="54">
        <f t="shared" si="0"/>
        <v>2721673.9</v>
      </c>
      <c r="G56" s="5"/>
      <c r="H56" s="57">
        <f>+D55</f>
        <v>3162534.05</v>
      </c>
      <c r="I56" s="30"/>
      <c r="J56" s="30"/>
    </row>
    <row r="57" spans="1:10" x14ac:dyDescent="0.2">
      <c r="A57" s="65" t="s">
        <v>28</v>
      </c>
      <c r="B57" s="56"/>
      <c r="C57" s="66">
        <f>SUM(C42:C56)</f>
        <v>19475.475999999999</v>
      </c>
      <c r="D57" s="67">
        <f>SUM(D42:D56)</f>
        <v>62009912.009999998</v>
      </c>
      <c r="E57" s="67">
        <f>SUM(E42:E56)</f>
        <v>6675647</v>
      </c>
      <c r="F57" s="67">
        <f>SUM(F42:F56)</f>
        <v>55334265.009999998</v>
      </c>
      <c r="G57" s="1"/>
      <c r="H57" s="57">
        <f>+H55-H56</f>
        <v>0</v>
      </c>
      <c r="I57" s="30"/>
      <c r="J57" s="30"/>
    </row>
    <row r="58" spans="1:10" x14ac:dyDescent="0.2">
      <c r="A58" s="68" t="s">
        <v>26</v>
      </c>
      <c r="B58" s="56"/>
      <c r="C58" s="69"/>
      <c r="D58" s="54"/>
      <c r="E58" s="54"/>
      <c r="F58" s="54"/>
      <c r="G58" s="1"/>
      <c r="H58" s="57" t="s">
        <v>47</v>
      </c>
      <c r="I58" s="30"/>
      <c r="J58" s="57" t="s">
        <v>52</v>
      </c>
    </row>
    <row r="59" spans="1:10" x14ac:dyDescent="0.2">
      <c r="A59" s="58" t="s">
        <v>56</v>
      </c>
      <c r="B59" s="59"/>
      <c r="C59" s="20"/>
      <c r="D59" s="70">
        <f>[1]Main!F39</f>
        <v>179641.46</v>
      </c>
      <c r="E59" s="54">
        <f>IF($B37-SUM($E57)&gt;D59,D59,$B37-SUM($E57))</f>
        <v>0</v>
      </c>
      <c r="F59" s="54">
        <f t="shared" ref="F59:F77" si="1">D59-E59</f>
        <v>179641.46</v>
      </c>
      <c r="G59" s="1"/>
      <c r="H59" s="57">
        <f>[1]Main!G39</f>
        <v>2400413.33</v>
      </c>
      <c r="I59" s="30"/>
      <c r="J59" s="57">
        <f>+[1]Main!D500</f>
        <v>10150360.25</v>
      </c>
    </row>
    <row r="60" spans="1:10" x14ac:dyDescent="0.2">
      <c r="A60" s="59" t="s">
        <v>25</v>
      </c>
      <c r="B60" s="59"/>
      <c r="C60" s="20"/>
      <c r="D60" s="70">
        <f>[1]Main!C39</f>
        <v>2220771.87</v>
      </c>
      <c r="E60" s="54">
        <f>IF($B37-SUM($E57:E59)&gt;D60,D60,B37-SUM($E57:E59))</f>
        <v>0</v>
      </c>
      <c r="F60" s="54">
        <f t="shared" si="1"/>
        <v>2220771.87</v>
      </c>
      <c r="G60" s="1"/>
      <c r="H60" s="57">
        <f>SUM(D59:D61)</f>
        <v>2400413.33</v>
      </c>
      <c r="I60" s="30"/>
      <c r="J60" s="57">
        <f>SUM(D59:D86)-E72</f>
        <v>10150360.25</v>
      </c>
    </row>
    <row r="61" spans="1:10" x14ac:dyDescent="0.2">
      <c r="A61" s="71" t="s">
        <v>27</v>
      </c>
      <c r="B61" s="59"/>
      <c r="C61" s="20"/>
      <c r="D61" s="70">
        <f>[1]Main!D39</f>
        <v>0</v>
      </c>
      <c r="E61" s="54">
        <f>IF($B37-SUM($E57:E60)&gt;D61,D61,$B37-SUM($E57:E60))</f>
        <v>0</v>
      </c>
      <c r="F61" s="54">
        <f>D61-E61</f>
        <v>0</v>
      </c>
      <c r="G61" s="1"/>
      <c r="H61" s="57">
        <f>+H59-H60</f>
        <v>0</v>
      </c>
      <c r="I61" s="30"/>
      <c r="J61" s="57">
        <f>+J59-J60</f>
        <v>0</v>
      </c>
    </row>
    <row r="62" spans="1:10" x14ac:dyDescent="0.2">
      <c r="A62" s="72" t="s">
        <v>72</v>
      </c>
      <c r="B62" s="59"/>
      <c r="C62" s="20"/>
      <c r="D62" s="70">
        <f>[1]Main!E39</f>
        <v>0</v>
      </c>
      <c r="E62" s="54">
        <f>IF($B38-SUM($E58:E61)&gt;D62,D62,$B38-SUM($E58:E61))</f>
        <v>0</v>
      </c>
      <c r="F62" s="54">
        <f>D62-E62</f>
        <v>0</v>
      </c>
      <c r="G62" s="1"/>
      <c r="H62" s="30"/>
      <c r="I62" s="30"/>
      <c r="J62" s="30"/>
    </row>
    <row r="63" spans="1:10" x14ac:dyDescent="0.2">
      <c r="A63" s="72" t="s">
        <v>73</v>
      </c>
      <c r="B63" s="59"/>
      <c r="C63" s="20"/>
      <c r="D63" s="54">
        <f>+[1]Main!$F155</f>
        <v>83720.95</v>
      </c>
      <c r="E63" s="54">
        <f>IF($B37-SUM($E57:E61)&gt;D63,D63,$B37-SUM($E57:E61))</f>
        <v>0</v>
      </c>
      <c r="F63" s="54">
        <f t="shared" si="1"/>
        <v>83720.95</v>
      </c>
      <c r="G63" s="1"/>
      <c r="H63" s="30"/>
      <c r="I63" s="30"/>
      <c r="J63" s="30"/>
    </row>
    <row r="64" spans="1:10" x14ac:dyDescent="0.2">
      <c r="A64" s="71" t="s">
        <v>74</v>
      </c>
      <c r="B64" s="59"/>
      <c r="C64" s="20"/>
      <c r="D64" s="54">
        <f>+[1]Main!$C97</f>
        <v>639903</v>
      </c>
      <c r="E64" s="54">
        <f>IF($B37-SUM($E57:E63)&gt;D64,D64,$B37-SUM($E57:E63))</f>
        <v>0</v>
      </c>
      <c r="F64" s="54">
        <f t="shared" si="1"/>
        <v>639903</v>
      </c>
      <c r="G64" s="1"/>
      <c r="H64" s="30"/>
      <c r="I64" s="30"/>
      <c r="J64" s="30"/>
    </row>
    <row r="65" spans="1:10" x14ac:dyDescent="0.2">
      <c r="A65" s="71" t="s">
        <v>75</v>
      </c>
      <c r="B65" s="59"/>
      <c r="C65" s="20"/>
      <c r="D65" s="54">
        <f>+[1]Main!$D97</f>
        <v>2807</v>
      </c>
      <c r="E65" s="54">
        <f>IF($B37-SUM($E57:E64)&gt;D65,D65,$B37-SUM($E57:E64))</f>
        <v>0</v>
      </c>
      <c r="F65" s="54">
        <f t="shared" si="1"/>
        <v>2807</v>
      </c>
      <c r="G65" s="1"/>
      <c r="H65" s="30"/>
      <c r="I65" s="30"/>
      <c r="J65" s="30"/>
    </row>
    <row r="66" spans="1:10" x14ac:dyDescent="0.2">
      <c r="A66" s="71" t="s">
        <v>76</v>
      </c>
      <c r="B66" s="59"/>
      <c r="C66" s="20"/>
      <c r="D66" s="54">
        <f>+[1]Main!$E97</f>
        <v>24879</v>
      </c>
      <c r="E66" s="54">
        <f>IF($B37-SUM($E57:E65)&gt;D66,D66,$B37-SUM($E57:E65))</f>
        <v>0</v>
      </c>
      <c r="F66" s="54">
        <f t="shared" si="1"/>
        <v>24879</v>
      </c>
      <c r="G66" s="1"/>
      <c r="H66" s="30"/>
      <c r="I66" s="30"/>
      <c r="J66" s="30"/>
    </row>
    <row r="67" spans="1:10" x14ac:dyDescent="0.2">
      <c r="A67" s="71" t="s">
        <v>77</v>
      </c>
      <c r="B67" s="59"/>
      <c r="C67" s="20"/>
      <c r="D67" s="54">
        <f>[1]Main!F97</f>
        <v>135769</v>
      </c>
      <c r="E67" s="54">
        <f>IF($B37-SUM($E57:E66)&gt;D67,D67,$B37-SUM($E57:E66))</f>
        <v>0</v>
      </c>
      <c r="F67" s="54">
        <f t="shared" si="1"/>
        <v>135769</v>
      </c>
      <c r="G67" s="1"/>
      <c r="H67" s="57" t="s">
        <v>48</v>
      </c>
      <c r="I67" s="30"/>
      <c r="J67" s="30"/>
    </row>
    <row r="68" spans="1:10" x14ac:dyDescent="0.2">
      <c r="A68" s="71" t="s">
        <v>79</v>
      </c>
      <c r="B68" s="59"/>
      <c r="C68" s="20"/>
      <c r="D68" s="54">
        <f>[1]Main!G97</f>
        <v>0</v>
      </c>
      <c r="E68" s="54">
        <f>IF($B37-SUM($E57:E67)&gt;D68,D68,$B37-SUM($E57:E67))</f>
        <v>0</v>
      </c>
      <c r="F68" s="54">
        <f t="shared" si="1"/>
        <v>0</v>
      </c>
      <c r="G68" s="1"/>
      <c r="H68" s="57"/>
      <c r="I68" s="30"/>
      <c r="J68" s="30"/>
    </row>
    <row r="69" spans="1:10" x14ac:dyDescent="0.2">
      <c r="A69" s="71" t="s">
        <v>78</v>
      </c>
      <c r="B69" s="59"/>
      <c r="C69" s="20"/>
      <c r="D69" s="54">
        <f>[1]Main!G155</f>
        <v>196439.58</v>
      </c>
      <c r="E69" s="54">
        <f>IF($B37-SUM($E57:E68)&gt;D69,D69,$B37-SUM($E57:E68))</f>
        <v>0</v>
      </c>
      <c r="F69" s="54">
        <f t="shared" si="1"/>
        <v>196439.58</v>
      </c>
      <c r="G69" s="1"/>
      <c r="H69" s="73">
        <f>+[1]Main!D213</f>
        <v>1103518.53</v>
      </c>
      <c r="I69" s="30"/>
      <c r="J69" s="30"/>
    </row>
    <row r="70" spans="1:10" x14ac:dyDescent="0.2">
      <c r="A70" s="71" t="s">
        <v>80</v>
      </c>
      <c r="B70" s="59"/>
      <c r="C70" s="20"/>
      <c r="D70" s="54">
        <f>[1]Main!C213</f>
        <v>20000</v>
      </c>
      <c r="E70" s="54"/>
      <c r="F70" s="54">
        <f t="shared" si="1"/>
        <v>20000</v>
      </c>
      <c r="G70" s="1"/>
      <c r="H70" s="57">
        <f>+SUM(D63:D70)</f>
        <v>1103518.53</v>
      </c>
      <c r="I70" s="30"/>
      <c r="J70" s="30"/>
    </row>
    <row r="71" spans="1:10" x14ac:dyDescent="0.2">
      <c r="A71" s="71" t="s">
        <v>81</v>
      </c>
      <c r="B71" s="59"/>
      <c r="C71" s="20"/>
      <c r="D71" s="54">
        <f>[1]Main!C271</f>
        <v>1086231</v>
      </c>
      <c r="E71" s="54">
        <v>0</v>
      </c>
      <c r="F71" s="54">
        <f t="shared" si="1"/>
        <v>1086231</v>
      </c>
      <c r="G71" s="1"/>
      <c r="H71" s="57">
        <f>+H69-H70</f>
        <v>0</v>
      </c>
      <c r="I71" s="30"/>
      <c r="J71" s="30"/>
    </row>
    <row r="72" spans="1:10" x14ac:dyDescent="0.2">
      <c r="A72" s="71" t="s">
        <v>82</v>
      </c>
      <c r="B72" s="59"/>
      <c r="C72" s="20"/>
      <c r="D72" s="54">
        <f>+[7]Main!I38+[7]Main!J38</f>
        <v>822060.15</v>
      </c>
      <c r="E72" s="74">
        <f>[7]Main!J38</f>
        <v>420444.1</v>
      </c>
      <c r="F72" s="54">
        <f t="shared" si="1"/>
        <v>401616.05</v>
      </c>
      <c r="G72" s="1"/>
      <c r="H72" s="30"/>
      <c r="I72" s="30"/>
      <c r="J72" s="30"/>
    </row>
    <row r="73" spans="1:10" x14ac:dyDescent="0.2">
      <c r="A73" s="71" t="s">
        <v>83</v>
      </c>
      <c r="B73" s="59"/>
      <c r="C73" s="20"/>
      <c r="D73" s="54">
        <f>[1]Main!F271</f>
        <v>172927</v>
      </c>
      <c r="E73" s="54">
        <v>0</v>
      </c>
      <c r="F73" s="54">
        <f t="shared" si="1"/>
        <v>172927</v>
      </c>
      <c r="G73" s="1"/>
      <c r="H73" s="30"/>
      <c r="I73" s="30"/>
      <c r="J73" s="30"/>
    </row>
    <row r="74" spans="1:10" x14ac:dyDescent="0.2">
      <c r="A74" s="71" t="s">
        <v>84</v>
      </c>
      <c r="B74" s="59"/>
      <c r="C74" s="7"/>
      <c r="D74" s="54">
        <f>[1]Main!E271</f>
        <v>22900.5</v>
      </c>
      <c r="E74" s="54">
        <v>0</v>
      </c>
      <c r="F74" s="54">
        <f t="shared" si="1"/>
        <v>22900.5</v>
      </c>
      <c r="G74" s="1"/>
      <c r="H74" s="57" t="s">
        <v>49</v>
      </c>
      <c r="I74" s="30"/>
      <c r="J74" s="30"/>
    </row>
    <row r="75" spans="1:10" x14ac:dyDescent="0.2">
      <c r="A75" s="71" t="s">
        <v>85</v>
      </c>
      <c r="B75" s="59"/>
      <c r="C75" s="7"/>
      <c r="D75" s="54">
        <f>[1]Main!G271</f>
        <v>66272</v>
      </c>
      <c r="E75" s="54">
        <v>0</v>
      </c>
      <c r="F75" s="54">
        <f t="shared" si="1"/>
        <v>66272</v>
      </c>
      <c r="G75" s="1"/>
      <c r="H75" s="57">
        <f>+[1]Main!C500</f>
        <v>6445704.4000000004</v>
      </c>
      <c r="I75" s="57"/>
      <c r="J75" s="57"/>
    </row>
    <row r="76" spans="1:10" x14ac:dyDescent="0.2">
      <c r="A76" s="71" t="s">
        <v>86</v>
      </c>
      <c r="B76" s="59"/>
      <c r="C76" s="20"/>
      <c r="D76" s="54">
        <f>[1]Main!C329</f>
        <v>296000</v>
      </c>
      <c r="E76" s="54">
        <v>0</v>
      </c>
      <c r="F76" s="54">
        <f t="shared" si="1"/>
        <v>296000</v>
      </c>
      <c r="G76" s="1"/>
      <c r="H76" s="57">
        <f>+SUM(D71:D81)-E72</f>
        <v>6445704.4000000004</v>
      </c>
      <c r="I76" s="57"/>
      <c r="J76" s="57">
        <f>+H76-H75</f>
        <v>0</v>
      </c>
    </row>
    <row r="77" spans="1:10" x14ac:dyDescent="0.2">
      <c r="A77" s="71" t="s">
        <v>87</v>
      </c>
      <c r="C77" s="8"/>
      <c r="D77" s="76">
        <f>[1]Main!D329</f>
        <v>3834889.94</v>
      </c>
      <c r="E77" s="77">
        <v>0</v>
      </c>
      <c r="F77" s="77">
        <f t="shared" si="1"/>
        <v>3834889.94</v>
      </c>
      <c r="G77" s="5"/>
      <c r="H77" s="57">
        <f>+H75-H76</f>
        <v>0</v>
      </c>
      <c r="I77" s="57"/>
      <c r="J77" s="57"/>
    </row>
    <row r="78" spans="1:10" x14ac:dyDescent="0.2">
      <c r="A78" s="71" t="s">
        <v>88</v>
      </c>
      <c r="B78" s="59"/>
      <c r="C78" s="20"/>
      <c r="D78" s="54">
        <f>+[1]Main!$E329</f>
        <v>19488.509999999998</v>
      </c>
      <c r="E78" s="54">
        <v>0</v>
      </c>
      <c r="F78" s="54">
        <f>D78-E78</f>
        <v>19488.509999999998</v>
      </c>
      <c r="G78" s="4"/>
      <c r="H78" s="30"/>
      <c r="I78" s="30"/>
      <c r="J78" s="30"/>
    </row>
    <row r="79" spans="1:10" x14ac:dyDescent="0.2">
      <c r="A79" s="71" t="s">
        <v>89</v>
      </c>
      <c r="B79" s="59"/>
      <c r="C79" s="20"/>
      <c r="D79" s="54">
        <f>[1]Main!F329</f>
        <v>143028.32</v>
      </c>
      <c r="E79" s="54">
        <v>0</v>
      </c>
      <c r="F79" s="54">
        <f>D79-E79</f>
        <v>143028.32</v>
      </c>
      <c r="G79" s="4"/>
      <c r="H79" s="30"/>
      <c r="I79" s="30"/>
      <c r="J79" s="30"/>
    </row>
    <row r="80" spans="1:10" x14ac:dyDescent="0.2">
      <c r="A80" s="71" t="s">
        <v>90</v>
      </c>
      <c r="B80" s="59"/>
      <c r="C80" s="20"/>
      <c r="D80" s="54">
        <f>[1]Main!G329</f>
        <v>178173</v>
      </c>
      <c r="E80" s="54">
        <v>0</v>
      </c>
      <c r="F80" s="54">
        <f>D80-E80</f>
        <v>178173</v>
      </c>
      <c r="G80" s="1"/>
      <c r="H80" s="57" t="s">
        <v>50</v>
      </c>
      <c r="I80" s="30"/>
      <c r="J80" s="30"/>
    </row>
    <row r="81" spans="1:10" x14ac:dyDescent="0.2">
      <c r="A81" s="71" t="s">
        <v>93</v>
      </c>
      <c r="B81" s="59"/>
      <c r="C81" s="20"/>
      <c r="D81" s="54">
        <f>[1]Main!F386</f>
        <v>224178.08</v>
      </c>
      <c r="E81" s="54">
        <v>0</v>
      </c>
      <c r="F81" s="54">
        <f>D81-E81</f>
        <v>224178.08</v>
      </c>
      <c r="G81" s="1"/>
      <c r="H81" s="57"/>
      <c r="I81" s="30"/>
      <c r="J81" s="30"/>
    </row>
    <row r="82" spans="1:10" x14ac:dyDescent="0.2">
      <c r="A82" s="55" t="s">
        <v>30</v>
      </c>
      <c r="B82" s="78"/>
      <c r="C82" s="79"/>
      <c r="D82" s="64"/>
      <c r="E82" s="64"/>
      <c r="F82" s="64"/>
      <c r="G82" s="1"/>
      <c r="H82" s="57"/>
      <c r="I82" s="30"/>
      <c r="J82" s="30"/>
    </row>
    <row r="83" spans="1:10" x14ac:dyDescent="0.2">
      <c r="A83" s="71" t="s">
        <v>60</v>
      </c>
      <c r="B83" s="59"/>
      <c r="C83" s="20"/>
      <c r="D83" s="54">
        <f>[1]Main!C443</f>
        <v>137141.04</v>
      </c>
      <c r="E83" s="54">
        <v>0</v>
      </c>
      <c r="F83" s="54">
        <f>D83-E83</f>
        <v>137141.04</v>
      </c>
      <c r="G83" s="1"/>
      <c r="H83" s="57">
        <f>+[1]Main!G443</f>
        <v>200723.99</v>
      </c>
      <c r="I83" s="30"/>
      <c r="J83" s="30"/>
    </row>
    <row r="84" spans="1:10" x14ac:dyDescent="0.2">
      <c r="A84" s="71" t="s">
        <v>63</v>
      </c>
      <c r="B84" s="59"/>
      <c r="C84" s="20"/>
      <c r="D84" s="54">
        <f>[1]Main!D443</f>
        <v>0</v>
      </c>
      <c r="E84" s="54">
        <v>0</v>
      </c>
      <c r="F84" s="54">
        <f>D84-E84</f>
        <v>0</v>
      </c>
      <c r="G84" s="4"/>
      <c r="H84" s="57">
        <f>SUM(D83:D86)</f>
        <v>200723.99</v>
      </c>
      <c r="I84" s="30"/>
      <c r="J84" s="30"/>
    </row>
    <row r="85" spans="1:10" x14ac:dyDescent="0.2">
      <c r="A85" s="71" t="s">
        <v>91</v>
      </c>
      <c r="B85" s="59"/>
      <c r="C85" s="20"/>
      <c r="D85" s="54">
        <f>[1]Main!E443</f>
        <v>0</v>
      </c>
      <c r="E85" s="54">
        <v>0</v>
      </c>
      <c r="F85" s="54">
        <f>D85-E85</f>
        <v>0</v>
      </c>
      <c r="G85" s="4"/>
      <c r="H85" s="57">
        <f>+H83-H84</f>
        <v>0</v>
      </c>
      <c r="I85" s="30"/>
      <c r="J85" s="30"/>
    </row>
    <row r="86" spans="1:10" x14ac:dyDescent="0.2">
      <c r="A86" s="71" t="s">
        <v>92</v>
      </c>
      <c r="B86" s="59"/>
      <c r="C86" s="20"/>
      <c r="D86" s="54">
        <f>[1]Main!F443</f>
        <v>63582.95</v>
      </c>
      <c r="E86" s="54">
        <v>0</v>
      </c>
      <c r="F86" s="54">
        <f>D86-E86</f>
        <v>63582.95</v>
      </c>
      <c r="G86" s="1"/>
      <c r="H86" s="30"/>
      <c r="I86" s="30"/>
      <c r="J86" s="30"/>
    </row>
    <row r="87" spans="1:10" x14ac:dyDescent="0.2">
      <c r="A87" s="55" t="s">
        <v>31</v>
      </c>
      <c r="B87" s="78"/>
      <c r="C87" s="79"/>
      <c r="D87" s="64"/>
      <c r="E87" s="64"/>
      <c r="F87" s="64"/>
      <c r="G87" s="1"/>
      <c r="H87" s="30"/>
      <c r="I87" s="30"/>
      <c r="J87" s="30"/>
    </row>
    <row r="88" spans="1:10" x14ac:dyDescent="0.2">
      <c r="A88" s="58" t="s">
        <v>69</v>
      </c>
      <c r="B88" s="59"/>
      <c r="C88" s="20"/>
      <c r="D88" s="54">
        <f>+[1]Main!$G556</f>
        <v>4501765.6100000003</v>
      </c>
      <c r="E88" s="54">
        <f>+[1]Main!$D556</f>
        <v>2391276.56</v>
      </c>
      <c r="F88" s="54">
        <f>+D88-E88</f>
        <v>2110489.0499999998</v>
      </c>
      <c r="G88" s="1"/>
      <c r="H88" s="30"/>
      <c r="I88" s="30"/>
      <c r="J88" s="30"/>
    </row>
    <row r="89" spans="1:10" x14ac:dyDescent="0.2">
      <c r="A89" s="59" t="s">
        <v>68</v>
      </c>
      <c r="B89" s="59"/>
      <c r="C89" s="20"/>
      <c r="D89" s="54">
        <f>+[1]Main!$G611</f>
        <v>3001177.08</v>
      </c>
      <c r="E89" s="54">
        <f>+[1]Main!$D611</f>
        <v>1594184.37</v>
      </c>
      <c r="F89" s="54">
        <f>+D89-E89</f>
        <v>1406992.71</v>
      </c>
      <c r="G89" s="1"/>
      <c r="H89" s="30"/>
      <c r="I89" s="30"/>
      <c r="J89" s="30"/>
    </row>
    <row r="90" spans="1:10" ht="13.5" thickBot="1" x14ac:dyDescent="0.25">
      <c r="A90" s="80"/>
      <c r="B90" s="81"/>
      <c r="C90" s="82" t="s">
        <v>29</v>
      </c>
      <c r="D90" s="83">
        <f>SUM(D57:D89)</f>
        <v>80083659.049999997</v>
      </c>
      <c r="E90" s="83">
        <f>SUM(E57:E89)</f>
        <v>11081552.029999999</v>
      </c>
      <c r="F90" s="83">
        <f>SUM(F57:F89)</f>
        <v>69002107.019999996</v>
      </c>
      <c r="G90" s="1"/>
      <c r="H90" s="30"/>
      <c r="I90" s="30"/>
      <c r="J90" s="30"/>
    </row>
    <row r="91" spans="1:10" ht="13.5" thickTop="1" x14ac:dyDescent="0.2">
      <c r="A91" s="84"/>
      <c r="B91" s="59"/>
      <c r="C91" s="85"/>
      <c r="D91" s="86"/>
      <c r="E91" s="86"/>
      <c r="F91" s="87"/>
      <c r="G91" s="1"/>
      <c r="H91" s="30"/>
      <c r="I91" s="30"/>
      <c r="J91" s="30"/>
    </row>
    <row r="92" spans="1:10" x14ac:dyDescent="0.2">
      <c r="A92" s="88" t="s">
        <v>40</v>
      </c>
      <c r="B92" s="78"/>
      <c r="C92" s="89"/>
      <c r="D92" s="90"/>
      <c r="E92" s="91"/>
      <c r="F92" s="92" t="s">
        <v>36</v>
      </c>
      <c r="G92" s="6"/>
      <c r="H92" s="57" t="s">
        <v>51</v>
      </c>
      <c r="I92" s="30"/>
      <c r="J92" s="57" t="s">
        <v>7</v>
      </c>
    </row>
    <row r="93" spans="1:10" x14ac:dyDescent="0.2">
      <c r="A93" s="93" t="s">
        <v>33</v>
      </c>
      <c r="B93" s="94"/>
      <c r="C93" s="95"/>
      <c r="D93" s="96"/>
      <c r="E93" s="96"/>
      <c r="F93" s="91"/>
      <c r="G93" s="6"/>
      <c r="H93" s="30"/>
      <c r="I93" s="30"/>
      <c r="J93" s="30"/>
    </row>
    <row r="94" spans="1:10" x14ac:dyDescent="0.2">
      <c r="A94" s="59" t="s">
        <v>34</v>
      </c>
      <c r="B94" s="59"/>
      <c r="C94" s="22"/>
      <c r="D94" s="27"/>
      <c r="E94" s="27"/>
      <c r="F94" s="97">
        <f>+[8]Main!$C39</f>
        <v>290196</v>
      </c>
      <c r="G94" s="5"/>
      <c r="H94" s="57">
        <f>+[1]Main!G667</f>
        <v>7502942.6900000004</v>
      </c>
      <c r="I94" s="30"/>
      <c r="J94" s="57">
        <f>+[1]Main!E667+[1]Main!F667</f>
        <v>3517481.76</v>
      </c>
    </row>
    <row r="95" spans="1:10" x14ac:dyDescent="0.2">
      <c r="A95" s="59" t="s">
        <v>66</v>
      </c>
      <c r="B95" s="59"/>
      <c r="C95" s="22"/>
      <c r="D95" s="27"/>
      <c r="E95" s="27"/>
      <c r="F95" s="97">
        <f>+[8]Main!$D39</f>
        <v>1007936</v>
      </c>
      <c r="G95" s="5"/>
      <c r="H95" s="57">
        <f>+D88+D89</f>
        <v>7502942.6900000004</v>
      </c>
      <c r="I95" s="30"/>
      <c r="J95" s="57">
        <f>+F88+F89</f>
        <v>3517481.76</v>
      </c>
    </row>
    <row r="96" spans="1:10" x14ac:dyDescent="0.2">
      <c r="A96" s="32" t="s">
        <v>65</v>
      </c>
      <c r="B96" s="32"/>
      <c r="C96" s="22"/>
      <c r="D96" s="28"/>
      <c r="E96" s="28"/>
      <c r="F96" s="97">
        <f>+[8]Main!$E39</f>
        <v>0</v>
      </c>
      <c r="G96" s="1"/>
      <c r="H96" s="57">
        <f>+H94-H95</f>
        <v>0</v>
      </c>
      <c r="I96" s="30"/>
      <c r="J96" s="57">
        <f>+J94-J95</f>
        <v>0</v>
      </c>
    </row>
    <row r="97" spans="1:10" x14ac:dyDescent="0.2">
      <c r="A97" s="32" t="s">
        <v>67</v>
      </c>
      <c r="B97" s="32"/>
      <c r="C97" s="22"/>
      <c r="D97" s="28"/>
      <c r="E97" s="28"/>
      <c r="F97" s="97">
        <f>+[8]Main!$F39</f>
        <v>0</v>
      </c>
      <c r="G97" s="1"/>
      <c r="H97" s="30"/>
      <c r="I97" s="30"/>
      <c r="J97" s="30"/>
    </row>
    <row r="98" spans="1:10" x14ac:dyDescent="0.2">
      <c r="A98" s="88" t="s">
        <v>35</v>
      </c>
      <c r="B98" s="78"/>
      <c r="C98" s="89"/>
      <c r="D98" s="90"/>
      <c r="E98" s="91"/>
      <c r="F98" s="54">
        <f>+[8]Main!$C97</f>
        <v>40406.03</v>
      </c>
      <c r="G98" s="1"/>
      <c r="H98" s="30"/>
      <c r="I98" s="30"/>
      <c r="J98" s="30"/>
    </row>
    <row r="99" spans="1:10" ht="13.5" thickBot="1" x14ac:dyDescent="0.25">
      <c r="A99" s="98"/>
      <c r="B99" s="99"/>
      <c r="C99" s="100" t="s">
        <v>29</v>
      </c>
      <c r="D99" s="101"/>
      <c r="E99" s="102"/>
      <c r="F99" s="103">
        <f>SUM(F94:F98)</f>
        <v>1338538.03</v>
      </c>
      <c r="G99" s="1"/>
      <c r="H99" s="30"/>
      <c r="I99" s="30"/>
      <c r="J99" s="30"/>
    </row>
    <row r="100" spans="1:10" ht="13.5" thickBot="1" x14ac:dyDescent="0.25">
      <c r="A100" s="104"/>
      <c r="B100" s="105"/>
      <c r="C100" s="106" t="s">
        <v>53</v>
      </c>
      <c r="D100" s="107"/>
      <c r="E100" s="108"/>
      <c r="F100" s="109">
        <f>+F99+F90</f>
        <v>70340645.049999997</v>
      </c>
      <c r="G100" s="1"/>
      <c r="H100" s="57" t="s">
        <v>54</v>
      </c>
      <c r="I100" s="30"/>
      <c r="J100" s="30"/>
    </row>
    <row r="101" spans="1:10" x14ac:dyDescent="0.2">
      <c r="A101" s="11"/>
      <c r="B101" s="12"/>
      <c r="C101" s="9"/>
      <c r="D101" s="29"/>
      <c r="E101" s="29"/>
      <c r="F101" s="110"/>
      <c r="G101" s="1"/>
      <c r="H101" s="57">
        <f>+[8]Main!$G39</f>
        <v>1298132</v>
      </c>
      <c r="I101" s="30"/>
      <c r="J101" s="30"/>
    </row>
    <row r="102" spans="1:10" x14ac:dyDescent="0.2">
      <c r="A102" s="11"/>
      <c r="B102" s="12"/>
      <c r="C102" s="9"/>
      <c r="D102" s="29"/>
      <c r="E102" s="29"/>
      <c r="F102" s="110"/>
      <c r="G102" s="1"/>
      <c r="H102" s="57">
        <f>SUM(F94:F97)</f>
        <v>1298132</v>
      </c>
      <c r="I102" s="30"/>
      <c r="J102" s="30"/>
    </row>
    <row r="103" spans="1:10" x14ac:dyDescent="0.2">
      <c r="A103" s="1"/>
      <c r="B103" s="1"/>
      <c r="C103" s="7"/>
      <c r="D103" s="26"/>
      <c r="E103" s="26"/>
      <c r="F103" s="86">
        <f>+F99+F90</f>
        <v>70340645.049999997</v>
      </c>
      <c r="G103" s="1"/>
      <c r="H103" s="57">
        <f>+H101-H102</f>
        <v>0</v>
      </c>
      <c r="I103" s="30"/>
      <c r="J103" s="30"/>
    </row>
    <row r="104" spans="1:10" x14ac:dyDescent="0.2">
      <c r="A104" s="1"/>
      <c r="B104" s="1"/>
      <c r="C104" s="7"/>
      <c r="D104" s="26"/>
      <c r="E104" s="26"/>
      <c r="F104" s="86">
        <f>+[1]Main!$F783</f>
        <v>70340645.049999997</v>
      </c>
      <c r="G104" s="1"/>
      <c r="H104" s="30"/>
      <c r="I104" s="30"/>
      <c r="J104" s="30"/>
    </row>
    <row r="105" spans="1:10" x14ac:dyDescent="0.2">
      <c r="A105" s="1"/>
      <c r="B105" s="1"/>
      <c r="C105" s="7"/>
      <c r="D105" s="26"/>
      <c r="E105" s="86">
        <f>+E90+[1]Main!$E783</f>
        <v>0</v>
      </c>
      <c r="F105" s="86">
        <f>+F104-F103</f>
        <v>0</v>
      </c>
      <c r="G105" s="1"/>
      <c r="H105" s="30"/>
      <c r="I105" s="30"/>
      <c r="J105" s="30"/>
    </row>
    <row r="106" spans="1:10" x14ac:dyDescent="0.2">
      <c r="A106" s="59"/>
      <c r="B106" s="59"/>
      <c r="C106" s="85"/>
      <c r="D106" s="86"/>
      <c r="E106" s="86"/>
      <c r="F106" s="86"/>
      <c r="G106" s="59"/>
      <c r="H106" s="57"/>
      <c r="I106" s="57"/>
      <c r="J106" s="57"/>
    </row>
    <row r="107" spans="1:10" x14ac:dyDescent="0.2">
      <c r="A107" s="59"/>
      <c r="B107" s="59"/>
      <c r="C107" s="85"/>
      <c r="D107" s="86"/>
      <c r="E107" s="86"/>
      <c r="F107" s="86"/>
      <c r="G107" s="59"/>
      <c r="H107" s="57"/>
      <c r="I107" s="57"/>
      <c r="J107" s="57"/>
    </row>
    <row r="108" spans="1:10" x14ac:dyDescent="0.2">
      <c r="A108" s="59"/>
      <c r="B108" s="59"/>
      <c r="C108" s="85"/>
      <c r="D108" s="86"/>
      <c r="E108" s="86"/>
      <c r="F108" s="86"/>
      <c r="G108" s="59"/>
      <c r="H108" s="111" t="s">
        <v>55</v>
      </c>
      <c r="I108" s="57"/>
      <c r="J108" s="57"/>
    </row>
    <row r="109" spans="1:10" x14ac:dyDescent="0.2">
      <c r="G109" s="59"/>
      <c r="H109" s="113"/>
      <c r="I109" s="112"/>
      <c r="J109" s="112"/>
    </row>
    <row r="110" spans="1:10" x14ac:dyDescent="0.2">
      <c r="G110" s="59"/>
      <c r="H110" s="112"/>
      <c r="I110" s="112"/>
      <c r="J110" s="112"/>
    </row>
    <row r="111" spans="1:10" x14ac:dyDescent="0.2">
      <c r="G111" s="59"/>
      <c r="H111" s="112"/>
      <c r="I111" s="112"/>
      <c r="J111" s="112"/>
    </row>
    <row r="112" spans="1:10" x14ac:dyDescent="0.2">
      <c r="G112" s="59"/>
      <c r="H112" s="112"/>
      <c r="I112" s="112"/>
      <c r="J112" s="112"/>
    </row>
    <row r="113" spans="7:10" x14ac:dyDescent="0.2">
      <c r="G113" s="59"/>
      <c r="H113" s="112"/>
      <c r="I113" s="112"/>
      <c r="J113" s="112"/>
    </row>
    <row r="114" spans="7:10" x14ac:dyDescent="0.2">
      <c r="G114" s="59"/>
      <c r="H114" s="71"/>
      <c r="I114" s="112"/>
      <c r="J114" s="112"/>
    </row>
  </sheetData>
  <mergeCells count="1">
    <mergeCell ref="D33:E33"/>
  </mergeCells>
  <phoneticPr fontId="0" type="noConversion"/>
  <printOptions horizontalCentered="1" verticalCentered="1"/>
  <pageMargins left="0.5" right="0.25" top="0.5" bottom="0.5" header="0.5" footer="0.5"/>
  <pageSetup scale="89" orientation="portrait" horizontalDpi="1200" r:id="rId1"/>
  <headerFooter alignWithMargins="0">
    <oddHeader>&amp;R&amp;8Current as of: &amp;D</oddHeader>
    <oddFooter>&amp;L&amp;8USOE, Finance and Statistics&amp;R&amp;8&amp;F</oddFooter>
  </headerFooter>
  <picture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J115"/>
  <sheetViews>
    <sheetView topLeftCell="A61" workbookViewId="0">
      <selection activeCell="B38" sqref="B38"/>
    </sheetView>
  </sheetViews>
  <sheetFormatPr defaultColWidth="18.28515625" defaultRowHeight="12.75" x14ac:dyDescent="0.2"/>
  <cols>
    <col min="1" max="1" width="27" style="75" customWidth="1"/>
    <col min="2" max="2" width="16.7109375" style="75" customWidth="1"/>
    <col min="3" max="3" width="15.85546875" style="75" customWidth="1"/>
    <col min="4" max="4" width="16.28515625" style="75" customWidth="1"/>
    <col min="5" max="5" width="15.5703125" style="75" customWidth="1"/>
    <col min="6" max="6" width="17.42578125" style="75" customWidth="1"/>
    <col min="7" max="7" width="5.7109375" style="75" customWidth="1"/>
    <col min="8" max="8" width="21.5703125" style="75" customWidth="1"/>
    <col min="9" max="9" width="5" style="75" customWidth="1"/>
    <col min="10" max="10" width="20.85546875" style="75" customWidth="1"/>
    <col min="11" max="16384" width="18.28515625" style="75"/>
  </cols>
  <sheetData>
    <row r="1" spans="1:10" x14ac:dyDescent="0.2">
      <c r="A1" s="8"/>
      <c r="B1" s="8"/>
      <c r="C1" s="8"/>
      <c r="D1" s="8"/>
      <c r="E1" s="8"/>
      <c r="F1" s="8"/>
      <c r="G1" s="8"/>
      <c r="H1" s="8"/>
      <c r="I1" s="8"/>
      <c r="J1" s="8"/>
    </row>
    <row r="2" spans="1:10" x14ac:dyDescent="0.2">
      <c r="A2" s="8"/>
      <c r="B2" s="8"/>
      <c r="C2" s="8"/>
      <c r="D2" s="8"/>
      <c r="E2" s="8"/>
      <c r="F2" s="8"/>
      <c r="G2" s="8"/>
      <c r="H2" s="8"/>
      <c r="I2" s="8"/>
      <c r="J2" s="8"/>
    </row>
    <row r="3" spans="1:10" x14ac:dyDescent="0.2">
      <c r="A3" s="8"/>
      <c r="B3" s="8"/>
      <c r="C3" s="8"/>
      <c r="D3" s="8"/>
      <c r="E3" s="8"/>
      <c r="F3" s="8"/>
      <c r="G3" s="8"/>
      <c r="H3" s="8"/>
      <c r="I3" s="8"/>
      <c r="J3" s="8"/>
    </row>
    <row r="4" spans="1:10" x14ac:dyDescent="0.2">
      <c r="A4" s="8"/>
      <c r="B4" s="8"/>
      <c r="C4" s="8"/>
      <c r="D4" s="8"/>
      <c r="E4" s="8"/>
      <c r="F4" s="8"/>
      <c r="G4" s="8"/>
      <c r="H4" s="8"/>
      <c r="I4" s="8"/>
      <c r="J4" s="8"/>
    </row>
    <row r="5" spans="1:10" x14ac:dyDescent="0.2">
      <c r="A5" s="8"/>
      <c r="B5" s="8"/>
      <c r="C5" s="8"/>
      <c r="D5" s="8"/>
      <c r="E5" s="8"/>
      <c r="F5" s="8"/>
      <c r="G5" s="8"/>
      <c r="H5" s="8"/>
      <c r="I5" s="8"/>
      <c r="J5" s="8"/>
    </row>
    <row r="6" spans="1:10" x14ac:dyDescent="0.2">
      <c r="A6" s="8"/>
      <c r="B6" s="8"/>
      <c r="C6" s="8"/>
      <c r="D6" s="8"/>
      <c r="E6" s="8"/>
      <c r="F6" s="8"/>
      <c r="G6" s="8"/>
      <c r="H6" s="8"/>
      <c r="I6" s="8"/>
      <c r="J6" s="8"/>
    </row>
    <row r="7" spans="1:10" x14ac:dyDescent="0.2">
      <c r="A7" s="8"/>
      <c r="B7" s="8"/>
      <c r="C7" s="8"/>
      <c r="D7" s="8"/>
      <c r="E7" s="8"/>
      <c r="F7" s="8"/>
      <c r="G7" s="8"/>
      <c r="H7" s="8"/>
      <c r="I7" s="8"/>
      <c r="J7" s="8"/>
    </row>
    <row r="8" spans="1:10" x14ac:dyDescent="0.2">
      <c r="A8" s="8"/>
      <c r="B8" s="8"/>
      <c r="C8" s="8"/>
      <c r="D8" s="8"/>
      <c r="E8" s="8"/>
      <c r="F8" s="8"/>
      <c r="G8" s="8"/>
      <c r="H8" s="8"/>
      <c r="I8" s="8"/>
      <c r="J8" s="8"/>
    </row>
    <row r="9" spans="1:10" x14ac:dyDescent="0.2">
      <c r="A9" s="8"/>
      <c r="B9" s="8"/>
      <c r="C9" s="8"/>
      <c r="D9" s="8"/>
      <c r="E9" s="8"/>
      <c r="F9" s="8"/>
      <c r="G9" s="8"/>
      <c r="H9" s="8"/>
      <c r="I9" s="8"/>
      <c r="J9" s="8"/>
    </row>
    <row r="10" spans="1:10" x14ac:dyDescent="0.2">
      <c r="A10" s="8"/>
      <c r="B10" s="15"/>
      <c r="C10" s="8"/>
      <c r="D10" s="8"/>
      <c r="E10" s="8"/>
      <c r="F10" s="8"/>
      <c r="G10" s="8"/>
      <c r="H10" s="8"/>
      <c r="I10" s="8"/>
      <c r="J10" s="8"/>
    </row>
    <row r="11" spans="1:10" x14ac:dyDescent="0.2">
      <c r="A11" s="8"/>
      <c r="B11" s="8"/>
      <c r="C11" s="8"/>
      <c r="D11" s="8"/>
      <c r="E11" s="8"/>
      <c r="F11" s="8"/>
      <c r="G11" s="8"/>
      <c r="H11" s="8"/>
      <c r="I11" s="8"/>
      <c r="J11" s="8"/>
    </row>
    <row r="12" spans="1:10" x14ac:dyDescent="0.2">
      <c r="A12" s="8"/>
      <c r="B12" s="8"/>
      <c r="C12" s="8"/>
      <c r="D12" s="8"/>
      <c r="E12" s="8"/>
      <c r="F12" s="8"/>
      <c r="G12" s="8"/>
      <c r="H12" s="8"/>
      <c r="I12" s="8"/>
      <c r="J12" s="8"/>
    </row>
    <row r="13" spans="1:10" x14ac:dyDescent="0.2">
      <c r="A13" s="8"/>
      <c r="B13" s="8"/>
      <c r="C13" s="8"/>
      <c r="D13" s="8"/>
      <c r="E13" s="8"/>
      <c r="F13" s="8"/>
      <c r="G13" s="8"/>
      <c r="H13" s="8"/>
      <c r="I13" s="8"/>
      <c r="J13" s="8"/>
    </row>
    <row r="14" spans="1:10" x14ac:dyDescent="0.2">
      <c r="A14" s="8"/>
      <c r="B14" s="8"/>
      <c r="C14" s="8"/>
      <c r="D14" s="8"/>
      <c r="E14" s="8"/>
      <c r="F14" s="8"/>
      <c r="G14" s="8"/>
      <c r="H14" s="8"/>
      <c r="I14" s="8"/>
      <c r="J14" s="8"/>
    </row>
    <row r="15" spans="1:10" x14ac:dyDescent="0.2">
      <c r="A15" s="8"/>
      <c r="B15" s="8"/>
      <c r="C15" s="8"/>
      <c r="D15" s="8"/>
      <c r="E15" s="8"/>
      <c r="F15" s="8"/>
      <c r="G15" s="8"/>
      <c r="H15" s="8"/>
      <c r="I15" s="8"/>
      <c r="J15" s="8"/>
    </row>
    <row r="16" spans="1:10" x14ac:dyDescent="0.2">
      <c r="A16" s="8"/>
      <c r="B16" s="8"/>
      <c r="C16" s="8"/>
      <c r="D16" s="8"/>
      <c r="E16" s="8"/>
      <c r="F16" s="8"/>
      <c r="G16" s="8"/>
      <c r="H16" s="8"/>
      <c r="I16" s="8"/>
      <c r="J16" s="8"/>
    </row>
    <row r="17" spans="1:10" x14ac:dyDescent="0.2">
      <c r="A17" s="8"/>
      <c r="B17" s="8"/>
      <c r="C17" s="8"/>
      <c r="D17" s="8"/>
      <c r="E17" s="8"/>
      <c r="F17" s="8"/>
      <c r="G17" s="8"/>
      <c r="H17" s="8"/>
      <c r="I17" s="8"/>
      <c r="J17" s="8"/>
    </row>
    <row r="18" spans="1:10" x14ac:dyDescent="0.2">
      <c r="A18" s="8"/>
      <c r="B18" s="8"/>
      <c r="C18" s="8"/>
      <c r="D18" s="8"/>
      <c r="E18" s="8"/>
      <c r="F18" s="8"/>
      <c r="G18" s="8"/>
      <c r="H18" s="8"/>
      <c r="I18" s="8"/>
      <c r="J18" s="8"/>
    </row>
    <row r="19" spans="1:10" x14ac:dyDescent="0.2">
      <c r="A19" s="8"/>
      <c r="B19" s="8"/>
      <c r="C19" s="8"/>
      <c r="D19" s="8"/>
      <c r="E19" s="8"/>
      <c r="F19" s="8"/>
      <c r="G19" s="8"/>
      <c r="H19" s="8"/>
      <c r="I19" s="8"/>
      <c r="J19" s="8"/>
    </row>
    <row r="20" spans="1:10" x14ac:dyDescent="0.2">
      <c r="A20" s="8"/>
      <c r="B20" s="8"/>
      <c r="C20" s="8"/>
      <c r="D20" s="8"/>
      <c r="E20" s="8"/>
      <c r="F20" s="8"/>
      <c r="G20" s="8"/>
      <c r="H20" s="8"/>
      <c r="I20" s="8"/>
      <c r="J20" s="8"/>
    </row>
    <row r="21" spans="1:10" x14ac:dyDescent="0.2">
      <c r="A21" s="8"/>
      <c r="B21" s="8"/>
      <c r="C21" s="8"/>
      <c r="D21" s="8"/>
      <c r="E21" s="8"/>
      <c r="F21" s="8"/>
      <c r="G21" s="8"/>
      <c r="H21" s="8"/>
      <c r="I21" s="8"/>
      <c r="J21" s="8"/>
    </row>
    <row r="22" spans="1:10" x14ac:dyDescent="0.2">
      <c r="A22" s="8"/>
      <c r="B22" s="8"/>
      <c r="C22" s="8"/>
      <c r="D22" s="8"/>
      <c r="E22" s="8"/>
      <c r="F22" s="8"/>
      <c r="G22" s="8"/>
      <c r="H22" s="8"/>
      <c r="I22" s="8"/>
      <c r="J22" s="8"/>
    </row>
    <row r="23" spans="1:10" x14ac:dyDescent="0.2">
      <c r="A23" s="8"/>
      <c r="B23" s="8"/>
      <c r="C23" s="8"/>
      <c r="D23" s="8"/>
      <c r="E23" s="8"/>
      <c r="F23" s="8"/>
      <c r="G23" s="8"/>
      <c r="H23" s="8"/>
      <c r="I23" s="8"/>
      <c r="J23" s="8"/>
    </row>
    <row r="24" spans="1:10" x14ac:dyDescent="0.2">
      <c r="A24" s="8"/>
      <c r="B24" s="8"/>
      <c r="C24" s="8"/>
      <c r="D24" s="8"/>
      <c r="E24" s="8"/>
      <c r="F24" s="8"/>
      <c r="G24" s="8"/>
      <c r="H24" s="8"/>
      <c r="I24" s="8"/>
      <c r="J24" s="8"/>
    </row>
    <row r="25" spans="1:10" x14ac:dyDescent="0.2">
      <c r="A25" s="8"/>
      <c r="B25" s="8"/>
      <c r="C25" s="8"/>
      <c r="D25" s="8"/>
      <c r="E25" s="8"/>
      <c r="F25" s="8"/>
      <c r="G25" s="8"/>
      <c r="H25" s="8"/>
      <c r="I25" s="8"/>
      <c r="J25" s="8"/>
    </row>
    <row r="26" spans="1:10" x14ac:dyDescent="0.2">
      <c r="A26" s="8"/>
      <c r="B26" s="8"/>
      <c r="C26" s="8"/>
      <c r="D26" s="8"/>
      <c r="E26" s="8"/>
      <c r="F26" s="8"/>
      <c r="G26" s="8"/>
      <c r="H26" s="8"/>
      <c r="I26" s="8"/>
      <c r="J26" s="8"/>
    </row>
    <row r="27" spans="1:10" x14ac:dyDescent="0.2">
      <c r="A27" s="8"/>
      <c r="B27" s="8"/>
      <c r="C27" s="8"/>
      <c r="D27" s="8"/>
      <c r="E27" s="8"/>
      <c r="F27" s="8"/>
      <c r="G27" s="8"/>
      <c r="H27" s="8"/>
      <c r="I27" s="8"/>
      <c r="J27" s="8"/>
    </row>
    <row r="28" spans="1:10" x14ac:dyDescent="0.2">
      <c r="A28" s="8"/>
      <c r="B28" s="8"/>
      <c r="C28" s="8"/>
      <c r="D28" s="8"/>
      <c r="E28" s="8"/>
      <c r="F28" s="8"/>
      <c r="G28" s="8"/>
      <c r="H28" s="8"/>
      <c r="I28" s="8"/>
      <c r="J28" s="8"/>
    </row>
    <row r="29" spans="1:10" x14ac:dyDescent="0.2">
      <c r="A29" s="8"/>
      <c r="B29" s="8"/>
      <c r="C29" s="8"/>
      <c r="D29" s="8"/>
      <c r="E29" s="8"/>
      <c r="F29" s="8"/>
      <c r="G29" s="8"/>
      <c r="H29" s="8"/>
      <c r="I29" s="8"/>
      <c r="J29" s="8"/>
    </row>
    <row r="30" spans="1:10" x14ac:dyDescent="0.2">
      <c r="A30" s="8"/>
      <c r="B30" s="8"/>
      <c r="C30" s="8"/>
      <c r="D30" s="8"/>
      <c r="E30" s="8"/>
      <c r="F30" s="8"/>
      <c r="G30" s="8"/>
      <c r="H30" s="8"/>
      <c r="I30" s="8"/>
      <c r="J30" s="8"/>
    </row>
    <row r="31" spans="1:10" x14ac:dyDescent="0.2">
      <c r="A31" s="32" t="s">
        <v>0</v>
      </c>
      <c r="B31" s="33">
        <v>3184</v>
      </c>
      <c r="C31" s="34" t="s">
        <v>1</v>
      </c>
      <c r="D31" s="35"/>
      <c r="E31" s="35"/>
      <c r="F31" s="35"/>
      <c r="G31" s="1"/>
      <c r="H31" s="30"/>
      <c r="I31" s="30"/>
      <c r="J31" s="30"/>
    </row>
    <row r="32" spans="1:10" x14ac:dyDescent="0.2">
      <c r="A32" s="32" t="s">
        <v>61</v>
      </c>
      <c r="B32" s="36">
        <f>+[1]Main!$C557</f>
        <v>0</v>
      </c>
      <c r="C32" s="34" t="s">
        <v>41</v>
      </c>
      <c r="D32" s="35"/>
      <c r="E32" s="35"/>
      <c r="F32" s="35"/>
      <c r="G32" s="1"/>
      <c r="H32" s="30"/>
      <c r="I32" s="30"/>
      <c r="J32" s="30"/>
    </row>
    <row r="33" spans="1:10" x14ac:dyDescent="0.2">
      <c r="A33" s="32" t="s">
        <v>62</v>
      </c>
      <c r="B33" s="36">
        <f>+[1]Main!$C612</f>
        <v>2.173E-3</v>
      </c>
      <c r="C33" s="34" t="s">
        <v>95</v>
      </c>
      <c r="D33" s="35"/>
      <c r="E33" s="37"/>
      <c r="F33" s="35"/>
      <c r="G33" s="1"/>
      <c r="H33" s="30"/>
      <c r="I33" s="30"/>
      <c r="J33" s="30"/>
    </row>
    <row r="34" spans="1:10" x14ac:dyDescent="0.2">
      <c r="A34" s="38" t="s">
        <v>32</v>
      </c>
      <c r="B34" s="39">
        <f>[2]Sheet1!E39</f>
        <v>4916673493</v>
      </c>
      <c r="C34" s="21"/>
      <c r="D34" s="31"/>
      <c r="E34" s="31"/>
      <c r="F34" s="23"/>
      <c r="G34" s="1"/>
      <c r="H34" s="30"/>
      <c r="I34" s="30"/>
      <c r="J34" s="30"/>
    </row>
    <row r="35" spans="1:10" x14ac:dyDescent="0.2">
      <c r="A35" s="32" t="s">
        <v>2</v>
      </c>
      <c r="B35" s="40">
        <f>[2]Sheet1!F39</f>
        <v>0.97319999999999995</v>
      </c>
      <c r="C35" s="7"/>
      <c r="D35" s="41" t="s">
        <v>3</v>
      </c>
      <c r="E35" s="42" t="str">
        <f>+[3]main!B40</f>
        <v>Uintah</v>
      </c>
      <c r="F35" s="43">
        <f>+[3]main!A40</f>
        <v>31</v>
      </c>
      <c r="G35" s="1"/>
      <c r="H35" s="30"/>
      <c r="I35" s="30"/>
      <c r="J35" s="30"/>
    </row>
    <row r="36" spans="1:10" x14ac:dyDescent="0.2">
      <c r="A36" s="32" t="s">
        <v>4</v>
      </c>
      <c r="B36" s="44">
        <f>[2]Sheet1!G39</f>
        <v>1.6750000000000001E-3</v>
      </c>
      <c r="C36" s="8"/>
      <c r="D36" s="24"/>
      <c r="E36" s="25"/>
      <c r="F36" s="24"/>
      <c r="G36" s="1"/>
      <c r="H36" s="30"/>
      <c r="I36" s="30"/>
      <c r="J36" s="30"/>
    </row>
    <row r="37" spans="1:10" x14ac:dyDescent="0.2">
      <c r="A37" s="32" t="s">
        <v>5</v>
      </c>
      <c r="B37" s="45">
        <f>[2]Sheet1!$C$95</f>
        <v>8434982</v>
      </c>
      <c r="C37" s="46"/>
      <c r="D37" s="47" t="s">
        <v>38</v>
      </c>
      <c r="E37" s="48" t="s">
        <v>7</v>
      </c>
      <c r="F37" s="47" t="s">
        <v>6</v>
      </c>
      <c r="G37" s="1"/>
      <c r="H37" s="30"/>
      <c r="I37" s="30"/>
      <c r="J37" s="30"/>
    </row>
    <row r="38" spans="1:10" x14ac:dyDescent="0.2">
      <c r="A38" s="32" t="s">
        <v>8</v>
      </c>
      <c r="B38" s="45">
        <f>+B37</f>
        <v>8434982</v>
      </c>
      <c r="C38" s="49"/>
      <c r="D38" s="50" t="s">
        <v>9</v>
      </c>
      <c r="E38" s="50" t="s">
        <v>37</v>
      </c>
      <c r="F38" s="50" t="s">
        <v>10</v>
      </c>
      <c r="G38" s="1"/>
      <c r="H38" s="30"/>
      <c r="I38" s="30"/>
      <c r="J38" s="30"/>
    </row>
    <row r="39" spans="1:10" x14ac:dyDescent="0.2">
      <c r="A39" s="32" t="s">
        <v>11</v>
      </c>
      <c r="B39" s="45">
        <v>0</v>
      </c>
      <c r="C39" s="51" t="s">
        <v>39</v>
      </c>
      <c r="D39" s="52" t="s">
        <v>12</v>
      </c>
      <c r="E39" s="52" t="s">
        <v>9</v>
      </c>
      <c r="F39" s="52" t="s">
        <v>9</v>
      </c>
      <c r="G39" s="1"/>
      <c r="H39" s="30"/>
      <c r="I39" s="30"/>
      <c r="J39" s="30"/>
    </row>
    <row r="40" spans="1:10" x14ac:dyDescent="0.2">
      <c r="A40" s="32" t="s">
        <v>70</v>
      </c>
      <c r="B40" s="45">
        <f>'[4]LRF FY17'!U37</f>
        <v>533063</v>
      </c>
      <c r="C40" s="53"/>
      <c r="D40" s="54"/>
      <c r="E40" s="54"/>
      <c r="F40" s="54" t="s">
        <v>14</v>
      </c>
      <c r="G40" s="1"/>
      <c r="H40" s="30"/>
      <c r="I40" s="30"/>
      <c r="J40" s="30"/>
    </row>
    <row r="41" spans="1:10" x14ac:dyDescent="0.2">
      <c r="A41" s="55" t="s">
        <v>13</v>
      </c>
      <c r="B41" s="56"/>
      <c r="C41" s="53"/>
      <c r="D41" s="54"/>
      <c r="E41" s="54"/>
      <c r="F41" s="54"/>
      <c r="G41" s="2"/>
      <c r="H41" s="30"/>
      <c r="I41" s="30"/>
      <c r="J41" s="30"/>
    </row>
    <row r="42" spans="1:10" x14ac:dyDescent="0.2">
      <c r="A42" s="55" t="s">
        <v>15</v>
      </c>
      <c r="B42" s="56"/>
      <c r="C42" s="53"/>
      <c r="D42" s="54"/>
      <c r="E42" s="54"/>
      <c r="F42" s="54"/>
      <c r="G42" s="2"/>
      <c r="H42" s="57" t="s">
        <v>43</v>
      </c>
      <c r="I42" s="30"/>
      <c r="J42" s="57" t="s">
        <v>45</v>
      </c>
    </row>
    <row r="43" spans="1:10" x14ac:dyDescent="0.2">
      <c r="A43" s="58" t="s">
        <v>16</v>
      </c>
      <c r="B43" s="59"/>
      <c r="C43" s="60">
        <f>[3]main!C214-[3]main!F156</f>
        <v>6709.1009999999997</v>
      </c>
      <c r="D43" s="61">
        <f>[3]main!E214-[3]main!H156</f>
        <v>21361777.789999999</v>
      </c>
      <c r="E43" s="62">
        <f>IF(B38&gt;D43,D43,B38)</f>
        <v>8434982</v>
      </c>
      <c r="F43" s="62">
        <f>D43-E43</f>
        <v>12926795.789999999</v>
      </c>
      <c r="G43" s="1"/>
      <c r="H43" s="57">
        <f>[3]main!H273</f>
        <v>23516410.289999999</v>
      </c>
      <c r="I43" s="30"/>
      <c r="J43" s="57">
        <f>'[5]Sheet 1'!E97</f>
        <v>30754272.34</v>
      </c>
    </row>
    <row r="44" spans="1:10" x14ac:dyDescent="0.2">
      <c r="A44" s="58" t="s">
        <v>17</v>
      </c>
      <c r="B44" s="59"/>
      <c r="C44" s="53">
        <f>[3]main!F156</f>
        <v>146.68199999999999</v>
      </c>
      <c r="D44" s="54">
        <f>[3]main!H156</f>
        <v>467033.9</v>
      </c>
      <c r="E44" s="54">
        <f>IF(B37-SUM(E41:E43)&gt;D44,D44,B37-SUM(E41:E43))</f>
        <v>0</v>
      </c>
      <c r="F44" s="54">
        <f>D44-E44</f>
        <v>467033.9</v>
      </c>
      <c r="G44" s="1"/>
      <c r="H44" s="57">
        <f>SUM(D43:D47)</f>
        <v>23516410.289999999</v>
      </c>
      <c r="I44" s="30"/>
      <c r="J44" s="57">
        <f>D58</f>
        <v>30754272.34</v>
      </c>
    </row>
    <row r="45" spans="1:10" x14ac:dyDescent="0.2">
      <c r="A45" s="58" t="s">
        <v>18</v>
      </c>
      <c r="B45" s="59"/>
      <c r="C45" s="53">
        <f>[3]main!F214</f>
        <v>528.02499999999998</v>
      </c>
      <c r="D45" s="54">
        <f>[3]main!H214</f>
        <v>1681230.6</v>
      </c>
      <c r="E45" s="54">
        <f>IF(B38-SUM(E43:E44)&gt;D45,D45,B38-SUM(E43:E44))</f>
        <v>0</v>
      </c>
      <c r="F45" s="54">
        <f>D45-E45</f>
        <v>1681230.6</v>
      </c>
      <c r="G45" s="1"/>
      <c r="H45" s="57">
        <f>+H43-H44</f>
        <v>0</v>
      </c>
      <c r="I45" s="30"/>
      <c r="J45" s="57">
        <f>+J43-J44</f>
        <v>0</v>
      </c>
    </row>
    <row r="46" spans="1:10" x14ac:dyDescent="0.2">
      <c r="A46" s="58" t="s">
        <v>19</v>
      </c>
      <c r="B46" s="59"/>
      <c r="C46" s="53">
        <f>[3]main!C273</f>
        <v>0</v>
      </c>
      <c r="D46" s="54">
        <f>[3]main!E273</f>
        <v>0</v>
      </c>
      <c r="E46" s="54">
        <f>IF(B38-SUM(E43:E45)&gt;D46,D46,B38-SUM(E43:E45))</f>
        <v>0</v>
      </c>
      <c r="F46" s="54">
        <f>D46-E46</f>
        <v>0</v>
      </c>
      <c r="G46" s="1"/>
      <c r="H46" s="30"/>
      <c r="I46" s="30"/>
      <c r="J46" s="30"/>
    </row>
    <row r="47" spans="1:10" x14ac:dyDescent="0.2">
      <c r="A47" s="58" t="s">
        <v>42</v>
      </c>
      <c r="B47" s="59"/>
      <c r="C47" s="53">
        <f>[3]main!C97</f>
        <v>2</v>
      </c>
      <c r="D47" s="54">
        <f>[3]main!E97</f>
        <v>6368</v>
      </c>
      <c r="E47" s="54">
        <f>IF(B38-SUM(E43:E46)&gt;D47,D47,B38-SUM(E43:E46))</f>
        <v>0</v>
      </c>
      <c r="F47" s="54">
        <f>D47-E47</f>
        <v>6368</v>
      </c>
      <c r="G47" s="1"/>
      <c r="H47" s="30"/>
      <c r="I47" s="30"/>
      <c r="J47" s="30"/>
    </row>
    <row r="48" spans="1:10" x14ac:dyDescent="0.2">
      <c r="A48" s="55" t="s">
        <v>20</v>
      </c>
      <c r="B48" s="56"/>
      <c r="C48" s="63"/>
      <c r="D48" s="64"/>
      <c r="E48" s="64"/>
      <c r="F48" s="64" t="s">
        <v>14</v>
      </c>
      <c r="G48" s="1"/>
      <c r="H48" s="57" t="s">
        <v>44</v>
      </c>
      <c r="I48" s="30"/>
      <c r="J48" s="30"/>
    </row>
    <row r="49" spans="1:10" x14ac:dyDescent="0.2">
      <c r="A49" s="58" t="s">
        <v>21</v>
      </c>
      <c r="B49" s="59"/>
      <c r="C49" s="53">
        <f>'[6]Sheet 1'!C39</f>
        <v>1012.232</v>
      </c>
      <c r="D49" s="54">
        <f>'[6]Sheet 1'!E39</f>
        <v>3222948.24</v>
      </c>
      <c r="E49" s="54">
        <f>IF(B38-SUM(E43:E48)&gt;D49,D49,B38-SUM(E43:E48))</f>
        <v>0</v>
      </c>
      <c r="F49" s="54">
        <f t="shared" ref="F49:F57" si="0">D49-E49</f>
        <v>3222948.24</v>
      </c>
      <c r="G49" s="1"/>
      <c r="H49" s="57">
        <f>'[6]Sheet 1'!N155</f>
        <v>4640253.8899999997</v>
      </c>
      <c r="I49" s="30"/>
      <c r="J49" s="30"/>
    </row>
    <row r="50" spans="1:10" x14ac:dyDescent="0.2">
      <c r="A50" s="59" t="s">
        <v>22</v>
      </c>
      <c r="B50" s="59"/>
      <c r="C50" s="53">
        <f>'[6]Sheet 1'!F39</f>
        <v>139.99</v>
      </c>
      <c r="D50" s="54">
        <f>'[6]Sheet 1'!H39</f>
        <v>445728.16</v>
      </c>
      <c r="E50" s="54">
        <f>IF(B38-SUM(E43:E49)&gt;D50,D50,B38-SUM(E43:E49))</f>
        <v>0</v>
      </c>
      <c r="F50" s="54">
        <f t="shared" si="0"/>
        <v>445728.16</v>
      </c>
      <c r="G50" s="1"/>
      <c r="H50" s="57">
        <f>SUM(D49:D55)</f>
        <v>4640253.8899999997</v>
      </c>
      <c r="I50" s="30"/>
      <c r="J50" s="30"/>
    </row>
    <row r="51" spans="1:10" x14ac:dyDescent="0.2">
      <c r="A51" s="59" t="s">
        <v>23</v>
      </c>
      <c r="B51" s="59"/>
      <c r="C51" s="53">
        <f>'[6]Sheet 1'!C97</f>
        <v>277.83</v>
      </c>
      <c r="D51" s="54">
        <f>'[6]Sheet 1'!E97</f>
        <v>884610.72</v>
      </c>
      <c r="E51" s="54">
        <f>IF(B38-SUM(E43:E50)&gt;D51,D51,B38-SUM(E43:E50))</f>
        <v>0</v>
      </c>
      <c r="F51" s="54">
        <f t="shared" si="0"/>
        <v>884610.72</v>
      </c>
      <c r="G51" s="1"/>
      <c r="H51" s="57">
        <f>+H49-H50</f>
        <v>0</v>
      </c>
      <c r="I51" s="30"/>
      <c r="J51" s="30"/>
    </row>
    <row r="52" spans="1:10" x14ac:dyDescent="0.2">
      <c r="A52" s="58" t="s">
        <v>24</v>
      </c>
      <c r="B52" s="59"/>
      <c r="C52" s="53">
        <f>'[6]Sheet 1'!F97</f>
        <v>4.7939999999999996</v>
      </c>
      <c r="D52" s="54">
        <f>'[6]Sheet 1'!H97</f>
        <v>15263.78</v>
      </c>
      <c r="E52" s="54">
        <f>IF(B38-SUM(E43:E51)&gt;D52,D52,B38-SUM(E43:E51))</f>
        <v>0</v>
      </c>
      <c r="F52" s="54">
        <f t="shared" si="0"/>
        <v>15263.78</v>
      </c>
      <c r="G52" s="1"/>
      <c r="H52" s="30"/>
      <c r="I52" s="30"/>
      <c r="J52" s="30"/>
    </row>
    <row r="53" spans="1:10" x14ac:dyDescent="0.2">
      <c r="A53" s="59" t="s">
        <v>71</v>
      </c>
      <c r="B53" s="59"/>
      <c r="C53" s="53">
        <f>'[6]Sheet 1'!C155</f>
        <v>22.52</v>
      </c>
      <c r="D53" s="54">
        <f>'[6]Sheet 1'!E155</f>
        <v>71702.990000000005</v>
      </c>
      <c r="E53" s="54">
        <f>IF(B38-SUM(E43:E52)&gt;D53,D53,B38-SUM(E43:E52))</f>
        <v>0</v>
      </c>
      <c r="F53" s="54">
        <f t="shared" si="0"/>
        <v>71702.990000000005</v>
      </c>
      <c r="G53" s="1"/>
      <c r="H53" s="30"/>
      <c r="I53" s="30"/>
      <c r="J53" s="30"/>
    </row>
    <row r="54" spans="1:10" x14ac:dyDescent="0.2">
      <c r="A54" s="59" t="s">
        <v>57</v>
      </c>
      <c r="B54" s="59"/>
      <c r="C54" s="53">
        <f>'[6]Sheet 1'!F155</f>
        <v>0</v>
      </c>
      <c r="D54" s="54">
        <f>'[6]Sheet 1'!H155</f>
        <v>0</v>
      </c>
      <c r="E54" s="54">
        <f>IF(B39-SUM(E44:E53)&gt;D54,D54,B39-SUM(E44:E53))</f>
        <v>0</v>
      </c>
      <c r="F54" s="54">
        <f t="shared" si="0"/>
        <v>0</v>
      </c>
      <c r="G54" s="1"/>
      <c r="H54" s="30"/>
      <c r="I54" s="30"/>
      <c r="J54" s="30"/>
    </row>
    <row r="55" spans="1:10" x14ac:dyDescent="0.2">
      <c r="A55" s="59" t="s">
        <v>64</v>
      </c>
      <c r="B55" s="59"/>
      <c r="C55" s="53">
        <f>'[6]Sheet 1'!I155</f>
        <v>0</v>
      </c>
      <c r="D55" s="54">
        <f>'[6]Sheet 1'!K155</f>
        <v>0</v>
      </c>
      <c r="E55" s="54">
        <f>IF(B41-SUM(E45:E54)&gt;D55,D55,B41-SUM(E45:E54))</f>
        <v>0</v>
      </c>
      <c r="F55" s="54">
        <f t="shared" si="0"/>
        <v>0</v>
      </c>
      <c r="G55" s="1"/>
      <c r="H55" s="57" t="s">
        <v>46</v>
      </c>
      <c r="I55" s="30"/>
      <c r="J55" s="30"/>
    </row>
    <row r="56" spans="1:10" x14ac:dyDescent="0.2">
      <c r="A56" s="59" t="s">
        <v>58</v>
      </c>
      <c r="B56" s="59"/>
      <c r="C56" s="53">
        <f>'[6]Sheet 1'!C213</f>
        <v>345.85500000000002</v>
      </c>
      <c r="D56" s="54">
        <f>'[6]Sheet 1'!E213</f>
        <v>1101199.31</v>
      </c>
      <c r="E56" s="54">
        <f>IF(B38-SUM(E43:E53)&gt;D56,D56,B38-SUM(E43:E53))</f>
        <v>0</v>
      </c>
      <c r="F56" s="54">
        <f t="shared" si="0"/>
        <v>1101199.31</v>
      </c>
      <c r="G56" s="4"/>
      <c r="H56" s="57">
        <f>+'[6]Sheet 1'!E213</f>
        <v>1101199.31</v>
      </c>
      <c r="I56" s="30"/>
      <c r="J56" s="30"/>
    </row>
    <row r="57" spans="1:10" x14ac:dyDescent="0.2">
      <c r="A57" s="58" t="s">
        <v>59</v>
      </c>
      <c r="B57" s="59"/>
      <c r="C57" s="53">
        <f>'[5]Sheet 1'!C39</f>
        <v>469.97800000000001</v>
      </c>
      <c r="D57" s="54">
        <f>'[5]Sheet 1'!E39</f>
        <v>1496408.85</v>
      </c>
      <c r="E57" s="54">
        <f>IF(B38-SUM(E43:E56)&gt;D57,D57,B38-SUM(E43:E56))</f>
        <v>0</v>
      </c>
      <c r="F57" s="54">
        <f t="shared" si="0"/>
        <v>1496408.85</v>
      </c>
      <c r="G57" s="5"/>
      <c r="H57" s="57">
        <f>+D56</f>
        <v>1101199.31</v>
      </c>
      <c r="I57" s="30"/>
      <c r="J57" s="30"/>
    </row>
    <row r="58" spans="1:10" x14ac:dyDescent="0.2">
      <c r="A58" s="65" t="s">
        <v>28</v>
      </c>
      <c r="B58" s="56"/>
      <c r="C58" s="66">
        <f>SUM(C43:C57)</f>
        <v>9659.0069999999996</v>
      </c>
      <c r="D58" s="67">
        <f>SUM(D43:D57)</f>
        <v>30754272.34</v>
      </c>
      <c r="E58" s="67">
        <f>SUM(E43:E57)</f>
        <v>8434982</v>
      </c>
      <c r="F58" s="67">
        <f>SUM(F43:F57)</f>
        <v>22319290.34</v>
      </c>
      <c r="G58" s="1"/>
      <c r="H58" s="57">
        <f>+H56-H57</f>
        <v>0</v>
      </c>
      <c r="I58" s="30"/>
      <c r="J58" s="30"/>
    </row>
    <row r="59" spans="1:10" x14ac:dyDescent="0.2">
      <c r="A59" s="68" t="s">
        <v>26</v>
      </c>
      <c r="B59" s="56"/>
      <c r="C59" s="69"/>
      <c r="D59" s="54"/>
      <c r="E59" s="54"/>
      <c r="F59" s="54"/>
      <c r="G59" s="1"/>
      <c r="H59" s="57" t="s">
        <v>47</v>
      </c>
      <c r="I59" s="30"/>
      <c r="J59" s="57" t="s">
        <v>52</v>
      </c>
    </row>
    <row r="60" spans="1:10" x14ac:dyDescent="0.2">
      <c r="A60" s="58" t="s">
        <v>56</v>
      </c>
      <c r="B60" s="59"/>
      <c r="C60" s="20"/>
      <c r="D60" s="70">
        <f>[1]Main!F40</f>
        <v>89121.82</v>
      </c>
      <c r="E60" s="54">
        <f>IF($B38-SUM($E58)&gt;D60,D60,$B38-SUM($E58))</f>
        <v>0</v>
      </c>
      <c r="F60" s="54">
        <f t="shared" ref="F60:F78" si="1">D60-E60</f>
        <v>89121.82</v>
      </c>
      <c r="G60" s="1"/>
      <c r="H60" s="57">
        <f>[1]Main!G40</f>
        <v>2039020.85</v>
      </c>
      <c r="I60" s="30"/>
      <c r="J60" s="57">
        <f>+[1]Main!D501</f>
        <v>6262546.5199999996</v>
      </c>
    </row>
    <row r="61" spans="1:10" x14ac:dyDescent="0.2">
      <c r="A61" s="59" t="s">
        <v>25</v>
      </c>
      <c r="B61" s="59"/>
      <c r="C61" s="20"/>
      <c r="D61" s="70">
        <f>[1]Main!C40</f>
        <v>1949899.03</v>
      </c>
      <c r="E61" s="54">
        <f>IF($B38-SUM($E58:E60)&gt;D61,D61,B38-SUM($E58:E60))</f>
        <v>0</v>
      </c>
      <c r="F61" s="54">
        <f t="shared" si="1"/>
        <v>1949899.03</v>
      </c>
      <c r="G61" s="1"/>
      <c r="H61" s="57">
        <f>SUM(D60:D62)</f>
        <v>2039020.85</v>
      </c>
      <c r="I61" s="30"/>
      <c r="J61" s="57">
        <f>SUM(D60:D87)-E73</f>
        <v>6262546.5199999996</v>
      </c>
    </row>
    <row r="62" spans="1:10" x14ac:dyDescent="0.2">
      <c r="A62" s="71" t="s">
        <v>27</v>
      </c>
      <c r="B62" s="59"/>
      <c r="C62" s="20"/>
      <c r="D62" s="70">
        <f>[1]Main!D40</f>
        <v>0</v>
      </c>
      <c r="E62" s="54">
        <f>IF($B38-SUM($E58:E61)&gt;D62,D62,$B38-SUM($E58:E61))</f>
        <v>0</v>
      </c>
      <c r="F62" s="54">
        <f>D62-E62</f>
        <v>0</v>
      </c>
      <c r="G62" s="1"/>
      <c r="H62" s="57">
        <f>+H60-H61</f>
        <v>0</v>
      </c>
      <c r="I62" s="30"/>
      <c r="J62" s="57">
        <f>+J60-J61</f>
        <v>0</v>
      </c>
    </row>
    <row r="63" spans="1:10" x14ac:dyDescent="0.2">
      <c r="A63" s="72" t="s">
        <v>72</v>
      </c>
      <c r="B63" s="59"/>
      <c r="C63" s="20"/>
      <c r="D63" s="70">
        <f>[1]Main!E40</f>
        <v>0</v>
      </c>
      <c r="E63" s="54">
        <f>IF($B39-SUM($E59:E62)&gt;D63,D63,$B39-SUM($E59:E62))</f>
        <v>0</v>
      </c>
      <c r="F63" s="54">
        <f>D63-E63</f>
        <v>0</v>
      </c>
      <c r="G63" s="1"/>
      <c r="H63" s="30"/>
      <c r="I63" s="30"/>
      <c r="J63" s="30"/>
    </row>
    <row r="64" spans="1:10" x14ac:dyDescent="0.2">
      <c r="A64" s="72" t="s">
        <v>73</v>
      </c>
      <c r="B64" s="59"/>
      <c r="C64" s="20"/>
      <c r="D64" s="54">
        <f>+[1]Main!$F156</f>
        <v>35054.1</v>
      </c>
      <c r="E64" s="54">
        <f>IF($B38-SUM($E58:E62)&gt;D64,D64,$B38-SUM($E58:E62))</f>
        <v>0</v>
      </c>
      <c r="F64" s="54">
        <f t="shared" si="1"/>
        <v>35054.1</v>
      </c>
      <c r="G64" s="1"/>
      <c r="H64" s="30"/>
      <c r="I64" s="30"/>
      <c r="J64" s="30"/>
    </row>
    <row r="65" spans="1:10" x14ac:dyDescent="0.2">
      <c r="A65" s="71" t="s">
        <v>74</v>
      </c>
      <c r="B65" s="59"/>
      <c r="C65" s="20"/>
      <c r="D65" s="54">
        <f>+[1]Main!$C98</f>
        <v>330893</v>
      </c>
      <c r="E65" s="54">
        <f>IF($B38-SUM($E58:E64)&gt;D65,D65,$B38-SUM($E58:E64))</f>
        <v>0</v>
      </c>
      <c r="F65" s="54">
        <f t="shared" si="1"/>
        <v>330893</v>
      </c>
      <c r="G65" s="1"/>
      <c r="H65" s="30"/>
      <c r="I65" s="30"/>
      <c r="J65" s="30"/>
    </row>
    <row r="66" spans="1:10" x14ac:dyDescent="0.2">
      <c r="A66" s="71" t="s">
        <v>75</v>
      </c>
      <c r="B66" s="59"/>
      <c r="C66" s="20"/>
      <c r="D66" s="54">
        <f>+[1]Main!$D98</f>
        <v>1951</v>
      </c>
      <c r="E66" s="54">
        <f>IF($B38-SUM($E58:E65)&gt;D66,D66,$B38-SUM($E58:E65))</f>
        <v>0</v>
      </c>
      <c r="F66" s="54">
        <f t="shared" si="1"/>
        <v>1951</v>
      </c>
      <c r="G66" s="1"/>
      <c r="H66" s="30"/>
      <c r="I66" s="30"/>
      <c r="J66" s="30"/>
    </row>
    <row r="67" spans="1:10" x14ac:dyDescent="0.2">
      <c r="A67" s="71" t="s">
        <v>76</v>
      </c>
      <c r="B67" s="59"/>
      <c r="C67" s="20"/>
      <c r="D67" s="54">
        <f>+[1]Main!$E98</f>
        <v>483835</v>
      </c>
      <c r="E67" s="54">
        <f>IF($B38-SUM($E58:E66)&gt;D67,D67,$B38-SUM($E58:E66))</f>
        <v>0</v>
      </c>
      <c r="F67" s="54">
        <f t="shared" si="1"/>
        <v>483835</v>
      </c>
      <c r="G67" s="1"/>
      <c r="H67" s="30"/>
      <c r="I67" s="30"/>
      <c r="J67" s="30"/>
    </row>
    <row r="68" spans="1:10" x14ac:dyDescent="0.2">
      <c r="A68" s="71" t="s">
        <v>77</v>
      </c>
      <c r="B68" s="59"/>
      <c r="C68" s="20"/>
      <c r="D68" s="54">
        <f>[1]Main!F98</f>
        <v>231863</v>
      </c>
      <c r="E68" s="54">
        <f>IF($B38-SUM($E58:E67)&gt;D68,D68,$B38-SUM($E58:E67))</f>
        <v>0</v>
      </c>
      <c r="F68" s="54">
        <f t="shared" si="1"/>
        <v>231863</v>
      </c>
      <c r="G68" s="1"/>
      <c r="H68" s="57" t="s">
        <v>48</v>
      </c>
      <c r="I68" s="30"/>
      <c r="J68" s="30"/>
    </row>
    <row r="69" spans="1:10" x14ac:dyDescent="0.2">
      <c r="A69" s="71" t="s">
        <v>79</v>
      </c>
      <c r="B69" s="59"/>
      <c r="C69" s="20"/>
      <c r="D69" s="54">
        <f>[1]Main!G98</f>
        <v>0</v>
      </c>
      <c r="E69" s="54">
        <f>IF($B38-SUM($E58:E68)&gt;D69,D69,$B38-SUM($E58:E68))</f>
        <v>0</v>
      </c>
      <c r="F69" s="54">
        <f t="shared" si="1"/>
        <v>0</v>
      </c>
      <c r="G69" s="1"/>
      <c r="H69" s="57"/>
      <c r="I69" s="30"/>
      <c r="J69" s="30"/>
    </row>
    <row r="70" spans="1:10" x14ac:dyDescent="0.2">
      <c r="A70" s="71" t="s">
        <v>78</v>
      </c>
      <c r="B70" s="59"/>
      <c r="C70" s="20"/>
      <c r="D70" s="54">
        <f>[1]Main!G156</f>
        <v>73886.59</v>
      </c>
      <c r="E70" s="54">
        <f>IF($B38-SUM($E58:E69)&gt;D70,D70,$B38-SUM($E58:E69))</f>
        <v>0</v>
      </c>
      <c r="F70" s="54">
        <f t="shared" si="1"/>
        <v>73886.59</v>
      </c>
      <c r="G70" s="1"/>
      <c r="H70" s="73">
        <f>+[1]Main!D214</f>
        <v>1157482.69</v>
      </c>
      <c r="I70" s="30"/>
      <c r="J70" s="30"/>
    </row>
    <row r="71" spans="1:10" x14ac:dyDescent="0.2">
      <c r="A71" s="71" t="s">
        <v>80</v>
      </c>
      <c r="B71" s="59"/>
      <c r="C71" s="20"/>
      <c r="D71" s="54">
        <f>[1]Main!C214</f>
        <v>0</v>
      </c>
      <c r="E71" s="54"/>
      <c r="F71" s="54">
        <f t="shared" si="1"/>
        <v>0</v>
      </c>
      <c r="G71" s="1"/>
      <c r="H71" s="57">
        <f>+SUM(D64:D71)</f>
        <v>1157482.69</v>
      </c>
      <c r="I71" s="30"/>
      <c r="J71" s="30"/>
    </row>
    <row r="72" spans="1:10" x14ac:dyDescent="0.2">
      <c r="A72" s="71" t="s">
        <v>81</v>
      </c>
      <c r="B72" s="59"/>
      <c r="C72" s="20"/>
      <c r="D72" s="54">
        <f>[1]Main!C272</f>
        <v>617322</v>
      </c>
      <c r="E72" s="54">
        <v>0</v>
      </c>
      <c r="F72" s="54">
        <f t="shared" si="1"/>
        <v>617322</v>
      </c>
      <c r="G72" s="1"/>
      <c r="H72" s="57">
        <f>+H70-H71</f>
        <v>0</v>
      </c>
      <c r="I72" s="30"/>
      <c r="J72" s="30"/>
    </row>
    <row r="73" spans="1:10" x14ac:dyDescent="0.2">
      <c r="A73" s="71" t="s">
        <v>82</v>
      </c>
      <c r="B73" s="59"/>
      <c r="C73" s="20"/>
      <c r="D73" s="54">
        <f>+[7]Main!I39+[7]Main!J39</f>
        <v>859765.44</v>
      </c>
      <c r="E73" s="74">
        <f>[7]Main!J39</f>
        <v>724480.4</v>
      </c>
      <c r="F73" s="54">
        <f t="shared" si="1"/>
        <v>135285.04</v>
      </c>
      <c r="G73" s="1"/>
      <c r="H73" s="30"/>
      <c r="I73" s="30"/>
      <c r="J73" s="30"/>
    </row>
    <row r="74" spans="1:10" x14ac:dyDescent="0.2">
      <c r="A74" s="71" t="s">
        <v>83</v>
      </c>
      <c r="B74" s="59"/>
      <c r="C74" s="20"/>
      <c r="D74" s="54">
        <f>[1]Main!F272</f>
        <v>106856</v>
      </c>
      <c r="E74" s="54">
        <v>0</v>
      </c>
      <c r="F74" s="54">
        <f t="shared" si="1"/>
        <v>106856</v>
      </c>
      <c r="G74" s="1"/>
      <c r="H74" s="30"/>
      <c r="I74" s="30"/>
      <c r="J74" s="30"/>
    </row>
    <row r="75" spans="1:10" x14ac:dyDescent="0.2">
      <c r="A75" s="71" t="s">
        <v>84</v>
      </c>
      <c r="B75" s="59"/>
      <c r="C75" s="7"/>
      <c r="D75" s="54">
        <f>[1]Main!E272</f>
        <v>13129.45</v>
      </c>
      <c r="E75" s="54">
        <v>0</v>
      </c>
      <c r="F75" s="54">
        <f t="shared" si="1"/>
        <v>13129.45</v>
      </c>
      <c r="G75" s="1"/>
      <c r="H75" s="57" t="s">
        <v>49</v>
      </c>
      <c r="I75" s="30"/>
      <c r="J75" s="30"/>
    </row>
    <row r="76" spans="1:10" x14ac:dyDescent="0.2">
      <c r="A76" s="71" t="s">
        <v>85</v>
      </c>
      <c r="B76" s="59"/>
      <c r="C76" s="7"/>
      <c r="D76" s="54">
        <f>[1]Main!G272</f>
        <v>139899</v>
      </c>
      <c r="E76" s="54">
        <v>0</v>
      </c>
      <c r="F76" s="54">
        <f t="shared" si="1"/>
        <v>139899</v>
      </c>
      <c r="G76" s="1"/>
      <c r="H76" s="57">
        <f>+[1]Main!C501</f>
        <v>2967526.74</v>
      </c>
      <c r="I76" s="57"/>
      <c r="J76" s="57"/>
    </row>
    <row r="77" spans="1:10" x14ac:dyDescent="0.2">
      <c r="A77" s="71" t="s">
        <v>86</v>
      </c>
      <c r="B77" s="59"/>
      <c r="C77" s="20"/>
      <c r="D77" s="54">
        <f>[1]Main!C330</f>
        <v>10000</v>
      </c>
      <c r="E77" s="54">
        <v>0</v>
      </c>
      <c r="F77" s="54">
        <f t="shared" si="1"/>
        <v>10000</v>
      </c>
      <c r="G77" s="1"/>
      <c r="H77" s="57">
        <f>+SUM(D72:D82)-E73</f>
        <v>2967526.74</v>
      </c>
      <c r="I77" s="57"/>
      <c r="J77" s="57">
        <f>+H77-H76</f>
        <v>0</v>
      </c>
    </row>
    <row r="78" spans="1:10" x14ac:dyDescent="0.2">
      <c r="A78" s="71" t="s">
        <v>87</v>
      </c>
      <c r="C78" s="8"/>
      <c r="D78" s="76">
        <f>[1]Main!D330</f>
        <v>1764299.7</v>
      </c>
      <c r="E78" s="77">
        <v>0</v>
      </c>
      <c r="F78" s="77">
        <f t="shared" si="1"/>
        <v>1764299.7</v>
      </c>
      <c r="G78" s="5"/>
      <c r="H78" s="57">
        <f>+H76-H77</f>
        <v>0</v>
      </c>
      <c r="I78" s="57"/>
      <c r="J78" s="57"/>
    </row>
    <row r="79" spans="1:10" x14ac:dyDescent="0.2">
      <c r="A79" s="71" t="s">
        <v>88</v>
      </c>
      <c r="B79" s="59"/>
      <c r="C79" s="20"/>
      <c r="D79" s="54">
        <f>+[1]Main!$E330</f>
        <v>9799.33</v>
      </c>
      <c r="E79" s="54">
        <v>0</v>
      </c>
      <c r="F79" s="54">
        <f>D79-E79</f>
        <v>9799.33</v>
      </c>
      <c r="G79" s="4"/>
      <c r="H79" s="30"/>
      <c r="I79" s="30"/>
      <c r="J79" s="30"/>
    </row>
    <row r="80" spans="1:10" x14ac:dyDescent="0.2">
      <c r="A80" s="71" t="s">
        <v>89</v>
      </c>
      <c r="B80" s="59"/>
      <c r="C80" s="20"/>
      <c r="D80" s="54">
        <f>[1]Main!F330</f>
        <v>43341.919999999998</v>
      </c>
      <c r="E80" s="54">
        <v>0</v>
      </c>
      <c r="F80" s="54">
        <f>D80-E80</f>
        <v>43341.919999999998</v>
      </c>
      <c r="G80" s="4"/>
      <c r="H80" s="30"/>
      <c r="I80" s="30"/>
      <c r="J80" s="30"/>
    </row>
    <row r="81" spans="1:10" x14ac:dyDescent="0.2">
      <c r="A81" s="71" t="s">
        <v>90</v>
      </c>
      <c r="B81" s="59"/>
      <c r="C81" s="20"/>
      <c r="D81" s="54">
        <f>[1]Main!G330</f>
        <v>0</v>
      </c>
      <c r="E81" s="54">
        <v>0</v>
      </c>
      <c r="F81" s="54">
        <f>D81-E81</f>
        <v>0</v>
      </c>
      <c r="G81" s="1"/>
      <c r="H81" s="57" t="s">
        <v>50</v>
      </c>
      <c r="I81" s="30"/>
      <c r="J81" s="30"/>
    </row>
    <row r="82" spans="1:10" x14ac:dyDescent="0.2">
      <c r="A82" s="71" t="s">
        <v>93</v>
      </c>
      <c r="B82" s="59"/>
      <c r="C82" s="20"/>
      <c r="D82" s="54">
        <f>[1]Main!F387</f>
        <v>127594.3</v>
      </c>
      <c r="E82" s="54">
        <v>0</v>
      </c>
      <c r="F82" s="54">
        <f>D82-E82</f>
        <v>127594.3</v>
      </c>
      <c r="G82" s="1"/>
      <c r="H82" s="57"/>
      <c r="I82" s="30"/>
      <c r="J82" s="30"/>
    </row>
    <row r="83" spans="1:10" x14ac:dyDescent="0.2">
      <c r="A83" s="55" t="s">
        <v>30</v>
      </c>
      <c r="B83" s="78"/>
      <c r="C83" s="79"/>
      <c r="D83" s="64"/>
      <c r="E83" s="64"/>
      <c r="F83" s="64"/>
      <c r="G83" s="1"/>
      <c r="H83" s="57"/>
      <c r="I83" s="30"/>
      <c r="J83" s="30"/>
    </row>
    <row r="84" spans="1:10" x14ac:dyDescent="0.2">
      <c r="A84" s="71" t="s">
        <v>60</v>
      </c>
      <c r="B84" s="59"/>
      <c r="C84" s="20"/>
      <c r="D84" s="54">
        <f>[1]Main!C444</f>
        <v>62320.92</v>
      </c>
      <c r="E84" s="54">
        <v>0</v>
      </c>
      <c r="F84" s="54">
        <f>D84-E84</f>
        <v>62320.92</v>
      </c>
      <c r="G84" s="1"/>
      <c r="H84" s="57">
        <f>+[1]Main!G444</f>
        <v>98516.24</v>
      </c>
      <c r="I84" s="30"/>
      <c r="J84" s="30"/>
    </row>
    <row r="85" spans="1:10" x14ac:dyDescent="0.2">
      <c r="A85" s="71" t="s">
        <v>63</v>
      </c>
      <c r="B85" s="59"/>
      <c r="C85" s="20"/>
      <c r="D85" s="54">
        <f>[1]Main!D444</f>
        <v>0</v>
      </c>
      <c r="E85" s="54">
        <v>0</v>
      </c>
      <c r="F85" s="54">
        <f>D85-E85</f>
        <v>0</v>
      </c>
      <c r="G85" s="4"/>
      <c r="H85" s="57">
        <f>SUM(D84:D87)</f>
        <v>98516.24</v>
      </c>
      <c r="I85" s="30"/>
      <c r="J85" s="30"/>
    </row>
    <row r="86" spans="1:10" x14ac:dyDescent="0.2">
      <c r="A86" s="71" t="s">
        <v>91</v>
      </c>
      <c r="B86" s="59"/>
      <c r="C86" s="20"/>
      <c r="D86" s="54">
        <f>[1]Main!E444</f>
        <v>0</v>
      </c>
      <c r="E86" s="54">
        <v>0</v>
      </c>
      <c r="F86" s="54">
        <f>D86-E86</f>
        <v>0</v>
      </c>
      <c r="G86" s="4"/>
      <c r="H86" s="57">
        <f>+H84-H85</f>
        <v>0</v>
      </c>
      <c r="I86" s="30"/>
      <c r="J86" s="30"/>
    </row>
    <row r="87" spans="1:10" x14ac:dyDescent="0.2">
      <c r="A87" s="71" t="s">
        <v>92</v>
      </c>
      <c r="B87" s="59"/>
      <c r="C87" s="20"/>
      <c r="D87" s="54">
        <f>[1]Main!F444</f>
        <v>36195.32</v>
      </c>
      <c r="E87" s="54">
        <v>0</v>
      </c>
      <c r="F87" s="54">
        <f>D87-E87</f>
        <v>36195.32</v>
      </c>
      <c r="G87" s="1"/>
      <c r="H87" s="30"/>
      <c r="I87" s="30"/>
      <c r="J87" s="30"/>
    </row>
    <row r="88" spans="1:10" x14ac:dyDescent="0.2">
      <c r="A88" s="55" t="s">
        <v>31</v>
      </c>
      <c r="B88" s="78"/>
      <c r="C88" s="79"/>
      <c r="D88" s="64"/>
      <c r="E88" s="64"/>
      <c r="F88" s="64"/>
      <c r="G88" s="1"/>
      <c r="H88" s="30"/>
      <c r="I88" s="30"/>
      <c r="J88" s="30"/>
    </row>
    <row r="89" spans="1:10" x14ac:dyDescent="0.2">
      <c r="A89" s="58" t="s">
        <v>69</v>
      </c>
      <c r="B89" s="59"/>
      <c r="C89" s="20"/>
      <c r="D89" s="54">
        <f>+[1]Main!$G557</f>
        <v>0</v>
      </c>
      <c r="E89" s="54">
        <f>+[1]Main!$D557</f>
        <v>0</v>
      </c>
      <c r="F89" s="54">
        <f>+D89-E89</f>
        <v>0</v>
      </c>
      <c r="G89" s="1"/>
      <c r="H89" s="30"/>
      <c r="I89" s="30"/>
      <c r="J89" s="30"/>
    </row>
    <row r="90" spans="1:10" x14ac:dyDescent="0.2">
      <c r="A90" s="59" t="s">
        <v>68</v>
      </c>
      <c r="B90" s="59"/>
      <c r="C90" s="20"/>
      <c r="D90" s="54">
        <f>+[1]Main!$G612</f>
        <v>2014324.02</v>
      </c>
      <c r="E90" s="54">
        <f>+[1]Main!$D612</f>
        <v>2014324.02</v>
      </c>
      <c r="F90" s="54">
        <f>+D90-E90</f>
        <v>0</v>
      </c>
      <c r="G90" s="1"/>
      <c r="H90" s="30"/>
      <c r="I90" s="30"/>
      <c r="J90" s="30"/>
    </row>
    <row r="91" spans="1:10" ht="13.5" thickBot="1" x14ac:dyDescent="0.25">
      <c r="A91" s="80"/>
      <c r="B91" s="81"/>
      <c r="C91" s="82" t="s">
        <v>29</v>
      </c>
      <c r="D91" s="83">
        <f>SUM(D58:D90)</f>
        <v>39755623.280000001</v>
      </c>
      <c r="E91" s="83">
        <f>SUM(E58:E90)</f>
        <v>11173786.42</v>
      </c>
      <c r="F91" s="83">
        <f>SUM(F58:F90)</f>
        <v>28581836.859999999</v>
      </c>
      <c r="G91" s="1"/>
      <c r="H91" s="30"/>
      <c r="I91" s="30"/>
      <c r="J91" s="30"/>
    </row>
    <row r="92" spans="1:10" ht="13.5" thickTop="1" x14ac:dyDescent="0.2">
      <c r="A92" s="84"/>
      <c r="B92" s="59"/>
      <c r="C92" s="85"/>
      <c r="D92" s="86"/>
      <c r="E92" s="86"/>
      <c r="F92" s="87"/>
      <c r="G92" s="1"/>
      <c r="H92" s="30"/>
      <c r="I92" s="30"/>
      <c r="J92" s="30"/>
    </row>
    <row r="93" spans="1:10" x14ac:dyDescent="0.2">
      <c r="A93" s="88" t="s">
        <v>40</v>
      </c>
      <c r="B93" s="78"/>
      <c r="C93" s="89"/>
      <c r="D93" s="90"/>
      <c r="E93" s="91"/>
      <c r="F93" s="92" t="s">
        <v>36</v>
      </c>
      <c r="G93" s="6"/>
      <c r="H93" s="57" t="s">
        <v>51</v>
      </c>
      <c r="I93" s="30"/>
      <c r="J93" s="57" t="s">
        <v>7</v>
      </c>
    </row>
    <row r="94" spans="1:10" x14ac:dyDescent="0.2">
      <c r="A94" s="93" t="s">
        <v>33</v>
      </c>
      <c r="B94" s="94"/>
      <c r="C94" s="95"/>
      <c r="D94" s="96"/>
      <c r="E94" s="96"/>
      <c r="F94" s="91"/>
      <c r="G94" s="6"/>
      <c r="H94" s="30"/>
      <c r="I94" s="30"/>
      <c r="J94" s="30"/>
    </row>
    <row r="95" spans="1:10" x14ac:dyDescent="0.2">
      <c r="A95" s="59" t="s">
        <v>34</v>
      </c>
      <c r="B95" s="59"/>
      <c r="C95" s="22"/>
      <c r="D95" s="27"/>
      <c r="E95" s="27"/>
      <c r="F95" s="97">
        <f>+[8]Main!$C40</f>
        <v>0</v>
      </c>
      <c r="G95" s="5"/>
      <c r="H95" s="57">
        <f>+[1]Main!G668</f>
        <v>2014324.02</v>
      </c>
      <c r="I95" s="30"/>
      <c r="J95" s="57">
        <f>+[1]Main!E668+[1]Main!F668</f>
        <v>0</v>
      </c>
    </row>
    <row r="96" spans="1:10" x14ac:dyDescent="0.2">
      <c r="A96" s="59" t="s">
        <v>66</v>
      </c>
      <c r="B96" s="59"/>
      <c r="C96" s="22"/>
      <c r="D96" s="27"/>
      <c r="E96" s="27"/>
      <c r="F96" s="97">
        <f>+[8]Main!$D40</f>
        <v>0</v>
      </c>
      <c r="G96" s="5"/>
      <c r="H96" s="57">
        <f>+D89+D90</f>
        <v>2014324.02</v>
      </c>
      <c r="I96" s="30"/>
      <c r="J96" s="57">
        <f>+F89+F90</f>
        <v>0</v>
      </c>
    </row>
    <row r="97" spans="1:10" x14ac:dyDescent="0.2">
      <c r="A97" s="32" t="s">
        <v>65</v>
      </c>
      <c r="B97" s="32"/>
      <c r="C97" s="22"/>
      <c r="D97" s="28"/>
      <c r="E97" s="28"/>
      <c r="F97" s="97">
        <f>+[8]Main!$E40</f>
        <v>0</v>
      </c>
      <c r="G97" s="1"/>
      <c r="H97" s="57">
        <f>+H95-H96</f>
        <v>0</v>
      </c>
      <c r="I97" s="30"/>
      <c r="J97" s="57">
        <f>+J95-J96</f>
        <v>0</v>
      </c>
    </row>
    <row r="98" spans="1:10" x14ac:dyDescent="0.2">
      <c r="A98" s="32" t="s">
        <v>67</v>
      </c>
      <c r="B98" s="32"/>
      <c r="C98" s="22"/>
      <c r="D98" s="28"/>
      <c r="E98" s="28"/>
      <c r="F98" s="97">
        <f>+[8]Main!$F40</f>
        <v>0</v>
      </c>
      <c r="G98" s="1"/>
      <c r="H98" s="30"/>
      <c r="I98" s="30"/>
      <c r="J98" s="30"/>
    </row>
    <row r="99" spans="1:10" x14ac:dyDescent="0.2">
      <c r="A99" s="88" t="s">
        <v>35</v>
      </c>
      <c r="B99" s="78"/>
      <c r="C99" s="89"/>
      <c r="D99" s="90"/>
      <c r="E99" s="91"/>
      <c r="F99" s="54">
        <f>+[8]Main!$C98</f>
        <v>26182.1</v>
      </c>
      <c r="G99" s="1"/>
      <c r="H99" s="30"/>
      <c r="I99" s="30"/>
      <c r="J99" s="30"/>
    </row>
    <row r="100" spans="1:10" ht="13.5" thickBot="1" x14ac:dyDescent="0.25">
      <c r="A100" s="98"/>
      <c r="B100" s="99"/>
      <c r="C100" s="100" t="s">
        <v>29</v>
      </c>
      <c r="D100" s="101"/>
      <c r="E100" s="102"/>
      <c r="F100" s="103">
        <f>SUM(F95:F99)</f>
        <v>26182.1</v>
      </c>
      <c r="G100" s="1"/>
      <c r="H100" s="30"/>
      <c r="I100" s="30"/>
      <c r="J100" s="30"/>
    </row>
    <row r="101" spans="1:10" ht="13.5" thickBot="1" x14ac:dyDescent="0.25">
      <c r="A101" s="104"/>
      <c r="B101" s="105"/>
      <c r="C101" s="106" t="s">
        <v>53</v>
      </c>
      <c r="D101" s="107"/>
      <c r="E101" s="108"/>
      <c r="F101" s="109">
        <f>+F100+F91</f>
        <v>28608018.960000001</v>
      </c>
      <c r="G101" s="1"/>
      <c r="H101" s="57" t="s">
        <v>54</v>
      </c>
      <c r="I101" s="30"/>
      <c r="J101" s="30"/>
    </row>
    <row r="102" spans="1:10" x14ac:dyDescent="0.2">
      <c r="A102" s="11"/>
      <c r="B102" s="12"/>
      <c r="C102" s="9"/>
      <c r="D102" s="29"/>
      <c r="E102" s="29"/>
      <c r="F102" s="110"/>
      <c r="G102" s="1"/>
      <c r="H102" s="57">
        <f>+[8]Main!$G40</f>
        <v>0</v>
      </c>
      <c r="I102" s="30"/>
      <c r="J102" s="30"/>
    </row>
    <row r="103" spans="1:10" x14ac:dyDescent="0.2">
      <c r="A103" s="11"/>
      <c r="B103" s="12"/>
      <c r="C103" s="9"/>
      <c r="D103" s="29"/>
      <c r="E103" s="29"/>
      <c r="F103" s="110"/>
      <c r="G103" s="1"/>
      <c r="H103" s="57">
        <f>SUM(F95:F98)</f>
        <v>0</v>
      </c>
      <c r="I103" s="30"/>
      <c r="J103" s="30"/>
    </row>
    <row r="104" spans="1:10" x14ac:dyDescent="0.2">
      <c r="A104" s="1"/>
      <c r="B104" s="1"/>
      <c r="C104" s="7"/>
      <c r="D104" s="26"/>
      <c r="E104" s="26"/>
      <c r="F104" s="86">
        <f>+F100+F91</f>
        <v>28608018.960000001</v>
      </c>
      <c r="G104" s="1"/>
      <c r="H104" s="57">
        <f>+H102-H103</f>
        <v>0</v>
      </c>
      <c r="I104" s="30"/>
      <c r="J104" s="30"/>
    </row>
    <row r="105" spans="1:10" x14ac:dyDescent="0.2">
      <c r="A105" s="1"/>
      <c r="B105" s="1"/>
      <c r="C105" s="7"/>
      <c r="D105" s="26"/>
      <c r="E105" s="26"/>
      <c r="F105" s="86">
        <f>+[1]Main!$F784</f>
        <v>28608018.960000001</v>
      </c>
      <c r="G105" s="1"/>
      <c r="H105" s="30"/>
      <c r="I105" s="30"/>
      <c r="J105" s="30"/>
    </row>
    <row r="106" spans="1:10" x14ac:dyDescent="0.2">
      <c r="A106" s="1"/>
      <c r="B106" s="1"/>
      <c r="C106" s="7"/>
      <c r="D106" s="26"/>
      <c r="E106" s="86">
        <f>+E91+[1]Main!$E784</f>
        <v>0</v>
      </c>
      <c r="F106" s="86">
        <f>+F105-F104</f>
        <v>0</v>
      </c>
      <c r="G106" s="1"/>
      <c r="H106" s="30"/>
      <c r="I106" s="30"/>
      <c r="J106" s="30"/>
    </row>
    <row r="107" spans="1:10" x14ac:dyDescent="0.2">
      <c r="A107" s="59"/>
      <c r="B107" s="59"/>
      <c r="C107" s="85"/>
      <c r="D107" s="86"/>
      <c r="E107" s="86"/>
      <c r="F107" s="86"/>
      <c r="G107" s="59"/>
      <c r="H107" s="57"/>
      <c r="I107" s="57"/>
      <c r="J107" s="57"/>
    </row>
    <row r="108" spans="1:10" x14ac:dyDescent="0.2">
      <c r="A108" s="59"/>
      <c r="B108" s="59"/>
      <c r="C108" s="85"/>
      <c r="D108" s="86"/>
      <c r="E108" s="86"/>
      <c r="F108" s="86"/>
      <c r="G108" s="59"/>
      <c r="H108" s="57"/>
      <c r="I108" s="57"/>
      <c r="J108" s="57"/>
    </row>
    <row r="109" spans="1:10" x14ac:dyDescent="0.2">
      <c r="A109" s="59"/>
      <c r="B109" s="59"/>
      <c r="C109" s="85"/>
      <c r="D109" s="86"/>
      <c r="E109" s="86"/>
      <c r="F109" s="86"/>
      <c r="G109" s="59"/>
      <c r="H109" s="111" t="s">
        <v>55</v>
      </c>
      <c r="I109" s="57"/>
      <c r="J109" s="57"/>
    </row>
    <row r="110" spans="1:10" x14ac:dyDescent="0.2">
      <c r="G110" s="59"/>
      <c r="H110" s="113"/>
      <c r="I110" s="112"/>
      <c r="J110" s="112"/>
    </row>
    <row r="111" spans="1:10" x14ac:dyDescent="0.2">
      <c r="G111" s="59"/>
      <c r="H111" s="112"/>
      <c r="I111" s="112"/>
      <c r="J111" s="112"/>
    </row>
    <row r="112" spans="1:10" x14ac:dyDescent="0.2">
      <c r="G112" s="59"/>
      <c r="H112" s="112"/>
      <c r="I112" s="112"/>
      <c r="J112" s="112"/>
    </row>
    <row r="113" spans="7:10" x14ac:dyDescent="0.2">
      <c r="G113" s="59"/>
      <c r="H113" s="112"/>
      <c r="I113" s="112"/>
      <c r="J113" s="112"/>
    </row>
    <row r="114" spans="7:10" x14ac:dyDescent="0.2">
      <c r="G114" s="59"/>
      <c r="H114" s="112"/>
      <c r="I114" s="112"/>
      <c r="J114" s="112"/>
    </row>
    <row r="115" spans="7:10" x14ac:dyDescent="0.2">
      <c r="G115" s="59"/>
      <c r="H115" s="71"/>
      <c r="I115" s="112"/>
      <c r="J115" s="112"/>
    </row>
  </sheetData>
  <mergeCells count="1">
    <mergeCell ref="D34:E34"/>
  </mergeCells>
  <phoneticPr fontId="0" type="noConversion"/>
  <printOptions horizontalCentered="1" verticalCentered="1"/>
  <pageMargins left="0.5" right="0.25" top="0.5" bottom="0.5" header="0.5" footer="0.5"/>
  <pageSetup scale="89" orientation="portrait" horizontalDpi="1200" r:id="rId1"/>
  <headerFooter alignWithMargins="0">
    <oddHeader>&amp;R&amp;8Current as of: &amp;D</oddHeader>
    <oddFooter>&amp;L&amp;8USOE, Finance and Statistics&amp;R&amp;8&amp;F</oddFooter>
  </headerFooter>
  <picture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J116"/>
  <sheetViews>
    <sheetView topLeftCell="A61" workbookViewId="0">
      <selection activeCell="B39" sqref="B39"/>
    </sheetView>
  </sheetViews>
  <sheetFormatPr defaultColWidth="18.28515625" defaultRowHeight="12.75" x14ac:dyDescent="0.2"/>
  <cols>
    <col min="1" max="1" width="27" style="75" customWidth="1"/>
    <col min="2" max="2" width="16.7109375" style="75" customWidth="1"/>
    <col min="3" max="3" width="15.85546875" style="75" customWidth="1"/>
    <col min="4" max="4" width="16.28515625" style="75" customWidth="1"/>
    <col min="5" max="5" width="15.5703125" style="75" customWidth="1"/>
    <col min="6" max="6" width="17.42578125" style="75" customWidth="1"/>
    <col min="7" max="7" width="5.7109375" style="75" customWidth="1"/>
    <col min="8" max="8" width="21.5703125" style="75" customWidth="1"/>
    <col min="9" max="9" width="5" style="75" customWidth="1"/>
    <col min="10" max="10" width="20.85546875" style="75" customWidth="1"/>
    <col min="11" max="16384" width="18.28515625" style="75"/>
  </cols>
  <sheetData>
    <row r="1" spans="1:10" x14ac:dyDescent="0.2">
      <c r="A1" s="8"/>
      <c r="B1" s="8"/>
      <c r="C1" s="8"/>
      <c r="D1" s="8"/>
      <c r="E1" s="8"/>
      <c r="F1" s="8"/>
      <c r="G1" s="8"/>
      <c r="H1" s="8"/>
      <c r="I1" s="8"/>
      <c r="J1" s="8"/>
    </row>
    <row r="2" spans="1:10" x14ac:dyDescent="0.2">
      <c r="A2" s="8"/>
      <c r="B2" s="8"/>
      <c r="C2" s="8"/>
      <c r="D2" s="8"/>
      <c r="E2" s="8"/>
      <c r="F2" s="8"/>
      <c r="G2" s="8"/>
      <c r="H2" s="8"/>
      <c r="I2" s="8"/>
      <c r="J2" s="8"/>
    </row>
    <row r="3" spans="1:10" x14ac:dyDescent="0.2">
      <c r="A3" s="8"/>
      <c r="B3" s="8"/>
      <c r="C3" s="8"/>
      <c r="D3" s="8"/>
      <c r="E3" s="8"/>
      <c r="F3" s="8"/>
      <c r="G3" s="8"/>
      <c r="H3" s="8"/>
      <c r="I3" s="8"/>
      <c r="J3" s="8"/>
    </row>
    <row r="4" spans="1:10" x14ac:dyDescent="0.2">
      <c r="A4" s="8"/>
      <c r="B4" s="8"/>
      <c r="C4" s="8"/>
      <c r="D4" s="8"/>
      <c r="E4" s="8"/>
      <c r="F4" s="8"/>
      <c r="G4" s="8"/>
      <c r="H4" s="8"/>
      <c r="I4" s="8"/>
      <c r="J4" s="8"/>
    </row>
    <row r="5" spans="1:10" x14ac:dyDescent="0.2">
      <c r="A5" s="8"/>
      <c r="B5" s="8"/>
      <c r="C5" s="8"/>
      <c r="D5" s="8"/>
      <c r="E5" s="8"/>
      <c r="F5" s="8"/>
      <c r="G5" s="8"/>
      <c r="H5" s="8"/>
      <c r="I5" s="8"/>
      <c r="J5" s="8"/>
    </row>
    <row r="6" spans="1:10" x14ac:dyDescent="0.2">
      <c r="A6" s="8"/>
      <c r="B6" s="8"/>
      <c r="C6" s="8"/>
      <c r="D6" s="8"/>
      <c r="E6" s="8"/>
      <c r="F6" s="8"/>
      <c r="G6" s="8"/>
      <c r="H6" s="8"/>
      <c r="I6" s="8"/>
      <c r="J6" s="8"/>
    </row>
    <row r="7" spans="1:10" x14ac:dyDescent="0.2">
      <c r="A7" s="8"/>
      <c r="B7" s="8"/>
      <c r="C7" s="8"/>
      <c r="D7" s="8"/>
      <c r="E7" s="8"/>
      <c r="F7" s="8"/>
      <c r="G7" s="8"/>
      <c r="H7" s="8"/>
      <c r="I7" s="8"/>
      <c r="J7" s="8"/>
    </row>
    <row r="8" spans="1:10" x14ac:dyDescent="0.2">
      <c r="A8" s="8"/>
      <c r="B8" s="8"/>
      <c r="C8" s="8"/>
      <c r="D8" s="8"/>
      <c r="E8" s="8"/>
      <c r="F8" s="8"/>
      <c r="G8" s="8"/>
      <c r="H8" s="8"/>
      <c r="I8" s="8"/>
      <c r="J8" s="8"/>
    </row>
    <row r="9" spans="1:10" x14ac:dyDescent="0.2">
      <c r="A9" s="8"/>
      <c r="B9" s="8"/>
      <c r="C9" s="8"/>
      <c r="D9" s="8"/>
      <c r="E9" s="8"/>
      <c r="F9" s="8"/>
      <c r="G9" s="8"/>
      <c r="H9" s="8"/>
      <c r="I9" s="8"/>
      <c r="J9" s="8"/>
    </row>
    <row r="10" spans="1:10" x14ac:dyDescent="0.2">
      <c r="A10" s="8"/>
      <c r="B10" s="15"/>
      <c r="C10" s="8"/>
      <c r="D10" s="8"/>
      <c r="E10" s="8"/>
      <c r="F10" s="8"/>
      <c r="G10" s="8"/>
      <c r="H10" s="8"/>
      <c r="I10" s="8"/>
      <c r="J10" s="8"/>
    </row>
    <row r="11" spans="1:10" x14ac:dyDescent="0.2">
      <c r="A11" s="8"/>
      <c r="B11" s="8"/>
      <c r="C11" s="8"/>
      <c r="D11" s="8"/>
      <c r="E11" s="8"/>
      <c r="F11" s="8"/>
      <c r="G11" s="8"/>
      <c r="H11" s="8"/>
      <c r="I11" s="8"/>
      <c r="J11" s="8"/>
    </row>
    <row r="12" spans="1:10" x14ac:dyDescent="0.2">
      <c r="A12" s="8"/>
      <c r="B12" s="8"/>
      <c r="C12" s="8"/>
      <c r="D12" s="8"/>
      <c r="E12" s="8"/>
      <c r="F12" s="8"/>
      <c r="G12" s="8"/>
      <c r="H12" s="8"/>
      <c r="I12" s="8"/>
      <c r="J12" s="8"/>
    </row>
    <row r="13" spans="1:10" x14ac:dyDescent="0.2">
      <c r="A13" s="8"/>
      <c r="B13" s="8"/>
      <c r="C13" s="8"/>
      <c r="D13" s="8"/>
      <c r="E13" s="8"/>
      <c r="F13" s="8"/>
      <c r="G13" s="8"/>
      <c r="H13" s="8"/>
      <c r="I13" s="8"/>
      <c r="J13" s="8"/>
    </row>
    <row r="14" spans="1:10" x14ac:dyDescent="0.2">
      <c r="A14" s="8"/>
      <c r="B14" s="8"/>
      <c r="C14" s="8"/>
      <c r="D14" s="8"/>
      <c r="E14" s="8"/>
      <c r="F14" s="8"/>
      <c r="G14" s="8"/>
      <c r="H14" s="8"/>
      <c r="I14" s="8"/>
      <c r="J14" s="8"/>
    </row>
    <row r="15" spans="1:10" x14ac:dyDescent="0.2">
      <c r="A15" s="8"/>
      <c r="B15" s="8"/>
      <c r="C15" s="8"/>
      <c r="D15" s="8"/>
      <c r="E15" s="8"/>
      <c r="F15" s="8"/>
      <c r="G15" s="8"/>
      <c r="H15" s="8"/>
      <c r="I15" s="8"/>
      <c r="J15" s="8"/>
    </row>
    <row r="16" spans="1:10" x14ac:dyDescent="0.2">
      <c r="A16" s="8"/>
      <c r="B16" s="8"/>
      <c r="C16" s="8"/>
      <c r="D16" s="8"/>
      <c r="E16" s="8"/>
      <c r="F16" s="8"/>
      <c r="G16" s="8"/>
      <c r="H16" s="8"/>
      <c r="I16" s="8"/>
      <c r="J16" s="8"/>
    </row>
    <row r="17" spans="1:10" x14ac:dyDescent="0.2">
      <c r="A17" s="8"/>
      <c r="B17" s="8"/>
      <c r="C17" s="8"/>
      <c r="D17" s="8"/>
      <c r="E17" s="8"/>
      <c r="F17" s="8"/>
      <c r="G17" s="8"/>
      <c r="H17" s="8"/>
      <c r="I17" s="8"/>
      <c r="J17" s="8"/>
    </row>
    <row r="18" spans="1:10" x14ac:dyDescent="0.2">
      <c r="A18" s="8"/>
      <c r="B18" s="8"/>
      <c r="C18" s="8"/>
      <c r="D18" s="8"/>
      <c r="E18" s="8"/>
      <c r="F18" s="8"/>
      <c r="G18" s="8"/>
      <c r="H18" s="8"/>
      <c r="I18" s="8"/>
      <c r="J18" s="8"/>
    </row>
    <row r="19" spans="1:10" x14ac:dyDescent="0.2">
      <c r="A19" s="8"/>
      <c r="B19" s="8"/>
      <c r="C19" s="8"/>
      <c r="D19" s="8"/>
      <c r="E19" s="8"/>
      <c r="F19" s="8"/>
      <c r="G19" s="8"/>
      <c r="H19" s="8"/>
      <c r="I19" s="8"/>
      <c r="J19" s="8"/>
    </row>
    <row r="20" spans="1:10" x14ac:dyDescent="0.2">
      <c r="A20" s="8"/>
      <c r="B20" s="8"/>
      <c r="C20" s="8"/>
      <c r="D20" s="8"/>
      <c r="E20" s="8"/>
      <c r="F20" s="8"/>
      <c r="G20" s="8"/>
      <c r="H20" s="8"/>
      <c r="I20" s="8"/>
      <c r="J20" s="8"/>
    </row>
    <row r="21" spans="1:10" x14ac:dyDescent="0.2">
      <c r="A21" s="8"/>
      <c r="B21" s="8"/>
      <c r="C21" s="8"/>
      <c r="D21" s="8"/>
      <c r="E21" s="8"/>
      <c r="F21" s="8"/>
      <c r="G21" s="8"/>
      <c r="H21" s="8"/>
      <c r="I21" s="8"/>
      <c r="J21" s="8"/>
    </row>
    <row r="22" spans="1:10" x14ac:dyDescent="0.2">
      <c r="A22" s="8"/>
      <c r="B22" s="8"/>
      <c r="C22" s="8"/>
      <c r="D22" s="8"/>
      <c r="E22" s="8"/>
      <c r="F22" s="8"/>
      <c r="G22" s="8"/>
      <c r="H22" s="8"/>
      <c r="I22" s="8"/>
      <c r="J22" s="8"/>
    </row>
    <row r="23" spans="1:10" x14ac:dyDescent="0.2">
      <c r="A23" s="8"/>
      <c r="B23" s="8"/>
      <c r="C23" s="8"/>
      <c r="D23" s="8"/>
      <c r="E23" s="8"/>
      <c r="F23" s="8"/>
      <c r="G23" s="8"/>
      <c r="H23" s="8"/>
      <c r="I23" s="8"/>
      <c r="J23" s="8"/>
    </row>
    <row r="24" spans="1:10" x14ac:dyDescent="0.2">
      <c r="A24" s="8"/>
      <c r="B24" s="8"/>
      <c r="C24" s="8"/>
      <c r="D24" s="8"/>
      <c r="E24" s="8"/>
      <c r="F24" s="8"/>
      <c r="G24" s="8"/>
      <c r="H24" s="8"/>
      <c r="I24" s="8"/>
      <c r="J24" s="8"/>
    </row>
    <row r="25" spans="1:10" x14ac:dyDescent="0.2">
      <c r="A25" s="8"/>
      <c r="B25" s="8"/>
      <c r="C25" s="8"/>
      <c r="D25" s="8"/>
      <c r="E25" s="8"/>
      <c r="F25" s="8"/>
      <c r="G25" s="8"/>
      <c r="H25" s="8"/>
      <c r="I25" s="8"/>
      <c r="J25" s="8"/>
    </row>
    <row r="26" spans="1:10" x14ac:dyDescent="0.2">
      <c r="A26" s="8"/>
      <c r="B26" s="8"/>
      <c r="C26" s="8"/>
      <c r="D26" s="8"/>
      <c r="E26" s="8"/>
      <c r="F26" s="8"/>
      <c r="G26" s="8"/>
      <c r="H26" s="8"/>
      <c r="I26" s="8"/>
      <c r="J26" s="8"/>
    </row>
    <row r="27" spans="1:10" x14ac:dyDescent="0.2">
      <c r="A27" s="8"/>
      <c r="B27" s="8"/>
      <c r="C27" s="8"/>
      <c r="D27" s="8"/>
      <c r="E27" s="8"/>
      <c r="F27" s="8"/>
      <c r="G27" s="8"/>
      <c r="H27" s="8"/>
      <c r="I27" s="8"/>
      <c r="J27" s="8"/>
    </row>
    <row r="28" spans="1:10" x14ac:dyDescent="0.2">
      <c r="A28" s="8"/>
      <c r="B28" s="8"/>
      <c r="C28" s="8"/>
      <c r="D28" s="8"/>
      <c r="E28" s="8"/>
      <c r="F28" s="8"/>
      <c r="G28" s="8"/>
      <c r="H28" s="8"/>
      <c r="I28" s="8"/>
      <c r="J28" s="8"/>
    </row>
    <row r="29" spans="1:10" x14ac:dyDescent="0.2">
      <c r="A29" s="8"/>
      <c r="B29" s="8"/>
      <c r="C29" s="8"/>
      <c r="D29" s="8"/>
      <c r="E29" s="8"/>
      <c r="F29" s="8"/>
      <c r="G29" s="8"/>
      <c r="H29" s="8"/>
      <c r="I29" s="8"/>
      <c r="J29" s="8"/>
    </row>
    <row r="30" spans="1:10" x14ac:dyDescent="0.2">
      <c r="A30" s="8"/>
      <c r="B30" s="8"/>
      <c r="C30" s="8"/>
      <c r="D30" s="8"/>
      <c r="E30" s="8"/>
      <c r="F30" s="8"/>
      <c r="G30" s="8"/>
      <c r="H30" s="8"/>
      <c r="I30" s="8"/>
      <c r="J30" s="8"/>
    </row>
    <row r="31" spans="1:10" x14ac:dyDescent="0.2">
      <c r="A31" s="8"/>
      <c r="B31" s="8"/>
      <c r="C31" s="8"/>
      <c r="D31" s="8"/>
      <c r="E31" s="8"/>
      <c r="F31" s="8"/>
      <c r="G31" s="8"/>
      <c r="H31" s="8"/>
      <c r="I31" s="8"/>
      <c r="J31" s="8"/>
    </row>
    <row r="32" spans="1:10" x14ac:dyDescent="0.2">
      <c r="A32" s="32" t="s">
        <v>0</v>
      </c>
      <c r="B32" s="33">
        <v>3184</v>
      </c>
      <c r="C32" s="34" t="s">
        <v>1</v>
      </c>
      <c r="D32" s="35"/>
      <c r="E32" s="35"/>
      <c r="F32" s="35"/>
      <c r="G32" s="1"/>
      <c r="H32" s="30"/>
      <c r="I32" s="30"/>
      <c r="J32" s="30"/>
    </row>
    <row r="33" spans="1:10" x14ac:dyDescent="0.2">
      <c r="A33" s="32" t="s">
        <v>61</v>
      </c>
      <c r="B33" s="36">
        <f>+[1]Main!$C558</f>
        <v>1.3619999999999999E-3</v>
      </c>
      <c r="C33" s="34" t="s">
        <v>41</v>
      </c>
      <c r="D33" s="35"/>
      <c r="E33" s="35"/>
      <c r="F33" s="35"/>
      <c r="G33" s="1"/>
      <c r="H33" s="30"/>
      <c r="I33" s="30"/>
      <c r="J33" s="30"/>
    </row>
    <row r="34" spans="1:10" x14ac:dyDescent="0.2">
      <c r="A34" s="32" t="s">
        <v>62</v>
      </c>
      <c r="B34" s="36">
        <f>+[1]Main!$C613</f>
        <v>1.668E-3</v>
      </c>
      <c r="C34" s="34" t="s">
        <v>95</v>
      </c>
      <c r="D34" s="35"/>
      <c r="E34" s="37"/>
      <c r="F34" s="35"/>
      <c r="G34" s="1"/>
      <c r="H34" s="30"/>
      <c r="I34" s="30"/>
      <c r="J34" s="30"/>
    </row>
    <row r="35" spans="1:10" x14ac:dyDescent="0.2">
      <c r="A35" s="38" t="s">
        <v>32</v>
      </c>
      <c r="B35" s="39">
        <f>[2]Sheet1!E40</f>
        <v>4504304072</v>
      </c>
      <c r="C35" s="21"/>
      <c r="D35" s="31"/>
      <c r="E35" s="31"/>
      <c r="F35" s="23"/>
      <c r="G35" s="1"/>
      <c r="H35" s="30"/>
      <c r="I35" s="30"/>
      <c r="J35" s="30"/>
    </row>
    <row r="36" spans="1:10" x14ac:dyDescent="0.2">
      <c r="A36" s="32" t="s">
        <v>2</v>
      </c>
      <c r="B36" s="40">
        <f>[2]Sheet1!F40</f>
        <v>0.94099999999999995</v>
      </c>
      <c r="C36" s="7"/>
      <c r="D36" s="41" t="s">
        <v>3</v>
      </c>
      <c r="E36" s="42" t="str">
        <f>+[3]main!B41</f>
        <v>Wasatch</v>
      </c>
      <c r="F36" s="43">
        <f>+[3]main!A41</f>
        <v>32</v>
      </c>
      <c r="G36" s="1"/>
      <c r="H36" s="30"/>
      <c r="I36" s="30"/>
      <c r="J36" s="30"/>
    </row>
    <row r="37" spans="1:10" x14ac:dyDescent="0.2">
      <c r="A37" s="32" t="s">
        <v>4</v>
      </c>
      <c r="B37" s="44">
        <f>[2]Sheet1!G40</f>
        <v>1.6750000000000001E-3</v>
      </c>
      <c r="C37" s="8"/>
      <c r="D37" s="24"/>
      <c r="E37" s="25"/>
      <c r="F37" s="24"/>
      <c r="G37" s="1"/>
      <c r="H37" s="30"/>
      <c r="I37" s="30"/>
      <c r="J37" s="30"/>
    </row>
    <row r="38" spans="1:10" x14ac:dyDescent="0.2">
      <c r="A38" s="32" t="s">
        <v>5</v>
      </c>
      <c r="B38" s="45">
        <f>[2]Sheet1!$C$96</f>
        <v>7897914</v>
      </c>
      <c r="C38" s="46"/>
      <c r="D38" s="47" t="s">
        <v>38</v>
      </c>
      <c r="E38" s="48" t="s">
        <v>7</v>
      </c>
      <c r="F38" s="47" t="s">
        <v>6</v>
      </c>
      <c r="G38" s="1"/>
      <c r="H38" s="30"/>
      <c r="I38" s="30"/>
      <c r="J38" s="30"/>
    </row>
    <row r="39" spans="1:10" x14ac:dyDescent="0.2">
      <c r="A39" s="32" t="s">
        <v>8</v>
      </c>
      <c r="B39" s="45">
        <f>+B38</f>
        <v>7897914</v>
      </c>
      <c r="C39" s="49"/>
      <c r="D39" s="50" t="s">
        <v>9</v>
      </c>
      <c r="E39" s="50" t="s">
        <v>37</v>
      </c>
      <c r="F39" s="50" t="s">
        <v>10</v>
      </c>
      <c r="G39" s="1"/>
      <c r="H39" s="30"/>
      <c r="I39" s="30"/>
      <c r="J39" s="30"/>
    </row>
    <row r="40" spans="1:10" x14ac:dyDescent="0.2">
      <c r="A40" s="32" t="s">
        <v>11</v>
      </c>
      <c r="B40" s="45">
        <v>0</v>
      </c>
      <c r="C40" s="51" t="s">
        <v>39</v>
      </c>
      <c r="D40" s="52" t="s">
        <v>12</v>
      </c>
      <c r="E40" s="52" t="s">
        <v>9</v>
      </c>
      <c r="F40" s="52" t="s">
        <v>9</v>
      </c>
      <c r="G40" s="1"/>
      <c r="H40" s="30"/>
      <c r="I40" s="30"/>
      <c r="J40" s="30"/>
    </row>
    <row r="41" spans="1:10" x14ac:dyDescent="0.2">
      <c r="A41" s="32" t="s">
        <v>70</v>
      </c>
      <c r="B41" s="45">
        <f>'[4]LRF FY17'!U38</f>
        <v>254511</v>
      </c>
      <c r="C41" s="53"/>
      <c r="D41" s="54"/>
      <c r="E41" s="54"/>
      <c r="F41" s="54" t="s">
        <v>14</v>
      </c>
      <c r="G41" s="1"/>
      <c r="H41" s="30"/>
      <c r="I41" s="30"/>
      <c r="J41" s="30"/>
    </row>
    <row r="42" spans="1:10" x14ac:dyDescent="0.2">
      <c r="A42" s="55" t="s">
        <v>13</v>
      </c>
      <c r="B42" s="56"/>
      <c r="C42" s="53"/>
      <c r="D42" s="54"/>
      <c r="E42" s="54"/>
      <c r="F42" s="54"/>
      <c r="G42" s="2"/>
      <c r="H42" s="30"/>
      <c r="I42" s="30"/>
      <c r="J42" s="30"/>
    </row>
    <row r="43" spans="1:10" x14ac:dyDescent="0.2">
      <c r="A43" s="55" t="s">
        <v>15</v>
      </c>
      <c r="B43" s="56"/>
      <c r="C43" s="53"/>
      <c r="D43" s="54"/>
      <c r="E43" s="54"/>
      <c r="F43" s="54"/>
      <c r="G43" s="2"/>
      <c r="H43" s="57" t="s">
        <v>43</v>
      </c>
      <c r="I43" s="30"/>
      <c r="J43" s="57" t="s">
        <v>45</v>
      </c>
    </row>
    <row r="44" spans="1:10" x14ac:dyDescent="0.2">
      <c r="A44" s="58" t="s">
        <v>16</v>
      </c>
      <c r="B44" s="59"/>
      <c r="C44" s="60">
        <f>[3]main!C215-[3]main!F157</f>
        <v>6340.9179999999997</v>
      </c>
      <c r="D44" s="61">
        <f>[3]main!E215-[3]main!H157</f>
        <v>20189482.100000001</v>
      </c>
      <c r="E44" s="62">
        <f>IF(B39&gt;D44,D44,B39)</f>
        <v>7897914</v>
      </c>
      <c r="F44" s="62">
        <f>D44-E44</f>
        <v>12291568.1</v>
      </c>
      <c r="G44" s="1"/>
      <c r="H44" s="57">
        <f>[3]main!H274</f>
        <v>22239741.210000001</v>
      </c>
      <c r="I44" s="30"/>
      <c r="J44" s="57">
        <f>'[5]Sheet 1'!E98</f>
        <v>27564373.050000001</v>
      </c>
    </row>
    <row r="45" spans="1:10" x14ac:dyDescent="0.2">
      <c r="A45" s="58" t="s">
        <v>17</v>
      </c>
      <c r="B45" s="59"/>
      <c r="C45" s="53">
        <f>[3]main!F157</f>
        <v>0</v>
      </c>
      <c r="D45" s="54">
        <f>[3]main!H157</f>
        <v>0</v>
      </c>
      <c r="E45" s="54">
        <f>IF(B38-SUM(E42:E44)&gt;D45,D45,B38-SUM(E42:E44))</f>
        <v>0</v>
      </c>
      <c r="F45" s="54">
        <f>D45-E45</f>
        <v>0</v>
      </c>
      <c r="G45" s="1"/>
      <c r="H45" s="57">
        <f>SUM(D44:D48)</f>
        <v>22239741.210000001</v>
      </c>
      <c r="I45" s="30"/>
      <c r="J45" s="57">
        <f>D59</f>
        <v>27564373.050000001</v>
      </c>
    </row>
    <row r="46" spans="1:10" x14ac:dyDescent="0.2">
      <c r="A46" s="58" t="s">
        <v>18</v>
      </c>
      <c r="B46" s="59"/>
      <c r="C46" s="53">
        <f>[3]main!F215</f>
        <v>640.92600000000004</v>
      </c>
      <c r="D46" s="54">
        <f>[3]main!H215</f>
        <v>2040707.11</v>
      </c>
      <c r="E46" s="54">
        <f>IF(B39-SUM(E44:E45)&gt;D46,D46,B39-SUM(E44:E45))</f>
        <v>0</v>
      </c>
      <c r="F46" s="54">
        <f>D46-E46</f>
        <v>2040707.11</v>
      </c>
      <c r="G46" s="1"/>
      <c r="H46" s="57">
        <f>+H44-H45</f>
        <v>0</v>
      </c>
      <c r="I46" s="30"/>
      <c r="J46" s="57">
        <f>+J44-J45</f>
        <v>0</v>
      </c>
    </row>
    <row r="47" spans="1:10" x14ac:dyDescent="0.2">
      <c r="A47" s="58" t="s">
        <v>19</v>
      </c>
      <c r="B47" s="59"/>
      <c r="C47" s="53">
        <f>[3]main!C274</f>
        <v>0</v>
      </c>
      <c r="D47" s="54">
        <f>[3]main!E274</f>
        <v>0</v>
      </c>
      <c r="E47" s="54">
        <f>IF(B39-SUM(E44:E46)&gt;D47,D47,B39-SUM(E44:E46))</f>
        <v>0</v>
      </c>
      <c r="F47" s="54">
        <f>D47-E47</f>
        <v>0</v>
      </c>
      <c r="G47" s="1"/>
      <c r="H47" s="30"/>
      <c r="I47" s="30"/>
      <c r="J47" s="30"/>
    </row>
    <row r="48" spans="1:10" x14ac:dyDescent="0.2">
      <c r="A48" s="58" t="s">
        <v>42</v>
      </c>
      <c r="B48" s="59"/>
      <c r="C48" s="53">
        <f>[3]main!C98</f>
        <v>3</v>
      </c>
      <c r="D48" s="54">
        <f>[3]main!E98</f>
        <v>9552</v>
      </c>
      <c r="E48" s="54">
        <f>IF(B39-SUM(E44:E47)&gt;D48,D48,B39-SUM(E44:E47))</f>
        <v>0</v>
      </c>
      <c r="F48" s="54">
        <f>D48-E48</f>
        <v>9552</v>
      </c>
      <c r="G48" s="1"/>
      <c r="H48" s="30"/>
      <c r="I48" s="30"/>
      <c r="J48" s="30"/>
    </row>
    <row r="49" spans="1:10" x14ac:dyDescent="0.2">
      <c r="A49" s="55" t="s">
        <v>20</v>
      </c>
      <c r="B49" s="56"/>
      <c r="C49" s="63"/>
      <c r="D49" s="64"/>
      <c r="E49" s="64"/>
      <c r="F49" s="64" t="s">
        <v>14</v>
      </c>
      <c r="G49" s="1"/>
      <c r="H49" s="57" t="s">
        <v>44</v>
      </c>
      <c r="I49" s="30"/>
      <c r="J49" s="30"/>
    </row>
    <row r="50" spans="1:10" x14ac:dyDescent="0.2">
      <c r="A50" s="58" t="s">
        <v>21</v>
      </c>
      <c r="B50" s="59"/>
      <c r="C50" s="53">
        <f>'[6]Sheet 1'!C40</f>
        <v>670.81899999999996</v>
      </c>
      <c r="D50" s="54">
        <f>'[6]Sheet 1'!E40</f>
        <v>2135886.2799999998</v>
      </c>
      <c r="E50" s="54">
        <f>IF(B39-SUM(E44:E49)&gt;D50,D50,B39-SUM(E44:E49))</f>
        <v>0</v>
      </c>
      <c r="F50" s="54">
        <f t="shared" ref="F50:F58" si="0">D50-E50</f>
        <v>2135886.2799999998</v>
      </c>
      <c r="G50" s="1"/>
      <c r="H50" s="57">
        <f>'[6]Sheet 1'!N156</f>
        <v>2743261.57</v>
      </c>
      <c r="I50" s="30"/>
      <c r="J50" s="30"/>
    </row>
    <row r="51" spans="1:10" x14ac:dyDescent="0.2">
      <c r="A51" s="59" t="s">
        <v>22</v>
      </c>
      <c r="B51" s="59"/>
      <c r="C51" s="53">
        <f>'[6]Sheet 1'!F40</f>
        <v>74.69</v>
      </c>
      <c r="D51" s="54">
        <f>'[6]Sheet 1'!H40</f>
        <v>237812.96</v>
      </c>
      <c r="E51" s="54">
        <f>IF(B39-SUM(E44:E50)&gt;D51,D51,B39-SUM(E44:E50))</f>
        <v>0</v>
      </c>
      <c r="F51" s="54">
        <f t="shared" si="0"/>
        <v>237812.96</v>
      </c>
      <c r="G51" s="1"/>
      <c r="H51" s="57">
        <f>SUM(D50:D56)</f>
        <v>2743261.57</v>
      </c>
      <c r="I51" s="30"/>
      <c r="J51" s="30"/>
    </row>
    <row r="52" spans="1:10" x14ac:dyDescent="0.2">
      <c r="A52" s="59" t="s">
        <v>23</v>
      </c>
      <c r="B52" s="59"/>
      <c r="C52" s="53">
        <f>'[6]Sheet 1'!C98</f>
        <v>97.02</v>
      </c>
      <c r="D52" s="54">
        <f>'[6]Sheet 1'!E98</f>
        <v>308911.68</v>
      </c>
      <c r="E52" s="54">
        <f>IF(B39-SUM(E44:E51)&gt;D52,D52,B39-SUM(E44:E51))</f>
        <v>0</v>
      </c>
      <c r="F52" s="54">
        <f t="shared" si="0"/>
        <v>308911.68</v>
      </c>
      <c r="G52" s="1"/>
      <c r="H52" s="57">
        <f>+H50-H51</f>
        <v>0</v>
      </c>
      <c r="I52" s="30"/>
      <c r="J52" s="30"/>
    </row>
    <row r="53" spans="1:10" x14ac:dyDescent="0.2">
      <c r="A53" s="58" t="s">
        <v>24</v>
      </c>
      <c r="B53" s="59"/>
      <c r="C53" s="53">
        <f>'[6]Sheet 1'!F98</f>
        <v>3.5249999999999999</v>
      </c>
      <c r="D53" s="54">
        <f>'[6]Sheet 1'!H98</f>
        <v>11223.59</v>
      </c>
      <c r="E53" s="54">
        <f>IF(B39-SUM(E44:E52)&gt;D53,D53,B39-SUM(E44:E52))</f>
        <v>0</v>
      </c>
      <c r="F53" s="54">
        <f t="shared" si="0"/>
        <v>11223.59</v>
      </c>
      <c r="G53" s="1"/>
      <c r="H53" s="30"/>
      <c r="I53" s="30"/>
      <c r="J53" s="30"/>
    </row>
    <row r="54" spans="1:10" x14ac:dyDescent="0.2">
      <c r="A54" s="59" t="s">
        <v>71</v>
      </c>
      <c r="B54" s="59"/>
      <c r="C54" s="53">
        <f>'[6]Sheet 1'!C156</f>
        <v>15.523999999999999</v>
      </c>
      <c r="D54" s="54">
        <f>'[6]Sheet 1'!E156</f>
        <v>49427.06</v>
      </c>
      <c r="E54" s="54">
        <f>IF(B39-SUM(E44:E53)&gt;D54,D54,B39-SUM(E44:E53))</f>
        <v>0</v>
      </c>
      <c r="F54" s="54">
        <f t="shared" si="0"/>
        <v>49427.06</v>
      </c>
      <c r="G54" s="1"/>
      <c r="H54" s="30"/>
      <c r="I54" s="30"/>
      <c r="J54" s="30"/>
    </row>
    <row r="55" spans="1:10" x14ac:dyDescent="0.2">
      <c r="A55" s="59" t="s">
        <v>57</v>
      </c>
      <c r="B55" s="59"/>
      <c r="C55" s="53">
        <f>'[6]Sheet 1'!F156</f>
        <v>0</v>
      </c>
      <c r="D55" s="54">
        <f>'[6]Sheet 1'!H156</f>
        <v>0</v>
      </c>
      <c r="E55" s="54">
        <f>IF(B40-SUM(E45:E54)&gt;D55,D55,B40-SUM(E45:E54))</f>
        <v>0</v>
      </c>
      <c r="F55" s="54">
        <f t="shared" si="0"/>
        <v>0</v>
      </c>
      <c r="G55" s="1"/>
      <c r="H55" s="30"/>
      <c r="I55" s="30"/>
      <c r="J55" s="30"/>
    </row>
    <row r="56" spans="1:10" x14ac:dyDescent="0.2">
      <c r="A56" s="59" t="s">
        <v>64</v>
      </c>
      <c r="B56" s="59"/>
      <c r="C56" s="53">
        <f>'[6]Sheet 1'!I156</f>
        <v>0</v>
      </c>
      <c r="D56" s="54">
        <f>'[6]Sheet 1'!K156</f>
        <v>0</v>
      </c>
      <c r="E56" s="54">
        <f>IF(B42-SUM(E46:E55)&gt;D56,D56,B42-SUM(E46:E55))</f>
        <v>0</v>
      </c>
      <c r="F56" s="54">
        <f t="shared" si="0"/>
        <v>0</v>
      </c>
      <c r="G56" s="1"/>
      <c r="H56" s="57" t="s">
        <v>46</v>
      </c>
      <c r="I56" s="30"/>
      <c r="J56" s="30"/>
    </row>
    <row r="57" spans="1:10" x14ac:dyDescent="0.2">
      <c r="A57" s="59" t="s">
        <v>58</v>
      </c>
      <c r="B57" s="59"/>
      <c r="C57" s="53">
        <f>'[6]Sheet 1'!C214</f>
        <v>402.03300000000002</v>
      </c>
      <c r="D57" s="54">
        <f>'[6]Sheet 1'!E214</f>
        <v>1280069.6299999999</v>
      </c>
      <c r="E57" s="54">
        <f>IF(B39-SUM(E44:E54)&gt;D57,D57,B39-SUM(E44:E54))</f>
        <v>0</v>
      </c>
      <c r="F57" s="54">
        <f t="shared" si="0"/>
        <v>1280069.6299999999</v>
      </c>
      <c r="G57" s="4"/>
      <c r="H57" s="57">
        <f>+'[6]Sheet 1'!E214</f>
        <v>1280069.6299999999</v>
      </c>
      <c r="I57" s="30"/>
      <c r="J57" s="30"/>
    </row>
    <row r="58" spans="1:10" x14ac:dyDescent="0.2">
      <c r="A58" s="58" t="s">
        <v>59</v>
      </c>
      <c r="B58" s="59"/>
      <c r="C58" s="53">
        <f>'[5]Sheet 1'!C40</f>
        <v>408.7</v>
      </c>
      <c r="D58" s="54">
        <f>'[5]Sheet 1'!E40</f>
        <v>1301300.6399999999</v>
      </c>
      <c r="E58" s="54">
        <f>IF(B39-SUM(E44:E57)&gt;D58,D58,B39-SUM(E44:E57))</f>
        <v>0</v>
      </c>
      <c r="F58" s="54">
        <f t="shared" si="0"/>
        <v>1301300.6399999999</v>
      </c>
      <c r="G58" s="5"/>
      <c r="H58" s="57">
        <f>+D57</f>
        <v>1280069.6299999999</v>
      </c>
      <c r="I58" s="30"/>
      <c r="J58" s="30"/>
    </row>
    <row r="59" spans="1:10" x14ac:dyDescent="0.2">
      <c r="A59" s="65" t="s">
        <v>28</v>
      </c>
      <c r="B59" s="56"/>
      <c r="C59" s="66">
        <f>SUM(C44:C58)</f>
        <v>8657.1550000000007</v>
      </c>
      <c r="D59" s="67">
        <f>SUM(D44:D58)</f>
        <v>27564373.050000001</v>
      </c>
      <c r="E59" s="67">
        <f>SUM(E44:E58)</f>
        <v>7897914</v>
      </c>
      <c r="F59" s="67">
        <f>SUM(F44:F58)</f>
        <v>19666459.050000001</v>
      </c>
      <c r="G59" s="1"/>
      <c r="H59" s="57">
        <f>+H57-H58</f>
        <v>0</v>
      </c>
      <c r="I59" s="30"/>
      <c r="J59" s="30"/>
    </row>
    <row r="60" spans="1:10" x14ac:dyDescent="0.2">
      <c r="A60" s="68" t="s">
        <v>26</v>
      </c>
      <c r="B60" s="56"/>
      <c r="C60" s="69"/>
      <c r="D60" s="54"/>
      <c r="E60" s="54"/>
      <c r="F60" s="54"/>
      <c r="G60" s="1"/>
      <c r="H60" s="57" t="s">
        <v>47</v>
      </c>
      <c r="I60" s="30"/>
      <c r="J60" s="57" t="s">
        <v>52</v>
      </c>
    </row>
    <row r="61" spans="1:10" x14ac:dyDescent="0.2">
      <c r="A61" s="58" t="s">
        <v>56</v>
      </c>
      <c r="B61" s="59"/>
      <c r="C61" s="20"/>
      <c r="D61" s="70">
        <f>[1]Main!F41</f>
        <v>79866.78</v>
      </c>
      <c r="E61" s="54">
        <f>IF($B39-SUM($E59)&gt;D61,D61,$B39-SUM($E59))</f>
        <v>0</v>
      </c>
      <c r="F61" s="54">
        <f t="shared" ref="F61:F79" si="1">D61-E61</f>
        <v>79866.78</v>
      </c>
      <c r="G61" s="1"/>
      <c r="H61" s="57">
        <f>[1]Main!G41</f>
        <v>1029523.42</v>
      </c>
      <c r="I61" s="30"/>
      <c r="J61" s="57">
        <f>+[1]Main!D502</f>
        <v>4609419.66</v>
      </c>
    </row>
    <row r="62" spans="1:10" x14ac:dyDescent="0.2">
      <c r="A62" s="59" t="s">
        <v>25</v>
      </c>
      <c r="B62" s="59"/>
      <c r="C62" s="20"/>
      <c r="D62" s="70">
        <f>[1]Main!C41</f>
        <v>949656.64</v>
      </c>
      <c r="E62" s="54">
        <f>IF($B39-SUM($E59:E61)&gt;D62,D62,B39-SUM($E59:E61))</f>
        <v>0</v>
      </c>
      <c r="F62" s="54">
        <f t="shared" si="1"/>
        <v>949656.64</v>
      </c>
      <c r="G62" s="1"/>
      <c r="H62" s="57">
        <f>SUM(D61:D63)</f>
        <v>1029523.42</v>
      </c>
      <c r="I62" s="30"/>
      <c r="J62" s="57">
        <f>SUM(D61:D88)-E74</f>
        <v>4609419.66</v>
      </c>
    </row>
    <row r="63" spans="1:10" x14ac:dyDescent="0.2">
      <c r="A63" s="71" t="s">
        <v>27</v>
      </c>
      <c r="B63" s="59"/>
      <c r="C63" s="20"/>
      <c r="D63" s="70">
        <f>[1]Main!D41</f>
        <v>0</v>
      </c>
      <c r="E63" s="54">
        <f>IF($B39-SUM($E59:E62)&gt;D63,D63,$B39-SUM($E59:E62))</f>
        <v>0</v>
      </c>
      <c r="F63" s="54">
        <f>D63-E63</f>
        <v>0</v>
      </c>
      <c r="G63" s="1"/>
      <c r="H63" s="57">
        <f>+H61-H62</f>
        <v>0</v>
      </c>
      <c r="I63" s="30"/>
      <c r="J63" s="57">
        <f>+J61-J62</f>
        <v>0</v>
      </c>
    </row>
    <row r="64" spans="1:10" x14ac:dyDescent="0.2">
      <c r="A64" s="72" t="s">
        <v>72</v>
      </c>
      <c r="B64" s="59"/>
      <c r="C64" s="20"/>
      <c r="D64" s="70">
        <f>[1]Main!E41</f>
        <v>0</v>
      </c>
      <c r="E64" s="54">
        <f>IF($B40-SUM($E60:E63)&gt;D64,D64,$B40-SUM($E60:E63))</f>
        <v>0</v>
      </c>
      <c r="F64" s="54">
        <f>D64-E64</f>
        <v>0</v>
      </c>
      <c r="G64" s="1"/>
      <c r="H64" s="30"/>
      <c r="I64" s="30"/>
      <c r="J64" s="30"/>
    </row>
    <row r="65" spans="1:10" x14ac:dyDescent="0.2">
      <c r="A65" s="72" t="s">
        <v>73</v>
      </c>
      <c r="B65" s="59"/>
      <c r="C65" s="20"/>
      <c r="D65" s="54">
        <f>+[1]Main!$F157</f>
        <v>55250.38</v>
      </c>
      <c r="E65" s="54">
        <f>IF($B39-SUM($E59:E63)&gt;D65,D65,$B39-SUM($E59:E63))</f>
        <v>0</v>
      </c>
      <c r="F65" s="54">
        <f t="shared" si="1"/>
        <v>55250.38</v>
      </c>
      <c r="G65" s="1"/>
      <c r="H65" s="30"/>
      <c r="I65" s="30"/>
      <c r="J65" s="30"/>
    </row>
    <row r="66" spans="1:10" x14ac:dyDescent="0.2">
      <c r="A66" s="71" t="s">
        <v>74</v>
      </c>
      <c r="B66" s="59"/>
      <c r="C66" s="20"/>
      <c r="D66" s="54">
        <f>+[1]Main!$C99</f>
        <v>176844</v>
      </c>
      <c r="E66" s="54">
        <f>IF($B39-SUM($E59:E65)&gt;D66,D66,$B39-SUM($E59:E65))</f>
        <v>0</v>
      </c>
      <c r="F66" s="54">
        <f t="shared" si="1"/>
        <v>176844</v>
      </c>
      <c r="G66" s="1"/>
      <c r="H66" s="30"/>
      <c r="I66" s="30"/>
      <c r="J66" s="30"/>
    </row>
    <row r="67" spans="1:10" x14ac:dyDescent="0.2">
      <c r="A67" s="71" t="s">
        <v>75</v>
      </c>
      <c r="B67" s="59"/>
      <c r="C67" s="20"/>
      <c r="D67" s="54">
        <f>+[1]Main!$D99</f>
        <v>0</v>
      </c>
      <c r="E67" s="54">
        <f>IF($B39-SUM($E59:E66)&gt;D67,D67,$B39-SUM($E59:E66))</f>
        <v>0</v>
      </c>
      <c r="F67" s="54">
        <f t="shared" si="1"/>
        <v>0</v>
      </c>
      <c r="G67" s="1"/>
      <c r="H67" s="30"/>
      <c r="I67" s="30"/>
      <c r="J67" s="30"/>
    </row>
    <row r="68" spans="1:10" x14ac:dyDescent="0.2">
      <c r="A68" s="71" t="s">
        <v>76</v>
      </c>
      <c r="B68" s="59"/>
      <c r="C68" s="20"/>
      <c r="D68" s="54">
        <f>+[1]Main!$E99</f>
        <v>0</v>
      </c>
      <c r="E68" s="54">
        <f>IF($B39-SUM($E59:E67)&gt;D68,D68,$B39-SUM($E59:E67))</f>
        <v>0</v>
      </c>
      <c r="F68" s="54">
        <f t="shared" si="1"/>
        <v>0</v>
      </c>
      <c r="G68" s="1"/>
      <c r="H68" s="30"/>
      <c r="I68" s="30"/>
      <c r="J68" s="30"/>
    </row>
    <row r="69" spans="1:10" x14ac:dyDescent="0.2">
      <c r="A69" s="71" t="s">
        <v>77</v>
      </c>
      <c r="B69" s="59"/>
      <c r="C69" s="20"/>
      <c r="D69" s="54">
        <f>[1]Main!F99</f>
        <v>78340</v>
      </c>
      <c r="E69" s="54">
        <f>IF($B39-SUM($E59:E68)&gt;D69,D69,$B39-SUM($E59:E68))</f>
        <v>0</v>
      </c>
      <c r="F69" s="54">
        <f t="shared" si="1"/>
        <v>78340</v>
      </c>
      <c r="G69" s="1"/>
      <c r="H69" s="57" t="s">
        <v>48</v>
      </c>
      <c r="I69" s="30"/>
      <c r="J69" s="30"/>
    </row>
    <row r="70" spans="1:10" x14ac:dyDescent="0.2">
      <c r="A70" s="71" t="s">
        <v>79</v>
      </c>
      <c r="B70" s="59"/>
      <c r="C70" s="20"/>
      <c r="D70" s="54">
        <f>[1]Main!G99</f>
        <v>0</v>
      </c>
      <c r="E70" s="54">
        <f>IF($B39-SUM($E59:E69)&gt;D70,D70,$B39-SUM($E59:E69))</f>
        <v>0</v>
      </c>
      <c r="F70" s="54">
        <f t="shared" si="1"/>
        <v>0</v>
      </c>
      <c r="G70" s="1"/>
      <c r="H70" s="57"/>
      <c r="I70" s="30"/>
      <c r="J70" s="30"/>
    </row>
    <row r="71" spans="1:10" x14ac:dyDescent="0.2">
      <c r="A71" s="71" t="s">
        <v>78</v>
      </c>
      <c r="B71" s="59"/>
      <c r="C71" s="20"/>
      <c r="D71" s="54">
        <f>[1]Main!G157</f>
        <v>186936.95999999999</v>
      </c>
      <c r="E71" s="54">
        <f>IF($B39-SUM($E59:E70)&gt;D71,D71,$B39-SUM($E59:E70))</f>
        <v>0</v>
      </c>
      <c r="F71" s="54">
        <f t="shared" si="1"/>
        <v>186936.95999999999</v>
      </c>
      <c r="G71" s="1"/>
      <c r="H71" s="73">
        <f>+[1]Main!D215</f>
        <v>497371.34</v>
      </c>
      <c r="I71" s="30"/>
      <c r="J71" s="30"/>
    </row>
    <row r="72" spans="1:10" x14ac:dyDescent="0.2">
      <c r="A72" s="71" t="s">
        <v>80</v>
      </c>
      <c r="B72" s="59"/>
      <c r="C72" s="20"/>
      <c r="D72" s="54">
        <f>[1]Main!C215</f>
        <v>0</v>
      </c>
      <c r="E72" s="54"/>
      <c r="F72" s="54">
        <f t="shared" si="1"/>
        <v>0</v>
      </c>
      <c r="G72" s="1"/>
      <c r="H72" s="57">
        <f>+SUM(D65:D72)</f>
        <v>497371.34</v>
      </c>
      <c r="I72" s="30"/>
      <c r="J72" s="30"/>
    </row>
    <row r="73" spans="1:10" x14ac:dyDescent="0.2">
      <c r="A73" s="71" t="s">
        <v>81</v>
      </c>
      <c r="B73" s="59"/>
      <c r="C73" s="20"/>
      <c r="D73" s="54">
        <f>[1]Main!C273</f>
        <v>547276</v>
      </c>
      <c r="E73" s="54">
        <v>0</v>
      </c>
      <c r="F73" s="54">
        <f t="shared" si="1"/>
        <v>547276</v>
      </c>
      <c r="G73" s="1"/>
      <c r="H73" s="57">
        <f>+H71-H72</f>
        <v>0</v>
      </c>
      <c r="I73" s="30"/>
      <c r="J73" s="30"/>
    </row>
    <row r="74" spans="1:10" x14ac:dyDescent="0.2">
      <c r="A74" s="71" t="s">
        <v>82</v>
      </c>
      <c r="B74" s="59"/>
      <c r="C74" s="20"/>
      <c r="D74" s="54">
        <f>+[7]Main!I40+[7]Main!J40</f>
        <v>568957.94999999995</v>
      </c>
      <c r="E74" s="74">
        <f>[7]Main!J40</f>
        <v>473814.03</v>
      </c>
      <c r="F74" s="54">
        <f t="shared" si="1"/>
        <v>95143.92</v>
      </c>
      <c r="G74" s="1"/>
      <c r="H74" s="30"/>
      <c r="I74" s="30"/>
      <c r="J74" s="30"/>
    </row>
    <row r="75" spans="1:10" x14ac:dyDescent="0.2">
      <c r="A75" s="71" t="s">
        <v>83</v>
      </c>
      <c r="B75" s="59"/>
      <c r="C75" s="20"/>
      <c r="D75" s="54">
        <f>[1]Main!F273</f>
        <v>81565</v>
      </c>
      <c r="E75" s="54">
        <v>0</v>
      </c>
      <c r="F75" s="54">
        <f t="shared" si="1"/>
        <v>81565</v>
      </c>
      <c r="G75" s="1"/>
      <c r="H75" s="30"/>
      <c r="I75" s="30"/>
      <c r="J75" s="30"/>
    </row>
    <row r="76" spans="1:10" x14ac:dyDescent="0.2">
      <c r="A76" s="71" t="s">
        <v>84</v>
      </c>
      <c r="B76" s="59"/>
      <c r="C76" s="7"/>
      <c r="D76" s="54">
        <f>[1]Main!E273</f>
        <v>12555.07</v>
      </c>
      <c r="E76" s="54">
        <v>0</v>
      </c>
      <c r="F76" s="54">
        <f t="shared" si="1"/>
        <v>12555.07</v>
      </c>
      <c r="G76" s="1"/>
      <c r="H76" s="57" t="s">
        <v>49</v>
      </c>
      <c r="I76" s="30"/>
      <c r="J76" s="30"/>
    </row>
    <row r="77" spans="1:10" x14ac:dyDescent="0.2">
      <c r="A77" s="71" t="s">
        <v>85</v>
      </c>
      <c r="B77" s="59"/>
      <c r="C77" s="7"/>
      <c r="D77" s="54">
        <f>[1]Main!G273</f>
        <v>203769</v>
      </c>
      <c r="E77" s="54">
        <v>0</v>
      </c>
      <c r="F77" s="54">
        <f t="shared" si="1"/>
        <v>203769</v>
      </c>
      <c r="G77" s="1"/>
      <c r="H77" s="57">
        <f>+[1]Main!C502</f>
        <v>2986787.7</v>
      </c>
      <c r="I77" s="57"/>
      <c r="J77" s="57"/>
    </row>
    <row r="78" spans="1:10" x14ac:dyDescent="0.2">
      <c r="A78" s="71" t="s">
        <v>86</v>
      </c>
      <c r="B78" s="59"/>
      <c r="C78" s="20"/>
      <c r="D78" s="54">
        <f>[1]Main!C331</f>
        <v>40000</v>
      </c>
      <c r="E78" s="54">
        <v>0</v>
      </c>
      <c r="F78" s="54">
        <f t="shared" si="1"/>
        <v>40000</v>
      </c>
      <c r="G78" s="1"/>
      <c r="H78" s="57">
        <f>+SUM(D73:D83)-E74</f>
        <v>2986787.7</v>
      </c>
      <c r="I78" s="57"/>
      <c r="J78" s="57">
        <f>+H78-H77</f>
        <v>0</v>
      </c>
    </row>
    <row r="79" spans="1:10" x14ac:dyDescent="0.2">
      <c r="A79" s="71" t="s">
        <v>87</v>
      </c>
      <c r="C79" s="8"/>
      <c r="D79" s="76">
        <f>[1]Main!D331</f>
        <v>1812835.33</v>
      </c>
      <c r="E79" s="77">
        <v>0</v>
      </c>
      <c r="F79" s="77">
        <f t="shared" si="1"/>
        <v>1812835.33</v>
      </c>
      <c r="G79" s="5"/>
      <c r="H79" s="57">
        <f>+H77-H78</f>
        <v>0</v>
      </c>
      <c r="I79" s="57"/>
      <c r="J79" s="57"/>
    </row>
    <row r="80" spans="1:10" x14ac:dyDescent="0.2">
      <c r="A80" s="71" t="s">
        <v>88</v>
      </c>
      <c r="B80" s="59"/>
      <c r="C80" s="20"/>
      <c r="D80" s="54">
        <f>+[1]Main!$E331</f>
        <v>8095.84</v>
      </c>
      <c r="E80" s="54">
        <v>0</v>
      </c>
      <c r="F80" s="54">
        <f>D80-E80</f>
        <v>8095.84</v>
      </c>
      <c r="G80" s="4"/>
      <c r="H80" s="30"/>
      <c r="I80" s="30"/>
      <c r="J80" s="30"/>
    </row>
    <row r="81" spans="1:10" x14ac:dyDescent="0.2">
      <c r="A81" s="71" t="s">
        <v>89</v>
      </c>
      <c r="B81" s="59"/>
      <c r="C81" s="20"/>
      <c r="D81" s="54">
        <f>[1]Main!F331</f>
        <v>72380.990000000005</v>
      </c>
      <c r="E81" s="54">
        <v>0</v>
      </c>
      <c r="F81" s="54">
        <f>D81-E81</f>
        <v>72380.990000000005</v>
      </c>
      <c r="G81" s="4"/>
      <c r="H81" s="30"/>
      <c r="I81" s="30"/>
      <c r="J81" s="30"/>
    </row>
    <row r="82" spans="1:10" x14ac:dyDescent="0.2">
      <c r="A82" s="71" t="s">
        <v>90</v>
      </c>
      <c r="B82" s="59"/>
      <c r="C82" s="20"/>
      <c r="D82" s="54">
        <f>[1]Main!G331</f>
        <v>0</v>
      </c>
      <c r="E82" s="54">
        <v>0</v>
      </c>
      <c r="F82" s="54">
        <f>D82-E82</f>
        <v>0</v>
      </c>
      <c r="G82" s="1"/>
      <c r="H82" s="57" t="s">
        <v>50</v>
      </c>
      <c r="I82" s="30"/>
      <c r="J82" s="30"/>
    </row>
    <row r="83" spans="1:10" x14ac:dyDescent="0.2">
      <c r="A83" s="71" t="s">
        <v>93</v>
      </c>
      <c r="B83" s="59"/>
      <c r="C83" s="20"/>
      <c r="D83" s="54">
        <f>[1]Main!F388</f>
        <v>113166.55</v>
      </c>
      <c r="E83" s="54">
        <v>0</v>
      </c>
      <c r="F83" s="54">
        <f>D83-E83</f>
        <v>113166.55</v>
      </c>
      <c r="G83" s="1"/>
      <c r="H83" s="57"/>
      <c r="I83" s="30"/>
      <c r="J83" s="30"/>
    </row>
    <row r="84" spans="1:10" x14ac:dyDescent="0.2">
      <c r="A84" s="55" t="s">
        <v>30</v>
      </c>
      <c r="B84" s="78"/>
      <c r="C84" s="79"/>
      <c r="D84" s="64"/>
      <c r="E84" s="64"/>
      <c r="F84" s="64"/>
      <c r="G84" s="1"/>
      <c r="H84" s="57"/>
      <c r="I84" s="30"/>
      <c r="J84" s="30"/>
    </row>
    <row r="85" spans="1:10" x14ac:dyDescent="0.2">
      <c r="A85" s="71" t="s">
        <v>60</v>
      </c>
      <c r="B85" s="59"/>
      <c r="C85" s="20"/>
      <c r="D85" s="54">
        <f>[1]Main!C445</f>
        <v>63633.06</v>
      </c>
      <c r="E85" s="54">
        <v>0</v>
      </c>
      <c r="F85" s="54">
        <f>D85-E85</f>
        <v>63633.06</v>
      </c>
      <c r="G85" s="1"/>
      <c r="H85" s="57">
        <f>+[1]Main!G445</f>
        <v>95737.2</v>
      </c>
      <c r="I85" s="30"/>
      <c r="J85" s="30"/>
    </row>
    <row r="86" spans="1:10" x14ac:dyDescent="0.2">
      <c r="A86" s="71" t="s">
        <v>63</v>
      </c>
      <c r="B86" s="59"/>
      <c r="C86" s="20"/>
      <c r="D86" s="54">
        <f>[1]Main!D445</f>
        <v>0</v>
      </c>
      <c r="E86" s="54">
        <v>0</v>
      </c>
      <c r="F86" s="54">
        <f>D86-E86</f>
        <v>0</v>
      </c>
      <c r="G86" s="4"/>
      <c r="H86" s="57">
        <f>SUM(D85:D88)</f>
        <v>95737.2</v>
      </c>
      <c r="I86" s="30"/>
      <c r="J86" s="30"/>
    </row>
    <row r="87" spans="1:10" x14ac:dyDescent="0.2">
      <c r="A87" s="71" t="s">
        <v>91</v>
      </c>
      <c r="B87" s="59"/>
      <c r="C87" s="20"/>
      <c r="D87" s="54">
        <f>[1]Main!E445</f>
        <v>0</v>
      </c>
      <c r="E87" s="54">
        <v>0</v>
      </c>
      <c r="F87" s="54">
        <f>D87-E87</f>
        <v>0</v>
      </c>
      <c r="G87" s="4"/>
      <c r="H87" s="57">
        <f>+H85-H86</f>
        <v>0</v>
      </c>
      <c r="I87" s="30"/>
      <c r="J87" s="30"/>
    </row>
    <row r="88" spans="1:10" x14ac:dyDescent="0.2">
      <c r="A88" s="71" t="s">
        <v>92</v>
      </c>
      <c r="B88" s="59"/>
      <c r="C88" s="20"/>
      <c r="D88" s="54">
        <f>[1]Main!F445</f>
        <v>32104.14</v>
      </c>
      <c r="E88" s="54">
        <v>0</v>
      </c>
      <c r="F88" s="54">
        <f>D88-E88</f>
        <v>32104.14</v>
      </c>
      <c r="G88" s="1"/>
      <c r="H88" s="30"/>
      <c r="I88" s="30"/>
      <c r="J88" s="30"/>
    </row>
    <row r="89" spans="1:10" x14ac:dyDescent="0.2">
      <c r="A89" s="55" t="s">
        <v>31</v>
      </c>
      <c r="B89" s="78"/>
      <c r="C89" s="79"/>
      <c r="D89" s="64"/>
      <c r="E89" s="64"/>
      <c r="F89" s="64"/>
      <c r="G89" s="1"/>
      <c r="H89" s="30"/>
      <c r="I89" s="30"/>
      <c r="J89" s="30"/>
    </row>
    <row r="90" spans="1:10" x14ac:dyDescent="0.2">
      <c r="A90" s="58" t="s">
        <v>69</v>
      </c>
      <c r="B90" s="59"/>
      <c r="C90" s="20"/>
      <c r="D90" s="54">
        <f>+[1]Main!$G558</f>
        <v>6422064.9000000004</v>
      </c>
      <c r="E90" s="54">
        <f>+[1]Main!$D558</f>
        <v>6422064.9000000004</v>
      </c>
      <c r="F90" s="54">
        <f>+D90-E90</f>
        <v>0</v>
      </c>
      <c r="G90" s="1"/>
      <c r="H90" s="30"/>
      <c r="I90" s="30"/>
      <c r="J90" s="30"/>
    </row>
    <row r="91" spans="1:10" x14ac:dyDescent="0.2">
      <c r="A91" s="59" t="s">
        <v>68</v>
      </c>
      <c r="B91" s="59"/>
      <c r="C91" s="20"/>
      <c r="D91" s="54">
        <f>+[1]Main!$G613</f>
        <v>1886068.99</v>
      </c>
      <c r="E91" s="54">
        <f>+[1]Main!$D613</f>
        <v>1886068.99</v>
      </c>
      <c r="F91" s="54">
        <f>+D91-E91</f>
        <v>0</v>
      </c>
      <c r="G91" s="1"/>
      <c r="H91" s="30"/>
      <c r="I91" s="30"/>
      <c r="J91" s="30"/>
    </row>
    <row r="92" spans="1:10" ht="13.5" thickBot="1" x14ac:dyDescent="0.25">
      <c r="A92" s="80"/>
      <c r="B92" s="81"/>
      <c r="C92" s="82" t="s">
        <v>29</v>
      </c>
      <c r="D92" s="83">
        <f>SUM(D59:D91)</f>
        <v>40955740.630000003</v>
      </c>
      <c r="E92" s="83">
        <f>SUM(E59:E91)</f>
        <v>16679861.92</v>
      </c>
      <c r="F92" s="83">
        <f>SUM(F59:F91)</f>
        <v>24275878.710000001</v>
      </c>
      <c r="G92" s="1"/>
      <c r="H92" s="30"/>
      <c r="I92" s="30"/>
      <c r="J92" s="30"/>
    </row>
    <row r="93" spans="1:10" ht="13.5" thickTop="1" x14ac:dyDescent="0.2">
      <c r="A93" s="84"/>
      <c r="B93" s="59"/>
      <c r="C93" s="85"/>
      <c r="D93" s="86"/>
      <c r="E93" s="86"/>
      <c r="F93" s="87"/>
      <c r="G93" s="1"/>
      <c r="H93" s="30"/>
      <c r="I93" s="30"/>
      <c r="J93" s="30"/>
    </row>
    <row r="94" spans="1:10" x14ac:dyDescent="0.2">
      <c r="A94" s="88" t="s">
        <v>40</v>
      </c>
      <c r="B94" s="78"/>
      <c r="C94" s="89"/>
      <c r="D94" s="90"/>
      <c r="E94" s="91"/>
      <c r="F94" s="92" t="s">
        <v>36</v>
      </c>
      <c r="G94" s="6"/>
      <c r="H94" s="57" t="s">
        <v>51</v>
      </c>
      <c r="I94" s="30"/>
      <c r="J94" s="57" t="s">
        <v>7</v>
      </c>
    </row>
    <row r="95" spans="1:10" x14ac:dyDescent="0.2">
      <c r="A95" s="93" t="s">
        <v>33</v>
      </c>
      <c r="B95" s="94"/>
      <c r="C95" s="95"/>
      <c r="D95" s="96"/>
      <c r="E95" s="96"/>
      <c r="F95" s="91"/>
      <c r="G95" s="6"/>
      <c r="H95" s="30"/>
      <c r="I95" s="30"/>
      <c r="J95" s="30"/>
    </row>
    <row r="96" spans="1:10" x14ac:dyDescent="0.2">
      <c r="A96" s="59" t="s">
        <v>34</v>
      </c>
      <c r="B96" s="59"/>
      <c r="C96" s="22"/>
      <c r="D96" s="27"/>
      <c r="E96" s="27"/>
      <c r="F96" s="97">
        <f>+[8]Main!$C41</f>
        <v>0</v>
      </c>
      <c r="G96" s="5"/>
      <c r="H96" s="57">
        <f>+[1]Main!G669</f>
        <v>8308133.8899999997</v>
      </c>
      <c r="I96" s="30"/>
      <c r="J96" s="57">
        <f>+[1]Main!E669+[1]Main!F669</f>
        <v>0</v>
      </c>
    </row>
    <row r="97" spans="1:10" x14ac:dyDescent="0.2">
      <c r="A97" s="59" t="s">
        <v>66</v>
      </c>
      <c r="B97" s="59"/>
      <c r="C97" s="22"/>
      <c r="D97" s="27"/>
      <c r="E97" s="27"/>
      <c r="F97" s="97">
        <f>+[8]Main!$D41</f>
        <v>0</v>
      </c>
      <c r="G97" s="5"/>
      <c r="H97" s="57">
        <f>+D90+D91</f>
        <v>8308133.8899999997</v>
      </c>
      <c r="I97" s="30"/>
      <c r="J97" s="57">
        <f>+F90+F91</f>
        <v>0</v>
      </c>
    </row>
    <row r="98" spans="1:10" x14ac:dyDescent="0.2">
      <c r="A98" s="32" t="s">
        <v>65</v>
      </c>
      <c r="B98" s="32"/>
      <c r="C98" s="22"/>
      <c r="D98" s="28"/>
      <c r="E98" s="28"/>
      <c r="F98" s="97">
        <f>+[8]Main!$E41</f>
        <v>78332</v>
      </c>
      <c r="G98" s="1"/>
      <c r="H98" s="57">
        <f>+H96-H97</f>
        <v>0</v>
      </c>
      <c r="I98" s="30"/>
      <c r="J98" s="57">
        <f>+J96-J97</f>
        <v>0</v>
      </c>
    </row>
    <row r="99" spans="1:10" x14ac:dyDescent="0.2">
      <c r="A99" s="32" t="s">
        <v>67</v>
      </c>
      <c r="B99" s="32"/>
      <c r="C99" s="22"/>
      <c r="D99" s="28"/>
      <c r="E99" s="28"/>
      <c r="F99" s="97">
        <f>+[8]Main!$F41</f>
        <v>155520</v>
      </c>
      <c r="G99" s="1"/>
      <c r="H99" s="30"/>
      <c r="I99" s="30"/>
      <c r="J99" s="30"/>
    </row>
    <row r="100" spans="1:10" x14ac:dyDescent="0.2">
      <c r="A100" s="88" t="s">
        <v>35</v>
      </c>
      <c r="B100" s="78"/>
      <c r="C100" s="89"/>
      <c r="D100" s="90"/>
      <c r="E100" s="91"/>
      <c r="F100" s="54">
        <f>+[8]Main!$C99</f>
        <v>24057.32</v>
      </c>
      <c r="G100" s="1"/>
      <c r="H100" s="30"/>
      <c r="I100" s="30"/>
      <c r="J100" s="30"/>
    </row>
    <row r="101" spans="1:10" ht="13.5" thickBot="1" x14ac:dyDescent="0.25">
      <c r="A101" s="98"/>
      <c r="B101" s="99"/>
      <c r="C101" s="100" t="s">
        <v>29</v>
      </c>
      <c r="D101" s="101"/>
      <c r="E101" s="102"/>
      <c r="F101" s="103">
        <f>SUM(F96:F100)</f>
        <v>257909.32</v>
      </c>
      <c r="G101" s="1"/>
      <c r="H101" s="30"/>
      <c r="I101" s="30"/>
      <c r="J101" s="30"/>
    </row>
    <row r="102" spans="1:10" ht="13.5" thickBot="1" x14ac:dyDescent="0.25">
      <c r="A102" s="104"/>
      <c r="B102" s="105"/>
      <c r="C102" s="106" t="s">
        <v>53</v>
      </c>
      <c r="D102" s="107"/>
      <c r="E102" s="108"/>
      <c r="F102" s="109">
        <f>+F101+F92</f>
        <v>24533788.030000001</v>
      </c>
      <c r="G102" s="1"/>
      <c r="H102" s="57" t="s">
        <v>54</v>
      </c>
      <c r="I102" s="30"/>
      <c r="J102" s="30"/>
    </row>
    <row r="103" spans="1:10" x14ac:dyDescent="0.2">
      <c r="A103" s="11"/>
      <c r="B103" s="12"/>
      <c r="C103" s="9"/>
      <c r="D103" s="29"/>
      <c r="E103" s="29"/>
      <c r="F103" s="110"/>
      <c r="G103" s="1"/>
      <c r="H103" s="57">
        <f>+[8]Main!$G41</f>
        <v>233852</v>
      </c>
      <c r="I103" s="30"/>
      <c r="J103" s="30"/>
    </row>
    <row r="104" spans="1:10" x14ac:dyDescent="0.2">
      <c r="A104" s="11"/>
      <c r="B104" s="12"/>
      <c r="C104" s="9"/>
      <c r="D104" s="29"/>
      <c r="E104" s="29"/>
      <c r="F104" s="110"/>
      <c r="G104" s="1"/>
      <c r="H104" s="57">
        <f>SUM(F96:F99)</f>
        <v>233852</v>
      </c>
      <c r="I104" s="30"/>
      <c r="J104" s="30"/>
    </row>
    <row r="105" spans="1:10" x14ac:dyDescent="0.2">
      <c r="A105" s="1"/>
      <c r="B105" s="1"/>
      <c r="C105" s="7"/>
      <c r="D105" s="26"/>
      <c r="E105" s="26"/>
      <c r="F105" s="86">
        <f>+F101+F92</f>
        <v>24533788.030000001</v>
      </c>
      <c r="G105" s="1"/>
      <c r="H105" s="57">
        <f>+H103-H104</f>
        <v>0</v>
      </c>
      <c r="I105" s="30"/>
      <c r="J105" s="30"/>
    </row>
    <row r="106" spans="1:10" x14ac:dyDescent="0.2">
      <c r="A106" s="1"/>
      <c r="B106" s="1"/>
      <c r="C106" s="7"/>
      <c r="D106" s="26"/>
      <c r="E106" s="26"/>
      <c r="F106" s="86">
        <f>+[1]Main!$F785</f>
        <v>24533788.030000001</v>
      </c>
      <c r="G106" s="1"/>
      <c r="H106" s="30"/>
      <c r="I106" s="30"/>
      <c r="J106" s="30"/>
    </row>
    <row r="107" spans="1:10" x14ac:dyDescent="0.2">
      <c r="A107" s="1"/>
      <c r="B107" s="1"/>
      <c r="C107" s="7"/>
      <c r="D107" s="26"/>
      <c r="E107" s="86">
        <f>+E92+[1]Main!$E785</f>
        <v>0</v>
      </c>
      <c r="F107" s="86">
        <f>+F106-F105</f>
        <v>0</v>
      </c>
      <c r="G107" s="1"/>
      <c r="H107" s="30"/>
      <c r="I107" s="30"/>
      <c r="J107" s="30"/>
    </row>
    <row r="108" spans="1:10" x14ac:dyDescent="0.2">
      <c r="A108" s="59"/>
      <c r="B108" s="59"/>
      <c r="C108" s="85"/>
      <c r="D108" s="86"/>
      <c r="E108" s="86"/>
      <c r="F108" s="86"/>
      <c r="G108" s="59"/>
      <c r="H108" s="57"/>
      <c r="I108" s="57"/>
      <c r="J108" s="57"/>
    </row>
    <row r="109" spans="1:10" x14ac:dyDescent="0.2">
      <c r="A109" s="59"/>
      <c r="B109" s="59"/>
      <c r="C109" s="85"/>
      <c r="D109" s="86"/>
      <c r="E109" s="86"/>
      <c r="F109" s="86"/>
      <c r="G109" s="59"/>
      <c r="H109" s="57"/>
      <c r="I109" s="57"/>
      <c r="J109" s="57"/>
    </row>
    <row r="110" spans="1:10" x14ac:dyDescent="0.2">
      <c r="A110" s="59"/>
      <c r="B110" s="59"/>
      <c r="C110" s="85"/>
      <c r="D110" s="86"/>
      <c r="E110" s="86"/>
      <c r="F110" s="86"/>
      <c r="G110" s="59"/>
      <c r="H110" s="111" t="s">
        <v>55</v>
      </c>
      <c r="I110" s="57"/>
      <c r="J110" s="57"/>
    </row>
    <row r="111" spans="1:10" x14ac:dyDescent="0.2">
      <c r="G111" s="59"/>
      <c r="H111" s="113"/>
      <c r="I111" s="112"/>
      <c r="J111" s="112"/>
    </row>
    <row r="112" spans="1:10" x14ac:dyDescent="0.2">
      <c r="G112" s="59"/>
      <c r="H112" s="112"/>
      <c r="I112" s="112"/>
      <c r="J112" s="112"/>
    </row>
    <row r="113" spans="7:10" x14ac:dyDescent="0.2">
      <c r="G113" s="59"/>
      <c r="H113" s="112"/>
      <c r="I113" s="112"/>
      <c r="J113" s="112"/>
    </row>
    <row r="114" spans="7:10" x14ac:dyDescent="0.2">
      <c r="G114" s="59"/>
      <c r="H114" s="112"/>
      <c r="I114" s="112"/>
      <c r="J114" s="112"/>
    </row>
    <row r="115" spans="7:10" x14ac:dyDescent="0.2">
      <c r="G115" s="59"/>
      <c r="H115" s="112"/>
      <c r="I115" s="112"/>
      <c r="J115" s="112"/>
    </row>
    <row r="116" spans="7:10" x14ac:dyDescent="0.2">
      <c r="G116" s="59"/>
      <c r="H116" s="71"/>
      <c r="I116" s="112"/>
      <c r="J116" s="112"/>
    </row>
  </sheetData>
  <mergeCells count="1">
    <mergeCell ref="D35:E35"/>
  </mergeCells>
  <phoneticPr fontId="0" type="noConversion"/>
  <printOptions horizontalCentered="1" verticalCentered="1"/>
  <pageMargins left="0.5" right="0.25" top="0.5" bottom="0.5" header="0.5" footer="0.5"/>
  <pageSetup scale="89" orientation="portrait" horizontalDpi="1200" r:id="rId1"/>
  <headerFooter alignWithMargins="0">
    <oddHeader>&amp;R&amp;8Current as of: &amp;D</oddHeader>
    <oddFooter>&amp;L&amp;8USOE, Finance and Statistics&amp;R&amp;8&amp;F</oddFooter>
  </headerFooter>
  <picture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J117"/>
  <sheetViews>
    <sheetView topLeftCell="A64" workbookViewId="0">
      <selection activeCell="B40" sqref="B40"/>
    </sheetView>
  </sheetViews>
  <sheetFormatPr defaultColWidth="18.28515625" defaultRowHeight="12.75" x14ac:dyDescent="0.2"/>
  <cols>
    <col min="1" max="1" width="27" style="75" customWidth="1"/>
    <col min="2" max="2" width="16.7109375" style="75" customWidth="1"/>
    <col min="3" max="3" width="15.85546875" style="75" customWidth="1"/>
    <col min="4" max="4" width="16.28515625" style="75" customWidth="1"/>
    <col min="5" max="5" width="15.5703125" style="75" customWidth="1"/>
    <col min="6" max="6" width="17.42578125" style="75" customWidth="1"/>
    <col min="7" max="7" width="5.7109375" style="75" customWidth="1"/>
    <col min="8" max="8" width="21.5703125" style="75" customWidth="1"/>
    <col min="9" max="9" width="5" style="75" customWidth="1"/>
    <col min="10" max="10" width="20.85546875" style="75" customWidth="1"/>
    <col min="11" max="16384" width="18.28515625" style="75"/>
  </cols>
  <sheetData>
    <row r="1" spans="1:10" x14ac:dyDescent="0.2">
      <c r="A1" s="8"/>
      <c r="B1" s="8"/>
      <c r="C1" s="8"/>
      <c r="D1" s="8"/>
      <c r="E1" s="8"/>
      <c r="F1" s="8"/>
      <c r="G1" s="8"/>
      <c r="H1" s="8"/>
      <c r="I1" s="8"/>
      <c r="J1" s="8"/>
    </row>
    <row r="2" spans="1:10" x14ac:dyDescent="0.2">
      <c r="A2" s="8"/>
      <c r="B2" s="8"/>
      <c r="C2" s="8"/>
      <c r="D2" s="8"/>
      <c r="E2" s="8"/>
      <c r="F2" s="8"/>
      <c r="G2" s="8"/>
      <c r="H2" s="8"/>
      <c r="I2" s="8"/>
      <c r="J2" s="8"/>
    </row>
    <row r="3" spans="1:10" x14ac:dyDescent="0.2">
      <c r="A3" s="8"/>
      <c r="B3" s="8"/>
      <c r="C3" s="8"/>
      <c r="D3" s="8"/>
      <c r="E3" s="8"/>
      <c r="F3" s="8"/>
      <c r="G3" s="8"/>
      <c r="H3" s="8"/>
      <c r="I3" s="8"/>
      <c r="J3" s="8"/>
    </row>
    <row r="4" spans="1:10" x14ac:dyDescent="0.2">
      <c r="A4" s="8"/>
      <c r="B4" s="8"/>
      <c r="C4" s="8"/>
      <c r="D4" s="8"/>
      <c r="E4" s="8"/>
      <c r="F4" s="8"/>
      <c r="G4" s="8"/>
      <c r="H4" s="8"/>
      <c r="I4" s="8"/>
      <c r="J4" s="8"/>
    </row>
    <row r="5" spans="1:10" x14ac:dyDescent="0.2">
      <c r="A5" s="8"/>
      <c r="B5" s="8"/>
      <c r="C5" s="8"/>
      <c r="D5" s="8"/>
      <c r="E5" s="8"/>
      <c r="F5" s="8"/>
      <c r="G5" s="8"/>
      <c r="H5" s="8"/>
      <c r="I5" s="8"/>
      <c r="J5" s="8"/>
    </row>
    <row r="6" spans="1:10" x14ac:dyDescent="0.2">
      <c r="A6" s="8"/>
      <c r="B6" s="8"/>
      <c r="C6" s="8"/>
      <c r="D6" s="8"/>
      <c r="E6" s="8"/>
      <c r="F6" s="8"/>
      <c r="G6" s="8"/>
      <c r="H6" s="8"/>
      <c r="I6" s="8"/>
      <c r="J6" s="8"/>
    </row>
    <row r="7" spans="1:10" x14ac:dyDescent="0.2">
      <c r="A7" s="8"/>
      <c r="B7" s="8"/>
      <c r="C7" s="8"/>
      <c r="D7" s="8"/>
      <c r="E7" s="8"/>
      <c r="F7" s="8"/>
      <c r="G7" s="8"/>
      <c r="H7" s="8"/>
      <c r="I7" s="8"/>
      <c r="J7" s="8"/>
    </row>
    <row r="8" spans="1:10" x14ac:dyDescent="0.2">
      <c r="A8" s="8"/>
      <c r="B8" s="8"/>
      <c r="C8" s="8"/>
      <c r="D8" s="8"/>
      <c r="E8" s="8"/>
      <c r="F8" s="8"/>
      <c r="G8" s="8"/>
      <c r="H8" s="8"/>
      <c r="I8" s="8"/>
      <c r="J8" s="8"/>
    </row>
    <row r="9" spans="1:10" x14ac:dyDescent="0.2">
      <c r="A9" s="8"/>
      <c r="B9" s="8"/>
      <c r="C9" s="8"/>
      <c r="D9" s="8"/>
      <c r="E9" s="8"/>
      <c r="F9" s="8"/>
      <c r="G9" s="8"/>
      <c r="H9" s="8"/>
      <c r="I9" s="8"/>
      <c r="J9" s="8"/>
    </row>
    <row r="10" spans="1:10" x14ac:dyDescent="0.2">
      <c r="A10" s="8"/>
      <c r="B10" s="15"/>
      <c r="C10" s="8"/>
      <c r="D10" s="8"/>
      <c r="E10" s="8"/>
      <c r="F10" s="8"/>
      <c r="G10" s="8"/>
      <c r="H10" s="8"/>
      <c r="I10" s="8"/>
      <c r="J10" s="8"/>
    </row>
    <row r="11" spans="1:10" x14ac:dyDescent="0.2">
      <c r="A11" s="8"/>
      <c r="B11" s="8"/>
      <c r="C11" s="8"/>
      <c r="D11" s="8"/>
      <c r="E11" s="8"/>
      <c r="F11" s="8"/>
      <c r="G11" s="8"/>
      <c r="H11" s="8"/>
      <c r="I11" s="8"/>
      <c r="J11" s="8"/>
    </row>
    <row r="12" spans="1:10" x14ac:dyDescent="0.2">
      <c r="A12" s="8"/>
      <c r="B12" s="8"/>
      <c r="C12" s="8"/>
      <c r="D12" s="8"/>
      <c r="E12" s="8"/>
      <c r="F12" s="8"/>
      <c r="G12" s="8"/>
      <c r="H12" s="8"/>
      <c r="I12" s="8"/>
      <c r="J12" s="8"/>
    </row>
    <row r="13" spans="1:10" x14ac:dyDescent="0.2">
      <c r="A13" s="8"/>
      <c r="B13" s="8"/>
      <c r="C13" s="8"/>
      <c r="D13" s="8"/>
      <c r="E13" s="8"/>
      <c r="F13" s="8"/>
      <c r="G13" s="8"/>
      <c r="H13" s="8"/>
      <c r="I13" s="8"/>
      <c r="J13" s="8"/>
    </row>
    <row r="14" spans="1:10" x14ac:dyDescent="0.2">
      <c r="A14" s="8"/>
      <c r="B14" s="8"/>
      <c r="C14" s="8"/>
      <c r="D14" s="8"/>
      <c r="E14" s="8"/>
      <c r="F14" s="8"/>
      <c r="G14" s="8"/>
      <c r="H14" s="8"/>
      <c r="I14" s="8"/>
      <c r="J14" s="8"/>
    </row>
    <row r="15" spans="1:10" x14ac:dyDescent="0.2">
      <c r="A15" s="8"/>
      <c r="B15" s="8"/>
      <c r="C15" s="8"/>
      <c r="D15" s="8"/>
      <c r="E15" s="8"/>
      <c r="F15" s="8"/>
      <c r="G15" s="8"/>
      <c r="H15" s="8"/>
      <c r="I15" s="8"/>
      <c r="J15" s="8"/>
    </row>
    <row r="16" spans="1:10" x14ac:dyDescent="0.2">
      <c r="A16" s="8"/>
      <c r="B16" s="8"/>
      <c r="C16" s="8"/>
      <c r="D16" s="8"/>
      <c r="E16" s="8"/>
      <c r="F16" s="8"/>
      <c r="G16" s="8"/>
      <c r="H16" s="8"/>
      <c r="I16" s="8"/>
      <c r="J16" s="8"/>
    </row>
    <row r="17" spans="1:10" x14ac:dyDescent="0.2">
      <c r="A17" s="8"/>
      <c r="B17" s="8"/>
      <c r="C17" s="8"/>
      <c r="D17" s="8"/>
      <c r="E17" s="8"/>
      <c r="F17" s="8"/>
      <c r="G17" s="8"/>
      <c r="H17" s="8"/>
      <c r="I17" s="8"/>
      <c r="J17" s="8"/>
    </row>
    <row r="18" spans="1:10" x14ac:dyDescent="0.2">
      <c r="A18" s="8"/>
      <c r="B18" s="8"/>
      <c r="C18" s="8"/>
      <c r="D18" s="8"/>
      <c r="E18" s="8"/>
      <c r="F18" s="8"/>
      <c r="G18" s="8"/>
      <c r="H18" s="8"/>
      <c r="I18" s="8"/>
      <c r="J18" s="8"/>
    </row>
    <row r="19" spans="1:10" x14ac:dyDescent="0.2">
      <c r="A19" s="8"/>
      <c r="B19" s="8"/>
      <c r="C19" s="8"/>
      <c r="D19" s="8"/>
      <c r="E19" s="8"/>
      <c r="F19" s="8"/>
      <c r="G19" s="8"/>
      <c r="H19" s="8"/>
      <c r="I19" s="8"/>
      <c r="J19" s="8"/>
    </row>
    <row r="20" spans="1:10" x14ac:dyDescent="0.2">
      <c r="A20" s="8"/>
      <c r="B20" s="8"/>
      <c r="C20" s="8"/>
      <c r="D20" s="8"/>
      <c r="E20" s="8"/>
      <c r="F20" s="8"/>
      <c r="G20" s="8"/>
      <c r="H20" s="8"/>
      <c r="I20" s="8"/>
      <c r="J20" s="8"/>
    </row>
    <row r="21" spans="1:10" x14ac:dyDescent="0.2">
      <c r="A21" s="8"/>
      <c r="B21" s="8"/>
      <c r="C21" s="8"/>
      <c r="D21" s="8"/>
      <c r="E21" s="8"/>
      <c r="F21" s="8"/>
      <c r="G21" s="8"/>
      <c r="H21" s="8"/>
      <c r="I21" s="8"/>
      <c r="J21" s="8"/>
    </row>
    <row r="22" spans="1:10" x14ac:dyDescent="0.2">
      <c r="A22" s="8"/>
      <c r="B22" s="8"/>
      <c r="C22" s="8"/>
      <c r="D22" s="8"/>
      <c r="E22" s="8"/>
      <c r="F22" s="8"/>
      <c r="G22" s="8"/>
      <c r="H22" s="8"/>
      <c r="I22" s="8"/>
      <c r="J22" s="8"/>
    </row>
    <row r="23" spans="1:10" x14ac:dyDescent="0.2">
      <c r="A23" s="8"/>
      <c r="B23" s="8"/>
      <c r="C23" s="8"/>
      <c r="D23" s="8"/>
      <c r="E23" s="8"/>
      <c r="F23" s="8"/>
      <c r="G23" s="8"/>
      <c r="H23" s="8"/>
      <c r="I23" s="8"/>
      <c r="J23" s="8"/>
    </row>
    <row r="24" spans="1:10" x14ac:dyDescent="0.2">
      <c r="A24" s="8"/>
      <c r="B24" s="8"/>
      <c r="C24" s="8"/>
      <c r="D24" s="8"/>
      <c r="E24" s="8"/>
      <c r="F24" s="8"/>
      <c r="G24" s="8"/>
      <c r="H24" s="8"/>
      <c r="I24" s="8"/>
      <c r="J24" s="8"/>
    </row>
    <row r="25" spans="1:10" x14ac:dyDescent="0.2">
      <c r="A25" s="8"/>
      <c r="B25" s="8"/>
      <c r="C25" s="8"/>
      <c r="D25" s="8"/>
      <c r="E25" s="8"/>
      <c r="F25" s="8"/>
      <c r="G25" s="8"/>
      <c r="H25" s="8"/>
      <c r="I25" s="8"/>
      <c r="J25" s="8"/>
    </row>
    <row r="26" spans="1:10" x14ac:dyDescent="0.2">
      <c r="A26" s="8"/>
      <c r="B26" s="8"/>
      <c r="C26" s="8"/>
      <c r="D26" s="8"/>
      <c r="E26" s="8"/>
      <c r="F26" s="8"/>
      <c r="G26" s="8"/>
      <c r="H26" s="8"/>
      <c r="I26" s="8"/>
      <c r="J26" s="8"/>
    </row>
    <row r="27" spans="1:10" x14ac:dyDescent="0.2">
      <c r="A27" s="8"/>
      <c r="B27" s="8"/>
      <c r="C27" s="8"/>
      <c r="D27" s="8"/>
      <c r="E27" s="8"/>
      <c r="F27" s="8"/>
      <c r="G27" s="8"/>
      <c r="H27" s="8"/>
      <c r="I27" s="8"/>
      <c r="J27" s="8"/>
    </row>
    <row r="28" spans="1:10" x14ac:dyDescent="0.2">
      <c r="A28" s="8"/>
      <c r="B28" s="8"/>
      <c r="C28" s="8"/>
      <c r="D28" s="8"/>
      <c r="E28" s="8"/>
      <c r="F28" s="8"/>
      <c r="G28" s="8"/>
      <c r="H28" s="8"/>
      <c r="I28" s="8"/>
      <c r="J28" s="8"/>
    </row>
    <row r="29" spans="1:10" x14ac:dyDescent="0.2">
      <c r="A29" s="8"/>
      <c r="B29" s="8"/>
      <c r="C29" s="8"/>
      <c r="D29" s="8"/>
      <c r="E29" s="8"/>
      <c r="F29" s="8"/>
      <c r="G29" s="8"/>
      <c r="H29" s="8"/>
      <c r="I29" s="8"/>
      <c r="J29" s="8"/>
    </row>
    <row r="30" spans="1:10" x14ac:dyDescent="0.2">
      <c r="A30" s="8"/>
      <c r="B30" s="8"/>
      <c r="C30" s="8"/>
      <c r="D30" s="8"/>
      <c r="E30" s="8"/>
      <c r="F30" s="8"/>
      <c r="G30" s="8"/>
      <c r="H30" s="8"/>
      <c r="I30" s="8"/>
      <c r="J30" s="8"/>
    </row>
    <row r="31" spans="1:10" x14ac:dyDescent="0.2">
      <c r="A31" s="8"/>
      <c r="B31" s="8"/>
      <c r="C31" s="8"/>
      <c r="D31" s="8"/>
      <c r="E31" s="8"/>
      <c r="F31" s="8"/>
      <c r="G31" s="8"/>
      <c r="H31" s="8"/>
      <c r="I31" s="8"/>
      <c r="J31" s="8"/>
    </row>
    <row r="32" spans="1:10" x14ac:dyDescent="0.2">
      <c r="A32" s="8"/>
      <c r="B32" s="8"/>
      <c r="C32" s="8"/>
      <c r="D32" s="8"/>
      <c r="E32" s="8"/>
      <c r="F32" s="8"/>
      <c r="G32" s="8"/>
      <c r="H32" s="8"/>
      <c r="I32" s="8"/>
      <c r="J32" s="8"/>
    </row>
    <row r="33" spans="1:10" x14ac:dyDescent="0.2">
      <c r="A33" s="32" t="s">
        <v>0</v>
      </c>
      <c r="B33" s="33">
        <v>3184</v>
      </c>
      <c r="C33" s="34" t="s">
        <v>1</v>
      </c>
      <c r="D33" s="35"/>
      <c r="E33" s="35"/>
      <c r="F33" s="35"/>
      <c r="G33" s="1"/>
      <c r="H33" s="30"/>
      <c r="I33" s="30"/>
      <c r="J33" s="30"/>
    </row>
    <row r="34" spans="1:10" x14ac:dyDescent="0.2">
      <c r="A34" s="32" t="s">
        <v>61</v>
      </c>
      <c r="B34" s="36">
        <f>+[1]Main!$C559</f>
        <v>1.1000000000000001E-3</v>
      </c>
      <c r="C34" s="34" t="s">
        <v>41</v>
      </c>
      <c r="D34" s="35"/>
      <c r="E34" s="35"/>
      <c r="F34" s="35"/>
      <c r="G34" s="1"/>
      <c r="H34" s="30"/>
      <c r="I34" s="30"/>
      <c r="J34" s="30"/>
    </row>
    <row r="35" spans="1:10" x14ac:dyDescent="0.2">
      <c r="A35" s="32" t="s">
        <v>62</v>
      </c>
      <c r="B35" s="36">
        <f>+[1]Main!$C614</f>
        <v>1.6280000000000001E-3</v>
      </c>
      <c r="C35" s="34" t="s">
        <v>95</v>
      </c>
      <c r="D35" s="35"/>
      <c r="E35" s="37"/>
      <c r="F35" s="35"/>
      <c r="G35" s="1"/>
      <c r="H35" s="30"/>
      <c r="I35" s="30"/>
      <c r="J35" s="30"/>
    </row>
    <row r="36" spans="1:10" x14ac:dyDescent="0.2">
      <c r="A36" s="38" t="s">
        <v>32</v>
      </c>
      <c r="B36" s="39">
        <f>[2]Sheet1!E41</f>
        <v>13300572192</v>
      </c>
      <c r="C36" s="21"/>
      <c r="D36" s="31"/>
      <c r="E36" s="31"/>
      <c r="F36" s="23"/>
      <c r="G36" s="1"/>
      <c r="H36" s="30"/>
      <c r="I36" s="30"/>
      <c r="J36" s="30"/>
    </row>
    <row r="37" spans="1:10" x14ac:dyDescent="0.2">
      <c r="A37" s="32" t="s">
        <v>2</v>
      </c>
      <c r="B37" s="40">
        <f>[2]Sheet1!F41</f>
        <v>0.92549999999999999</v>
      </c>
      <c r="C37" s="7"/>
      <c r="D37" s="41" t="s">
        <v>3</v>
      </c>
      <c r="E37" s="42" t="str">
        <f>+[3]main!B42</f>
        <v>Washington</v>
      </c>
      <c r="F37" s="43">
        <f>+[3]main!A42</f>
        <v>33</v>
      </c>
      <c r="G37" s="1"/>
      <c r="H37" s="30"/>
      <c r="I37" s="30"/>
      <c r="J37" s="30"/>
    </row>
    <row r="38" spans="1:10" x14ac:dyDescent="0.2">
      <c r="A38" s="32" t="s">
        <v>4</v>
      </c>
      <c r="B38" s="44">
        <f>[2]Sheet1!G41</f>
        <v>1.6750000000000001E-3</v>
      </c>
      <c r="C38" s="8"/>
      <c r="D38" s="24"/>
      <c r="E38" s="25"/>
      <c r="F38" s="24"/>
      <c r="G38" s="1"/>
      <c r="H38" s="30"/>
      <c r="I38" s="30"/>
      <c r="J38" s="30"/>
    </row>
    <row r="39" spans="1:10" x14ac:dyDescent="0.2">
      <c r="A39" s="32" t="s">
        <v>5</v>
      </c>
      <c r="B39" s="45">
        <f>[2]Sheet1!$C$97</f>
        <v>23750283</v>
      </c>
      <c r="C39" s="46"/>
      <c r="D39" s="47" t="s">
        <v>38</v>
      </c>
      <c r="E39" s="48" t="s">
        <v>7</v>
      </c>
      <c r="F39" s="47" t="s">
        <v>6</v>
      </c>
      <c r="G39" s="1"/>
      <c r="H39" s="30"/>
      <c r="I39" s="30"/>
      <c r="J39" s="30"/>
    </row>
    <row r="40" spans="1:10" x14ac:dyDescent="0.2">
      <c r="A40" s="32" t="s">
        <v>8</v>
      </c>
      <c r="B40" s="45">
        <f>+B39</f>
        <v>23750283</v>
      </c>
      <c r="C40" s="49"/>
      <c r="D40" s="50" t="s">
        <v>9</v>
      </c>
      <c r="E40" s="50" t="s">
        <v>37</v>
      </c>
      <c r="F40" s="50" t="s">
        <v>10</v>
      </c>
      <c r="G40" s="1"/>
      <c r="H40" s="30"/>
      <c r="I40" s="30"/>
      <c r="J40" s="30"/>
    </row>
    <row r="41" spans="1:10" x14ac:dyDescent="0.2">
      <c r="A41" s="32" t="s">
        <v>11</v>
      </c>
      <c r="B41" s="45">
        <v>0</v>
      </c>
      <c r="C41" s="51" t="s">
        <v>39</v>
      </c>
      <c r="D41" s="52" t="s">
        <v>12</v>
      </c>
      <c r="E41" s="52" t="s">
        <v>9</v>
      </c>
      <c r="F41" s="52" t="s">
        <v>9</v>
      </c>
      <c r="G41" s="1"/>
      <c r="H41" s="30"/>
      <c r="I41" s="30"/>
      <c r="J41" s="30"/>
    </row>
    <row r="42" spans="1:10" x14ac:dyDescent="0.2">
      <c r="A42" s="32" t="s">
        <v>70</v>
      </c>
      <c r="B42" s="45">
        <f>'[4]LRF FY17'!U39</f>
        <v>968680</v>
      </c>
      <c r="C42" s="53"/>
      <c r="D42" s="54"/>
      <c r="E42" s="54"/>
      <c r="F42" s="54" t="s">
        <v>14</v>
      </c>
      <c r="G42" s="1"/>
      <c r="H42" s="30"/>
      <c r="I42" s="30"/>
      <c r="J42" s="30"/>
    </row>
    <row r="43" spans="1:10" x14ac:dyDescent="0.2">
      <c r="A43" s="55" t="s">
        <v>13</v>
      </c>
      <c r="B43" s="56"/>
      <c r="C43" s="53"/>
      <c r="D43" s="54"/>
      <c r="E43" s="54"/>
      <c r="F43" s="54"/>
      <c r="G43" s="2"/>
      <c r="H43" s="30"/>
      <c r="I43" s="30"/>
      <c r="J43" s="30"/>
    </row>
    <row r="44" spans="1:10" x14ac:dyDescent="0.2">
      <c r="A44" s="55" t="s">
        <v>15</v>
      </c>
      <c r="B44" s="56"/>
      <c r="C44" s="53"/>
      <c r="D44" s="54"/>
      <c r="E44" s="54"/>
      <c r="F44" s="54"/>
      <c r="G44" s="2"/>
      <c r="H44" s="57" t="s">
        <v>43</v>
      </c>
      <c r="I44" s="30"/>
      <c r="J44" s="57" t="s">
        <v>45</v>
      </c>
    </row>
    <row r="45" spans="1:10" x14ac:dyDescent="0.2">
      <c r="A45" s="58" t="s">
        <v>16</v>
      </c>
      <c r="B45" s="59"/>
      <c r="C45" s="60">
        <f>[3]main!C216-[3]main!F158</f>
        <v>27471.063999999998</v>
      </c>
      <c r="D45" s="61">
        <f>[3]main!E216-[3]main!H158</f>
        <v>87467866.239999995</v>
      </c>
      <c r="E45" s="62">
        <f>IF(B40&gt;D45,D45,B40)</f>
        <v>23750283</v>
      </c>
      <c r="F45" s="62">
        <f>D45-E45</f>
        <v>63717583.240000002</v>
      </c>
      <c r="G45" s="1"/>
      <c r="H45" s="57">
        <f>[3]main!H275</f>
        <v>97786879.980000004</v>
      </c>
      <c r="I45" s="30"/>
      <c r="J45" s="57">
        <f>'[5]Sheet 1'!E99</f>
        <v>123436912.45999999</v>
      </c>
    </row>
    <row r="46" spans="1:10" x14ac:dyDescent="0.2">
      <c r="A46" s="58" t="s">
        <v>17</v>
      </c>
      <c r="B46" s="59"/>
      <c r="C46" s="53">
        <f>[3]main!F158</f>
        <v>458.32</v>
      </c>
      <c r="D46" s="54">
        <f>[3]main!H158</f>
        <v>1459290.66</v>
      </c>
      <c r="E46" s="54">
        <f>IF(B39-SUM(E43:E45)&gt;D46,D46,B39-SUM(E43:E45))</f>
        <v>0</v>
      </c>
      <c r="F46" s="54">
        <f>D46-E46</f>
        <v>1459290.66</v>
      </c>
      <c r="G46" s="1"/>
      <c r="H46" s="57">
        <f>SUM(D45:D49)</f>
        <v>97786879.980000004</v>
      </c>
      <c r="I46" s="30"/>
      <c r="J46" s="57">
        <f>D60</f>
        <v>123436912.45999999</v>
      </c>
    </row>
    <row r="47" spans="1:10" x14ac:dyDescent="0.2">
      <c r="A47" s="58" t="s">
        <v>18</v>
      </c>
      <c r="B47" s="59"/>
      <c r="C47" s="53">
        <f>[3]main!F216</f>
        <v>2768.576</v>
      </c>
      <c r="D47" s="54">
        <f>[3]main!H216</f>
        <v>8815147.0800000001</v>
      </c>
      <c r="E47" s="54">
        <f>IF(B40-SUM(E45:E46)&gt;D47,D47,B40-SUM(E45:E46))</f>
        <v>0</v>
      </c>
      <c r="F47" s="54">
        <f>D47-E47</f>
        <v>8815147.0800000001</v>
      </c>
      <c r="G47" s="1"/>
      <c r="H47" s="57">
        <f>+H45-H46</f>
        <v>0</v>
      </c>
      <c r="I47" s="30"/>
      <c r="J47" s="57">
        <f>+J45-J46</f>
        <v>0</v>
      </c>
    </row>
    <row r="48" spans="1:10" x14ac:dyDescent="0.2">
      <c r="A48" s="58" t="s">
        <v>19</v>
      </c>
      <c r="B48" s="59"/>
      <c r="C48" s="53">
        <f>[3]main!C275</f>
        <v>0</v>
      </c>
      <c r="D48" s="54">
        <f>[3]main!E275</f>
        <v>0</v>
      </c>
      <c r="E48" s="54">
        <f>IF(B40-SUM(E45:E47)&gt;D48,D48,B40-SUM(E45:E47))</f>
        <v>0</v>
      </c>
      <c r="F48" s="54">
        <f>D48-E48</f>
        <v>0</v>
      </c>
      <c r="G48" s="1"/>
      <c r="H48" s="30"/>
      <c r="I48" s="30"/>
      <c r="J48" s="30"/>
    </row>
    <row r="49" spans="1:10" x14ac:dyDescent="0.2">
      <c r="A49" s="58" t="s">
        <v>42</v>
      </c>
      <c r="B49" s="59"/>
      <c r="C49" s="53">
        <f>[3]main!C99</f>
        <v>14</v>
      </c>
      <c r="D49" s="54">
        <f>[3]main!E99</f>
        <v>44576</v>
      </c>
      <c r="E49" s="54">
        <f>IF(B40-SUM(E45:E48)&gt;D49,D49,B40-SUM(E45:E48))</f>
        <v>0</v>
      </c>
      <c r="F49" s="54">
        <f>D49-E49</f>
        <v>44576</v>
      </c>
      <c r="G49" s="1"/>
      <c r="H49" s="30"/>
      <c r="I49" s="30"/>
      <c r="J49" s="30"/>
    </row>
    <row r="50" spans="1:10" x14ac:dyDescent="0.2">
      <c r="A50" s="55" t="s">
        <v>20</v>
      </c>
      <c r="B50" s="56"/>
      <c r="C50" s="63"/>
      <c r="D50" s="64"/>
      <c r="E50" s="64"/>
      <c r="F50" s="64" t="s">
        <v>14</v>
      </c>
      <c r="G50" s="1"/>
      <c r="H50" s="57" t="s">
        <v>44</v>
      </c>
      <c r="I50" s="30"/>
      <c r="J50" s="30"/>
    </row>
    <row r="51" spans="1:10" x14ac:dyDescent="0.2">
      <c r="A51" s="58" t="s">
        <v>21</v>
      </c>
      <c r="B51" s="59"/>
      <c r="C51" s="53">
        <f>'[6]Sheet 1'!C41</f>
        <v>3143.0059999999999</v>
      </c>
      <c r="D51" s="54">
        <f>'[6]Sheet 1'!E41</f>
        <v>10007331.65</v>
      </c>
      <c r="E51" s="54">
        <f>IF(B40-SUM(E45:E50)&gt;D51,D51,B40-SUM(E45:E50))</f>
        <v>0</v>
      </c>
      <c r="F51" s="54">
        <f t="shared" ref="F51:F59" si="0">D51-E51</f>
        <v>10007331.65</v>
      </c>
      <c r="G51" s="1"/>
      <c r="H51" s="57">
        <f>'[6]Sheet 1'!N157</f>
        <v>14906006.58</v>
      </c>
      <c r="I51" s="30"/>
      <c r="J51" s="30"/>
    </row>
    <row r="52" spans="1:10" x14ac:dyDescent="0.2">
      <c r="A52" s="59" t="s">
        <v>22</v>
      </c>
      <c r="B52" s="59"/>
      <c r="C52" s="53">
        <f>'[6]Sheet 1'!F41</f>
        <v>774.72</v>
      </c>
      <c r="D52" s="54">
        <f>'[6]Sheet 1'!H41</f>
        <v>2466708.48</v>
      </c>
      <c r="E52" s="54">
        <f>IF(B40-SUM(E45:E51)&gt;D52,D52,B40-SUM(E45:E51))</f>
        <v>0</v>
      </c>
      <c r="F52" s="54">
        <f t="shared" si="0"/>
        <v>2466708.48</v>
      </c>
      <c r="G52" s="1"/>
      <c r="H52" s="57">
        <f>SUM(D51:D57)</f>
        <v>14906006.58</v>
      </c>
      <c r="I52" s="30"/>
      <c r="J52" s="30"/>
    </row>
    <row r="53" spans="1:10" x14ac:dyDescent="0.2">
      <c r="A53" s="59" t="s">
        <v>23</v>
      </c>
      <c r="B53" s="59"/>
      <c r="C53" s="53">
        <f>'[6]Sheet 1'!C99</f>
        <v>637.98</v>
      </c>
      <c r="D53" s="54">
        <f>'[6]Sheet 1'!E99</f>
        <v>2031328.32</v>
      </c>
      <c r="E53" s="54">
        <f>IF(B40-SUM(E45:E52)&gt;D53,D53,B40-SUM(E45:E52))</f>
        <v>0</v>
      </c>
      <c r="F53" s="54">
        <f t="shared" si="0"/>
        <v>2031328.32</v>
      </c>
      <c r="G53" s="1"/>
      <c r="H53" s="57">
        <f>+H51-H52</f>
        <v>0</v>
      </c>
      <c r="I53" s="30"/>
      <c r="J53" s="30"/>
    </row>
    <row r="54" spans="1:10" x14ac:dyDescent="0.2">
      <c r="A54" s="58" t="s">
        <v>24</v>
      </c>
      <c r="B54" s="59"/>
      <c r="C54" s="53">
        <f>'[6]Sheet 1'!F99</f>
        <v>18.013000000000002</v>
      </c>
      <c r="D54" s="54">
        <f>'[6]Sheet 1'!H99</f>
        <v>57352.46</v>
      </c>
      <c r="E54" s="54">
        <f>IF(B40-SUM(E45:E53)&gt;D54,D54,B40-SUM(E45:E53))</f>
        <v>0</v>
      </c>
      <c r="F54" s="54">
        <f t="shared" si="0"/>
        <v>57352.46</v>
      </c>
      <c r="G54" s="1"/>
      <c r="H54" s="30"/>
      <c r="I54" s="30"/>
      <c r="J54" s="30"/>
    </row>
    <row r="55" spans="1:10" x14ac:dyDescent="0.2">
      <c r="A55" s="59" t="s">
        <v>71</v>
      </c>
      <c r="B55" s="59"/>
      <c r="C55" s="53">
        <f>'[6]Sheet 1'!C157</f>
        <v>95.403000000000006</v>
      </c>
      <c r="D55" s="54">
        <f>'[6]Sheet 1'!E157</f>
        <v>303762.69</v>
      </c>
      <c r="E55" s="54">
        <f>IF(B40-SUM(E45:E54)&gt;D55,D55,B40-SUM(E45:E54))</f>
        <v>0</v>
      </c>
      <c r="F55" s="54">
        <f t="shared" si="0"/>
        <v>303762.69</v>
      </c>
      <c r="G55" s="1"/>
      <c r="H55" s="30"/>
      <c r="I55" s="30"/>
      <c r="J55" s="30"/>
    </row>
    <row r="56" spans="1:10" x14ac:dyDescent="0.2">
      <c r="A56" s="59" t="s">
        <v>57</v>
      </c>
      <c r="B56" s="59"/>
      <c r="C56" s="53">
        <f>'[6]Sheet 1'!F157</f>
        <v>0</v>
      </c>
      <c r="D56" s="54">
        <f>'[6]Sheet 1'!H157</f>
        <v>0</v>
      </c>
      <c r="E56" s="54">
        <f>IF(B41-SUM(E46:E55)&gt;D56,D56,B41-SUM(E46:E55))</f>
        <v>0</v>
      </c>
      <c r="F56" s="54">
        <f t="shared" si="0"/>
        <v>0</v>
      </c>
      <c r="G56" s="1"/>
      <c r="H56" s="30"/>
      <c r="I56" s="30"/>
      <c r="J56" s="30"/>
    </row>
    <row r="57" spans="1:10" x14ac:dyDescent="0.2">
      <c r="A57" s="59" t="s">
        <v>64</v>
      </c>
      <c r="B57" s="59"/>
      <c r="C57" s="53">
        <f>'[6]Sheet 1'!I157</f>
        <v>12.413</v>
      </c>
      <c r="D57" s="54">
        <f>'[6]Sheet 1'!K157</f>
        <v>39522.980000000003</v>
      </c>
      <c r="E57" s="54">
        <f>IF(B43-SUM(E47:E56)&gt;D57,D57,B43-SUM(E47:E56))</f>
        <v>0</v>
      </c>
      <c r="F57" s="54">
        <f t="shared" si="0"/>
        <v>39522.980000000003</v>
      </c>
      <c r="G57" s="1"/>
      <c r="H57" s="57" t="s">
        <v>46</v>
      </c>
      <c r="I57" s="30"/>
      <c r="J57" s="30"/>
    </row>
    <row r="58" spans="1:10" x14ac:dyDescent="0.2">
      <c r="A58" s="59" t="s">
        <v>58</v>
      </c>
      <c r="B58" s="59"/>
      <c r="C58" s="53">
        <f>'[6]Sheet 1'!C215</f>
        <v>1600.1010000000001</v>
      </c>
      <c r="D58" s="54">
        <f>'[6]Sheet 1'!E215</f>
        <v>5094725.2300000004</v>
      </c>
      <c r="E58" s="54">
        <f>IF(B40-SUM(E45:E55)&gt;D58,D58,B40-SUM(E45:E55))</f>
        <v>0</v>
      </c>
      <c r="F58" s="54">
        <f t="shared" si="0"/>
        <v>5094725.2300000004</v>
      </c>
      <c r="G58" s="4"/>
      <c r="H58" s="57">
        <f>+'[6]Sheet 1'!E215</f>
        <v>5094725.2300000004</v>
      </c>
      <c r="I58" s="30"/>
      <c r="J58" s="30"/>
    </row>
    <row r="59" spans="1:10" x14ac:dyDescent="0.2">
      <c r="A59" s="58" t="s">
        <v>59</v>
      </c>
      <c r="B59" s="59"/>
      <c r="C59" s="53">
        <f>'[5]Sheet 1'!C41</f>
        <v>1774.278</v>
      </c>
      <c r="D59" s="54">
        <f>'[5]Sheet 1'!E41</f>
        <v>5649300.6699999999</v>
      </c>
      <c r="E59" s="54">
        <f>IF(B40-SUM(E45:E58)&gt;D59,D59,B40-SUM(E45:E58))</f>
        <v>0</v>
      </c>
      <c r="F59" s="54">
        <f t="shared" si="0"/>
        <v>5649300.6699999999</v>
      </c>
      <c r="G59" s="5"/>
      <c r="H59" s="57">
        <f>+D58</f>
        <v>5094725.2300000004</v>
      </c>
      <c r="I59" s="30"/>
      <c r="J59" s="30"/>
    </row>
    <row r="60" spans="1:10" x14ac:dyDescent="0.2">
      <c r="A60" s="65" t="s">
        <v>28</v>
      </c>
      <c r="B60" s="56"/>
      <c r="C60" s="66">
        <f>SUM(C45:C59)</f>
        <v>38767.874000000003</v>
      </c>
      <c r="D60" s="67">
        <f>SUM(D45:D59)</f>
        <v>123436912.45999999</v>
      </c>
      <c r="E60" s="67">
        <f>SUM(E45:E59)</f>
        <v>23750283</v>
      </c>
      <c r="F60" s="67">
        <f>SUM(F45:F59)</f>
        <v>99686629.459999993</v>
      </c>
      <c r="G60" s="1"/>
      <c r="H60" s="57">
        <f>+H58-H59</f>
        <v>0</v>
      </c>
      <c r="I60" s="30"/>
      <c r="J60" s="30"/>
    </row>
    <row r="61" spans="1:10" x14ac:dyDescent="0.2">
      <c r="A61" s="68" t="s">
        <v>26</v>
      </c>
      <c r="B61" s="56"/>
      <c r="C61" s="69"/>
      <c r="D61" s="54"/>
      <c r="E61" s="54"/>
      <c r="F61" s="54"/>
      <c r="G61" s="1"/>
      <c r="H61" s="57" t="s">
        <v>47</v>
      </c>
      <c r="I61" s="30"/>
      <c r="J61" s="57" t="s">
        <v>52</v>
      </c>
    </row>
    <row r="62" spans="1:10" x14ac:dyDescent="0.2">
      <c r="A62" s="58" t="s">
        <v>56</v>
      </c>
      <c r="B62" s="59"/>
      <c r="C62" s="20"/>
      <c r="D62" s="70">
        <f>[1]Main!F42</f>
        <v>357648.72</v>
      </c>
      <c r="E62" s="54">
        <f>IF($B40-SUM($E60)&gt;D62,D62,$B40-SUM($E60))</f>
        <v>0</v>
      </c>
      <c r="F62" s="54">
        <f t="shared" ref="F62:F80" si="1">D62-E62</f>
        <v>357648.72</v>
      </c>
      <c r="G62" s="1"/>
      <c r="H62" s="57">
        <f>[1]Main!G42</f>
        <v>4147830.7</v>
      </c>
      <c r="I62" s="30"/>
      <c r="J62" s="57">
        <f>+[1]Main!D503</f>
        <v>19817982.75</v>
      </c>
    </row>
    <row r="63" spans="1:10" x14ac:dyDescent="0.2">
      <c r="A63" s="59" t="s">
        <v>25</v>
      </c>
      <c r="B63" s="59"/>
      <c r="C63" s="20"/>
      <c r="D63" s="70">
        <f>[1]Main!C42</f>
        <v>3790181.98</v>
      </c>
      <c r="E63" s="54">
        <f>IF($B40-SUM($E60:E62)&gt;D63,D63,B40-SUM($E60:E62))</f>
        <v>0</v>
      </c>
      <c r="F63" s="54">
        <f t="shared" si="1"/>
        <v>3790181.98</v>
      </c>
      <c r="G63" s="1"/>
      <c r="H63" s="57">
        <f>SUM(D62:D64)</f>
        <v>4147830.7</v>
      </c>
      <c r="I63" s="30"/>
      <c r="J63" s="57">
        <f>SUM(D62:D89)-E75</f>
        <v>19817982.75</v>
      </c>
    </row>
    <row r="64" spans="1:10" x14ac:dyDescent="0.2">
      <c r="A64" s="71" t="s">
        <v>27</v>
      </c>
      <c r="B64" s="59"/>
      <c r="C64" s="20"/>
      <c r="D64" s="70">
        <f>[1]Main!D42</f>
        <v>0</v>
      </c>
      <c r="E64" s="54">
        <f>IF($B40-SUM($E60:E63)&gt;D64,D64,$B40-SUM($E60:E63))</f>
        <v>0</v>
      </c>
      <c r="F64" s="54">
        <f>D64-E64</f>
        <v>0</v>
      </c>
      <c r="G64" s="1"/>
      <c r="H64" s="57">
        <f>+H62-H63</f>
        <v>0</v>
      </c>
      <c r="I64" s="30"/>
      <c r="J64" s="57">
        <f>+J62-J63</f>
        <v>0</v>
      </c>
    </row>
    <row r="65" spans="1:10" x14ac:dyDescent="0.2">
      <c r="A65" s="72" t="s">
        <v>72</v>
      </c>
      <c r="B65" s="59"/>
      <c r="C65" s="20"/>
      <c r="D65" s="70">
        <f>[1]Main!E42</f>
        <v>0</v>
      </c>
      <c r="E65" s="54">
        <f>IF($B41-SUM($E61:E64)&gt;D65,D65,$B41-SUM($E61:E64))</f>
        <v>0</v>
      </c>
      <c r="F65" s="54">
        <f>D65-E65</f>
        <v>0</v>
      </c>
      <c r="G65" s="1"/>
      <c r="H65" s="30"/>
      <c r="I65" s="30"/>
      <c r="J65" s="30"/>
    </row>
    <row r="66" spans="1:10" x14ac:dyDescent="0.2">
      <c r="A66" s="72" t="s">
        <v>73</v>
      </c>
      <c r="B66" s="59"/>
      <c r="C66" s="20"/>
      <c r="D66" s="54">
        <f>+[1]Main!$F158</f>
        <v>174151.04000000001</v>
      </c>
      <c r="E66" s="54">
        <f>IF($B40-SUM($E60:E64)&gt;D66,D66,$B40-SUM($E60:E64))</f>
        <v>0</v>
      </c>
      <c r="F66" s="54">
        <f t="shared" si="1"/>
        <v>174151.04000000001</v>
      </c>
      <c r="G66" s="1"/>
      <c r="H66" s="30"/>
      <c r="I66" s="30"/>
      <c r="J66" s="30"/>
    </row>
    <row r="67" spans="1:10" x14ac:dyDescent="0.2">
      <c r="A67" s="71" t="s">
        <v>74</v>
      </c>
      <c r="B67" s="59"/>
      <c r="C67" s="20"/>
      <c r="D67" s="54">
        <f>+[1]Main!$C100</f>
        <v>999615</v>
      </c>
      <c r="E67" s="54">
        <f>IF($B40-SUM($E60:E66)&gt;D67,D67,$B40-SUM($E60:E66))</f>
        <v>0</v>
      </c>
      <c r="F67" s="54">
        <f t="shared" si="1"/>
        <v>999615</v>
      </c>
      <c r="G67" s="1"/>
      <c r="H67" s="30"/>
      <c r="I67" s="30"/>
      <c r="J67" s="30"/>
    </row>
    <row r="68" spans="1:10" x14ac:dyDescent="0.2">
      <c r="A68" s="71" t="s">
        <v>75</v>
      </c>
      <c r="B68" s="59"/>
      <c r="C68" s="20"/>
      <c r="D68" s="54">
        <f>+[1]Main!$D100</f>
        <v>0</v>
      </c>
      <c r="E68" s="54">
        <f>IF($B40-SUM($E60:E67)&gt;D68,D68,$B40-SUM($E60:E67))</f>
        <v>0</v>
      </c>
      <c r="F68" s="54">
        <f t="shared" si="1"/>
        <v>0</v>
      </c>
      <c r="G68" s="1"/>
      <c r="H68" s="30"/>
      <c r="I68" s="30"/>
      <c r="J68" s="30"/>
    </row>
    <row r="69" spans="1:10" x14ac:dyDescent="0.2">
      <c r="A69" s="71" t="s">
        <v>76</v>
      </c>
      <c r="B69" s="59"/>
      <c r="C69" s="20"/>
      <c r="D69" s="54">
        <f>+[1]Main!$E100</f>
        <v>702129</v>
      </c>
      <c r="E69" s="54">
        <f>IF($B40-SUM($E60:E68)&gt;D69,D69,$B40-SUM($E60:E68))</f>
        <v>0</v>
      </c>
      <c r="F69" s="54">
        <f t="shared" si="1"/>
        <v>702129</v>
      </c>
      <c r="G69" s="1"/>
      <c r="H69" s="30"/>
      <c r="I69" s="30"/>
      <c r="J69" s="30"/>
    </row>
    <row r="70" spans="1:10" x14ac:dyDescent="0.2">
      <c r="A70" s="71" t="s">
        <v>77</v>
      </c>
      <c r="B70" s="59"/>
      <c r="C70" s="20"/>
      <c r="D70" s="54">
        <f>[1]Main!F100</f>
        <v>337875</v>
      </c>
      <c r="E70" s="54">
        <f>IF($B40-SUM($E60:E69)&gt;D70,D70,$B40-SUM($E60:E69))</f>
        <v>0</v>
      </c>
      <c r="F70" s="54">
        <f t="shared" si="1"/>
        <v>337875</v>
      </c>
      <c r="G70" s="1"/>
      <c r="H70" s="57" t="s">
        <v>48</v>
      </c>
      <c r="I70" s="30"/>
      <c r="J70" s="30"/>
    </row>
    <row r="71" spans="1:10" x14ac:dyDescent="0.2">
      <c r="A71" s="71" t="s">
        <v>79</v>
      </c>
      <c r="B71" s="59"/>
      <c r="C71" s="20"/>
      <c r="D71" s="54">
        <f>[1]Main!G100</f>
        <v>0</v>
      </c>
      <c r="E71" s="54">
        <f>IF($B40-SUM($E60:E70)&gt;D71,D71,$B40-SUM($E60:E70))</f>
        <v>0</v>
      </c>
      <c r="F71" s="54">
        <f t="shared" si="1"/>
        <v>0</v>
      </c>
      <c r="G71" s="1"/>
      <c r="H71" s="57"/>
      <c r="I71" s="30"/>
      <c r="J71" s="30"/>
    </row>
    <row r="72" spans="1:10" x14ac:dyDescent="0.2">
      <c r="A72" s="71" t="s">
        <v>78</v>
      </c>
      <c r="B72" s="59"/>
      <c r="C72" s="20"/>
      <c r="D72" s="54">
        <f>[1]Main!G158</f>
        <v>159164.54</v>
      </c>
      <c r="E72" s="54">
        <f>IF($B40-SUM($E60:E71)&gt;D72,D72,$B40-SUM($E60:E71))</f>
        <v>0</v>
      </c>
      <c r="F72" s="54">
        <f t="shared" si="1"/>
        <v>159164.54</v>
      </c>
      <c r="G72" s="1"/>
      <c r="H72" s="73">
        <f>+[1]Main!D216</f>
        <v>2372934.58</v>
      </c>
      <c r="I72" s="30"/>
      <c r="J72" s="30"/>
    </row>
    <row r="73" spans="1:10" x14ac:dyDescent="0.2">
      <c r="A73" s="71" t="s">
        <v>80</v>
      </c>
      <c r="B73" s="59"/>
      <c r="C73" s="20"/>
      <c r="D73" s="54">
        <f>[1]Main!C216</f>
        <v>0</v>
      </c>
      <c r="E73" s="54"/>
      <c r="F73" s="54">
        <f t="shared" si="1"/>
        <v>0</v>
      </c>
      <c r="G73" s="1"/>
      <c r="H73" s="57">
        <f>+SUM(D66:D73)</f>
        <v>2372934.58</v>
      </c>
      <c r="I73" s="30"/>
      <c r="J73" s="30"/>
    </row>
    <row r="74" spans="1:10" x14ac:dyDescent="0.2">
      <c r="A74" s="71" t="s">
        <v>81</v>
      </c>
      <c r="B74" s="59"/>
      <c r="C74" s="20"/>
      <c r="D74" s="54">
        <f>[1]Main!C274</f>
        <v>2078419</v>
      </c>
      <c r="E74" s="54">
        <v>0</v>
      </c>
      <c r="F74" s="54">
        <f t="shared" si="1"/>
        <v>2078419</v>
      </c>
      <c r="G74" s="1"/>
      <c r="H74" s="57">
        <f>+H72-H73</f>
        <v>0</v>
      </c>
      <c r="I74" s="30"/>
      <c r="J74" s="30"/>
    </row>
    <row r="75" spans="1:10" x14ac:dyDescent="0.2">
      <c r="A75" s="71" t="s">
        <v>82</v>
      </c>
      <c r="B75" s="59"/>
      <c r="C75" s="20"/>
      <c r="D75" s="54">
        <f>+[7]Main!I41+[7]Main!J41</f>
        <v>1965952.92</v>
      </c>
      <c r="E75" s="74">
        <f>[7]Main!J41</f>
        <v>1416246.86</v>
      </c>
      <c r="F75" s="54">
        <f t="shared" si="1"/>
        <v>549706.06000000006</v>
      </c>
      <c r="G75" s="1"/>
      <c r="H75" s="30"/>
      <c r="I75" s="30"/>
      <c r="J75" s="30"/>
    </row>
    <row r="76" spans="1:10" x14ac:dyDescent="0.2">
      <c r="A76" s="71" t="s">
        <v>83</v>
      </c>
      <c r="B76" s="59"/>
      <c r="C76" s="20"/>
      <c r="D76" s="54">
        <f>[1]Main!F274</f>
        <v>346626</v>
      </c>
      <c r="E76" s="54">
        <v>0</v>
      </c>
      <c r="F76" s="54">
        <f t="shared" si="1"/>
        <v>346626</v>
      </c>
      <c r="G76" s="1"/>
      <c r="H76" s="30"/>
      <c r="I76" s="30"/>
      <c r="J76" s="30"/>
    </row>
    <row r="77" spans="1:10" x14ac:dyDescent="0.2">
      <c r="A77" s="71" t="s">
        <v>84</v>
      </c>
      <c r="B77" s="59"/>
      <c r="C77" s="7"/>
      <c r="D77" s="54">
        <f>[1]Main!E274</f>
        <v>43014.31</v>
      </c>
      <c r="E77" s="54">
        <v>0</v>
      </c>
      <c r="F77" s="54">
        <f t="shared" si="1"/>
        <v>43014.31</v>
      </c>
      <c r="G77" s="1"/>
      <c r="H77" s="57" t="s">
        <v>49</v>
      </c>
      <c r="I77" s="30"/>
      <c r="J77" s="30"/>
    </row>
    <row r="78" spans="1:10" x14ac:dyDescent="0.2">
      <c r="A78" s="71" t="s">
        <v>85</v>
      </c>
      <c r="B78" s="59"/>
      <c r="C78" s="7"/>
      <c r="D78" s="54">
        <f>[1]Main!G274</f>
        <v>566250</v>
      </c>
      <c r="E78" s="54">
        <v>0</v>
      </c>
      <c r="F78" s="54">
        <f t="shared" si="1"/>
        <v>566250</v>
      </c>
      <c r="G78" s="1"/>
      <c r="H78" s="57">
        <f>+[1]Main!C503</f>
        <v>12854778.17</v>
      </c>
      <c r="I78" s="57"/>
      <c r="J78" s="57"/>
    </row>
    <row r="79" spans="1:10" x14ac:dyDescent="0.2">
      <c r="A79" s="71" t="s">
        <v>86</v>
      </c>
      <c r="B79" s="59"/>
      <c r="C79" s="20"/>
      <c r="D79" s="54">
        <f>[1]Main!C332</f>
        <v>175000</v>
      </c>
      <c r="E79" s="54">
        <v>0</v>
      </c>
      <c r="F79" s="54">
        <f t="shared" si="1"/>
        <v>175000</v>
      </c>
      <c r="G79" s="1"/>
      <c r="H79" s="57">
        <f>+SUM(D74:D84)-E75</f>
        <v>12854778.17</v>
      </c>
      <c r="I79" s="57"/>
      <c r="J79" s="57">
        <f>+H79-H78</f>
        <v>0</v>
      </c>
    </row>
    <row r="80" spans="1:10" x14ac:dyDescent="0.2">
      <c r="A80" s="71" t="s">
        <v>87</v>
      </c>
      <c r="C80" s="8"/>
      <c r="D80" s="76">
        <f>[1]Main!D332</f>
        <v>8085697.25</v>
      </c>
      <c r="E80" s="77">
        <v>0</v>
      </c>
      <c r="F80" s="77">
        <f t="shared" si="1"/>
        <v>8085697.25</v>
      </c>
      <c r="G80" s="5"/>
      <c r="H80" s="57">
        <f>+H78-H79</f>
        <v>0</v>
      </c>
      <c r="I80" s="57"/>
      <c r="J80" s="57"/>
    </row>
    <row r="81" spans="1:10" x14ac:dyDescent="0.2">
      <c r="A81" s="71" t="s">
        <v>88</v>
      </c>
      <c r="B81" s="59"/>
      <c r="C81" s="20"/>
      <c r="D81" s="54">
        <f>+[1]Main!$E332</f>
        <v>38275.46</v>
      </c>
      <c r="E81" s="54">
        <v>0</v>
      </c>
      <c r="F81" s="54">
        <f>D81-E81</f>
        <v>38275.46</v>
      </c>
      <c r="G81" s="4"/>
      <c r="H81" s="30"/>
      <c r="I81" s="30"/>
      <c r="J81" s="30"/>
    </row>
    <row r="82" spans="1:10" x14ac:dyDescent="0.2">
      <c r="A82" s="71" t="s">
        <v>89</v>
      </c>
      <c r="B82" s="59"/>
      <c r="C82" s="20"/>
      <c r="D82" s="54">
        <f>[1]Main!F332</f>
        <v>262487.28999999998</v>
      </c>
      <c r="E82" s="54">
        <v>0</v>
      </c>
      <c r="F82" s="54">
        <f>D82-E82</f>
        <v>262487.28999999998</v>
      </c>
      <c r="G82" s="4"/>
      <c r="H82" s="30"/>
      <c r="I82" s="30"/>
      <c r="J82" s="30"/>
    </row>
    <row r="83" spans="1:10" x14ac:dyDescent="0.2">
      <c r="A83" s="71" t="s">
        <v>90</v>
      </c>
      <c r="B83" s="59"/>
      <c r="C83" s="20"/>
      <c r="D83" s="54">
        <f>[1]Main!G332</f>
        <v>280758</v>
      </c>
      <c r="E83" s="54">
        <v>0</v>
      </c>
      <c r="F83" s="54">
        <f>D83-E83</f>
        <v>280758</v>
      </c>
      <c r="G83" s="1"/>
      <c r="H83" s="57" t="s">
        <v>50</v>
      </c>
      <c r="I83" s="30"/>
      <c r="J83" s="30"/>
    </row>
    <row r="84" spans="1:10" x14ac:dyDescent="0.2">
      <c r="A84" s="71" t="s">
        <v>93</v>
      </c>
      <c r="B84" s="59"/>
      <c r="C84" s="20"/>
      <c r="D84" s="54">
        <f>[1]Main!F389</f>
        <v>428544.8</v>
      </c>
      <c r="E84" s="54">
        <v>0</v>
      </c>
      <c r="F84" s="54">
        <f>D84-E84</f>
        <v>428544.8</v>
      </c>
      <c r="G84" s="1"/>
      <c r="H84" s="57"/>
      <c r="I84" s="30"/>
      <c r="J84" s="30"/>
    </row>
    <row r="85" spans="1:10" x14ac:dyDescent="0.2">
      <c r="A85" s="55" t="s">
        <v>30</v>
      </c>
      <c r="B85" s="78"/>
      <c r="C85" s="79"/>
      <c r="D85" s="64"/>
      <c r="E85" s="64"/>
      <c r="F85" s="64"/>
      <c r="G85" s="1"/>
      <c r="H85" s="57"/>
      <c r="I85" s="30"/>
      <c r="J85" s="30"/>
    </row>
    <row r="86" spans="1:10" x14ac:dyDescent="0.2">
      <c r="A86" s="71" t="s">
        <v>60</v>
      </c>
      <c r="B86" s="59"/>
      <c r="C86" s="20"/>
      <c r="D86" s="54">
        <f>[1]Main!C446</f>
        <v>289637.25</v>
      </c>
      <c r="E86" s="54">
        <v>0</v>
      </c>
      <c r="F86" s="54">
        <f>D86-E86</f>
        <v>289637.25</v>
      </c>
      <c r="G86" s="1"/>
      <c r="H86" s="57">
        <f>+[1]Main!G446</f>
        <v>442439.3</v>
      </c>
      <c r="I86" s="30"/>
      <c r="J86" s="30"/>
    </row>
    <row r="87" spans="1:10" x14ac:dyDescent="0.2">
      <c r="A87" s="71" t="s">
        <v>63</v>
      </c>
      <c r="B87" s="59"/>
      <c r="C87" s="20"/>
      <c r="D87" s="54">
        <f>[1]Main!D446</f>
        <v>31268.18</v>
      </c>
      <c r="E87" s="54">
        <v>0</v>
      </c>
      <c r="F87" s="54">
        <f>D87-E87</f>
        <v>31268.18</v>
      </c>
      <c r="G87" s="4"/>
      <c r="H87" s="57">
        <f>SUM(D86:D89)</f>
        <v>442439.3</v>
      </c>
      <c r="I87" s="30"/>
      <c r="J87" s="30"/>
    </row>
    <row r="88" spans="1:10" x14ac:dyDescent="0.2">
      <c r="A88" s="71" t="s">
        <v>91</v>
      </c>
      <c r="B88" s="59"/>
      <c r="C88" s="20"/>
      <c r="D88" s="54">
        <f>[1]Main!E446</f>
        <v>0</v>
      </c>
      <c r="E88" s="54">
        <v>0</v>
      </c>
      <c r="F88" s="54">
        <f>D88-E88</f>
        <v>0</v>
      </c>
      <c r="G88" s="4"/>
      <c r="H88" s="57">
        <f>+H86-H87</f>
        <v>0</v>
      </c>
      <c r="I88" s="30"/>
      <c r="J88" s="30"/>
    </row>
    <row r="89" spans="1:10" x14ac:dyDescent="0.2">
      <c r="A89" s="71" t="s">
        <v>92</v>
      </c>
      <c r="B89" s="59"/>
      <c r="C89" s="20"/>
      <c r="D89" s="54">
        <f>[1]Main!F446</f>
        <v>121533.87</v>
      </c>
      <c r="E89" s="54">
        <v>0</v>
      </c>
      <c r="F89" s="54">
        <f>D89-E89</f>
        <v>121533.87</v>
      </c>
      <c r="G89" s="1"/>
      <c r="H89" s="30"/>
      <c r="I89" s="30"/>
      <c r="J89" s="30"/>
    </row>
    <row r="90" spans="1:10" x14ac:dyDescent="0.2">
      <c r="A90" s="55" t="s">
        <v>31</v>
      </c>
      <c r="B90" s="78"/>
      <c r="C90" s="79"/>
      <c r="D90" s="64"/>
      <c r="E90" s="64"/>
      <c r="F90" s="64"/>
      <c r="G90" s="1"/>
      <c r="H90" s="30"/>
      <c r="I90" s="30"/>
      <c r="J90" s="30"/>
    </row>
    <row r="91" spans="1:10" x14ac:dyDescent="0.2">
      <c r="A91" s="58" t="s">
        <v>69</v>
      </c>
      <c r="B91" s="59"/>
      <c r="C91" s="20"/>
      <c r="D91" s="54">
        <f>+[1]Main!$G559</f>
        <v>16431393.98</v>
      </c>
      <c r="E91" s="54">
        <f>+[1]Main!$D559</f>
        <v>15597201.01</v>
      </c>
      <c r="F91" s="54">
        <f>+D91-E91</f>
        <v>834192.97</v>
      </c>
      <c r="G91" s="1"/>
      <c r="H91" s="30"/>
      <c r="I91" s="30"/>
      <c r="J91" s="30"/>
    </row>
    <row r="92" spans="1:10" x14ac:dyDescent="0.2">
      <c r="A92" s="59" t="s">
        <v>68</v>
      </c>
      <c r="B92" s="59"/>
      <c r="C92" s="20"/>
      <c r="D92" s="54">
        <f>+[1]Main!$G614</f>
        <v>5975052.3600000003</v>
      </c>
      <c r="E92" s="54">
        <f>+[1]Main!$D614</f>
        <v>5671709.46</v>
      </c>
      <c r="F92" s="54">
        <f>+D92-E92</f>
        <v>303342.90000000002</v>
      </c>
      <c r="G92" s="1"/>
      <c r="H92" s="30"/>
      <c r="I92" s="30"/>
      <c r="J92" s="30"/>
    </row>
    <row r="93" spans="1:10" ht="13.5" thickBot="1" x14ac:dyDescent="0.25">
      <c r="A93" s="80"/>
      <c r="B93" s="81"/>
      <c r="C93" s="82" t="s">
        <v>29</v>
      </c>
      <c r="D93" s="83">
        <f>SUM(D60:D92)</f>
        <v>167077588.41</v>
      </c>
      <c r="E93" s="83">
        <f>SUM(E60:E92)</f>
        <v>46435440.329999998</v>
      </c>
      <c r="F93" s="83">
        <f>SUM(F60:F92)</f>
        <v>120642148.08</v>
      </c>
      <c r="G93" s="1"/>
      <c r="H93" s="30"/>
      <c r="I93" s="30"/>
      <c r="J93" s="30"/>
    </row>
    <row r="94" spans="1:10" ht="13.5" thickTop="1" x14ac:dyDescent="0.2">
      <c r="A94" s="84"/>
      <c r="B94" s="59"/>
      <c r="C94" s="85"/>
      <c r="D94" s="86"/>
      <c r="E94" s="86"/>
      <c r="F94" s="87"/>
      <c r="G94" s="1"/>
      <c r="H94" s="30"/>
      <c r="I94" s="30"/>
      <c r="J94" s="30"/>
    </row>
    <row r="95" spans="1:10" x14ac:dyDescent="0.2">
      <c r="A95" s="88" t="s">
        <v>40</v>
      </c>
      <c r="B95" s="78"/>
      <c r="C95" s="89"/>
      <c r="D95" s="90"/>
      <c r="E95" s="91"/>
      <c r="F95" s="92" t="s">
        <v>36</v>
      </c>
      <c r="G95" s="6"/>
      <c r="H95" s="57" t="s">
        <v>51</v>
      </c>
      <c r="I95" s="30"/>
      <c r="J95" s="57" t="s">
        <v>7</v>
      </c>
    </row>
    <row r="96" spans="1:10" x14ac:dyDescent="0.2">
      <c r="A96" s="93" t="s">
        <v>33</v>
      </c>
      <c r="B96" s="94"/>
      <c r="C96" s="95"/>
      <c r="D96" s="96"/>
      <c r="E96" s="96"/>
      <c r="F96" s="91"/>
      <c r="G96" s="6"/>
      <c r="H96" s="30"/>
      <c r="I96" s="30"/>
      <c r="J96" s="30"/>
    </row>
    <row r="97" spans="1:10" x14ac:dyDescent="0.2">
      <c r="A97" s="59" t="s">
        <v>34</v>
      </c>
      <c r="B97" s="59"/>
      <c r="C97" s="22"/>
      <c r="D97" s="27"/>
      <c r="E97" s="27"/>
      <c r="F97" s="97">
        <f>+[8]Main!$C42</f>
        <v>0</v>
      </c>
      <c r="G97" s="5"/>
      <c r="H97" s="57">
        <f>+[1]Main!G670</f>
        <v>22406446.34</v>
      </c>
      <c r="I97" s="30"/>
      <c r="J97" s="57">
        <f>+[1]Main!E670+[1]Main!F670</f>
        <v>1137535.8700000001</v>
      </c>
    </row>
    <row r="98" spans="1:10" x14ac:dyDescent="0.2">
      <c r="A98" s="59" t="s">
        <v>66</v>
      </c>
      <c r="B98" s="59"/>
      <c r="C98" s="22"/>
      <c r="D98" s="27"/>
      <c r="E98" s="27"/>
      <c r="F98" s="97">
        <f>+[8]Main!$D42</f>
        <v>0</v>
      </c>
      <c r="G98" s="5"/>
      <c r="H98" s="57">
        <f>+D91+D92</f>
        <v>22406446.34</v>
      </c>
      <c r="I98" s="30"/>
      <c r="J98" s="57">
        <f>+F91+F92</f>
        <v>1137535.8700000001</v>
      </c>
    </row>
    <row r="99" spans="1:10" x14ac:dyDescent="0.2">
      <c r="A99" s="32" t="s">
        <v>65</v>
      </c>
      <c r="B99" s="32"/>
      <c r="C99" s="22"/>
      <c r="D99" s="28"/>
      <c r="E99" s="28"/>
      <c r="F99" s="97">
        <f>+[8]Main!$E42</f>
        <v>227510</v>
      </c>
      <c r="G99" s="1"/>
      <c r="H99" s="57">
        <f>+H97-H98</f>
        <v>0</v>
      </c>
      <c r="I99" s="30"/>
      <c r="J99" s="57">
        <f>+J97-J98</f>
        <v>0</v>
      </c>
    </row>
    <row r="100" spans="1:10" x14ac:dyDescent="0.2">
      <c r="A100" s="32" t="s">
        <v>67</v>
      </c>
      <c r="B100" s="32"/>
      <c r="C100" s="22"/>
      <c r="D100" s="28"/>
      <c r="E100" s="28"/>
      <c r="F100" s="97">
        <f>+[8]Main!$F42</f>
        <v>451695</v>
      </c>
      <c r="G100" s="1"/>
      <c r="H100" s="30"/>
      <c r="I100" s="30"/>
      <c r="J100" s="30"/>
    </row>
    <row r="101" spans="1:10" x14ac:dyDescent="0.2">
      <c r="A101" s="88" t="s">
        <v>35</v>
      </c>
      <c r="B101" s="78"/>
      <c r="C101" s="89"/>
      <c r="D101" s="90"/>
      <c r="E101" s="91"/>
      <c r="F101" s="54">
        <f>+[8]Main!$C100</f>
        <v>70503.199999999997</v>
      </c>
      <c r="G101" s="1"/>
      <c r="H101" s="30"/>
      <c r="I101" s="30"/>
      <c r="J101" s="30"/>
    </row>
    <row r="102" spans="1:10" ht="13.5" thickBot="1" x14ac:dyDescent="0.25">
      <c r="A102" s="98"/>
      <c r="B102" s="99"/>
      <c r="C102" s="100" t="s">
        <v>29</v>
      </c>
      <c r="D102" s="101"/>
      <c r="E102" s="102"/>
      <c r="F102" s="103">
        <f>SUM(F97:F101)</f>
        <v>749708.2</v>
      </c>
      <c r="G102" s="1"/>
      <c r="H102" s="30"/>
      <c r="I102" s="30"/>
      <c r="J102" s="30"/>
    </row>
    <row r="103" spans="1:10" ht="13.5" thickBot="1" x14ac:dyDescent="0.25">
      <c r="A103" s="104"/>
      <c r="B103" s="105"/>
      <c r="C103" s="106" t="s">
        <v>53</v>
      </c>
      <c r="D103" s="107"/>
      <c r="E103" s="108"/>
      <c r="F103" s="109">
        <f>+F102+F93</f>
        <v>121391856.28</v>
      </c>
      <c r="G103" s="1"/>
      <c r="H103" s="57" t="s">
        <v>54</v>
      </c>
      <c r="I103" s="30"/>
      <c r="J103" s="30"/>
    </row>
    <row r="104" spans="1:10" x14ac:dyDescent="0.2">
      <c r="A104" s="11"/>
      <c r="B104" s="12"/>
      <c r="C104" s="9"/>
      <c r="D104" s="29"/>
      <c r="E104" s="29"/>
      <c r="F104" s="110"/>
      <c r="G104" s="1"/>
      <c r="H104" s="57">
        <f>+[8]Main!$G42</f>
        <v>679205</v>
      </c>
      <c r="I104" s="30"/>
      <c r="J104" s="30"/>
    </row>
    <row r="105" spans="1:10" x14ac:dyDescent="0.2">
      <c r="A105" s="11"/>
      <c r="B105" s="12"/>
      <c r="C105" s="9"/>
      <c r="D105" s="29"/>
      <c r="E105" s="29"/>
      <c r="F105" s="110"/>
      <c r="G105" s="1"/>
      <c r="H105" s="57">
        <f>SUM(F97:F100)</f>
        <v>679205</v>
      </c>
      <c r="I105" s="30"/>
      <c r="J105" s="30"/>
    </row>
    <row r="106" spans="1:10" x14ac:dyDescent="0.2">
      <c r="A106" s="1"/>
      <c r="B106" s="1"/>
      <c r="C106" s="7"/>
      <c r="D106" s="26"/>
      <c r="E106" s="26"/>
      <c r="F106" s="86">
        <f>+F102+F93</f>
        <v>121391856.28</v>
      </c>
      <c r="G106" s="1"/>
      <c r="H106" s="57">
        <f>+H104-H105</f>
        <v>0</v>
      </c>
      <c r="I106" s="30"/>
      <c r="J106" s="30"/>
    </row>
    <row r="107" spans="1:10" x14ac:dyDescent="0.2">
      <c r="A107" s="1"/>
      <c r="B107" s="1"/>
      <c r="C107" s="7"/>
      <c r="D107" s="26"/>
      <c r="E107" s="26"/>
      <c r="F107" s="86">
        <f>+[1]Main!$F786</f>
        <v>121391856.28</v>
      </c>
      <c r="G107" s="1"/>
      <c r="H107" s="30"/>
      <c r="I107" s="30"/>
      <c r="J107" s="30"/>
    </row>
    <row r="108" spans="1:10" x14ac:dyDescent="0.2">
      <c r="A108" s="1"/>
      <c r="B108" s="1"/>
      <c r="C108" s="7"/>
      <c r="D108" s="26"/>
      <c r="E108" s="86">
        <f>+E93+[1]Main!$E786</f>
        <v>0</v>
      </c>
      <c r="F108" s="86">
        <f>+F107-F106</f>
        <v>0</v>
      </c>
      <c r="G108" s="1"/>
      <c r="H108" s="30"/>
      <c r="I108" s="30"/>
      <c r="J108" s="30"/>
    </row>
    <row r="109" spans="1:10" x14ac:dyDescent="0.2">
      <c r="A109" s="59"/>
      <c r="B109" s="59"/>
      <c r="C109" s="85"/>
      <c r="D109" s="86"/>
      <c r="E109" s="86"/>
      <c r="F109" s="86"/>
      <c r="G109" s="59"/>
      <c r="H109" s="57"/>
      <c r="I109" s="57"/>
      <c r="J109" s="57"/>
    </row>
    <row r="110" spans="1:10" x14ac:dyDescent="0.2">
      <c r="A110" s="59"/>
      <c r="B110" s="59"/>
      <c r="C110" s="85"/>
      <c r="D110" s="86"/>
      <c r="E110" s="86"/>
      <c r="F110" s="86"/>
      <c r="G110" s="59"/>
      <c r="H110" s="57"/>
      <c r="I110" s="57"/>
      <c r="J110" s="57"/>
    </row>
    <row r="111" spans="1:10" x14ac:dyDescent="0.2">
      <c r="A111" s="59"/>
      <c r="B111" s="59"/>
      <c r="C111" s="85"/>
      <c r="D111" s="86"/>
      <c r="E111" s="86"/>
      <c r="F111" s="86"/>
      <c r="G111" s="59"/>
      <c r="H111" s="111" t="s">
        <v>55</v>
      </c>
      <c r="I111" s="57"/>
      <c r="J111" s="57"/>
    </row>
    <row r="112" spans="1:10" x14ac:dyDescent="0.2">
      <c r="G112" s="59"/>
      <c r="H112" s="113"/>
      <c r="I112" s="112"/>
      <c r="J112" s="112"/>
    </row>
    <row r="113" spans="7:10" x14ac:dyDescent="0.2">
      <c r="G113" s="59"/>
      <c r="H113" s="112"/>
      <c r="I113" s="112"/>
      <c r="J113" s="112"/>
    </row>
    <row r="114" spans="7:10" x14ac:dyDescent="0.2">
      <c r="G114" s="59"/>
      <c r="H114" s="112"/>
      <c r="I114" s="112"/>
      <c r="J114" s="112"/>
    </row>
    <row r="115" spans="7:10" x14ac:dyDescent="0.2">
      <c r="G115" s="59"/>
      <c r="H115" s="112"/>
      <c r="I115" s="112"/>
      <c r="J115" s="112"/>
    </row>
    <row r="116" spans="7:10" x14ac:dyDescent="0.2">
      <c r="G116" s="59"/>
      <c r="H116" s="112"/>
      <c r="I116" s="112"/>
      <c r="J116" s="112"/>
    </row>
    <row r="117" spans="7:10" x14ac:dyDescent="0.2">
      <c r="G117" s="59"/>
      <c r="H117" s="71"/>
      <c r="I117" s="112"/>
      <c r="J117" s="112"/>
    </row>
  </sheetData>
  <mergeCells count="1">
    <mergeCell ref="D36:E36"/>
  </mergeCells>
  <phoneticPr fontId="0" type="noConversion"/>
  <printOptions horizontalCentered="1" verticalCentered="1"/>
  <pageMargins left="0.5" right="0.25" top="0.5" bottom="0.5" header="0.5" footer="0.5"/>
  <pageSetup scale="89" orientation="portrait" horizontalDpi="1200" r:id="rId1"/>
  <headerFooter alignWithMargins="0">
    <oddHeader>&amp;R&amp;8Current as of: &amp;D</oddHeader>
    <oddFooter>&amp;L&amp;8USOE, Finance and Statistics&amp;R&amp;8&amp;F</oddFooter>
  </headerFooter>
  <picture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1:J118"/>
  <sheetViews>
    <sheetView topLeftCell="A55" workbookViewId="0">
      <selection activeCell="B41" sqref="B41"/>
    </sheetView>
  </sheetViews>
  <sheetFormatPr defaultColWidth="18.28515625" defaultRowHeight="12.75" x14ac:dyDescent="0.2"/>
  <cols>
    <col min="1" max="1" width="27" style="75" customWidth="1"/>
    <col min="2" max="2" width="16.7109375" style="75" customWidth="1"/>
    <col min="3" max="3" width="15.85546875" style="75" customWidth="1"/>
    <col min="4" max="4" width="16.28515625" style="75" customWidth="1"/>
    <col min="5" max="5" width="15.5703125" style="75" customWidth="1"/>
    <col min="6" max="6" width="17.42578125" style="75" customWidth="1"/>
    <col min="7" max="7" width="5.7109375" style="75" customWidth="1"/>
    <col min="8" max="8" width="21.5703125" style="75" customWidth="1"/>
    <col min="9" max="9" width="5" style="75" customWidth="1"/>
    <col min="10" max="10" width="20.85546875" style="75" customWidth="1"/>
    <col min="11" max="16384" width="18.28515625" style="75"/>
  </cols>
  <sheetData>
    <row r="1" spans="1:10" x14ac:dyDescent="0.2">
      <c r="A1" s="8"/>
      <c r="B1" s="8"/>
      <c r="C1" s="8"/>
      <c r="D1" s="8"/>
      <c r="E1" s="8"/>
      <c r="F1" s="8"/>
      <c r="G1" s="8"/>
      <c r="H1" s="8"/>
      <c r="I1" s="8"/>
      <c r="J1" s="8"/>
    </row>
    <row r="2" spans="1:10" x14ac:dyDescent="0.2">
      <c r="A2" s="8"/>
      <c r="B2" s="8"/>
      <c r="C2" s="8"/>
      <c r="D2" s="8"/>
      <c r="E2" s="8"/>
      <c r="F2" s="8"/>
      <c r="G2" s="8"/>
      <c r="H2" s="8"/>
      <c r="I2" s="8"/>
      <c r="J2" s="8"/>
    </row>
    <row r="3" spans="1:10" x14ac:dyDescent="0.2">
      <c r="A3" s="8"/>
      <c r="B3" s="8"/>
      <c r="C3" s="8"/>
      <c r="D3" s="8"/>
      <c r="E3" s="8"/>
      <c r="F3" s="8"/>
      <c r="G3" s="8"/>
      <c r="H3" s="8"/>
      <c r="I3" s="8"/>
      <c r="J3" s="8"/>
    </row>
    <row r="4" spans="1:10" x14ac:dyDescent="0.2">
      <c r="A4" s="8"/>
      <c r="B4" s="8"/>
      <c r="C4" s="8"/>
      <c r="D4" s="8"/>
      <c r="E4" s="8"/>
      <c r="F4" s="8"/>
      <c r="G4" s="8"/>
      <c r="H4" s="8"/>
      <c r="I4" s="8"/>
      <c r="J4" s="8"/>
    </row>
    <row r="5" spans="1:10" x14ac:dyDescent="0.2">
      <c r="A5" s="8"/>
      <c r="B5" s="8"/>
      <c r="C5" s="8"/>
      <c r="D5" s="8"/>
      <c r="E5" s="8"/>
      <c r="F5" s="8"/>
      <c r="G5" s="8"/>
      <c r="H5" s="8"/>
      <c r="I5" s="8"/>
      <c r="J5" s="8"/>
    </row>
    <row r="6" spans="1:10" x14ac:dyDescent="0.2">
      <c r="A6" s="8"/>
      <c r="B6" s="8"/>
      <c r="C6" s="8"/>
      <c r="D6" s="8"/>
      <c r="E6" s="8"/>
      <c r="F6" s="8"/>
      <c r="G6" s="8"/>
      <c r="H6" s="8"/>
      <c r="I6" s="8"/>
      <c r="J6" s="8"/>
    </row>
    <row r="7" spans="1:10" x14ac:dyDescent="0.2">
      <c r="A7" s="8"/>
      <c r="B7" s="8"/>
      <c r="C7" s="8"/>
      <c r="D7" s="8"/>
      <c r="E7" s="8"/>
      <c r="F7" s="8"/>
      <c r="G7" s="8"/>
      <c r="H7" s="8"/>
      <c r="I7" s="8"/>
      <c r="J7" s="8"/>
    </row>
    <row r="8" spans="1:10" x14ac:dyDescent="0.2">
      <c r="A8" s="8"/>
      <c r="B8" s="8"/>
      <c r="C8" s="8"/>
      <c r="D8" s="8"/>
      <c r="E8" s="8"/>
      <c r="F8" s="8"/>
      <c r="G8" s="8"/>
      <c r="H8" s="8"/>
      <c r="I8" s="8"/>
      <c r="J8" s="8"/>
    </row>
    <row r="9" spans="1:10" x14ac:dyDescent="0.2">
      <c r="A9" s="8"/>
      <c r="B9" s="8"/>
      <c r="C9" s="8"/>
      <c r="D9" s="8"/>
      <c r="E9" s="8"/>
      <c r="F9" s="8"/>
      <c r="G9" s="8"/>
      <c r="H9" s="8"/>
      <c r="I9" s="8"/>
      <c r="J9" s="8"/>
    </row>
    <row r="10" spans="1:10" x14ac:dyDescent="0.2">
      <c r="A10" s="8"/>
      <c r="B10" s="15"/>
      <c r="C10" s="8"/>
      <c r="D10" s="8"/>
      <c r="E10" s="8"/>
      <c r="F10" s="8"/>
      <c r="G10" s="8"/>
      <c r="H10" s="8"/>
      <c r="I10" s="8"/>
      <c r="J10" s="8"/>
    </row>
    <row r="11" spans="1:10" x14ac:dyDescent="0.2">
      <c r="A11" s="8"/>
      <c r="B11" s="8"/>
      <c r="C11" s="8"/>
      <c r="D11" s="8"/>
      <c r="E11" s="8"/>
      <c r="F11" s="8"/>
      <c r="G11" s="8"/>
      <c r="H11" s="8"/>
      <c r="I11" s="8"/>
      <c r="J11" s="8"/>
    </row>
    <row r="12" spans="1:10" x14ac:dyDescent="0.2">
      <c r="A12" s="8"/>
      <c r="B12" s="8"/>
      <c r="C12" s="8"/>
      <c r="D12" s="8"/>
      <c r="E12" s="8"/>
      <c r="F12" s="8"/>
      <c r="G12" s="8"/>
      <c r="H12" s="8"/>
      <c r="I12" s="8"/>
      <c r="J12" s="8"/>
    </row>
    <row r="13" spans="1:10" x14ac:dyDescent="0.2">
      <c r="A13" s="8"/>
      <c r="B13" s="8"/>
      <c r="C13" s="8"/>
      <c r="D13" s="8"/>
      <c r="E13" s="8"/>
      <c r="F13" s="8"/>
      <c r="G13" s="8"/>
      <c r="H13" s="8"/>
      <c r="I13" s="8"/>
      <c r="J13" s="8"/>
    </row>
    <row r="14" spans="1:10" x14ac:dyDescent="0.2">
      <c r="A14" s="8"/>
      <c r="B14" s="8"/>
      <c r="C14" s="8"/>
      <c r="D14" s="8"/>
      <c r="E14" s="8"/>
      <c r="F14" s="8"/>
      <c r="G14" s="8"/>
      <c r="H14" s="8"/>
      <c r="I14" s="8"/>
      <c r="J14" s="8"/>
    </row>
    <row r="15" spans="1:10" x14ac:dyDescent="0.2">
      <c r="A15" s="8"/>
      <c r="B15" s="8"/>
      <c r="C15" s="8"/>
      <c r="D15" s="8"/>
      <c r="E15" s="8"/>
      <c r="F15" s="8"/>
      <c r="G15" s="8"/>
      <c r="H15" s="8"/>
      <c r="I15" s="8"/>
      <c r="J15" s="8"/>
    </row>
    <row r="16" spans="1:10" x14ac:dyDescent="0.2">
      <c r="A16" s="8"/>
      <c r="B16" s="8"/>
      <c r="C16" s="8"/>
      <c r="D16" s="8"/>
      <c r="E16" s="8"/>
      <c r="F16" s="8"/>
      <c r="G16" s="8"/>
      <c r="H16" s="8"/>
      <c r="I16" s="8"/>
      <c r="J16" s="8"/>
    </row>
    <row r="17" spans="1:10" x14ac:dyDescent="0.2">
      <c r="A17" s="8"/>
      <c r="B17" s="8"/>
      <c r="C17" s="8"/>
      <c r="D17" s="8"/>
      <c r="E17" s="8"/>
      <c r="F17" s="8"/>
      <c r="G17" s="8"/>
      <c r="H17" s="8"/>
      <c r="I17" s="8"/>
      <c r="J17" s="8"/>
    </row>
    <row r="18" spans="1:10" x14ac:dyDescent="0.2">
      <c r="A18" s="8"/>
      <c r="B18" s="8"/>
      <c r="C18" s="8"/>
      <c r="D18" s="8"/>
      <c r="E18" s="8"/>
      <c r="F18" s="8"/>
      <c r="G18" s="8"/>
      <c r="H18" s="8"/>
      <c r="I18" s="8"/>
      <c r="J18" s="8"/>
    </row>
    <row r="19" spans="1:10" x14ac:dyDescent="0.2">
      <c r="A19" s="8"/>
      <c r="B19" s="8"/>
      <c r="C19" s="8"/>
      <c r="D19" s="8"/>
      <c r="E19" s="8"/>
      <c r="F19" s="8"/>
      <c r="G19" s="8"/>
      <c r="H19" s="8"/>
      <c r="I19" s="8"/>
      <c r="J19" s="8"/>
    </row>
    <row r="20" spans="1:10" x14ac:dyDescent="0.2">
      <c r="A20" s="8"/>
      <c r="B20" s="8"/>
      <c r="C20" s="8"/>
      <c r="D20" s="8"/>
      <c r="E20" s="8"/>
      <c r="F20" s="8"/>
      <c r="G20" s="8"/>
      <c r="H20" s="8"/>
      <c r="I20" s="8"/>
      <c r="J20" s="8"/>
    </row>
    <row r="21" spans="1:10" x14ac:dyDescent="0.2">
      <c r="A21" s="8"/>
      <c r="B21" s="8"/>
      <c r="C21" s="8"/>
      <c r="D21" s="8"/>
      <c r="E21" s="8"/>
      <c r="F21" s="8"/>
      <c r="G21" s="8"/>
      <c r="H21" s="8"/>
      <c r="I21" s="8"/>
      <c r="J21" s="8"/>
    </row>
    <row r="22" spans="1:10" x14ac:dyDescent="0.2">
      <c r="A22" s="8"/>
      <c r="B22" s="8"/>
      <c r="C22" s="8"/>
      <c r="D22" s="8"/>
      <c r="E22" s="8"/>
      <c r="F22" s="8"/>
      <c r="G22" s="8"/>
      <c r="H22" s="8"/>
      <c r="I22" s="8"/>
      <c r="J22" s="8"/>
    </row>
    <row r="23" spans="1:10" x14ac:dyDescent="0.2">
      <c r="A23" s="8"/>
      <c r="B23" s="8"/>
      <c r="C23" s="8"/>
      <c r="D23" s="8"/>
      <c r="E23" s="8"/>
      <c r="F23" s="8"/>
      <c r="G23" s="8"/>
      <c r="H23" s="8"/>
      <c r="I23" s="8"/>
      <c r="J23" s="8"/>
    </row>
    <row r="24" spans="1:10" x14ac:dyDescent="0.2">
      <c r="A24" s="8"/>
      <c r="B24" s="8"/>
      <c r="C24" s="8"/>
      <c r="D24" s="8"/>
      <c r="E24" s="8"/>
      <c r="F24" s="8"/>
      <c r="G24" s="8"/>
      <c r="H24" s="8"/>
      <c r="I24" s="8"/>
      <c r="J24" s="8"/>
    </row>
    <row r="25" spans="1:10" x14ac:dyDescent="0.2">
      <c r="A25" s="8"/>
      <c r="B25" s="8"/>
      <c r="C25" s="8"/>
      <c r="D25" s="8"/>
      <c r="E25" s="8"/>
      <c r="F25" s="8"/>
      <c r="G25" s="8"/>
      <c r="H25" s="8"/>
      <c r="I25" s="8"/>
      <c r="J25" s="8"/>
    </row>
    <row r="26" spans="1:10" x14ac:dyDescent="0.2">
      <c r="A26" s="8"/>
      <c r="B26" s="8"/>
      <c r="C26" s="8"/>
      <c r="D26" s="8"/>
      <c r="E26" s="8"/>
      <c r="F26" s="8"/>
      <c r="G26" s="8"/>
      <c r="H26" s="8"/>
      <c r="I26" s="8"/>
      <c r="J26" s="8"/>
    </row>
    <row r="27" spans="1:10" x14ac:dyDescent="0.2">
      <c r="A27" s="8"/>
      <c r="B27" s="8"/>
      <c r="C27" s="8"/>
      <c r="D27" s="8"/>
      <c r="E27" s="8"/>
      <c r="F27" s="8"/>
      <c r="G27" s="8"/>
      <c r="H27" s="8"/>
      <c r="I27" s="8"/>
      <c r="J27" s="8"/>
    </row>
    <row r="28" spans="1:10" x14ac:dyDescent="0.2">
      <c r="A28" s="8"/>
      <c r="B28" s="8"/>
      <c r="C28" s="8"/>
      <c r="D28" s="8"/>
      <c r="E28" s="8"/>
      <c r="F28" s="8"/>
      <c r="G28" s="8"/>
      <c r="H28" s="8"/>
      <c r="I28" s="8"/>
      <c r="J28" s="8"/>
    </row>
    <row r="29" spans="1:10" x14ac:dyDescent="0.2">
      <c r="A29" s="8"/>
      <c r="B29" s="8"/>
      <c r="C29" s="8"/>
      <c r="D29" s="8"/>
      <c r="E29" s="8"/>
      <c r="F29" s="8"/>
      <c r="G29" s="8"/>
      <c r="H29" s="8"/>
      <c r="I29" s="8"/>
      <c r="J29" s="8"/>
    </row>
    <row r="30" spans="1:10" x14ac:dyDescent="0.2">
      <c r="A30" s="8"/>
      <c r="B30" s="8"/>
      <c r="C30" s="8"/>
      <c r="D30" s="8"/>
      <c r="E30" s="8"/>
      <c r="F30" s="8"/>
      <c r="G30" s="8"/>
      <c r="H30" s="8"/>
      <c r="I30" s="8"/>
      <c r="J30" s="8"/>
    </row>
    <row r="31" spans="1:10" x14ac:dyDescent="0.2">
      <c r="A31" s="8"/>
      <c r="B31" s="8"/>
      <c r="C31" s="8"/>
      <c r="D31" s="8"/>
      <c r="E31" s="8"/>
      <c r="F31" s="8"/>
      <c r="G31" s="8"/>
      <c r="H31" s="8"/>
      <c r="I31" s="8"/>
      <c r="J31" s="8"/>
    </row>
    <row r="32" spans="1:10" x14ac:dyDescent="0.2">
      <c r="A32" s="8"/>
      <c r="B32" s="8"/>
      <c r="C32" s="8"/>
      <c r="D32" s="8"/>
      <c r="E32" s="8"/>
      <c r="F32" s="8"/>
      <c r="G32" s="8"/>
      <c r="H32" s="8"/>
      <c r="I32" s="8"/>
      <c r="J32" s="8"/>
    </row>
    <row r="33" spans="1:10" x14ac:dyDescent="0.2">
      <c r="A33" s="8"/>
      <c r="B33" s="8"/>
      <c r="C33" s="8"/>
      <c r="D33" s="8"/>
      <c r="E33" s="8"/>
      <c r="F33" s="8"/>
      <c r="G33" s="8"/>
      <c r="H33" s="8"/>
      <c r="I33" s="8"/>
      <c r="J33" s="8"/>
    </row>
    <row r="34" spans="1:10" x14ac:dyDescent="0.2">
      <c r="A34" s="32" t="s">
        <v>0</v>
      </c>
      <c r="B34" s="33">
        <v>3184</v>
      </c>
      <c r="C34" s="34" t="s">
        <v>1</v>
      </c>
      <c r="D34" s="35"/>
      <c r="E34" s="35"/>
      <c r="F34" s="35"/>
      <c r="G34" s="1"/>
      <c r="H34" s="30"/>
      <c r="I34" s="30"/>
      <c r="J34" s="30"/>
    </row>
    <row r="35" spans="1:10" x14ac:dyDescent="0.2">
      <c r="A35" s="32" t="s">
        <v>61</v>
      </c>
      <c r="B35" s="36">
        <f>+[1]Main!$C560</f>
        <v>0</v>
      </c>
      <c r="C35" s="34" t="s">
        <v>41</v>
      </c>
      <c r="D35" s="35"/>
      <c r="E35" s="35"/>
      <c r="F35" s="35"/>
      <c r="G35" s="1"/>
      <c r="H35" s="30"/>
      <c r="I35" s="30"/>
      <c r="J35" s="30"/>
    </row>
    <row r="36" spans="1:10" x14ac:dyDescent="0.2">
      <c r="A36" s="32" t="s">
        <v>62</v>
      </c>
      <c r="B36" s="36">
        <f>+[1]Main!$C615</f>
        <v>1.635E-3</v>
      </c>
      <c r="C36" s="34" t="s">
        <v>95</v>
      </c>
      <c r="D36" s="35"/>
      <c r="E36" s="37"/>
      <c r="F36" s="35"/>
      <c r="G36" s="1"/>
      <c r="H36" s="30"/>
      <c r="I36" s="30"/>
      <c r="J36" s="30"/>
    </row>
    <row r="37" spans="1:10" x14ac:dyDescent="0.2">
      <c r="A37" s="38" t="s">
        <v>32</v>
      </c>
      <c r="B37" s="39">
        <f>[2]Sheet1!E42</f>
        <v>313642695</v>
      </c>
      <c r="C37" s="21"/>
      <c r="D37" s="31"/>
      <c r="E37" s="31"/>
      <c r="F37" s="23"/>
      <c r="G37" s="1"/>
      <c r="H37" s="30"/>
      <c r="I37" s="30"/>
      <c r="J37" s="30"/>
    </row>
    <row r="38" spans="1:10" x14ac:dyDescent="0.2">
      <c r="A38" s="32" t="s">
        <v>2</v>
      </c>
      <c r="B38" s="40">
        <f>[2]Sheet1!F42</f>
        <v>0.95909999999999995</v>
      </c>
      <c r="C38" s="7"/>
      <c r="D38" s="41" t="s">
        <v>3</v>
      </c>
      <c r="E38" s="42" t="str">
        <f>+[3]main!B43</f>
        <v>Wayne</v>
      </c>
      <c r="F38" s="43">
        <f>+[3]main!A43</f>
        <v>34</v>
      </c>
      <c r="G38" s="1"/>
      <c r="H38" s="30"/>
      <c r="I38" s="30"/>
      <c r="J38" s="30"/>
    </row>
    <row r="39" spans="1:10" x14ac:dyDescent="0.2">
      <c r="A39" s="32" t="s">
        <v>4</v>
      </c>
      <c r="B39" s="44">
        <f>[2]Sheet1!G42</f>
        <v>1.6750000000000001E-3</v>
      </c>
      <c r="C39" s="8"/>
      <c r="D39" s="24"/>
      <c r="E39" s="25"/>
      <c r="F39" s="24"/>
      <c r="G39" s="1"/>
      <c r="H39" s="30"/>
      <c r="I39" s="30"/>
      <c r="J39" s="30"/>
    </row>
    <row r="40" spans="1:10" x14ac:dyDescent="0.2">
      <c r="A40" s="32" t="s">
        <v>5</v>
      </c>
      <c r="B40" s="45">
        <f>[2]Sheet1!$C$98</f>
        <v>593453</v>
      </c>
      <c r="C40" s="46"/>
      <c r="D40" s="47" t="s">
        <v>38</v>
      </c>
      <c r="E40" s="48" t="s">
        <v>7</v>
      </c>
      <c r="F40" s="47" t="s">
        <v>6</v>
      </c>
      <c r="G40" s="1"/>
      <c r="H40" s="30"/>
      <c r="I40" s="30"/>
      <c r="J40" s="30"/>
    </row>
    <row r="41" spans="1:10" x14ac:dyDescent="0.2">
      <c r="A41" s="32" t="s">
        <v>8</v>
      </c>
      <c r="B41" s="45">
        <f>+B40</f>
        <v>593453</v>
      </c>
      <c r="C41" s="49"/>
      <c r="D41" s="50" t="s">
        <v>9</v>
      </c>
      <c r="E41" s="50" t="s">
        <v>37</v>
      </c>
      <c r="F41" s="50" t="s">
        <v>10</v>
      </c>
      <c r="G41" s="1"/>
      <c r="H41" s="30"/>
      <c r="I41" s="30"/>
      <c r="J41" s="30"/>
    </row>
    <row r="42" spans="1:10" x14ac:dyDescent="0.2">
      <c r="A42" s="32" t="s">
        <v>11</v>
      </c>
      <c r="B42" s="45">
        <v>0</v>
      </c>
      <c r="C42" s="51" t="s">
        <v>39</v>
      </c>
      <c r="D42" s="52" t="s">
        <v>12</v>
      </c>
      <c r="E42" s="52" t="s">
        <v>9</v>
      </c>
      <c r="F42" s="52" t="s">
        <v>9</v>
      </c>
      <c r="G42" s="1"/>
      <c r="H42" s="30"/>
      <c r="I42" s="30"/>
      <c r="J42" s="30"/>
    </row>
    <row r="43" spans="1:10" x14ac:dyDescent="0.2">
      <c r="A43" s="32" t="s">
        <v>70</v>
      </c>
      <c r="B43" s="45">
        <f>'[4]LRF FY17'!U40</f>
        <v>2351</v>
      </c>
      <c r="C43" s="53"/>
      <c r="D43" s="54"/>
      <c r="E43" s="54"/>
      <c r="F43" s="54" t="s">
        <v>14</v>
      </c>
      <c r="G43" s="1"/>
      <c r="H43" s="30"/>
      <c r="I43" s="30"/>
      <c r="J43" s="30"/>
    </row>
    <row r="44" spans="1:10" x14ac:dyDescent="0.2">
      <c r="A44" s="55" t="s">
        <v>13</v>
      </c>
      <c r="B44" s="56"/>
      <c r="C44" s="53"/>
      <c r="D44" s="54"/>
      <c r="E44" s="54"/>
      <c r="F44" s="54"/>
      <c r="G44" s="2"/>
      <c r="H44" s="30"/>
      <c r="I44" s="30"/>
      <c r="J44" s="30"/>
    </row>
    <row r="45" spans="1:10" x14ac:dyDescent="0.2">
      <c r="A45" s="55" t="s">
        <v>15</v>
      </c>
      <c r="B45" s="56"/>
      <c r="C45" s="53"/>
      <c r="D45" s="54"/>
      <c r="E45" s="54"/>
      <c r="F45" s="54"/>
      <c r="G45" s="2"/>
      <c r="H45" s="57" t="s">
        <v>43</v>
      </c>
      <c r="I45" s="30"/>
      <c r="J45" s="57" t="s">
        <v>45</v>
      </c>
    </row>
    <row r="46" spans="1:10" x14ac:dyDescent="0.2">
      <c r="A46" s="58" t="s">
        <v>16</v>
      </c>
      <c r="B46" s="59"/>
      <c r="C46" s="60">
        <f>[3]main!C217-[3]main!F159</f>
        <v>445.63299999999998</v>
      </c>
      <c r="D46" s="61">
        <f>[3]main!E217-[3]main!H159</f>
        <v>1418893.88</v>
      </c>
      <c r="E46" s="62">
        <f>IF(B41&gt;D46,D46,B41)</f>
        <v>593453</v>
      </c>
      <c r="F46" s="62">
        <f>D46-E46</f>
        <v>825440.88</v>
      </c>
      <c r="G46" s="1"/>
      <c r="H46" s="57">
        <f>[3]main!H276</f>
        <v>3125914.13</v>
      </c>
      <c r="I46" s="30"/>
      <c r="J46" s="57">
        <f>'[5]Sheet 1'!E100</f>
        <v>3787766.33</v>
      </c>
    </row>
    <row r="47" spans="1:10" x14ac:dyDescent="0.2">
      <c r="A47" s="58" t="s">
        <v>17</v>
      </c>
      <c r="B47" s="59"/>
      <c r="C47" s="53">
        <f>[3]main!F159</f>
        <v>367.60500000000002</v>
      </c>
      <c r="D47" s="54">
        <f>[3]main!H159</f>
        <v>1170455.31</v>
      </c>
      <c r="E47" s="54">
        <f>IF(B40-SUM(E44:E46)&gt;D47,D47,B40-SUM(E44:E46))</f>
        <v>0</v>
      </c>
      <c r="F47" s="54">
        <f>D47-E47</f>
        <v>1170455.31</v>
      </c>
      <c r="G47" s="1"/>
      <c r="H47" s="57">
        <f>SUM(D46:D50)</f>
        <v>3125914.13</v>
      </c>
      <c r="I47" s="30"/>
      <c r="J47" s="57">
        <f>D61</f>
        <v>3787766.33</v>
      </c>
    </row>
    <row r="48" spans="1:10" x14ac:dyDescent="0.2">
      <c r="A48" s="58" t="s">
        <v>18</v>
      </c>
      <c r="B48" s="59"/>
      <c r="C48" s="53">
        <f>[3]main!F217</f>
        <v>73.519000000000005</v>
      </c>
      <c r="D48" s="54">
        <f>[3]main!H217</f>
        <v>234084.94</v>
      </c>
      <c r="E48" s="54">
        <f>IF(B41-SUM(E46:E47)&gt;D48,D48,B41-SUM(E46:E47))</f>
        <v>0</v>
      </c>
      <c r="F48" s="54">
        <f>D48-E48</f>
        <v>234084.94</v>
      </c>
      <c r="G48" s="1"/>
      <c r="H48" s="57">
        <f>+H46-H47</f>
        <v>0</v>
      </c>
      <c r="I48" s="30"/>
      <c r="J48" s="57">
        <f>+J46-J47</f>
        <v>0</v>
      </c>
    </row>
    <row r="49" spans="1:10" x14ac:dyDescent="0.2">
      <c r="A49" s="58" t="s">
        <v>19</v>
      </c>
      <c r="B49" s="59"/>
      <c r="C49" s="53">
        <f>[3]main!C276</f>
        <v>95</v>
      </c>
      <c r="D49" s="54">
        <f>[3]main!E276</f>
        <v>302480</v>
      </c>
      <c r="E49" s="54">
        <f>IF(B41-SUM(E46:E48)&gt;D49,D49,B41-SUM(E46:E48))</f>
        <v>0</v>
      </c>
      <c r="F49" s="54">
        <f>D49-E49</f>
        <v>302480</v>
      </c>
      <c r="G49" s="1"/>
      <c r="H49" s="30"/>
      <c r="I49" s="30"/>
      <c r="J49" s="30"/>
    </row>
    <row r="50" spans="1:10" x14ac:dyDescent="0.2">
      <c r="A50" s="58" t="s">
        <v>42</v>
      </c>
      <c r="B50" s="59"/>
      <c r="C50" s="53">
        <f>[3]main!C100</f>
        <v>0</v>
      </c>
      <c r="D50" s="54">
        <f>[3]main!E100</f>
        <v>0</v>
      </c>
      <c r="E50" s="54">
        <f>IF(B41-SUM(E46:E49)&gt;D50,D50,B41-SUM(E46:E49))</f>
        <v>0</v>
      </c>
      <c r="F50" s="54">
        <f>D50-E50</f>
        <v>0</v>
      </c>
      <c r="G50" s="1"/>
      <c r="H50" s="30"/>
      <c r="I50" s="30"/>
      <c r="J50" s="30"/>
    </row>
    <row r="51" spans="1:10" x14ac:dyDescent="0.2">
      <c r="A51" s="55" t="s">
        <v>20</v>
      </c>
      <c r="B51" s="56"/>
      <c r="C51" s="63"/>
      <c r="D51" s="64"/>
      <c r="E51" s="64"/>
      <c r="F51" s="64" t="s">
        <v>14</v>
      </c>
      <c r="G51" s="1"/>
      <c r="H51" s="57" t="s">
        <v>44</v>
      </c>
      <c r="I51" s="30"/>
      <c r="J51" s="30"/>
    </row>
    <row r="52" spans="1:10" x14ac:dyDescent="0.2">
      <c r="A52" s="58" t="s">
        <v>21</v>
      </c>
      <c r="B52" s="59"/>
      <c r="C52" s="53">
        <f>'[6]Sheet 1'!C42</f>
        <v>69.733000000000004</v>
      </c>
      <c r="D52" s="54">
        <f>'[6]Sheet 1'!E42</f>
        <v>222029.52</v>
      </c>
      <c r="E52" s="54">
        <f>IF(B41-SUM(E46:E51)&gt;D52,D52,B41-SUM(E46:E51))</f>
        <v>0</v>
      </c>
      <c r="F52" s="54">
        <f t="shared" ref="F52:F60" si="0">D52-E52</f>
        <v>222029.52</v>
      </c>
      <c r="G52" s="1"/>
      <c r="H52" s="57">
        <f>'[6]Sheet 1'!N158</f>
        <v>278666.34999999998</v>
      </c>
      <c r="I52" s="30"/>
      <c r="J52" s="30"/>
    </row>
    <row r="53" spans="1:10" x14ac:dyDescent="0.2">
      <c r="A53" s="59" t="s">
        <v>22</v>
      </c>
      <c r="B53" s="59"/>
      <c r="C53" s="53">
        <f>'[6]Sheet 1'!F42</f>
        <v>6.06</v>
      </c>
      <c r="D53" s="54">
        <f>'[6]Sheet 1'!H42</f>
        <v>19295.04</v>
      </c>
      <c r="E53" s="54">
        <f>IF(B41-SUM(E46:E52)&gt;D53,D53,B41-SUM(E46:E52))</f>
        <v>0</v>
      </c>
      <c r="F53" s="54">
        <f t="shared" si="0"/>
        <v>19295.04</v>
      </c>
      <c r="G53" s="1"/>
      <c r="H53" s="57">
        <f>SUM(D52:D58)</f>
        <v>278666.34999999998</v>
      </c>
      <c r="I53" s="30"/>
      <c r="J53" s="30"/>
    </row>
    <row r="54" spans="1:10" x14ac:dyDescent="0.2">
      <c r="A54" s="59" t="s">
        <v>23</v>
      </c>
      <c r="B54" s="59"/>
      <c r="C54" s="53">
        <f>'[6]Sheet 1'!C100</f>
        <v>8.82</v>
      </c>
      <c r="D54" s="54">
        <f>'[6]Sheet 1'!E100</f>
        <v>28082.880000000001</v>
      </c>
      <c r="E54" s="54">
        <f>IF(B41-SUM(E46:E53)&gt;D54,D54,B41-SUM(E46:E53))</f>
        <v>0</v>
      </c>
      <c r="F54" s="54">
        <f t="shared" si="0"/>
        <v>28082.880000000001</v>
      </c>
      <c r="G54" s="1"/>
      <c r="H54" s="57">
        <f>+H52-H53</f>
        <v>0</v>
      </c>
      <c r="I54" s="30"/>
      <c r="J54" s="30"/>
    </row>
    <row r="55" spans="1:10" x14ac:dyDescent="0.2">
      <c r="A55" s="58" t="s">
        <v>24</v>
      </c>
      <c r="B55" s="59"/>
      <c r="C55" s="53">
        <f>'[6]Sheet 1'!F100</f>
        <v>1.0469999999999999</v>
      </c>
      <c r="D55" s="54">
        <f>'[6]Sheet 1'!H100</f>
        <v>3333.66</v>
      </c>
      <c r="E55" s="54">
        <f>IF(B41-SUM(E46:E54)&gt;D55,D55,B41-SUM(E46:E54))</f>
        <v>0</v>
      </c>
      <c r="F55" s="54">
        <f t="shared" si="0"/>
        <v>3333.66</v>
      </c>
      <c r="G55" s="1"/>
      <c r="H55" s="30"/>
      <c r="I55" s="30"/>
      <c r="J55" s="30"/>
    </row>
    <row r="56" spans="1:10" x14ac:dyDescent="0.2">
      <c r="A56" s="59" t="s">
        <v>71</v>
      </c>
      <c r="B56" s="59"/>
      <c r="C56" s="53">
        <f>'[6]Sheet 1'!C158</f>
        <v>1.861</v>
      </c>
      <c r="D56" s="54">
        <f>'[6]Sheet 1'!E158</f>
        <v>5925.25</v>
      </c>
      <c r="E56" s="54">
        <f>IF(B41-SUM(E46:E55)&gt;D56,D56,B41-SUM(E46:E55))</f>
        <v>0</v>
      </c>
      <c r="F56" s="54">
        <f t="shared" si="0"/>
        <v>5925.25</v>
      </c>
      <c r="G56" s="1"/>
      <c r="H56" s="30"/>
      <c r="I56" s="30"/>
      <c r="J56" s="30"/>
    </row>
    <row r="57" spans="1:10" x14ac:dyDescent="0.2">
      <c r="A57" s="59" t="s">
        <v>57</v>
      </c>
      <c r="B57" s="59"/>
      <c r="C57" s="53">
        <f>'[6]Sheet 1'!F158</f>
        <v>0</v>
      </c>
      <c r="D57" s="54">
        <f>'[6]Sheet 1'!H158</f>
        <v>0</v>
      </c>
      <c r="E57" s="54">
        <f>IF(B42-SUM(E47:E56)&gt;D57,D57,B42-SUM(E47:E56))</f>
        <v>0</v>
      </c>
      <c r="F57" s="54">
        <f t="shared" si="0"/>
        <v>0</v>
      </c>
      <c r="G57" s="1"/>
      <c r="H57" s="30"/>
      <c r="I57" s="30"/>
      <c r="J57" s="30"/>
    </row>
    <row r="58" spans="1:10" x14ac:dyDescent="0.2">
      <c r="A58" s="59" t="s">
        <v>64</v>
      </c>
      <c r="B58" s="59"/>
      <c r="C58" s="53">
        <f>'[6]Sheet 1'!I158</f>
        <v>0</v>
      </c>
      <c r="D58" s="54">
        <f>'[6]Sheet 1'!K158</f>
        <v>0</v>
      </c>
      <c r="E58" s="54">
        <f>IF(B44-SUM(E48:E57)&gt;D58,D58,B44-SUM(E48:E57))</f>
        <v>0</v>
      </c>
      <c r="F58" s="54">
        <f t="shared" si="0"/>
        <v>0</v>
      </c>
      <c r="G58" s="1"/>
      <c r="H58" s="57" t="s">
        <v>46</v>
      </c>
      <c r="I58" s="30"/>
      <c r="J58" s="30"/>
    </row>
    <row r="59" spans="1:10" x14ac:dyDescent="0.2">
      <c r="A59" s="59" t="s">
        <v>58</v>
      </c>
      <c r="B59" s="59"/>
      <c r="C59" s="53">
        <f>'[6]Sheet 1'!C216</f>
        <v>92.471000000000004</v>
      </c>
      <c r="D59" s="54">
        <f>'[6]Sheet 1'!E216</f>
        <v>294426.63</v>
      </c>
      <c r="E59" s="54">
        <f>IF(B41-SUM(E46:E56)&gt;D59,D59,B41-SUM(E46:E56))</f>
        <v>0</v>
      </c>
      <c r="F59" s="54">
        <f t="shared" si="0"/>
        <v>294426.63</v>
      </c>
      <c r="G59" s="4"/>
      <c r="H59" s="57">
        <f>+'[6]Sheet 1'!E216</f>
        <v>294426.63</v>
      </c>
      <c r="I59" s="30"/>
      <c r="J59" s="30"/>
    </row>
    <row r="60" spans="1:10" x14ac:dyDescent="0.2">
      <c r="A60" s="58" t="s">
        <v>59</v>
      </c>
      <c r="B60" s="59"/>
      <c r="C60" s="53">
        <f>'[5]Sheet 1'!C42</f>
        <v>27.876999999999999</v>
      </c>
      <c r="D60" s="54">
        <f>'[5]Sheet 1'!E42</f>
        <v>88759.22</v>
      </c>
      <c r="E60" s="54">
        <f>IF(B41-SUM(E46:E59)&gt;D60,D60,B41-SUM(E46:E59))</f>
        <v>0</v>
      </c>
      <c r="F60" s="54">
        <f t="shared" si="0"/>
        <v>88759.22</v>
      </c>
      <c r="G60" s="5"/>
      <c r="H60" s="57">
        <f>+D59</f>
        <v>294426.63</v>
      </c>
      <c r="I60" s="30"/>
      <c r="J60" s="30"/>
    </row>
    <row r="61" spans="1:10" x14ac:dyDescent="0.2">
      <c r="A61" s="65" t="s">
        <v>28</v>
      </c>
      <c r="B61" s="56"/>
      <c r="C61" s="66">
        <f>SUM(C46:C60)</f>
        <v>1189.626</v>
      </c>
      <c r="D61" s="67">
        <f>SUM(D46:D60)</f>
        <v>3787766.33</v>
      </c>
      <c r="E61" s="67">
        <f>SUM(E46:E60)</f>
        <v>593453</v>
      </c>
      <c r="F61" s="67">
        <f>SUM(F46:F60)</f>
        <v>3194313.33</v>
      </c>
      <c r="G61" s="1"/>
      <c r="H61" s="57">
        <f>+H59-H60</f>
        <v>0</v>
      </c>
      <c r="I61" s="30"/>
      <c r="J61" s="30"/>
    </row>
    <row r="62" spans="1:10" x14ac:dyDescent="0.2">
      <c r="A62" s="68" t="s">
        <v>26</v>
      </c>
      <c r="B62" s="56"/>
      <c r="C62" s="69"/>
      <c r="D62" s="54"/>
      <c r="E62" s="54"/>
      <c r="F62" s="54"/>
      <c r="G62" s="1"/>
      <c r="H62" s="57" t="s">
        <v>47</v>
      </c>
      <c r="I62" s="30"/>
      <c r="J62" s="57" t="s">
        <v>52</v>
      </c>
    </row>
    <row r="63" spans="1:10" x14ac:dyDescent="0.2">
      <c r="A63" s="58" t="s">
        <v>56</v>
      </c>
      <c r="B63" s="59"/>
      <c r="C63" s="20"/>
      <c r="D63" s="70">
        <f>[1]Main!F43</f>
        <v>10978.72</v>
      </c>
      <c r="E63" s="54">
        <f>IF($B41-SUM($E61)&gt;D63,D63,$B41-SUM($E61))</f>
        <v>0</v>
      </c>
      <c r="F63" s="54">
        <f t="shared" ref="F63:F81" si="1">D63-E63</f>
        <v>10978.72</v>
      </c>
      <c r="G63" s="1"/>
      <c r="H63" s="57">
        <f>[1]Main!G43</f>
        <v>217221.67</v>
      </c>
      <c r="I63" s="30"/>
      <c r="J63" s="57">
        <f>+[1]Main!D504</f>
        <v>807199.29</v>
      </c>
    </row>
    <row r="64" spans="1:10" x14ac:dyDescent="0.2">
      <c r="A64" s="59" t="s">
        <v>25</v>
      </c>
      <c r="B64" s="59"/>
      <c r="C64" s="20"/>
      <c r="D64" s="70">
        <f>[1]Main!C43</f>
        <v>172332.95</v>
      </c>
      <c r="E64" s="54">
        <f>IF($B41-SUM($E61:E63)&gt;D64,D64,B41-SUM($E61:E63))</f>
        <v>0</v>
      </c>
      <c r="F64" s="54">
        <f t="shared" si="1"/>
        <v>172332.95</v>
      </c>
      <c r="G64" s="1"/>
      <c r="H64" s="57">
        <f>SUM(D63:D65)</f>
        <v>217221.67</v>
      </c>
      <c r="I64" s="30"/>
      <c r="J64" s="57">
        <f>SUM(D63:D90)-E76</f>
        <v>807199.28</v>
      </c>
    </row>
    <row r="65" spans="1:10" x14ac:dyDescent="0.2">
      <c r="A65" s="71" t="s">
        <v>27</v>
      </c>
      <c r="B65" s="59"/>
      <c r="C65" s="20"/>
      <c r="D65" s="70">
        <f>[1]Main!D43</f>
        <v>33910</v>
      </c>
      <c r="E65" s="54">
        <f>IF($B41-SUM($E61:E64)&gt;D65,D65,$B41-SUM($E61:E64))</f>
        <v>0</v>
      </c>
      <c r="F65" s="54">
        <f>D65-E65</f>
        <v>33910</v>
      </c>
      <c r="G65" s="1"/>
      <c r="H65" s="57">
        <f>+H63-H64</f>
        <v>0</v>
      </c>
      <c r="I65" s="30"/>
      <c r="J65" s="57">
        <f>+J63-J64</f>
        <v>0.01</v>
      </c>
    </row>
    <row r="66" spans="1:10" x14ac:dyDescent="0.2">
      <c r="A66" s="72" t="s">
        <v>72</v>
      </c>
      <c r="B66" s="59"/>
      <c r="C66" s="20"/>
      <c r="D66" s="70">
        <f>[1]Main!E43</f>
        <v>0</v>
      </c>
      <c r="E66" s="54">
        <f>IF($B42-SUM($E62:E65)&gt;D66,D66,$B42-SUM($E62:E65))</f>
        <v>0</v>
      </c>
      <c r="F66" s="54">
        <f>D66-E66</f>
        <v>0</v>
      </c>
      <c r="G66" s="1"/>
      <c r="H66" s="30"/>
      <c r="I66" s="30"/>
      <c r="J66" s="30"/>
    </row>
    <row r="67" spans="1:10" x14ac:dyDescent="0.2">
      <c r="A67" s="72" t="s">
        <v>73</v>
      </c>
      <c r="B67" s="59"/>
      <c r="C67" s="20"/>
      <c r="D67" s="54">
        <f>+[1]Main!$F159</f>
        <v>2144.8200000000002</v>
      </c>
      <c r="E67" s="54">
        <f>IF($B41-SUM($E61:E65)&gt;D67,D67,$B41-SUM($E61:E65))</f>
        <v>0</v>
      </c>
      <c r="F67" s="54">
        <f t="shared" si="1"/>
        <v>2144.8200000000002</v>
      </c>
      <c r="G67" s="1"/>
      <c r="H67" s="30"/>
      <c r="I67" s="30"/>
      <c r="J67" s="30"/>
    </row>
    <row r="68" spans="1:10" x14ac:dyDescent="0.2">
      <c r="A68" s="71" t="s">
        <v>74</v>
      </c>
      <c r="B68" s="59"/>
      <c r="C68" s="20"/>
      <c r="D68" s="54">
        <f>+[1]Main!$C101</f>
        <v>77867</v>
      </c>
      <c r="E68" s="54">
        <f>IF($B41-SUM($E61:E67)&gt;D68,D68,$B41-SUM($E61:E67))</f>
        <v>0</v>
      </c>
      <c r="F68" s="54">
        <f t="shared" si="1"/>
        <v>77867</v>
      </c>
      <c r="G68" s="1"/>
      <c r="H68" s="30"/>
      <c r="I68" s="30"/>
      <c r="J68" s="30"/>
    </row>
    <row r="69" spans="1:10" x14ac:dyDescent="0.2">
      <c r="A69" s="71" t="s">
        <v>75</v>
      </c>
      <c r="B69" s="59"/>
      <c r="C69" s="20"/>
      <c r="D69" s="54">
        <f>+[1]Main!$D101</f>
        <v>0</v>
      </c>
      <c r="E69" s="54">
        <f>IF($B41-SUM($E61:E68)&gt;D69,D69,$B41-SUM($E61:E68))</f>
        <v>0</v>
      </c>
      <c r="F69" s="54">
        <f t="shared" si="1"/>
        <v>0</v>
      </c>
      <c r="G69" s="1"/>
      <c r="H69" s="30"/>
      <c r="I69" s="30"/>
      <c r="J69" s="30"/>
    </row>
    <row r="70" spans="1:10" x14ac:dyDescent="0.2">
      <c r="A70" s="71" t="s">
        <v>76</v>
      </c>
      <c r="B70" s="59"/>
      <c r="C70" s="20"/>
      <c r="D70" s="54">
        <f>+[1]Main!$E101</f>
        <v>0</v>
      </c>
      <c r="E70" s="54">
        <f>IF($B41-SUM($E61:E69)&gt;D70,D70,$B41-SUM($E61:E69))</f>
        <v>0</v>
      </c>
      <c r="F70" s="54">
        <f t="shared" si="1"/>
        <v>0</v>
      </c>
      <c r="G70" s="1"/>
      <c r="H70" s="30"/>
      <c r="I70" s="30"/>
      <c r="J70" s="30"/>
    </row>
    <row r="71" spans="1:10" x14ac:dyDescent="0.2">
      <c r="A71" s="71" t="s">
        <v>77</v>
      </c>
      <c r="B71" s="59"/>
      <c r="C71" s="20"/>
      <c r="D71" s="54">
        <f>[1]Main!F101</f>
        <v>23062</v>
      </c>
      <c r="E71" s="54">
        <f>IF($B41-SUM($E61:E70)&gt;D71,D71,$B41-SUM($E61:E70))</f>
        <v>0</v>
      </c>
      <c r="F71" s="54">
        <f t="shared" si="1"/>
        <v>23062</v>
      </c>
      <c r="G71" s="1"/>
      <c r="H71" s="57" t="s">
        <v>48</v>
      </c>
      <c r="I71" s="30"/>
      <c r="J71" s="30"/>
    </row>
    <row r="72" spans="1:10" x14ac:dyDescent="0.2">
      <c r="A72" s="71" t="s">
        <v>79</v>
      </c>
      <c r="B72" s="59"/>
      <c r="C72" s="20"/>
      <c r="D72" s="54">
        <f>[1]Main!G101</f>
        <v>0</v>
      </c>
      <c r="E72" s="54">
        <f>IF($B41-SUM($E61:E71)&gt;D72,D72,$B41-SUM($E61:E71))</f>
        <v>0</v>
      </c>
      <c r="F72" s="54">
        <f t="shared" si="1"/>
        <v>0</v>
      </c>
      <c r="G72" s="1"/>
      <c r="H72" s="57"/>
      <c r="I72" s="30"/>
      <c r="J72" s="30"/>
    </row>
    <row r="73" spans="1:10" x14ac:dyDescent="0.2">
      <c r="A73" s="71" t="s">
        <v>78</v>
      </c>
      <c r="B73" s="59"/>
      <c r="C73" s="20"/>
      <c r="D73" s="54">
        <f>[1]Main!G159</f>
        <v>25639.41</v>
      </c>
      <c r="E73" s="54">
        <f>IF($B41-SUM($E61:E72)&gt;D73,D73,$B41-SUM($E61:E72))</f>
        <v>0</v>
      </c>
      <c r="F73" s="54">
        <f t="shared" si="1"/>
        <v>25639.41</v>
      </c>
      <c r="G73" s="1"/>
      <c r="H73" s="73">
        <f>+[1]Main!D217</f>
        <v>128713.23</v>
      </c>
      <c r="I73" s="30"/>
      <c r="J73" s="30"/>
    </row>
    <row r="74" spans="1:10" x14ac:dyDescent="0.2">
      <c r="A74" s="71" t="s">
        <v>80</v>
      </c>
      <c r="B74" s="59"/>
      <c r="C74" s="20"/>
      <c r="D74" s="54">
        <f>[1]Main!C217</f>
        <v>0</v>
      </c>
      <c r="E74" s="54"/>
      <c r="F74" s="54">
        <f t="shared" si="1"/>
        <v>0</v>
      </c>
      <c r="G74" s="1"/>
      <c r="H74" s="57">
        <f>+SUM(D67:D74)</f>
        <v>128713.23</v>
      </c>
      <c r="I74" s="30"/>
      <c r="J74" s="30"/>
    </row>
    <row r="75" spans="1:10" x14ac:dyDescent="0.2">
      <c r="A75" s="71" t="s">
        <v>81</v>
      </c>
      <c r="B75" s="59"/>
      <c r="C75" s="20"/>
      <c r="D75" s="54">
        <f>[1]Main!C275</f>
        <v>140226</v>
      </c>
      <c r="E75" s="54">
        <v>0</v>
      </c>
      <c r="F75" s="54">
        <f t="shared" si="1"/>
        <v>140226</v>
      </c>
      <c r="G75" s="1"/>
      <c r="H75" s="57">
        <f>+H73-H74</f>
        <v>0</v>
      </c>
      <c r="I75" s="30"/>
      <c r="J75" s="30"/>
    </row>
    <row r="76" spans="1:10" x14ac:dyDescent="0.2">
      <c r="A76" s="71" t="s">
        <v>82</v>
      </c>
      <c r="B76" s="59"/>
      <c r="C76" s="20"/>
      <c r="D76" s="54">
        <f>+[7]Main!I42+[7]Main!J42</f>
        <v>79666.14</v>
      </c>
      <c r="E76" s="74">
        <f>[7]Main!J42</f>
        <v>35592.67</v>
      </c>
      <c r="F76" s="54">
        <f t="shared" si="1"/>
        <v>44073.47</v>
      </c>
      <c r="G76" s="1"/>
      <c r="H76" s="30"/>
      <c r="I76" s="30"/>
      <c r="J76" s="30"/>
    </row>
    <row r="77" spans="1:10" x14ac:dyDescent="0.2">
      <c r="A77" s="71" t="s">
        <v>83</v>
      </c>
      <c r="B77" s="59"/>
      <c r="C77" s="20"/>
      <c r="D77" s="54">
        <f>[1]Main!F275</f>
        <v>35302</v>
      </c>
      <c r="E77" s="54">
        <v>0</v>
      </c>
      <c r="F77" s="54">
        <f t="shared" si="1"/>
        <v>35302</v>
      </c>
      <c r="G77" s="1"/>
      <c r="H77" s="30"/>
      <c r="I77" s="30"/>
      <c r="J77" s="30"/>
    </row>
    <row r="78" spans="1:10" x14ac:dyDescent="0.2">
      <c r="A78" s="71" t="s">
        <v>84</v>
      </c>
      <c r="B78" s="59"/>
      <c r="C78" s="7"/>
      <c r="D78" s="54">
        <f>[1]Main!E275</f>
        <v>4314.34</v>
      </c>
      <c r="E78" s="54">
        <v>0</v>
      </c>
      <c r="F78" s="54">
        <f t="shared" si="1"/>
        <v>4314.34</v>
      </c>
      <c r="G78" s="1"/>
      <c r="H78" s="57" t="s">
        <v>49</v>
      </c>
      <c r="I78" s="30"/>
      <c r="J78" s="30"/>
    </row>
    <row r="79" spans="1:10" x14ac:dyDescent="0.2">
      <c r="A79" s="71" t="s">
        <v>85</v>
      </c>
      <c r="B79" s="59"/>
      <c r="C79" s="7"/>
      <c r="D79" s="54">
        <f>[1]Main!G275</f>
        <v>10000</v>
      </c>
      <c r="E79" s="54">
        <v>0</v>
      </c>
      <c r="F79" s="54">
        <f t="shared" si="1"/>
        <v>10000</v>
      </c>
      <c r="G79" s="1"/>
      <c r="H79" s="57">
        <f>+[1]Main!C504</f>
        <v>446275.45</v>
      </c>
      <c r="I79" s="57"/>
      <c r="J79" s="57"/>
    </row>
    <row r="80" spans="1:10" x14ac:dyDescent="0.2">
      <c r="A80" s="71" t="s">
        <v>86</v>
      </c>
      <c r="B80" s="59"/>
      <c r="C80" s="20"/>
      <c r="D80" s="54">
        <f>[1]Main!C333</f>
        <v>0</v>
      </c>
      <c r="E80" s="54">
        <v>0</v>
      </c>
      <c r="F80" s="54">
        <f t="shared" si="1"/>
        <v>0</v>
      </c>
      <c r="G80" s="1"/>
      <c r="H80" s="57">
        <f>+SUM(D75:D85)-E76</f>
        <v>446275.45</v>
      </c>
      <c r="I80" s="57"/>
      <c r="J80" s="57">
        <f>+H80-H79</f>
        <v>0</v>
      </c>
    </row>
    <row r="81" spans="1:10" x14ac:dyDescent="0.2">
      <c r="A81" s="71" t="s">
        <v>87</v>
      </c>
      <c r="C81" s="8"/>
      <c r="D81" s="76">
        <f>[1]Main!D333</f>
        <v>181700.21</v>
      </c>
      <c r="E81" s="77">
        <v>0</v>
      </c>
      <c r="F81" s="77">
        <f t="shared" si="1"/>
        <v>181700.21</v>
      </c>
      <c r="G81" s="5"/>
      <c r="H81" s="57">
        <f>+H79-H80</f>
        <v>0</v>
      </c>
      <c r="I81" s="57"/>
      <c r="J81" s="57"/>
    </row>
    <row r="82" spans="1:10" x14ac:dyDescent="0.2">
      <c r="A82" s="71" t="s">
        <v>88</v>
      </c>
      <c r="B82" s="59"/>
      <c r="C82" s="20"/>
      <c r="D82" s="54">
        <f>+[1]Main!$E333</f>
        <v>1335.27</v>
      </c>
      <c r="E82" s="54">
        <v>0</v>
      </c>
      <c r="F82" s="54">
        <f>D82-E82</f>
        <v>1335.27</v>
      </c>
      <c r="G82" s="4"/>
      <c r="H82" s="30"/>
      <c r="I82" s="30"/>
      <c r="J82" s="30"/>
    </row>
    <row r="83" spans="1:10" x14ac:dyDescent="0.2">
      <c r="A83" s="71" t="s">
        <v>89</v>
      </c>
      <c r="B83" s="59"/>
      <c r="C83" s="20"/>
      <c r="D83" s="54">
        <f>[1]Main!F333</f>
        <v>0</v>
      </c>
      <c r="E83" s="54">
        <v>0</v>
      </c>
      <c r="F83" s="54">
        <f>D83-E83</f>
        <v>0</v>
      </c>
      <c r="G83" s="4"/>
      <c r="H83" s="30"/>
      <c r="I83" s="30"/>
      <c r="J83" s="30"/>
    </row>
    <row r="84" spans="1:10" x14ac:dyDescent="0.2">
      <c r="A84" s="71" t="s">
        <v>90</v>
      </c>
      <c r="B84" s="59"/>
      <c r="C84" s="20"/>
      <c r="D84" s="54">
        <f>[1]Main!G333</f>
        <v>0</v>
      </c>
      <c r="E84" s="54">
        <v>0</v>
      </c>
      <c r="F84" s="54">
        <f>D84-E84</f>
        <v>0</v>
      </c>
      <c r="G84" s="1"/>
      <c r="H84" s="57" t="s">
        <v>50</v>
      </c>
      <c r="I84" s="30"/>
      <c r="J84" s="30"/>
    </row>
    <row r="85" spans="1:10" x14ac:dyDescent="0.2">
      <c r="A85" s="71" t="s">
        <v>93</v>
      </c>
      <c r="B85" s="59"/>
      <c r="C85" s="20"/>
      <c r="D85" s="54">
        <f>[1]Main!F390</f>
        <v>29324.16</v>
      </c>
      <c r="E85" s="54">
        <v>0</v>
      </c>
      <c r="F85" s="54">
        <f>D85-E85</f>
        <v>29324.16</v>
      </c>
      <c r="G85" s="1"/>
      <c r="H85" s="57"/>
      <c r="I85" s="30"/>
      <c r="J85" s="30"/>
    </row>
    <row r="86" spans="1:10" x14ac:dyDescent="0.2">
      <c r="A86" s="55" t="s">
        <v>30</v>
      </c>
      <c r="B86" s="78"/>
      <c r="C86" s="79"/>
      <c r="D86" s="64"/>
      <c r="E86" s="64"/>
      <c r="F86" s="64"/>
      <c r="G86" s="1"/>
      <c r="H86" s="57"/>
      <c r="I86" s="30"/>
      <c r="J86" s="30"/>
    </row>
    <row r="87" spans="1:10" x14ac:dyDescent="0.2">
      <c r="A87" s="71" t="s">
        <v>60</v>
      </c>
      <c r="B87" s="59"/>
      <c r="C87" s="20"/>
      <c r="D87" s="54">
        <f>[1]Main!C447</f>
        <v>6659.43</v>
      </c>
      <c r="E87" s="54">
        <v>0</v>
      </c>
      <c r="F87" s="54">
        <f>D87-E87</f>
        <v>6659.43</v>
      </c>
      <c r="G87" s="1"/>
      <c r="H87" s="57">
        <f>+[1]Main!G447</f>
        <v>14988.93</v>
      </c>
      <c r="I87" s="30"/>
      <c r="J87" s="30"/>
    </row>
    <row r="88" spans="1:10" x14ac:dyDescent="0.2">
      <c r="A88" s="71" t="s">
        <v>63</v>
      </c>
      <c r="B88" s="59"/>
      <c r="C88" s="20"/>
      <c r="D88" s="54">
        <f>[1]Main!D447</f>
        <v>0</v>
      </c>
      <c r="E88" s="54">
        <v>0</v>
      </c>
      <c r="F88" s="54">
        <f>D88-E88</f>
        <v>0</v>
      </c>
      <c r="G88" s="4"/>
      <c r="H88" s="57">
        <f>SUM(D87:D90)</f>
        <v>14988.93</v>
      </c>
      <c r="I88" s="30"/>
      <c r="J88" s="30"/>
    </row>
    <row r="89" spans="1:10" x14ac:dyDescent="0.2">
      <c r="A89" s="71" t="s">
        <v>91</v>
      </c>
      <c r="B89" s="59"/>
      <c r="C89" s="20"/>
      <c r="D89" s="54">
        <f>[1]Main!E447</f>
        <v>0</v>
      </c>
      <c r="E89" s="54">
        <v>0</v>
      </c>
      <c r="F89" s="54">
        <f>D89-E89</f>
        <v>0</v>
      </c>
      <c r="G89" s="4"/>
      <c r="H89" s="57">
        <f>+H87-H88</f>
        <v>0</v>
      </c>
      <c r="I89" s="30"/>
      <c r="J89" s="30"/>
    </row>
    <row r="90" spans="1:10" x14ac:dyDescent="0.2">
      <c r="A90" s="71" t="s">
        <v>92</v>
      </c>
      <c r="B90" s="59"/>
      <c r="C90" s="20"/>
      <c r="D90" s="54">
        <f>[1]Main!F447</f>
        <v>8329.5</v>
      </c>
      <c r="E90" s="54">
        <v>0</v>
      </c>
      <c r="F90" s="54">
        <f>D90-E90</f>
        <v>8329.5</v>
      </c>
      <c r="G90" s="1"/>
      <c r="H90" s="30"/>
      <c r="I90" s="30"/>
      <c r="J90" s="30"/>
    </row>
    <row r="91" spans="1:10" x14ac:dyDescent="0.2">
      <c r="A91" s="55" t="s">
        <v>31</v>
      </c>
      <c r="B91" s="78"/>
      <c r="C91" s="79"/>
      <c r="D91" s="64"/>
      <c r="E91" s="64"/>
      <c r="F91" s="64"/>
      <c r="G91" s="1"/>
      <c r="H91" s="30"/>
      <c r="I91" s="30"/>
      <c r="J91" s="30"/>
    </row>
    <row r="92" spans="1:10" x14ac:dyDescent="0.2">
      <c r="A92" s="58" t="s">
        <v>69</v>
      </c>
      <c r="B92" s="59"/>
      <c r="C92" s="20"/>
      <c r="D92" s="54">
        <f>+[1]Main!$G560</f>
        <v>0</v>
      </c>
      <c r="E92" s="54">
        <f>+[1]Main!$D560</f>
        <v>0</v>
      </c>
      <c r="F92" s="54">
        <f>+D92-E92</f>
        <v>0</v>
      </c>
      <c r="G92" s="1"/>
      <c r="H92" s="30"/>
      <c r="I92" s="30"/>
      <c r="J92" s="30"/>
    </row>
    <row r="93" spans="1:10" x14ac:dyDescent="0.2">
      <c r="A93" s="59" t="s">
        <v>68</v>
      </c>
      <c r="B93" s="59"/>
      <c r="C93" s="20"/>
      <c r="D93" s="54">
        <f>+[1]Main!$G615</f>
        <v>183415.84</v>
      </c>
      <c r="E93" s="54">
        <f>+[1]Main!$D615</f>
        <v>141720.19</v>
      </c>
      <c r="F93" s="54">
        <f>+D93-E93</f>
        <v>41695.65</v>
      </c>
      <c r="G93" s="1"/>
      <c r="H93" s="30"/>
      <c r="I93" s="30"/>
      <c r="J93" s="30"/>
    </row>
    <row r="94" spans="1:10" ht="13.5" thickBot="1" x14ac:dyDescent="0.25">
      <c r="A94" s="80"/>
      <c r="B94" s="81"/>
      <c r="C94" s="82" t="s">
        <v>29</v>
      </c>
      <c r="D94" s="83">
        <f>SUM(D61:D93)</f>
        <v>4813974.12</v>
      </c>
      <c r="E94" s="83">
        <f>SUM(E61:E93)</f>
        <v>770765.86</v>
      </c>
      <c r="F94" s="83">
        <f>SUM(F61:F93)</f>
        <v>4043208.26</v>
      </c>
      <c r="G94" s="1"/>
      <c r="H94" s="30"/>
      <c r="I94" s="30"/>
      <c r="J94" s="30"/>
    </row>
    <row r="95" spans="1:10" ht="13.5" thickTop="1" x14ac:dyDescent="0.2">
      <c r="A95" s="84"/>
      <c r="B95" s="59"/>
      <c r="C95" s="85"/>
      <c r="D95" s="86"/>
      <c r="E95" s="86"/>
      <c r="F95" s="87"/>
      <c r="G95" s="1"/>
      <c r="H95" s="30"/>
      <c r="I95" s="30"/>
      <c r="J95" s="30"/>
    </row>
    <row r="96" spans="1:10" x14ac:dyDescent="0.2">
      <c r="A96" s="88" t="s">
        <v>40</v>
      </c>
      <c r="B96" s="78"/>
      <c r="C96" s="89"/>
      <c r="D96" s="90"/>
      <c r="E96" s="91"/>
      <c r="F96" s="92" t="s">
        <v>36</v>
      </c>
      <c r="G96" s="6"/>
      <c r="H96" s="57" t="s">
        <v>51</v>
      </c>
      <c r="I96" s="30"/>
      <c r="J96" s="57" t="s">
        <v>7</v>
      </c>
    </row>
    <row r="97" spans="1:10" x14ac:dyDescent="0.2">
      <c r="A97" s="93" t="s">
        <v>33</v>
      </c>
      <c r="B97" s="94"/>
      <c r="C97" s="95"/>
      <c r="D97" s="96"/>
      <c r="E97" s="96"/>
      <c r="F97" s="91"/>
      <c r="G97" s="6"/>
      <c r="H97" s="30"/>
      <c r="I97" s="30"/>
      <c r="J97" s="30"/>
    </row>
    <row r="98" spans="1:10" x14ac:dyDescent="0.2">
      <c r="A98" s="59" t="s">
        <v>34</v>
      </c>
      <c r="B98" s="59"/>
      <c r="C98" s="22"/>
      <c r="D98" s="27"/>
      <c r="E98" s="27"/>
      <c r="F98" s="97">
        <f>+[8]Main!$C43</f>
        <v>100000</v>
      </c>
      <c r="G98" s="5"/>
      <c r="H98" s="57">
        <f>+[1]Main!G671</f>
        <v>183415.84</v>
      </c>
      <c r="I98" s="30"/>
      <c r="J98" s="57">
        <f>+[1]Main!E671+[1]Main!F671</f>
        <v>41695.65</v>
      </c>
    </row>
    <row r="99" spans="1:10" x14ac:dyDescent="0.2">
      <c r="A99" s="59" t="s">
        <v>66</v>
      </c>
      <c r="B99" s="59"/>
      <c r="C99" s="22"/>
      <c r="D99" s="27"/>
      <c r="E99" s="27"/>
      <c r="F99" s="97">
        <f>+[8]Main!$D43</f>
        <v>0</v>
      </c>
      <c r="G99" s="5"/>
      <c r="H99" s="57">
        <f>+D92+D93</f>
        <v>183415.84</v>
      </c>
      <c r="I99" s="30"/>
      <c r="J99" s="57">
        <f>+F92+F93</f>
        <v>41695.65</v>
      </c>
    </row>
    <row r="100" spans="1:10" x14ac:dyDescent="0.2">
      <c r="A100" s="32" t="s">
        <v>65</v>
      </c>
      <c r="B100" s="32"/>
      <c r="C100" s="22"/>
      <c r="D100" s="28"/>
      <c r="E100" s="28"/>
      <c r="F100" s="97">
        <f>+[8]Main!$E43</f>
        <v>0</v>
      </c>
      <c r="G100" s="1"/>
      <c r="H100" s="57">
        <f>+H98-H99</f>
        <v>0</v>
      </c>
      <c r="I100" s="30"/>
      <c r="J100" s="57">
        <f>+J98-J99</f>
        <v>0</v>
      </c>
    </row>
    <row r="101" spans="1:10" x14ac:dyDescent="0.2">
      <c r="A101" s="32" t="s">
        <v>67</v>
      </c>
      <c r="B101" s="32"/>
      <c r="C101" s="22"/>
      <c r="D101" s="28"/>
      <c r="E101" s="28"/>
      <c r="F101" s="97">
        <f>+[8]Main!$F43</f>
        <v>0</v>
      </c>
      <c r="G101" s="1"/>
      <c r="H101" s="30"/>
      <c r="I101" s="30"/>
      <c r="J101" s="30"/>
    </row>
    <row r="102" spans="1:10" x14ac:dyDescent="0.2">
      <c r="A102" s="88" t="s">
        <v>35</v>
      </c>
      <c r="B102" s="78"/>
      <c r="C102" s="89"/>
      <c r="D102" s="90"/>
      <c r="E102" s="91"/>
      <c r="F102" s="54">
        <f>+[8]Main!$C101</f>
        <v>11709.82</v>
      </c>
      <c r="G102" s="1"/>
      <c r="H102" s="30"/>
      <c r="I102" s="30"/>
      <c r="J102" s="30"/>
    </row>
    <row r="103" spans="1:10" ht="13.5" thickBot="1" x14ac:dyDescent="0.25">
      <c r="A103" s="98"/>
      <c r="B103" s="99"/>
      <c r="C103" s="100" t="s">
        <v>29</v>
      </c>
      <c r="D103" s="101"/>
      <c r="E103" s="102"/>
      <c r="F103" s="103">
        <f>SUM(F98:F102)</f>
        <v>111709.82</v>
      </c>
      <c r="G103" s="1"/>
      <c r="H103" s="30"/>
      <c r="I103" s="30"/>
      <c r="J103" s="30"/>
    </row>
    <row r="104" spans="1:10" ht="13.5" thickBot="1" x14ac:dyDescent="0.25">
      <c r="A104" s="104"/>
      <c r="B104" s="105"/>
      <c r="C104" s="106" t="s">
        <v>53</v>
      </c>
      <c r="D104" s="107"/>
      <c r="E104" s="108"/>
      <c r="F104" s="109">
        <f>+F103+F94</f>
        <v>4154918.08</v>
      </c>
      <c r="G104" s="1"/>
      <c r="H104" s="57" t="s">
        <v>54</v>
      </c>
      <c r="I104" s="30"/>
      <c r="J104" s="30"/>
    </row>
    <row r="105" spans="1:10" x14ac:dyDescent="0.2">
      <c r="A105" s="11"/>
      <c r="B105" s="12"/>
      <c r="C105" s="9"/>
      <c r="D105" s="29"/>
      <c r="E105" s="29"/>
      <c r="F105" s="110"/>
      <c r="G105" s="1"/>
      <c r="H105" s="57">
        <f>+[8]Main!$G43</f>
        <v>100000</v>
      </c>
      <c r="I105" s="30"/>
      <c r="J105" s="30"/>
    </row>
    <row r="106" spans="1:10" x14ac:dyDescent="0.2">
      <c r="A106" s="11"/>
      <c r="B106" s="12"/>
      <c r="C106" s="9"/>
      <c r="D106" s="29"/>
      <c r="E106" s="29"/>
      <c r="F106" s="110"/>
      <c r="G106" s="1"/>
      <c r="H106" s="57">
        <f>SUM(F98:F101)</f>
        <v>100000</v>
      </c>
      <c r="I106" s="30"/>
      <c r="J106" s="30"/>
    </row>
    <row r="107" spans="1:10" x14ac:dyDescent="0.2">
      <c r="A107" s="1"/>
      <c r="B107" s="1"/>
      <c r="C107" s="7"/>
      <c r="D107" s="26"/>
      <c r="E107" s="26"/>
      <c r="F107" s="86">
        <f>+F103+F94</f>
        <v>4154918.08</v>
      </c>
      <c r="G107" s="1"/>
      <c r="H107" s="57">
        <f>+H105-H106</f>
        <v>0</v>
      </c>
      <c r="I107" s="30"/>
      <c r="J107" s="30"/>
    </row>
    <row r="108" spans="1:10" x14ac:dyDescent="0.2">
      <c r="A108" s="1"/>
      <c r="B108" s="1"/>
      <c r="C108" s="7"/>
      <c r="D108" s="26"/>
      <c r="E108" s="26"/>
      <c r="F108" s="86">
        <f>+[1]Main!$F787</f>
        <v>4154918.09</v>
      </c>
      <c r="G108" s="1"/>
      <c r="H108" s="30"/>
      <c r="I108" s="30"/>
      <c r="J108" s="30"/>
    </row>
    <row r="109" spans="1:10" x14ac:dyDescent="0.2">
      <c r="A109" s="1"/>
      <c r="B109" s="1"/>
      <c r="C109" s="7"/>
      <c r="D109" s="26"/>
      <c r="E109" s="86">
        <f>+E94+[1]Main!$E787</f>
        <v>0</v>
      </c>
      <c r="F109" s="86">
        <f>+F108-F107</f>
        <v>0.01</v>
      </c>
      <c r="G109" s="1"/>
      <c r="H109" s="30"/>
      <c r="I109" s="30"/>
      <c r="J109" s="30"/>
    </row>
    <row r="110" spans="1:10" x14ac:dyDescent="0.2">
      <c r="A110" s="59"/>
      <c r="B110" s="59"/>
      <c r="C110" s="85"/>
      <c r="D110" s="86"/>
      <c r="E110" s="86"/>
      <c r="F110" s="86"/>
      <c r="G110" s="59"/>
      <c r="H110" s="57"/>
      <c r="I110" s="57"/>
      <c r="J110" s="57"/>
    </row>
    <row r="111" spans="1:10" x14ac:dyDescent="0.2">
      <c r="A111" s="59"/>
      <c r="B111" s="59"/>
      <c r="C111" s="85"/>
      <c r="D111" s="86"/>
      <c r="E111" s="86"/>
      <c r="F111" s="86"/>
      <c r="G111" s="59"/>
      <c r="H111" s="57"/>
      <c r="I111" s="57"/>
      <c r="J111" s="57"/>
    </row>
    <row r="112" spans="1:10" x14ac:dyDescent="0.2">
      <c r="A112" s="59"/>
      <c r="B112" s="59"/>
      <c r="C112" s="85"/>
      <c r="D112" s="86"/>
      <c r="E112" s="86"/>
      <c r="F112" s="86"/>
      <c r="G112" s="59"/>
      <c r="H112" s="111" t="s">
        <v>55</v>
      </c>
      <c r="I112" s="57"/>
      <c r="J112" s="57"/>
    </row>
    <row r="113" spans="7:10" x14ac:dyDescent="0.2">
      <c r="G113" s="59"/>
      <c r="H113" s="113"/>
      <c r="I113" s="112"/>
      <c r="J113" s="112"/>
    </row>
    <row r="114" spans="7:10" x14ac:dyDescent="0.2">
      <c r="G114" s="59"/>
      <c r="H114" s="112"/>
      <c r="I114" s="112"/>
      <c r="J114" s="112"/>
    </row>
    <row r="115" spans="7:10" x14ac:dyDescent="0.2">
      <c r="G115" s="59"/>
      <c r="H115" s="112"/>
      <c r="I115" s="112"/>
      <c r="J115" s="112"/>
    </row>
    <row r="116" spans="7:10" x14ac:dyDescent="0.2">
      <c r="G116" s="59"/>
      <c r="H116" s="112"/>
      <c r="I116" s="112"/>
      <c r="J116" s="112"/>
    </row>
    <row r="117" spans="7:10" x14ac:dyDescent="0.2">
      <c r="G117" s="59"/>
      <c r="H117" s="112"/>
      <c r="I117" s="112"/>
      <c r="J117" s="112"/>
    </row>
    <row r="118" spans="7:10" x14ac:dyDescent="0.2">
      <c r="G118" s="59"/>
      <c r="H118" s="71"/>
      <c r="I118" s="112"/>
      <c r="J118" s="112"/>
    </row>
  </sheetData>
  <mergeCells count="1">
    <mergeCell ref="D37:E37"/>
  </mergeCells>
  <phoneticPr fontId="0" type="noConversion"/>
  <printOptions horizontalCentered="1" verticalCentered="1"/>
  <pageMargins left="0.5" right="0.25" top="0.5" bottom="0.5" header="0.5" footer="0.5"/>
  <pageSetup scale="89" orientation="portrait" horizontalDpi="1200" r:id="rId1"/>
  <headerFooter alignWithMargins="0">
    <oddHeader>&amp;R&amp;8Current as of: &amp;D</oddHeader>
    <oddFooter>&amp;L&amp;8USOE, Finance and Statistics&amp;R&amp;8&amp;F</oddFooter>
  </headerFooter>
  <picture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A1:J119"/>
  <sheetViews>
    <sheetView topLeftCell="A67" workbookViewId="0">
      <selection activeCell="B42" sqref="B42"/>
    </sheetView>
  </sheetViews>
  <sheetFormatPr defaultColWidth="18.28515625" defaultRowHeight="12.75" x14ac:dyDescent="0.2"/>
  <cols>
    <col min="1" max="1" width="27" style="75" customWidth="1"/>
    <col min="2" max="2" width="16.7109375" style="75" customWidth="1"/>
    <col min="3" max="3" width="15.85546875" style="75" customWidth="1"/>
    <col min="4" max="4" width="16.28515625" style="75" customWidth="1"/>
    <col min="5" max="5" width="15.5703125" style="75" customWidth="1"/>
    <col min="6" max="6" width="17.42578125" style="75" customWidth="1"/>
    <col min="7" max="7" width="5.7109375" style="75" customWidth="1"/>
    <col min="8" max="8" width="21.5703125" style="75" customWidth="1"/>
    <col min="9" max="9" width="5" style="75" customWidth="1"/>
    <col min="10" max="10" width="20.85546875" style="75" customWidth="1"/>
    <col min="11" max="16384" width="18.28515625" style="75"/>
  </cols>
  <sheetData>
    <row r="1" spans="1:10" x14ac:dyDescent="0.2">
      <c r="A1" s="8"/>
      <c r="B1" s="8"/>
      <c r="C1" s="8"/>
      <c r="D1" s="8"/>
      <c r="E1" s="8"/>
      <c r="F1" s="8"/>
      <c r="G1" s="8"/>
      <c r="H1" s="8"/>
      <c r="I1" s="8"/>
      <c r="J1" s="8"/>
    </row>
    <row r="2" spans="1:10" x14ac:dyDescent="0.2">
      <c r="A2" s="8"/>
      <c r="B2" s="8"/>
      <c r="C2" s="8"/>
      <c r="D2" s="8"/>
      <c r="E2" s="8"/>
      <c r="F2" s="8"/>
      <c r="G2" s="8"/>
      <c r="H2" s="8"/>
      <c r="I2" s="8"/>
      <c r="J2" s="8"/>
    </row>
    <row r="3" spans="1:10" x14ac:dyDescent="0.2">
      <c r="A3" s="8"/>
      <c r="B3" s="8"/>
      <c r="C3" s="8"/>
      <c r="D3" s="8"/>
      <c r="E3" s="8"/>
      <c r="F3" s="8"/>
      <c r="G3" s="8"/>
      <c r="H3" s="8"/>
      <c r="I3" s="8"/>
      <c r="J3" s="8"/>
    </row>
    <row r="4" spans="1:10" x14ac:dyDescent="0.2">
      <c r="A4" s="8"/>
      <c r="B4" s="8"/>
      <c r="C4" s="8"/>
      <c r="D4" s="8"/>
      <c r="E4" s="8"/>
      <c r="F4" s="8"/>
      <c r="G4" s="8"/>
      <c r="H4" s="8"/>
      <c r="I4" s="8"/>
      <c r="J4" s="8"/>
    </row>
    <row r="5" spans="1:10" x14ac:dyDescent="0.2">
      <c r="A5" s="8"/>
      <c r="B5" s="8"/>
      <c r="C5" s="8"/>
      <c r="D5" s="8"/>
      <c r="E5" s="8"/>
      <c r="F5" s="8"/>
      <c r="G5" s="8"/>
      <c r="H5" s="8"/>
      <c r="I5" s="8"/>
      <c r="J5" s="8"/>
    </row>
    <row r="6" spans="1:10" x14ac:dyDescent="0.2">
      <c r="A6" s="8"/>
      <c r="B6" s="8"/>
      <c r="C6" s="8"/>
      <c r="D6" s="8"/>
      <c r="E6" s="8"/>
      <c r="F6" s="8"/>
      <c r="G6" s="8"/>
      <c r="H6" s="8"/>
      <c r="I6" s="8"/>
      <c r="J6" s="8"/>
    </row>
    <row r="7" spans="1:10" x14ac:dyDescent="0.2">
      <c r="A7" s="8"/>
      <c r="B7" s="8"/>
      <c r="C7" s="8"/>
      <c r="D7" s="8"/>
      <c r="E7" s="8"/>
      <c r="F7" s="8"/>
      <c r="G7" s="8"/>
      <c r="H7" s="8"/>
      <c r="I7" s="8"/>
      <c r="J7" s="8"/>
    </row>
    <row r="8" spans="1:10" x14ac:dyDescent="0.2">
      <c r="A8" s="8"/>
      <c r="B8" s="8"/>
      <c r="C8" s="8"/>
      <c r="D8" s="8"/>
      <c r="E8" s="8"/>
      <c r="F8" s="8"/>
      <c r="G8" s="8"/>
      <c r="H8" s="8"/>
      <c r="I8" s="8"/>
      <c r="J8" s="8"/>
    </row>
    <row r="9" spans="1:10" x14ac:dyDescent="0.2">
      <c r="A9" s="8"/>
      <c r="B9" s="8"/>
      <c r="C9" s="8"/>
      <c r="D9" s="8"/>
      <c r="E9" s="8"/>
      <c r="F9" s="8"/>
      <c r="G9" s="8"/>
      <c r="H9" s="8"/>
      <c r="I9" s="8"/>
      <c r="J9" s="8"/>
    </row>
    <row r="10" spans="1:10" x14ac:dyDescent="0.2">
      <c r="A10" s="8"/>
      <c r="B10" s="15"/>
      <c r="C10" s="8"/>
      <c r="D10" s="8"/>
      <c r="E10" s="8"/>
      <c r="F10" s="8"/>
      <c r="G10" s="8"/>
      <c r="H10" s="8"/>
      <c r="I10" s="8"/>
      <c r="J10" s="8"/>
    </row>
    <row r="11" spans="1:10" x14ac:dyDescent="0.2">
      <c r="A11" s="8"/>
      <c r="B11" s="8"/>
      <c r="C11" s="8"/>
      <c r="D11" s="8"/>
      <c r="E11" s="8"/>
      <c r="F11" s="8"/>
      <c r="G11" s="8"/>
      <c r="H11" s="8"/>
      <c r="I11" s="8"/>
      <c r="J11" s="8"/>
    </row>
    <row r="12" spans="1:10" x14ac:dyDescent="0.2">
      <c r="A12" s="8"/>
      <c r="B12" s="8"/>
      <c r="C12" s="8"/>
      <c r="D12" s="8"/>
      <c r="E12" s="8"/>
      <c r="F12" s="8"/>
      <c r="G12" s="8"/>
      <c r="H12" s="8"/>
      <c r="I12" s="8"/>
      <c r="J12" s="8"/>
    </row>
    <row r="13" spans="1:10" x14ac:dyDescent="0.2">
      <c r="A13" s="8"/>
      <c r="B13" s="8"/>
      <c r="C13" s="8"/>
      <c r="D13" s="8"/>
      <c r="E13" s="8"/>
      <c r="F13" s="8"/>
      <c r="G13" s="8"/>
      <c r="H13" s="8"/>
      <c r="I13" s="8"/>
      <c r="J13" s="8"/>
    </row>
    <row r="14" spans="1:10" x14ac:dyDescent="0.2">
      <c r="A14" s="8"/>
      <c r="B14" s="8"/>
      <c r="C14" s="8"/>
      <c r="D14" s="8"/>
      <c r="E14" s="8"/>
      <c r="F14" s="8"/>
      <c r="G14" s="8"/>
      <c r="H14" s="8"/>
      <c r="I14" s="8"/>
      <c r="J14" s="8"/>
    </row>
    <row r="15" spans="1:10" x14ac:dyDescent="0.2">
      <c r="A15" s="8"/>
      <c r="B15" s="8"/>
      <c r="C15" s="8"/>
      <c r="D15" s="8"/>
      <c r="E15" s="8"/>
      <c r="F15" s="8"/>
      <c r="G15" s="8"/>
      <c r="H15" s="8"/>
      <c r="I15" s="8"/>
      <c r="J15" s="8"/>
    </row>
    <row r="16" spans="1:10" x14ac:dyDescent="0.2">
      <c r="A16" s="8"/>
      <c r="B16" s="8"/>
      <c r="C16" s="8"/>
      <c r="D16" s="8"/>
      <c r="E16" s="8"/>
      <c r="F16" s="8"/>
      <c r="G16" s="8"/>
      <c r="H16" s="8"/>
      <c r="I16" s="8"/>
      <c r="J16" s="8"/>
    </row>
    <row r="17" spans="1:10" x14ac:dyDescent="0.2">
      <c r="A17" s="8"/>
      <c r="B17" s="8"/>
      <c r="C17" s="8"/>
      <c r="D17" s="8"/>
      <c r="E17" s="8"/>
      <c r="F17" s="8"/>
      <c r="G17" s="8"/>
      <c r="H17" s="8"/>
      <c r="I17" s="8"/>
      <c r="J17" s="8"/>
    </row>
    <row r="18" spans="1:10" x14ac:dyDescent="0.2">
      <c r="A18" s="8"/>
      <c r="B18" s="8"/>
      <c r="C18" s="8"/>
      <c r="D18" s="8"/>
      <c r="E18" s="8"/>
      <c r="F18" s="8"/>
      <c r="G18" s="8"/>
      <c r="H18" s="8"/>
      <c r="I18" s="8"/>
      <c r="J18" s="8"/>
    </row>
    <row r="19" spans="1:10" x14ac:dyDescent="0.2">
      <c r="A19" s="8"/>
      <c r="B19" s="8"/>
      <c r="C19" s="8"/>
      <c r="D19" s="8"/>
      <c r="E19" s="8"/>
      <c r="F19" s="8"/>
      <c r="G19" s="8"/>
      <c r="H19" s="8"/>
      <c r="I19" s="8"/>
      <c r="J19" s="8"/>
    </row>
    <row r="20" spans="1:10" x14ac:dyDescent="0.2">
      <c r="A20" s="8"/>
      <c r="B20" s="8"/>
      <c r="C20" s="8"/>
      <c r="D20" s="8"/>
      <c r="E20" s="8"/>
      <c r="F20" s="8"/>
      <c r="G20" s="8"/>
      <c r="H20" s="8"/>
      <c r="I20" s="8"/>
      <c r="J20" s="8"/>
    </row>
    <row r="21" spans="1:10" x14ac:dyDescent="0.2">
      <c r="A21" s="8"/>
      <c r="B21" s="8"/>
      <c r="C21" s="8"/>
      <c r="D21" s="8"/>
      <c r="E21" s="8"/>
      <c r="F21" s="8"/>
      <c r="G21" s="8"/>
      <c r="H21" s="8"/>
      <c r="I21" s="8"/>
      <c r="J21" s="8"/>
    </row>
    <row r="22" spans="1:10" x14ac:dyDescent="0.2">
      <c r="A22" s="8"/>
      <c r="B22" s="8"/>
      <c r="C22" s="8"/>
      <c r="D22" s="8"/>
      <c r="E22" s="8"/>
      <c r="F22" s="8"/>
      <c r="G22" s="8"/>
      <c r="H22" s="8"/>
      <c r="I22" s="8"/>
      <c r="J22" s="8"/>
    </row>
    <row r="23" spans="1:10" x14ac:dyDescent="0.2">
      <c r="A23" s="8"/>
      <c r="B23" s="8"/>
      <c r="C23" s="8"/>
      <c r="D23" s="8"/>
      <c r="E23" s="8"/>
      <c r="F23" s="8"/>
      <c r="G23" s="8"/>
      <c r="H23" s="8"/>
      <c r="I23" s="8"/>
      <c r="J23" s="8"/>
    </row>
    <row r="24" spans="1:10" x14ac:dyDescent="0.2">
      <c r="A24" s="8"/>
      <c r="B24" s="8"/>
      <c r="C24" s="8"/>
      <c r="D24" s="8"/>
      <c r="E24" s="8"/>
      <c r="F24" s="8"/>
      <c r="G24" s="8"/>
      <c r="H24" s="8"/>
      <c r="I24" s="8"/>
      <c r="J24" s="8"/>
    </row>
    <row r="25" spans="1:10" x14ac:dyDescent="0.2">
      <c r="A25" s="8"/>
      <c r="B25" s="8"/>
      <c r="C25" s="8"/>
      <c r="D25" s="8"/>
      <c r="E25" s="8"/>
      <c r="F25" s="8"/>
      <c r="G25" s="8"/>
      <c r="H25" s="8"/>
      <c r="I25" s="8"/>
      <c r="J25" s="8"/>
    </row>
    <row r="26" spans="1:10" x14ac:dyDescent="0.2">
      <c r="A26" s="8"/>
      <c r="B26" s="8"/>
      <c r="C26" s="8"/>
      <c r="D26" s="8"/>
      <c r="E26" s="8"/>
      <c r="F26" s="8"/>
      <c r="G26" s="8"/>
      <c r="H26" s="8"/>
      <c r="I26" s="8"/>
      <c r="J26" s="8"/>
    </row>
    <row r="27" spans="1:10" x14ac:dyDescent="0.2">
      <c r="A27" s="8"/>
      <c r="B27" s="8"/>
      <c r="C27" s="8"/>
      <c r="D27" s="8"/>
      <c r="E27" s="8"/>
      <c r="F27" s="8"/>
      <c r="G27" s="8"/>
      <c r="H27" s="8"/>
      <c r="I27" s="8"/>
      <c r="J27" s="8"/>
    </row>
    <row r="28" spans="1:10" x14ac:dyDescent="0.2">
      <c r="A28" s="8"/>
      <c r="B28" s="8"/>
      <c r="C28" s="8"/>
      <c r="D28" s="8"/>
      <c r="E28" s="8"/>
      <c r="F28" s="8"/>
      <c r="G28" s="8"/>
      <c r="H28" s="8"/>
      <c r="I28" s="8"/>
      <c r="J28" s="8"/>
    </row>
    <row r="29" spans="1:10" x14ac:dyDescent="0.2">
      <c r="A29" s="8"/>
      <c r="B29" s="8"/>
      <c r="C29" s="8"/>
      <c r="D29" s="8"/>
      <c r="E29" s="8"/>
      <c r="F29" s="8"/>
      <c r="G29" s="8"/>
      <c r="H29" s="8"/>
      <c r="I29" s="8"/>
      <c r="J29" s="8"/>
    </row>
    <row r="30" spans="1:10" x14ac:dyDescent="0.2">
      <c r="A30" s="8"/>
      <c r="B30" s="8"/>
      <c r="C30" s="8"/>
      <c r="D30" s="8"/>
      <c r="E30" s="8"/>
      <c r="F30" s="8"/>
      <c r="G30" s="8"/>
      <c r="H30" s="8"/>
      <c r="I30" s="8"/>
      <c r="J30" s="8"/>
    </row>
    <row r="31" spans="1:10" x14ac:dyDescent="0.2">
      <c r="A31" s="8"/>
      <c r="B31" s="8"/>
      <c r="C31" s="8"/>
      <c r="D31" s="8"/>
      <c r="E31" s="8"/>
      <c r="F31" s="8"/>
      <c r="G31" s="8"/>
      <c r="H31" s="8"/>
      <c r="I31" s="8"/>
      <c r="J31" s="8"/>
    </row>
    <row r="32" spans="1:10" x14ac:dyDescent="0.2">
      <c r="A32" s="8"/>
      <c r="B32" s="8"/>
      <c r="C32" s="8"/>
      <c r="D32" s="8"/>
      <c r="E32" s="8"/>
      <c r="F32" s="8"/>
      <c r="G32" s="8"/>
      <c r="H32" s="8"/>
      <c r="I32" s="8"/>
      <c r="J32" s="8"/>
    </row>
    <row r="33" spans="1:10" x14ac:dyDescent="0.2">
      <c r="A33" s="8"/>
      <c r="B33" s="8"/>
      <c r="C33" s="8"/>
      <c r="D33" s="8"/>
      <c r="E33" s="8"/>
      <c r="F33" s="8"/>
      <c r="G33" s="8"/>
      <c r="H33" s="8"/>
      <c r="I33" s="8"/>
      <c r="J33" s="8"/>
    </row>
    <row r="34" spans="1:10" x14ac:dyDescent="0.2">
      <c r="A34" s="8"/>
      <c r="B34" s="8"/>
      <c r="C34" s="8"/>
      <c r="D34" s="8"/>
      <c r="E34" s="8"/>
      <c r="F34" s="8"/>
      <c r="G34" s="8"/>
      <c r="H34" s="8"/>
      <c r="I34" s="8"/>
      <c r="J34" s="8"/>
    </row>
    <row r="35" spans="1:10" x14ac:dyDescent="0.2">
      <c r="A35" s="32" t="s">
        <v>0</v>
      </c>
      <c r="B35" s="33">
        <v>3184</v>
      </c>
      <c r="C35" s="34" t="s">
        <v>1</v>
      </c>
      <c r="D35" s="35"/>
      <c r="E35" s="35"/>
      <c r="F35" s="35"/>
      <c r="G35" s="1"/>
      <c r="H35" s="30"/>
      <c r="I35" s="30"/>
      <c r="J35" s="30"/>
    </row>
    <row r="36" spans="1:10" x14ac:dyDescent="0.2">
      <c r="A36" s="32" t="s">
        <v>61</v>
      </c>
      <c r="B36" s="36">
        <f>+[1]Main!$C561</f>
        <v>1.1230000000000001E-3</v>
      </c>
      <c r="C36" s="34" t="s">
        <v>41</v>
      </c>
      <c r="D36" s="35"/>
      <c r="E36" s="35"/>
      <c r="F36" s="35"/>
      <c r="G36" s="1"/>
      <c r="H36" s="30"/>
      <c r="I36" s="30"/>
      <c r="J36" s="30"/>
    </row>
    <row r="37" spans="1:10" x14ac:dyDescent="0.2">
      <c r="A37" s="32" t="s">
        <v>62</v>
      </c>
      <c r="B37" s="36">
        <f>+[1]Main!$C616</f>
        <v>1.168E-3</v>
      </c>
      <c r="C37" s="34" t="s">
        <v>95</v>
      </c>
      <c r="D37" s="35"/>
      <c r="E37" s="37"/>
      <c r="F37" s="35"/>
      <c r="G37" s="1"/>
      <c r="H37" s="30"/>
      <c r="I37" s="30"/>
      <c r="J37" s="30"/>
    </row>
    <row r="38" spans="1:10" x14ac:dyDescent="0.2">
      <c r="A38" s="38" t="s">
        <v>32</v>
      </c>
      <c r="B38" s="39">
        <f>[2]Sheet1!E43</f>
        <v>9093671761</v>
      </c>
      <c r="C38" s="21"/>
      <c r="D38" s="31"/>
      <c r="E38" s="31"/>
      <c r="F38" s="23"/>
      <c r="G38" s="1"/>
      <c r="H38" s="30"/>
      <c r="I38" s="30"/>
      <c r="J38" s="30"/>
    </row>
    <row r="39" spans="1:10" x14ac:dyDescent="0.2">
      <c r="A39" s="32" t="s">
        <v>2</v>
      </c>
      <c r="B39" s="40">
        <f>[2]Sheet1!F43</f>
        <v>0.94940000000000002</v>
      </c>
      <c r="C39" s="7"/>
      <c r="D39" s="41" t="s">
        <v>3</v>
      </c>
      <c r="E39" s="42" t="str">
        <f>+[3]main!B44</f>
        <v>Weber</v>
      </c>
      <c r="F39" s="43">
        <f>+[3]main!A44</f>
        <v>35</v>
      </c>
      <c r="G39" s="1"/>
      <c r="H39" s="30"/>
      <c r="I39" s="30"/>
      <c r="J39" s="30"/>
    </row>
    <row r="40" spans="1:10" x14ac:dyDescent="0.2">
      <c r="A40" s="32" t="s">
        <v>4</v>
      </c>
      <c r="B40" s="44">
        <f>[2]Sheet1!G43</f>
        <v>1.6750000000000001E-3</v>
      </c>
      <c r="C40" s="8"/>
      <c r="D40" s="24"/>
      <c r="E40" s="25"/>
      <c r="F40" s="24"/>
      <c r="G40" s="1"/>
      <c r="H40" s="30"/>
      <c r="I40" s="30"/>
      <c r="J40" s="30"/>
    </row>
    <row r="41" spans="1:10" x14ac:dyDescent="0.2">
      <c r="A41" s="32" t="s">
        <v>5</v>
      </c>
      <c r="B41" s="45">
        <f>[2]Sheet1!$C$99</f>
        <v>16351670</v>
      </c>
      <c r="C41" s="46"/>
      <c r="D41" s="47" t="s">
        <v>38</v>
      </c>
      <c r="E41" s="48" t="s">
        <v>7</v>
      </c>
      <c r="F41" s="47" t="s">
        <v>6</v>
      </c>
      <c r="G41" s="1"/>
      <c r="H41" s="30"/>
      <c r="I41" s="30"/>
      <c r="J41" s="30"/>
    </row>
    <row r="42" spans="1:10" x14ac:dyDescent="0.2">
      <c r="A42" s="32" t="s">
        <v>8</v>
      </c>
      <c r="B42" s="45">
        <f>+B41</f>
        <v>16351670</v>
      </c>
      <c r="C42" s="49"/>
      <c r="D42" s="50" t="s">
        <v>9</v>
      </c>
      <c r="E42" s="50" t="s">
        <v>37</v>
      </c>
      <c r="F42" s="50" t="s">
        <v>10</v>
      </c>
      <c r="G42" s="1"/>
      <c r="H42" s="30"/>
      <c r="I42" s="30"/>
      <c r="J42" s="30"/>
    </row>
    <row r="43" spans="1:10" x14ac:dyDescent="0.2">
      <c r="A43" s="32" t="s">
        <v>11</v>
      </c>
      <c r="B43" s="45">
        <v>0</v>
      </c>
      <c r="C43" s="51" t="s">
        <v>39</v>
      </c>
      <c r="D43" s="52" t="s">
        <v>12</v>
      </c>
      <c r="E43" s="52" t="s">
        <v>9</v>
      </c>
      <c r="F43" s="52" t="s">
        <v>9</v>
      </c>
      <c r="G43" s="1"/>
      <c r="H43" s="30"/>
      <c r="I43" s="30"/>
      <c r="J43" s="30"/>
    </row>
    <row r="44" spans="1:10" x14ac:dyDescent="0.2">
      <c r="A44" s="32" t="s">
        <v>70</v>
      </c>
      <c r="B44" s="45">
        <f>'[4]LRF FY17'!U41</f>
        <v>757173</v>
      </c>
      <c r="C44" s="53"/>
      <c r="D44" s="54"/>
      <c r="E44" s="54"/>
      <c r="F44" s="54" t="s">
        <v>14</v>
      </c>
      <c r="G44" s="1"/>
      <c r="H44" s="30"/>
      <c r="I44" s="30"/>
      <c r="J44" s="30"/>
    </row>
    <row r="45" spans="1:10" x14ac:dyDescent="0.2">
      <c r="A45" s="55" t="s">
        <v>13</v>
      </c>
      <c r="B45" s="56"/>
      <c r="C45" s="53"/>
      <c r="D45" s="54"/>
      <c r="E45" s="54"/>
      <c r="F45" s="54"/>
      <c r="G45" s="2"/>
      <c r="H45" s="30"/>
      <c r="I45" s="30"/>
      <c r="J45" s="30"/>
    </row>
    <row r="46" spans="1:10" x14ac:dyDescent="0.2">
      <c r="A46" s="55" t="s">
        <v>15</v>
      </c>
      <c r="B46" s="56"/>
      <c r="C46" s="53"/>
      <c r="D46" s="54"/>
      <c r="E46" s="54"/>
      <c r="F46" s="54"/>
      <c r="G46" s="2"/>
      <c r="H46" s="57" t="s">
        <v>43</v>
      </c>
      <c r="I46" s="30"/>
      <c r="J46" s="57" t="s">
        <v>45</v>
      </c>
    </row>
    <row r="47" spans="1:10" x14ac:dyDescent="0.2">
      <c r="A47" s="58" t="s">
        <v>16</v>
      </c>
      <c r="B47" s="59"/>
      <c r="C47" s="60">
        <f>[3]main!C218-[3]main!F160</f>
        <v>29671.327000000001</v>
      </c>
      <c r="D47" s="61">
        <f>[3]main!E218-[3]main!H160</f>
        <v>94473504.579999998</v>
      </c>
      <c r="E47" s="62">
        <f>IF(B42&gt;D47,D47,B42)</f>
        <v>16351670</v>
      </c>
      <c r="F47" s="62">
        <f>D47-E47</f>
        <v>78121834.579999998</v>
      </c>
      <c r="G47" s="1"/>
      <c r="H47" s="57">
        <f>[3]main!H277</f>
        <v>104021275.90000001</v>
      </c>
      <c r="I47" s="30"/>
      <c r="J47" s="57">
        <f>'[5]Sheet 1'!E101</f>
        <v>134107837.84</v>
      </c>
    </row>
    <row r="48" spans="1:10" x14ac:dyDescent="0.2">
      <c r="A48" s="58" t="s">
        <v>17</v>
      </c>
      <c r="B48" s="59"/>
      <c r="C48" s="53">
        <f>[3]main!F160</f>
        <v>82.733000000000004</v>
      </c>
      <c r="D48" s="54">
        <f>[3]main!H160</f>
        <v>263420.62</v>
      </c>
      <c r="E48" s="54">
        <f>IF(B41-SUM(E45:E47)&gt;D48,D48,B41-SUM(E45:E47))</f>
        <v>0</v>
      </c>
      <c r="F48" s="54">
        <f>D48-E48</f>
        <v>263420.62</v>
      </c>
      <c r="G48" s="1"/>
      <c r="H48" s="57">
        <f>SUM(D47:D51)</f>
        <v>104021275.90000001</v>
      </c>
      <c r="I48" s="30"/>
      <c r="J48" s="57">
        <f>D62</f>
        <v>134107837.84</v>
      </c>
    </row>
    <row r="49" spans="1:10" x14ac:dyDescent="0.2">
      <c r="A49" s="58" t="s">
        <v>18</v>
      </c>
      <c r="B49" s="59"/>
      <c r="C49" s="53">
        <f>[3]main!F218</f>
        <v>2897.9389999999999</v>
      </c>
      <c r="D49" s="54">
        <f>[3]main!H218</f>
        <v>9227038.6999999993</v>
      </c>
      <c r="E49" s="54">
        <f>IF(B42-SUM(E47:E48)&gt;D49,D49,B42-SUM(E47:E48))</f>
        <v>0</v>
      </c>
      <c r="F49" s="54">
        <f>D49-E49</f>
        <v>9227038.6999999993</v>
      </c>
      <c r="G49" s="1"/>
      <c r="H49" s="57">
        <f>+H47-H48</f>
        <v>0</v>
      </c>
      <c r="I49" s="30"/>
      <c r="J49" s="57">
        <f>+J47-J48</f>
        <v>0</v>
      </c>
    </row>
    <row r="50" spans="1:10" x14ac:dyDescent="0.2">
      <c r="A50" s="58" t="s">
        <v>19</v>
      </c>
      <c r="B50" s="59"/>
      <c r="C50" s="53">
        <f>[3]main!C277</f>
        <v>0</v>
      </c>
      <c r="D50" s="54">
        <f>[3]main!E277</f>
        <v>0</v>
      </c>
      <c r="E50" s="54">
        <f>IF(B42-SUM(E47:E49)&gt;D50,D50,B42-SUM(E47:E49))</f>
        <v>0</v>
      </c>
      <c r="F50" s="54">
        <f>D50-E50</f>
        <v>0</v>
      </c>
      <c r="G50" s="1"/>
      <c r="H50" s="30"/>
      <c r="I50" s="30"/>
      <c r="J50" s="30"/>
    </row>
    <row r="51" spans="1:10" x14ac:dyDescent="0.2">
      <c r="A51" s="58" t="s">
        <v>42</v>
      </c>
      <c r="B51" s="59"/>
      <c r="C51" s="53">
        <f>[3]main!C101</f>
        <v>18</v>
      </c>
      <c r="D51" s="54">
        <f>[3]main!E101</f>
        <v>57312</v>
      </c>
      <c r="E51" s="54">
        <f>IF(B42-SUM(E47:E50)&gt;D51,D51,B42-SUM(E47:E50))</f>
        <v>0</v>
      </c>
      <c r="F51" s="54">
        <f>D51-E51</f>
        <v>57312</v>
      </c>
      <c r="G51" s="1"/>
      <c r="H51" s="30"/>
      <c r="I51" s="30"/>
      <c r="J51" s="30"/>
    </row>
    <row r="52" spans="1:10" x14ac:dyDescent="0.2">
      <c r="A52" s="55" t="s">
        <v>20</v>
      </c>
      <c r="B52" s="56"/>
      <c r="C52" s="63"/>
      <c r="D52" s="64"/>
      <c r="E52" s="64"/>
      <c r="F52" s="64" t="s">
        <v>14</v>
      </c>
      <c r="G52" s="1"/>
      <c r="H52" s="57" t="s">
        <v>44</v>
      </c>
      <c r="I52" s="30"/>
      <c r="J52" s="30"/>
    </row>
    <row r="53" spans="1:10" x14ac:dyDescent="0.2">
      <c r="A53" s="58" t="s">
        <v>21</v>
      </c>
      <c r="B53" s="59"/>
      <c r="C53" s="53">
        <f>'[6]Sheet 1'!C43</f>
        <v>4427.3370000000004</v>
      </c>
      <c r="D53" s="54">
        <f>'[6]Sheet 1'!E43</f>
        <v>14096640.99</v>
      </c>
      <c r="E53" s="54">
        <f>IF(B42-SUM(E47:E52)&gt;D53,D53,B42-SUM(E47:E52))</f>
        <v>0</v>
      </c>
      <c r="F53" s="54">
        <f t="shared" ref="F53:F61" si="0">D53-E53</f>
        <v>14096640.99</v>
      </c>
      <c r="G53" s="1"/>
      <c r="H53" s="57">
        <f>'[6]Sheet 1'!N159</f>
        <v>18113349.100000001</v>
      </c>
      <c r="I53" s="30"/>
      <c r="J53" s="30"/>
    </row>
    <row r="54" spans="1:10" x14ac:dyDescent="0.2">
      <c r="A54" s="59" t="s">
        <v>22</v>
      </c>
      <c r="B54" s="59"/>
      <c r="C54" s="53">
        <f>'[6]Sheet 1'!F43</f>
        <v>731.2</v>
      </c>
      <c r="D54" s="54">
        <f>'[6]Sheet 1'!H43</f>
        <v>2328140.7999999998</v>
      </c>
      <c r="E54" s="54">
        <f>IF(B42-SUM(E47:E53)&gt;D54,D54,B42-SUM(E47:E53))</f>
        <v>0</v>
      </c>
      <c r="F54" s="54">
        <f t="shared" si="0"/>
        <v>2328140.7999999998</v>
      </c>
      <c r="G54" s="1"/>
      <c r="H54" s="57">
        <f>SUM(D53:D59)</f>
        <v>18113349.100000001</v>
      </c>
      <c r="I54" s="30"/>
      <c r="J54" s="30"/>
    </row>
    <row r="55" spans="1:10" x14ac:dyDescent="0.2">
      <c r="A55" s="59" t="s">
        <v>23</v>
      </c>
      <c r="B55" s="59"/>
      <c r="C55" s="53">
        <f>'[6]Sheet 1'!C101</f>
        <v>413.07</v>
      </c>
      <c r="D55" s="54">
        <f>'[6]Sheet 1'!E101</f>
        <v>1315214.8799999999</v>
      </c>
      <c r="E55" s="54">
        <f>IF(B42-SUM(E47:E54)&gt;D55,D55,B42-SUM(E47:E54))</f>
        <v>0</v>
      </c>
      <c r="F55" s="54">
        <f t="shared" si="0"/>
        <v>1315214.8799999999</v>
      </c>
      <c r="G55" s="1"/>
      <c r="H55" s="57">
        <f>+H53-H54</f>
        <v>0</v>
      </c>
      <c r="I55" s="30"/>
      <c r="J55" s="30"/>
    </row>
    <row r="56" spans="1:10" x14ac:dyDescent="0.2">
      <c r="A56" s="58" t="s">
        <v>24</v>
      </c>
      <c r="B56" s="59"/>
      <c r="C56" s="53">
        <f>'[6]Sheet 1'!F101</f>
        <v>18.504000000000001</v>
      </c>
      <c r="D56" s="54">
        <f>'[6]Sheet 1'!H101</f>
        <v>58916.84</v>
      </c>
      <c r="E56" s="54">
        <f>IF(B42-SUM(E47:E55)&gt;D56,D56,B42-SUM(E47:E55))</f>
        <v>0</v>
      </c>
      <c r="F56" s="54">
        <f t="shared" si="0"/>
        <v>58916.84</v>
      </c>
      <c r="G56" s="1"/>
      <c r="H56" s="30"/>
      <c r="I56" s="30"/>
      <c r="J56" s="30"/>
    </row>
    <row r="57" spans="1:10" x14ac:dyDescent="0.2">
      <c r="A57" s="59" t="s">
        <v>71</v>
      </c>
      <c r="B57" s="59"/>
      <c r="C57" s="53">
        <f>'[6]Sheet 1'!C159</f>
        <v>98.111999999999995</v>
      </c>
      <c r="D57" s="54">
        <f>'[6]Sheet 1'!E159</f>
        <v>312388.05</v>
      </c>
      <c r="E57" s="54">
        <f>IF(B42-SUM(E47:E56)&gt;D57,D57,B42-SUM(E47:E56))</f>
        <v>0</v>
      </c>
      <c r="F57" s="54">
        <f t="shared" si="0"/>
        <v>312388.05</v>
      </c>
      <c r="G57" s="1"/>
      <c r="H57" s="30"/>
      <c r="I57" s="30"/>
      <c r="J57" s="30"/>
    </row>
    <row r="58" spans="1:10" x14ac:dyDescent="0.2">
      <c r="A58" s="59" t="s">
        <v>57</v>
      </c>
      <c r="B58" s="59"/>
      <c r="C58" s="53">
        <f>'[6]Sheet 1'!F159</f>
        <v>0</v>
      </c>
      <c r="D58" s="54">
        <f>'[6]Sheet 1'!H159</f>
        <v>0</v>
      </c>
      <c r="E58" s="54">
        <f>IF(B43-SUM(E48:E57)&gt;D58,D58,B43-SUM(E48:E57))</f>
        <v>0</v>
      </c>
      <c r="F58" s="54">
        <f t="shared" si="0"/>
        <v>0</v>
      </c>
      <c r="G58" s="1"/>
      <c r="H58" s="30"/>
      <c r="I58" s="30"/>
      <c r="J58" s="30"/>
    </row>
    <row r="59" spans="1:10" x14ac:dyDescent="0.2">
      <c r="A59" s="59" t="s">
        <v>64</v>
      </c>
      <c r="B59" s="59"/>
      <c r="C59" s="53">
        <f>'[6]Sheet 1'!I159</f>
        <v>0.64300000000000002</v>
      </c>
      <c r="D59" s="54">
        <f>'[6]Sheet 1'!K159</f>
        <v>2047.54</v>
      </c>
      <c r="E59" s="54">
        <f>IF(B45-SUM(E49:E58)&gt;D59,D59,B45-SUM(E49:E58))</f>
        <v>0</v>
      </c>
      <c r="F59" s="54">
        <f t="shared" si="0"/>
        <v>2047.54</v>
      </c>
      <c r="G59" s="1"/>
      <c r="H59" s="57" t="s">
        <v>46</v>
      </c>
      <c r="I59" s="30"/>
      <c r="J59" s="30"/>
    </row>
    <row r="60" spans="1:10" x14ac:dyDescent="0.2">
      <c r="A60" s="59" t="s">
        <v>58</v>
      </c>
      <c r="B60" s="59"/>
      <c r="C60" s="53">
        <f>'[6]Sheet 1'!C217</f>
        <v>1885.4839999999999</v>
      </c>
      <c r="D60" s="54">
        <f>'[6]Sheet 1'!E217</f>
        <v>6003380.3399999999</v>
      </c>
      <c r="E60" s="54">
        <f>IF(B42-SUM(E47:E57)&gt;D60,D60,B42-SUM(E47:E57))</f>
        <v>0</v>
      </c>
      <c r="F60" s="54">
        <f t="shared" si="0"/>
        <v>6003380.3399999999</v>
      </c>
      <c r="G60" s="4"/>
      <c r="H60" s="57">
        <f>+'[6]Sheet 1'!E217</f>
        <v>6003380.3399999999</v>
      </c>
      <c r="I60" s="30"/>
      <c r="J60" s="30"/>
    </row>
    <row r="61" spans="1:10" x14ac:dyDescent="0.2">
      <c r="A61" s="58" t="s">
        <v>59</v>
      </c>
      <c r="B61" s="59"/>
      <c r="C61" s="53">
        <f>'[5]Sheet 1'!C43</f>
        <v>1874.9469999999999</v>
      </c>
      <c r="D61" s="54">
        <f>'[5]Sheet 1'!E43</f>
        <v>5969832.5</v>
      </c>
      <c r="E61" s="54">
        <f>IF(B42-SUM(E47:E60)&gt;D61,D61,B42-SUM(E47:E60))</f>
        <v>0</v>
      </c>
      <c r="F61" s="54">
        <f t="shared" si="0"/>
        <v>5969832.5</v>
      </c>
      <c r="G61" s="5"/>
      <c r="H61" s="57">
        <f>+D60</f>
        <v>6003380.3399999999</v>
      </c>
      <c r="I61" s="30"/>
      <c r="J61" s="30"/>
    </row>
    <row r="62" spans="1:10" x14ac:dyDescent="0.2">
      <c r="A62" s="65" t="s">
        <v>28</v>
      </c>
      <c r="B62" s="56"/>
      <c r="C62" s="66">
        <f>SUM(C47:C61)</f>
        <v>42119.296000000002</v>
      </c>
      <c r="D62" s="67">
        <f>SUM(D47:D61)</f>
        <v>134107837.84</v>
      </c>
      <c r="E62" s="67">
        <f>SUM(E47:E61)</f>
        <v>16351670</v>
      </c>
      <c r="F62" s="67">
        <f>SUM(F47:F61)</f>
        <v>117756167.84</v>
      </c>
      <c r="G62" s="1"/>
      <c r="H62" s="57">
        <f>+H60-H61</f>
        <v>0</v>
      </c>
      <c r="I62" s="30"/>
      <c r="J62" s="30"/>
    </row>
    <row r="63" spans="1:10" x14ac:dyDescent="0.2">
      <c r="A63" s="68" t="s">
        <v>26</v>
      </c>
      <c r="B63" s="56"/>
      <c r="C63" s="69"/>
      <c r="D63" s="54"/>
      <c r="E63" s="54"/>
      <c r="F63" s="54"/>
      <c r="G63" s="1"/>
      <c r="H63" s="57" t="s">
        <v>47</v>
      </c>
      <c r="I63" s="30"/>
      <c r="J63" s="57" t="s">
        <v>52</v>
      </c>
    </row>
    <row r="64" spans="1:10" x14ac:dyDescent="0.2">
      <c r="A64" s="58" t="s">
        <v>56</v>
      </c>
      <c r="B64" s="59"/>
      <c r="C64" s="20"/>
      <c r="D64" s="70">
        <f>[1]Main!F44</f>
        <v>388541.16</v>
      </c>
      <c r="E64" s="54">
        <f>IF($B42-SUM($E62)&gt;D64,D64,$B42-SUM($E62))</f>
        <v>0</v>
      </c>
      <c r="F64" s="54">
        <f t="shared" ref="F64:F82" si="1">D64-E64</f>
        <v>388541.16</v>
      </c>
      <c r="G64" s="1"/>
      <c r="H64" s="57">
        <f>[1]Main!G44</f>
        <v>4877586.55</v>
      </c>
      <c r="I64" s="30"/>
      <c r="J64" s="57">
        <f>+[1]Main!D505</f>
        <v>20197829.91</v>
      </c>
    </row>
    <row r="65" spans="1:10" x14ac:dyDescent="0.2">
      <c r="A65" s="59" t="s">
        <v>25</v>
      </c>
      <c r="B65" s="59"/>
      <c r="C65" s="20"/>
      <c r="D65" s="70">
        <f>[1]Main!C44</f>
        <v>4489045.3899999997</v>
      </c>
      <c r="E65" s="54">
        <f>IF($B42-SUM($E62:E64)&gt;D65,D65,B42-SUM($E62:E64))</f>
        <v>0</v>
      </c>
      <c r="F65" s="54">
        <f t="shared" si="1"/>
        <v>4489045.3899999997</v>
      </c>
      <c r="G65" s="1"/>
      <c r="H65" s="57">
        <f>SUM(D64:D66)</f>
        <v>4877586.55</v>
      </c>
      <c r="I65" s="30"/>
      <c r="J65" s="57">
        <f>SUM(D64:D91)-E77</f>
        <v>20197829.91</v>
      </c>
    </row>
    <row r="66" spans="1:10" x14ac:dyDescent="0.2">
      <c r="A66" s="71" t="s">
        <v>27</v>
      </c>
      <c r="B66" s="59"/>
      <c r="C66" s="20"/>
      <c r="D66" s="70">
        <f>[1]Main!D44</f>
        <v>0</v>
      </c>
      <c r="E66" s="54">
        <f>IF($B42-SUM($E62:E65)&gt;D66,D66,$B42-SUM($E62:E65))</f>
        <v>0</v>
      </c>
      <c r="F66" s="54">
        <f>D66-E66</f>
        <v>0</v>
      </c>
      <c r="G66" s="1"/>
      <c r="H66" s="57">
        <f>+H64-H65</f>
        <v>0</v>
      </c>
      <c r="I66" s="30"/>
      <c r="J66" s="57">
        <f>+J64-J65</f>
        <v>0</v>
      </c>
    </row>
    <row r="67" spans="1:10" x14ac:dyDescent="0.2">
      <c r="A67" s="72" t="s">
        <v>72</v>
      </c>
      <c r="B67" s="59"/>
      <c r="C67" s="20"/>
      <c r="D67" s="70">
        <f>[1]Main!E44</f>
        <v>0</v>
      </c>
      <c r="E67" s="54">
        <f>IF($B43-SUM($E63:E66)&gt;D67,D67,$B43-SUM($E63:E66))</f>
        <v>0</v>
      </c>
      <c r="F67" s="54">
        <f>D67-E67</f>
        <v>0</v>
      </c>
      <c r="G67" s="1"/>
      <c r="H67" s="30"/>
      <c r="I67" s="30"/>
      <c r="J67" s="30"/>
    </row>
    <row r="68" spans="1:10" x14ac:dyDescent="0.2">
      <c r="A68" s="72" t="s">
        <v>73</v>
      </c>
      <c r="B68" s="59"/>
      <c r="C68" s="20"/>
      <c r="D68" s="54">
        <f>+[1]Main!$F160</f>
        <v>224325.33</v>
      </c>
      <c r="E68" s="54">
        <f>IF($B42-SUM($E62:E66)&gt;D68,D68,$B42-SUM($E62:E66))</f>
        <v>0</v>
      </c>
      <c r="F68" s="54">
        <f t="shared" si="1"/>
        <v>224325.33</v>
      </c>
      <c r="G68" s="1"/>
      <c r="H68" s="30"/>
      <c r="I68" s="30"/>
      <c r="J68" s="30"/>
    </row>
    <row r="69" spans="1:10" x14ac:dyDescent="0.2">
      <c r="A69" s="71" t="s">
        <v>74</v>
      </c>
      <c r="B69" s="59"/>
      <c r="C69" s="20"/>
      <c r="D69" s="54">
        <f>+[1]Main!$C102</f>
        <v>1108170</v>
      </c>
      <c r="E69" s="54">
        <f>IF($B42-SUM($E62:E68)&gt;D69,D69,$B42-SUM($E62:E68))</f>
        <v>0</v>
      </c>
      <c r="F69" s="54">
        <f t="shared" si="1"/>
        <v>1108170</v>
      </c>
      <c r="G69" s="1"/>
      <c r="H69" s="30"/>
      <c r="I69" s="30"/>
      <c r="J69" s="30"/>
    </row>
    <row r="70" spans="1:10" x14ac:dyDescent="0.2">
      <c r="A70" s="71" t="s">
        <v>75</v>
      </c>
      <c r="B70" s="59"/>
      <c r="C70" s="20"/>
      <c r="D70" s="54">
        <f>+[1]Main!$D102</f>
        <v>21822</v>
      </c>
      <c r="E70" s="54">
        <f>IF($B42-SUM($E62:E69)&gt;D70,D70,$B42-SUM($E62:E69))</f>
        <v>0</v>
      </c>
      <c r="F70" s="54">
        <f t="shared" si="1"/>
        <v>21822</v>
      </c>
      <c r="G70" s="1"/>
      <c r="H70" s="30"/>
      <c r="I70" s="30"/>
      <c r="J70" s="30"/>
    </row>
    <row r="71" spans="1:10" x14ac:dyDescent="0.2">
      <c r="A71" s="71" t="s">
        <v>76</v>
      </c>
      <c r="B71" s="59"/>
      <c r="C71" s="20"/>
      <c r="D71" s="54">
        <f>+[1]Main!$E102</f>
        <v>168542</v>
      </c>
      <c r="E71" s="54">
        <f>IF($B42-SUM($E62:E70)&gt;D71,D71,$B42-SUM($E62:E70))</f>
        <v>0</v>
      </c>
      <c r="F71" s="54">
        <f t="shared" si="1"/>
        <v>168542</v>
      </c>
      <c r="G71" s="1"/>
      <c r="H71" s="30"/>
      <c r="I71" s="30"/>
      <c r="J71" s="30"/>
    </row>
    <row r="72" spans="1:10" x14ac:dyDescent="0.2">
      <c r="A72" s="71" t="s">
        <v>77</v>
      </c>
      <c r="B72" s="59"/>
      <c r="C72" s="20"/>
      <c r="D72" s="54">
        <f>[1]Main!F102</f>
        <v>365202</v>
      </c>
      <c r="E72" s="54">
        <f>IF($B42-SUM($E62:E71)&gt;D72,D72,$B42-SUM($E62:E71))</f>
        <v>0</v>
      </c>
      <c r="F72" s="54">
        <f t="shared" si="1"/>
        <v>365202</v>
      </c>
      <c r="G72" s="1"/>
      <c r="H72" s="57" t="s">
        <v>48</v>
      </c>
      <c r="I72" s="30"/>
      <c r="J72" s="30"/>
    </row>
    <row r="73" spans="1:10" x14ac:dyDescent="0.2">
      <c r="A73" s="71" t="s">
        <v>79</v>
      </c>
      <c r="B73" s="59"/>
      <c r="C73" s="20"/>
      <c r="D73" s="54">
        <f>[1]Main!G102</f>
        <v>0</v>
      </c>
      <c r="E73" s="54">
        <f>IF($B42-SUM($E62:E72)&gt;D73,D73,$B42-SUM($E62:E72))</f>
        <v>0</v>
      </c>
      <c r="F73" s="54">
        <f t="shared" si="1"/>
        <v>0</v>
      </c>
      <c r="G73" s="1"/>
      <c r="H73" s="57"/>
      <c r="I73" s="30"/>
      <c r="J73" s="30"/>
    </row>
    <row r="74" spans="1:10" x14ac:dyDescent="0.2">
      <c r="A74" s="71" t="s">
        <v>78</v>
      </c>
      <c r="B74" s="59"/>
      <c r="C74" s="20"/>
      <c r="D74" s="54">
        <f>[1]Main!G160</f>
        <v>364542.89</v>
      </c>
      <c r="E74" s="54">
        <f>IF($B42-SUM($E62:E73)&gt;D74,D74,$B42-SUM($E62:E73))</f>
        <v>0</v>
      </c>
      <c r="F74" s="54">
        <f t="shared" si="1"/>
        <v>364542.89</v>
      </c>
      <c r="G74" s="1"/>
      <c r="H74" s="73">
        <f>+[1]Main!D218</f>
        <v>2252604.2200000002</v>
      </c>
      <c r="I74" s="30"/>
      <c r="J74" s="30"/>
    </row>
    <row r="75" spans="1:10" x14ac:dyDescent="0.2">
      <c r="A75" s="71" t="s">
        <v>80</v>
      </c>
      <c r="B75" s="59"/>
      <c r="C75" s="20"/>
      <c r="D75" s="54">
        <f>[1]Main!C218</f>
        <v>0</v>
      </c>
      <c r="E75" s="54"/>
      <c r="F75" s="54">
        <f t="shared" si="1"/>
        <v>0</v>
      </c>
      <c r="G75" s="1"/>
      <c r="H75" s="57">
        <f>+SUM(D68:D75)</f>
        <v>2252604.2200000002</v>
      </c>
      <c r="I75" s="30"/>
      <c r="J75" s="30"/>
    </row>
    <row r="76" spans="1:10" x14ac:dyDescent="0.2">
      <c r="A76" s="71" t="s">
        <v>81</v>
      </c>
      <c r="B76" s="59"/>
      <c r="C76" s="20"/>
      <c r="D76" s="54">
        <f>[1]Main!C276</f>
        <v>2289536</v>
      </c>
      <c r="E76" s="54">
        <v>0</v>
      </c>
      <c r="F76" s="54">
        <f t="shared" si="1"/>
        <v>2289536</v>
      </c>
      <c r="G76" s="1"/>
      <c r="H76" s="57">
        <f>+H74-H75</f>
        <v>0</v>
      </c>
      <c r="I76" s="30"/>
      <c r="J76" s="30"/>
    </row>
    <row r="77" spans="1:10" x14ac:dyDescent="0.2">
      <c r="A77" s="71" t="s">
        <v>82</v>
      </c>
      <c r="B77" s="59"/>
      <c r="C77" s="20"/>
      <c r="D77" s="54">
        <f>+[7]Main!I43+[7]Main!J43</f>
        <v>1743124.25</v>
      </c>
      <c r="E77" s="74">
        <f>[7]Main!J43</f>
        <v>984403.33</v>
      </c>
      <c r="F77" s="54">
        <f t="shared" si="1"/>
        <v>758720.92</v>
      </c>
      <c r="G77" s="1"/>
      <c r="H77" s="30"/>
      <c r="I77" s="30"/>
      <c r="J77" s="30"/>
    </row>
    <row r="78" spans="1:10" x14ac:dyDescent="0.2">
      <c r="A78" s="71" t="s">
        <v>83</v>
      </c>
      <c r="B78" s="59"/>
      <c r="C78" s="20"/>
      <c r="D78" s="54">
        <f>[1]Main!F276</f>
        <v>321517</v>
      </c>
      <c r="E78" s="54">
        <v>0</v>
      </c>
      <c r="F78" s="54">
        <f t="shared" si="1"/>
        <v>321517</v>
      </c>
      <c r="G78" s="1"/>
      <c r="H78" s="30"/>
      <c r="I78" s="30"/>
      <c r="J78" s="30"/>
    </row>
    <row r="79" spans="1:10" x14ac:dyDescent="0.2">
      <c r="A79" s="71" t="s">
        <v>84</v>
      </c>
      <c r="B79" s="59"/>
      <c r="C79" s="7"/>
      <c r="D79" s="54">
        <f>[1]Main!E276</f>
        <v>45812.54</v>
      </c>
      <c r="E79" s="54">
        <v>0</v>
      </c>
      <c r="F79" s="54">
        <f t="shared" si="1"/>
        <v>45812.54</v>
      </c>
      <c r="G79" s="1"/>
      <c r="H79" s="57" t="s">
        <v>49</v>
      </c>
      <c r="I79" s="30"/>
      <c r="J79" s="30"/>
    </row>
    <row r="80" spans="1:10" x14ac:dyDescent="0.2">
      <c r="A80" s="71" t="s">
        <v>85</v>
      </c>
      <c r="B80" s="59"/>
      <c r="C80" s="7"/>
      <c r="D80" s="54">
        <f>[1]Main!G276</f>
        <v>98496</v>
      </c>
      <c r="E80" s="54">
        <v>0</v>
      </c>
      <c r="F80" s="54">
        <f t="shared" si="1"/>
        <v>98496</v>
      </c>
      <c r="G80" s="1"/>
      <c r="H80" s="57">
        <f>+[1]Main!C505</f>
        <v>12643992.85</v>
      </c>
      <c r="I80" s="57"/>
      <c r="J80" s="57"/>
    </row>
    <row r="81" spans="1:10" x14ac:dyDescent="0.2">
      <c r="A81" s="71" t="s">
        <v>86</v>
      </c>
      <c r="B81" s="59"/>
      <c r="C81" s="20"/>
      <c r="D81" s="54">
        <f>[1]Main!C334</f>
        <v>45000</v>
      </c>
      <c r="E81" s="54">
        <v>0</v>
      </c>
      <c r="F81" s="54">
        <f t="shared" si="1"/>
        <v>45000</v>
      </c>
      <c r="G81" s="1"/>
      <c r="H81" s="57">
        <f>+SUM(D76:D86)-E77</f>
        <v>12643992.85</v>
      </c>
      <c r="I81" s="57"/>
      <c r="J81" s="57">
        <f>+H81-H80</f>
        <v>0</v>
      </c>
    </row>
    <row r="82" spans="1:10" x14ac:dyDescent="0.2">
      <c r="A82" s="71" t="s">
        <v>87</v>
      </c>
      <c r="C82" s="8"/>
      <c r="D82" s="76">
        <f>[1]Main!D334</f>
        <v>7996417.0300000003</v>
      </c>
      <c r="E82" s="77">
        <v>0</v>
      </c>
      <c r="F82" s="77">
        <f t="shared" si="1"/>
        <v>7996417.0300000003</v>
      </c>
      <c r="G82" s="5"/>
      <c r="H82" s="57">
        <f>+H80-H81</f>
        <v>0</v>
      </c>
      <c r="I82" s="57"/>
      <c r="J82" s="57"/>
    </row>
    <row r="83" spans="1:10" x14ac:dyDescent="0.2">
      <c r="A83" s="71" t="s">
        <v>88</v>
      </c>
      <c r="B83" s="59"/>
      <c r="C83" s="20"/>
      <c r="D83" s="54">
        <f>+[1]Main!$E334</f>
        <v>41517.949999999997</v>
      </c>
      <c r="E83" s="54">
        <v>0</v>
      </c>
      <c r="F83" s="54">
        <f>D83-E83</f>
        <v>41517.949999999997</v>
      </c>
      <c r="G83" s="4"/>
      <c r="H83" s="30"/>
      <c r="I83" s="30"/>
      <c r="J83" s="30"/>
    </row>
    <row r="84" spans="1:10" x14ac:dyDescent="0.2">
      <c r="A84" s="71" t="s">
        <v>89</v>
      </c>
      <c r="B84" s="59"/>
      <c r="C84" s="20"/>
      <c r="D84" s="54">
        <f>[1]Main!F334</f>
        <v>261077.57</v>
      </c>
      <c r="E84" s="54">
        <v>0</v>
      </c>
      <c r="F84" s="54">
        <f>D84-E84</f>
        <v>261077.57</v>
      </c>
      <c r="G84" s="4"/>
      <c r="H84" s="30"/>
      <c r="I84" s="30"/>
      <c r="J84" s="30"/>
    </row>
    <row r="85" spans="1:10" x14ac:dyDescent="0.2">
      <c r="A85" s="71" t="s">
        <v>90</v>
      </c>
      <c r="B85" s="59"/>
      <c r="C85" s="20"/>
      <c r="D85" s="54">
        <f>[1]Main!G334</f>
        <v>313868</v>
      </c>
      <c r="E85" s="54">
        <v>0</v>
      </c>
      <c r="F85" s="54">
        <f>D85-E85</f>
        <v>313868</v>
      </c>
      <c r="G85" s="1"/>
      <c r="H85" s="57" t="s">
        <v>50</v>
      </c>
      <c r="I85" s="30"/>
      <c r="J85" s="30"/>
    </row>
    <row r="86" spans="1:10" x14ac:dyDescent="0.2">
      <c r="A86" s="71" t="s">
        <v>93</v>
      </c>
      <c r="B86" s="59"/>
      <c r="C86" s="20"/>
      <c r="D86" s="54">
        <f>[1]Main!F391</f>
        <v>472029.84</v>
      </c>
      <c r="E86" s="54">
        <v>0</v>
      </c>
      <c r="F86" s="54">
        <f>D86-E86</f>
        <v>472029.84</v>
      </c>
      <c r="G86" s="1"/>
      <c r="H86" s="57"/>
      <c r="I86" s="30"/>
      <c r="J86" s="30"/>
    </row>
    <row r="87" spans="1:10" x14ac:dyDescent="0.2">
      <c r="A87" s="55" t="s">
        <v>30</v>
      </c>
      <c r="B87" s="78"/>
      <c r="C87" s="79"/>
      <c r="D87" s="64"/>
      <c r="E87" s="64"/>
      <c r="F87" s="64"/>
      <c r="G87" s="1"/>
      <c r="H87" s="57"/>
      <c r="I87" s="30"/>
      <c r="J87" s="30"/>
    </row>
    <row r="88" spans="1:10" x14ac:dyDescent="0.2">
      <c r="A88" s="71" t="s">
        <v>60</v>
      </c>
      <c r="B88" s="59"/>
      <c r="C88" s="20"/>
      <c r="D88" s="54">
        <f>[1]Main!C448</f>
        <v>287157.75</v>
      </c>
      <c r="E88" s="54">
        <v>0</v>
      </c>
      <c r="F88" s="54">
        <f>D88-E88</f>
        <v>287157.75</v>
      </c>
      <c r="G88" s="1"/>
      <c r="H88" s="57">
        <f>+[1]Main!G448</f>
        <v>423646.29</v>
      </c>
      <c r="I88" s="30"/>
      <c r="J88" s="30"/>
    </row>
    <row r="89" spans="1:10" x14ac:dyDescent="0.2">
      <c r="A89" s="71" t="s">
        <v>63</v>
      </c>
      <c r="B89" s="59"/>
      <c r="C89" s="20"/>
      <c r="D89" s="54">
        <f>[1]Main!D448</f>
        <v>1619.89</v>
      </c>
      <c r="E89" s="54">
        <v>0</v>
      </c>
      <c r="F89" s="54">
        <f>D89-E89</f>
        <v>1619.89</v>
      </c>
      <c r="G89" s="4"/>
      <c r="H89" s="57">
        <f>SUM(D88:D91)</f>
        <v>423646.29</v>
      </c>
      <c r="I89" s="30"/>
      <c r="J89" s="30"/>
    </row>
    <row r="90" spans="1:10" x14ac:dyDescent="0.2">
      <c r="A90" s="71" t="s">
        <v>91</v>
      </c>
      <c r="B90" s="59"/>
      <c r="C90" s="20"/>
      <c r="D90" s="54">
        <f>[1]Main!E448</f>
        <v>1004.01</v>
      </c>
      <c r="E90" s="54">
        <v>0</v>
      </c>
      <c r="F90" s="54">
        <f>D90-E90</f>
        <v>1004.01</v>
      </c>
      <c r="G90" s="4"/>
      <c r="H90" s="57">
        <f>+H88-H89</f>
        <v>0</v>
      </c>
      <c r="I90" s="30"/>
      <c r="J90" s="30"/>
    </row>
    <row r="91" spans="1:10" x14ac:dyDescent="0.2">
      <c r="A91" s="71" t="s">
        <v>92</v>
      </c>
      <c r="B91" s="59"/>
      <c r="C91" s="20"/>
      <c r="D91" s="54">
        <f>[1]Main!F448</f>
        <v>133864.64000000001</v>
      </c>
      <c r="E91" s="54">
        <v>0</v>
      </c>
      <c r="F91" s="54">
        <f>D91-E91</f>
        <v>133864.64000000001</v>
      </c>
      <c r="G91" s="1"/>
      <c r="H91" s="30"/>
      <c r="I91" s="30"/>
      <c r="J91" s="30"/>
    </row>
    <row r="92" spans="1:10" x14ac:dyDescent="0.2">
      <c r="A92" s="55" t="s">
        <v>31</v>
      </c>
      <c r="B92" s="78"/>
      <c r="C92" s="79"/>
      <c r="D92" s="64"/>
      <c r="E92" s="64"/>
      <c r="F92" s="64"/>
      <c r="G92" s="1"/>
      <c r="H92" s="30"/>
      <c r="I92" s="30"/>
      <c r="J92" s="30"/>
    </row>
    <row r="93" spans="1:10" x14ac:dyDescent="0.2">
      <c r="A93" s="58" t="s">
        <v>69</v>
      </c>
      <c r="B93" s="59"/>
      <c r="C93" s="20"/>
      <c r="D93" s="54">
        <f>+[1]Main!$G561</f>
        <v>18223921.219999999</v>
      </c>
      <c r="E93" s="54">
        <f>+[1]Main!$D561</f>
        <v>10962940.470000001</v>
      </c>
      <c r="F93" s="54">
        <f>+D93-E93</f>
        <v>7260980.75</v>
      </c>
      <c r="G93" s="1"/>
      <c r="H93" s="30"/>
      <c r="I93" s="30"/>
      <c r="J93" s="30"/>
    </row>
    <row r="94" spans="1:10" x14ac:dyDescent="0.2">
      <c r="A94" s="59" t="s">
        <v>68</v>
      </c>
      <c r="B94" s="59"/>
      <c r="C94" s="20"/>
      <c r="D94" s="54">
        <f>+[1]Main!$G616</f>
        <v>6491156.2699999996</v>
      </c>
      <c r="E94" s="54">
        <f>+[1]Main!$D616</f>
        <v>3904876.39</v>
      </c>
      <c r="F94" s="54">
        <f>+D94-E94</f>
        <v>2586279.88</v>
      </c>
      <c r="G94" s="1"/>
      <c r="H94" s="30"/>
      <c r="I94" s="30"/>
      <c r="J94" s="30"/>
    </row>
    <row r="95" spans="1:10" ht="13.5" thickBot="1" x14ac:dyDescent="0.25">
      <c r="A95" s="80"/>
      <c r="B95" s="81"/>
      <c r="C95" s="82" t="s">
        <v>29</v>
      </c>
      <c r="D95" s="83">
        <f>SUM(D62:D94)</f>
        <v>180005148.56999999</v>
      </c>
      <c r="E95" s="83">
        <f>SUM(E62:E94)</f>
        <v>32203890.190000001</v>
      </c>
      <c r="F95" s="83">
        <f>SUM(F62:F94)</f>
        <v>147801258.38</v>
      </c>
      <c r="G95" s="1"/>
      <c r="H95" s="30"/>
      <c r="I95" s="30"/>
      <c r="J95" s="30"/>
    </row>
    <row r="96" spans="1:10" ht="13.5" thickTop="1" x14ac:dyDescent="0.2">
      <c r="A96" s="84"/>
      <c r="B96" s="59"/>
      <c r="C96" s="85"/>
      <c r="D96" s="86"/>
      <c r="E96" s="86"/>
      <c r="F96" s="87"/>
      <c r="G96" s="1"/>
      <c r="H96" s="30"/>
      <c r="I96" s="30"/>
      <c r="J96" s="30"/>
    </row>
    <row r="97" spans="1:10" x14ac:dyDescent="0.2">
      <c r="A97" s="88" t="s">
        <v>40</v>
      </c>
      <c r="B97" s="78"/>
      <c r="C97" s="89"/>
      <c r="D97" s="90"/>
      <c r="E97" s="91"/>
      <c r="F97" s="92" t="s">
        <v>36</v>
      </c>
      <c r="G97" s="6"/>
      <c r="H97" s="57" t="s">
        <v>51</v>
      </c>
      <c r="I97" s="30"/>
      <c r="J97" s="57" t="s">
        <v>7</v>
      </c>
    </row>
    <row r="98" spans="1:10" x14ac:dyDescent="0.2">
      <c r="A98" s="93" t="s">
        <v>33</v>
      </c>
      <c r="B98" s="94"/>
      <c r="C98" s="95"/>
      <c r="D98" s="96"/>
      <c r="E98" s="96"/>
      <c r="F98" s="91"/>
      <c r="G98" s="6"/>
      <c r="H98" s="30"/>
      <c r="I98" s="30"/>
      <c r="J98" s="30"/>
    </row>
    <row r="99" spans="1:10" x14ac:dyDescent="0.2">
      <c r="A99" s="59" t="s">
        <v>34</v>
      </c>
      <c r="B99" s="59"/>
      <c r="C99" s="22"/>
      <c r="D99" s="27"/>
      <c r="E99" s="27"/>
      <c r="F99" s="97">
        <f>+[8]Main!$C44</f>
        <v>0</v>
      </c>
      <c r="G99" s="5"/>
      <c r="H99" s="57">
        <f>+[1]Main!G672</f>
        <v>24715077.489999998</v>
      </c>
      <c r="I99" s="30"/>
      <c r="J99" s="57">
        <f>+[1]Main!E672+[1]Main!F672</f>
        <v>9847260.6300000008</v>
      </c>
    </row>
    <row r="100" spans="1:10" x14ac:dyDescent="0.2">
      <c r="A100" s="59" t="s">
        <v>66</v>
      </c>
      <c r="B100" s="59"/>
      <c r="C100" s="22"/>
      <c r="D100" s="27"/>
      <c r="E100" s="27"/>
      <c r="F100" s="97">
        <f>+[8]Main!$D44</f>
        <v>632826</v>
      </c>
      <c r="G100" s="5"/>
      <c r="H100" s="57">
        <f>+D93+D94</f>
        <v>24715077.489999998</v>
      </c>
      <c r="I100" s="30"/>
      <c r="J100" s="57">
        <f>+F93+F94</f>
        <v>9847260.6300000008</v>
      </c>
    </row>
    <row r="101" spans="1:10" x14ac:dyDescent="0.2">
      <c r="A101" s="32" t="s">
        <v>65</v>
      </c>
      <c r="B101" s="32"/>
      <c r="C101" s="22"/>
      <c r="D101" s="28"/>
      <c r="E101" s="28"/>
      <c r="F101" s="97">
        <f>+[8]Main!$E44</f>
        <v>50508</v>
      </c>
      <c r="G101" s="1"/>
      <c r="H101" s="57">
        <f>+H99-H100</f>
        <v>0</v>
      </c>
      <c r="I101" s="30"/>
      <c r="J101" s="57">
        <f>+J99-J100</f>
        <v>0</v>
      </c>
    </row>
    <row r="102" spans="1:10" x14ac:dyDescent="0.2">
      <c r="A102" s="32" t="s">
        <v>67</v>
      </c>
      <c r="B102" s="32"/>
      <c r="C102" s="22"/>
      <c r="D102" s="28"/>
      <c r="E102" s="28"/>
      <c r="F102" s="97">
        <f>+[8]Main!$F44</f>
        <v>100278</v>
      </c>
      <c r="G102" s="1"/>
      <c r="H102" s="30"/>
      <c r="I102" s="30"/>
      <c r="J102" s="30"/>
    </row>
    <row r="103" spans="1:10" x14ac:dyDescent="0.2">
      <c r="A103" s="88" t="s">
        <v>35</v>
      </c>
      <c r="B103" s="78"/>
      <c r="C103" s="89"/>
      <c r="D103" s="90"/>
      <c r="E103" s="91"/>
      <c r="F103" s="54">
        <f>+[8]Main!$C102</f>
        <v>76907.259999999995</v>
      </c>
      <c r="G103" s="1"/>
      <c r="H103" s="30"/>
      <c r="I103" s="30"/>
      <c r="J103" s="30"/>
    </row>
    <row r="104" spans="1:10" ht="13.5" thickBot="1" x14ac:dyDescent="0.25">
      <c r="A104" s="98"/>
      <c r="B104" s="99"/>
      <c r="C104" s="100" t="s">
        <v>29</v>
      </c>
      <c r="D104" s="101"/>
      <c r="E104" s="102"/>
      <c r="F104" s="103">
        <f>SUM(F99:F103)</f>
        <v>860519.26</v>
      </c>
      <c r="G104" s="1"/>
      <c r="H104" s="30"/>
      <c r="I104" s="30"/>
      <c r="J104" s="30"/>
    </row>
    <row r="105" spans="1:10" ht="13.5" thickBot="1" x14ac:dyDescent="0.25">
      <c r="A105" s="104"/>
      <c r="B105" s="105"/>
      <c r="C105" s="106" t="s">
        <v>53</v>
      </c>
      <c r="D105" s="107"/>
      <c r="E105" s="108"/>
      <c r="F105" s="109">
        <f>+F104+F95</f>
        <v>148661777.63999999</v>
      </c>
      <c r="G105" s="1"/>
      <c r="H105" s="57" t="s">
        <v>54</v>
      </c>
      <c r="I105" s="30"/>
      <c r="J105" s="30"/>
    </row>
    <row r="106" spans="1:10" x14ac:dyDescent="0.2">
      <c r="A106" s="11"/>
      <c r="B106" s="12"/>
      <c r="C106" s="9"/>
      <c r="D106" s="29"/>
      <c r="E106" s="29"/>
      <c r="F106" s="110"/>
      <c r="G106" s="1"/>
      <c r="H106" s="57">
        <f>+[8]Main!$G44</f>
        <v>783612</v>
      </c>
      <c r="I106" s="30"/>
      <c r="J106" s="30"/>
    </row>
    <row r="107" spans="1:10" x14ac:dyDescent="0.2">
      <c r="A107" s="11"/>
      <c r="B107" s="12"/>
      <c r="C107" s="9"/>
      <c r="D107" s="29"/>
      <c r="E107" s="29"/>
      <c r="F107" s="110"/>
      <c r="G107" s="1"/>
      <c r="H107" s="57">
        <f>SUM(F99:F102)</f>
        <v>783612</v>
      </c>
      <c r="I107" s="30"/>
      <c r="J107" s="30"/>
    </row>
    <row r="108" spans="1:10" x14ac:dyDescent="0.2">
      <c r="A108" s="1"/>
      <c r="B108" s="1"/>
      <c r="C108" s="7"/>
      <c r="D108" s="26"/>
      <c r="E108" s="26"/>
      <c r="F108" s="86">
        <f>+F104+F95</f>
        <v>148661777.63999999</v>
      </c>
      <c r="G108" s="1"/>
      <c r="H108" s="57">
        <f>+H106-H107</f>
        <v>0</v>
      </c>
      <c r="I108" s="30"/>
      <c r="J108" s="30"/>
    </row>
    <row r="109" spans="1:10" x14ac:dyDescent="0.2">
      <c r="A109" s="1"/>
      <c r="B109" s="1"/>
      <c r="C109" s="7"/>
      <c r="D109" s="26"/>
      <c r="E109" s="26"/>
      <c r="F109" s="86">
        <f>+[1]Main!$F788</f>
        <v>148661777.63999999</v>
      </c>
      <c r="G109" s="1"/>
      <c r="H109" s="30"/>
      <c r="I109" s="30"/>
      <c r="J109" s="30"/>
    </row>
    <row r="110" spans="1:10" x14ac:dyDescent="0.2">
      <c r="A110" s="1"/>
      <c r="B110" s="1"/>
      <c r="C110" s="7"/>
      <c r="D110" s="26"/>
      <c r="E110" s="86">
        <f>+E95+[1]Main!$E788</f>
        <v>0</v>
      </c>
      <c r="F110" s="86">
        <f>+F109-F108</f>
        <v>0</v>
      </c>
      <c r="G110" s="1"/>
      <c r="H110" s="30"/>
      <c r="I110" s="30"/>
      <c r="J110" s="30"/>
    </row>
    <row r="111" spans="1:10" x14ac:dyDescent="0.2">
      <c r="A111" s="59"/>
      <c r="B111" s="59"/>
      <c r="C111" s="85"/>
      <c r="D111" s="86"/>
      <c r="E111" s="86"/>
      <c r="F111" s="86"/>
      <c r="G111" s="59"/>
      <c r="H111" s="57"/>
      <c r="I111" s="57"/>
      <c r="J111" s="57"/>
    </row>
    <row r="112" spans="1:10" x14ac:dyDescent="0.2">
      <c r="A112" s="59"/>
      <c r="B112" s="59"/>
      <c r="C112" s="85"/>
      <c r="D112" s="86"/>
      <c r="E112" s="86"/>
      <c r="F112" s="86"/>
      <c r="G112" s="59"/>
      <c r="H112" s="57"/>
      <c r="I112" s="57"/>
      <c r="J112" s="57"/>
    </row>
    <row r="113" spans="1:10" x14ac:dyDescent="0.2">
      <c r="A113" s="59"/>
      <c r="B113" s="59"/>
      <c r="C113" s="85"/>
      <c r="D113" s="86"/>
      <c r="E113" s="86"/>
      <c r="F113" s="86"/>
      <c r="G113" s="59"/>
      <c r="H113" s="111" t="s">
        <v>55</v>
      </c>
      <c r="I113" s="57"/>
      <c r="J113" s="57"/>
    </row>
    <row r="114" spans="1:10" x14ac:dyDescent="0.2">
      <c r="G114" s="59"/>
      <c r="H114" s="113"/>
      <c r="I114" s="112"/>
      <c r="J114" s="112"/>
    </row>
    <row r="115" spans="1:10" x14ac:dyDescent="0.2">
      <c r="G115" s="59"/>
      <c r="H115" s="112"/>
      <c r="I115" s="112"/>
      <c r="J115" s="112"/>
    </row>
    <row r="116" spans="1:10" x14ac:dyDescent="0.2">
      <c r="G116" s="59"/>
      <c r="H116" s="112"/>
      <c r="I116" s="112"/>
      <c r="J116" s="112"/>
    </row>
    <row r="117" spans="1:10" x14ac:dyDescent="0.2">
      <c r="G117" s="59"/>
      <c r="H117" s="112"/>
      <c r="I117" s="112"/>
      <c r="J117" s="112"/>
    </row>
    <row r="118" spans="1:10" x14ac:dyDescent="0.2">
      <c r="G118" s="59"/>
      <c r="H118" s="112"/>
      <c r="I118" s="112"/>
      <c r="J118" s="112"/>
    </row>
    <row r="119" spans="1:10" x14ac:dyDescent="0.2">
      <c r="G119" s="59"/>
      <c r="H119" s="71"/>
      <c r="I119" s="112"/>
      <c r="J119" s="112"/>
    </row>
  </sheetData>
  <mergeCells count="1">
    <mergeCell ref="D38:E38"/>
  </mergeCells>
  <phoneticPr fontId="0" type="noConversion"/>
  <printOptions horizontalCentered="1" verticalCentered="1"/>
  <pageMargins left="0.5" right="0.25" top="0.5" bottom="0.5" header="0.5" footer="0.5"/>
  <pageSetup scale="89" orientation="portrait" horizontalDpi="1200" r:id="rId1"/>
  <headerFooter alignWithMargins="0">
    <oddHeader>&amp;R&amp;8Current as of: &amp;D</oddHeader>
    <oddFooter>&amp;L&amp;8USOE, Finance and Statistics&amp;R&amp;8&amp;F</oddFooter>
  </headerFooter>
  <picture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A1:J120"/>
  <sheetViews>
    <sheetView topLeftCell="A61" workbookViewId="0">
      <selection activeCell="B43" sqref="B43"/>
    </sheetView>
  </sheetViews>
  <sheetFormatPr defaultColWidth="18.28515625" defaultRowHeight="12.75" x14ac:dyDescent="0.2"/>
  <cols>
    <col min="1" max="1" width="27" style="75" customWidth="1"/>
    <col min="2" max="2" width="16.7109375" style="75" customWidth="1"/>
    <col min="3" max="3" width="15.85546875" style="75" customWidth="1"/>
    <col min="4" max="4" width="16.28515625" style="75" customWidth="1"/>
    <col min="5" max="5" width="15.5703125" style="75" customWidth="1"/>
    <col min="6" max="6" width="17.42578125" style="75" customWidth="1"/>
    <col min="7" max="7" width="5.7109375" style="75" customWidth="1"/>
    <col min="8" max="8" width="21.5703125" style="75" customWidth="1"/>
    <col min="9" max="9" width="5" style="75" customWidth="1"/>
    <col min="10" max="10" width="20.85546875" style="75" customWidth="1"/>
    <col min="11" max="16384" width="18.28515625" style="75"/>
  </cols>
  <sheetData>
    <row r="1" spans="1:10" x14ac:dyDescent="0.2">
      <c r="A1" s="8"/>
      <c r="B1" s="8"/>
      <c r="C1" s="8"/>
      <c r="D1" s="8"/>
      <c r="E1" s="8"/>
      <c r="F1" s="8"/>
      <c r="G1" s="8"/>
      <c r="H1" s="8"/>
      <c r="I1" s="8"/>
      <c r="J1" s="8"/>
    </row>
    <row r="2" spans="1:10" x14ac:dyDescent="0.2">
      <c r="A2" s="8"/>
      <c r="B2" s="8"/>
      <c r="C2" s="8"/>
      <c r="D2" s="8"/>
      <c r="E2" s="8"/>
      <c r="F2" s="8"/>
      <c r="G2" s="8"/>
      <c r="H2" s="8"/>
      <c r="I2" s="8"/>
      <c r="J2" s="8"/>
    </row>
    <row r="3" spans="1:10" x14ac:dyDescent="0.2">
      <c r="A3" s="8"/>
      <c r="B3" s="8"/>
      <c r="C3" s="8"/>
      <c r="D3" s="8"/>
      <c r="E3" s="8"/>
      <c r="F3" s="8"/>
      <c r="G3" s="8"/>
      <c r="H3" s="8"/>
      <c r="I3" s="8"/>
      <c r="J3" s="8"/>
    </row>
    <row r="4" spans="1:10" x14ac:dyDescent="0.2">
      <c r="A4" s="8"/>
      <c r="B4" s="8"/>
      <c r="C4" s="8"/>
      <c r="D4" s="8"/>
      <c r="E4" s="8"/>
      <c r="F4" s="8"/>
      <c r="G4" s="8"/>
      <c r="H4" s="8"/>
      <c r="I4" s="8"/>
      <c r="J4" s="8"/>
    </row>
    <row r="5" spans="1:10" x14ac:dyDescent="0.2">
      <c r="A5" s="8"/>
      <c r="B5" s="8"/>
      <c r="C5" s="8"/>
      <c r="D5" s="8"/>
      <c r="E5" s="8"/>
      <c r="F5" s="8"/>
      <c r="G5" s="8"/>
      <c r="H5" s="8"/>
      <c r="I5" s="8"/>
      <c r="J5" s="8"/>
    </row>
    <row r="6" spans="1:10" x14ac:dyDescent="0.2">
      <c r="A6" s="8"/>
      <c r="B6" s="8"/>
      <c r="C6" s="8"/>
      <c r="D6" s="8"/>
      <c r="E6" s="8"/>
      <c r="F6" s="8"/>
      <c r="G6" s="8"/>
      <c r="H6" s="8"/>
      <c r="I6" s="8"/>
      <c r="J6" s="8"/>
    </row>
    <row r="7" spans="1:10" x14ac:dyDescent="0.2">
      <c r="A7" s="8"/>
      <c r="B7" s="8"/>
      <c r="C7" s="8"/>
      <c r="D7" s="8"/>
      <c r="E7" s="8"/>
      <c r="F7" s="8"/>
      <c r="G7" s="8"/>
      <c r="H7" s="8"/>
      <c r="I7" s="8"/>
      <c r="J7" s="8"/>
    </row>
    <row r="8" spans="1:10" x14ac:dyDescent="0.2">
      <c r="A8" s="8"/>
      <c r="B8" s="8"/>
      <c r="C8" s="8"/>
      <c r="D8" s="8"/>
      <c r="E8" s="8"/>
      <c r="F8" s="8"/>
      <c r="G8" s="8"/>
      <c r="H8" s="8"/>
      <c r="I8" s="8"/>
      <c r="J8" s="8"/>
    </row>
    <row r="9" spans="1:10" x14ac:dyDescent="0.2">
      <c r="A9" s="8"/>
      <c r="B9" s="8"/>
      <c r="C9" s="8"/>
      <c r="D9" s="8"/>
      <c r="E9" s="8"/>
      <c r="F9" s="8"/>
      <c r="G9" s="8"/>
      <c r="H9" s="8"/>
      <c r="I9" s="8"/>
      <c r="J9" s="8"/>
    </row>
    <row r="10" spans="1:10" x14ac:dyDescent="0.2">
      <c r="A10" s="8"/>
      <c r="B10" s="15"/>
      <c r="C10" s="8"/>
      <c r="D10" s="8"/>
      <c r="E10" s="8"/>
      <c r="F10" s="8"/>
      <c r="G10" s="8"/>
      <c r="H10" s="8"/>
      <c r="I10" s="8"/>
      <c r="J10" s="8"/>
    </row>
    <row r="11" spans="1:10" x14ac:dyDescent="0.2">
      <c r="A11" s="8"/>
      <c r="B11" s="8"/>
      <c r="C11" s="8"/>
      <c r="D11" s="8"/>
      <c r="E11" s="8"/>
      <c r="F11" s="8"/>
      <c r="G11" s="8"/>
      <c r="H11" s="8"/>
      <c r="I11" s="8"/>
      <c r="J11" s="8"/>
    </row>
    <row r="12" spans="1:10" x14ac:dyDescent="0.2">
      <c r="A12" s="8"/>
      <c r="B12" s="8"/>
      <c r="C12" s="8"/>
      <c r="D12" s="8"/>
      <c r="E12" s="8"/>
      <c r="F12" s="8"/>
      <c r="G12" s="8"/>
      <c r="H12" s="8"/>
      <c r="I12" s="8"/>
      <c r="J12" s="8"/>
    </row>
    <row r="13" spans="1:10" x14ac:dyDescent="0.2">
      <c r="A13" s="8"/>
      <c r="B13" s="8"/>
      <c r="C13" s="8"/>
      <c r="D13" s="8"/>
      <c r="E13" s="8"/>
      <c r="F13" s="8"/>
      <c r="G13" s="8"/>
      <c r="H13" s="8"/>
      <c r="I13" s="8"/>
      <c r="J13" s="8"/>
    </row>
    <row r="14" spans="1:10" x14ac:dyDescent="0.2">
      <c r="A14" s="8"/>
      <c r="B14" s="8"/>
      <c r="C14" s="8"/>
      <c r="D14" s="8"/>
      <c r="E14" s="8"/>
      <c r="F14" s="8"/>
      <c r="G14" s="8"/>
      <c r="H14" s="8"/>
      <c r="I14" s="8"/>
      <c r="J14" s="8"/>
    </row>
    <row r="15" spans="1:10" x14ac:dyDescent="0.2">
      <c r="A15" s="8"/>
      <c r="B15" s="8"/>
      <c r="C15" s="8"/>
      <c r="D15" s="8"/>
      <c r="E15" s="8"/>
      <c r="F15" s="8"/>
      <c r="G15" s="8"/>
      <c r="H15" s="8"/>
      <c r="I15" s="8"/>
      <c r="J15" s="8"/>
    </row>
    <row r="16" spans="1:10" x14ac:dyDescent="0.2">
      <c r="A16" s="8"/>
      <c r="B16" s="8"/>
      <c r="C16" s="8"/>
      <c r="D16" s="8"/>
      <c r="E16" s="8"/>
      <c r="F16" s="8"/>
      <c r="G16" s="8"/>
      <c r="H16" s="8"/>
      <c r="I16" s="8"/>
      <c r="J16" s="8"/>
    </row>
    <row r="17" spans="1:10" x14ac:dyDescent="0.2">
      <c r="A17" s="8"/>
      <c r="B17" s="8"/>
      <c r="C17" s="8"/>
      <c r="D17" s="8"/>
      <c r="E17" s="8"/>
      <c r="F17" s="8"/>
      <c r="G17" s="8"/>
      <c r="H17" s="8"/>
      <c r="I17" s="8"/>
      <c r="J17" s="8"/>
    </row>
    <row r="18" spans="1:10" x14ac:dyDescent="0.2">
      <c r="A18" s="8"/>
      <c r="B18" s="8"/>
      <c r="C18" s="8"/>
      <c r="D18" s="8"/>
      <c r="E18" s="8"/>
      <c r="F18" s="8"/>
      <c r="G18" s="8"/>
      <c r="H18" s="8"/>
      <c r="I18" s="8"/>
      <c r="J18" s="8"/>
    </row>
    <row r="19" spans="1:10" x14ac:dyDescent="0.2">
      <c r="A19" s="8"/>
      <c r="B19" s="8"/>
      <c r="C19" s="8"/>
      <c r="D19" s="8"/>
      <c r="E19" s="8"/>
      <c r="F19" s="8"/>
      <c r="G19" s="8"/>
      <c r="H19" s="8"/>
      <c r="I19" s="8"/>
      <c r="J19" s="8"/>
    </row>
    <row r="20" spans="1:10" x14ac:dyDescent="0.2">
      <c r="A20" s="8"/>
      <c r="B20" s="8"/>
      <c r="C20" s="8"/>
      <c r="D20" s="8"/>
      <c r="E20" s="8"/>
      <c r="F20" s="8"/>
      <c r="G20" s="8"/>
      <c r="H20" s="8"/>
      <c r="I20" s="8"/>
      <c r="J20" s="8"/>
    </row>
    <row r="21" spans="1:10" x14ac:dyDescent="0.2">
      <c r="A21" s="8"/>
      <c r="B21" s="8"/>
      <c r="C21" s="8"/>
      <c r="D21" s="8"/>
      <c r="E21" s="8"/>
      <c r="F21" s="8"/>
      <c r="G21" s="8"/>
      <c r="H21" s="8"/>
      <c r="I21" s="8"/>
      <c r="J21" s="8"/>
    </row>
    <row r="22" spans="1:10" x14ac:dyDescent="0.2">
      <c r="A22" s="8"/>
      <c r="B22" s="8"/>
      <c r="C22" s="8"/>
      <c r="D22" s="8"/>
      <c r="E22" s="8"/>
      <c r="F22" s="8"/>
      <c r="G22" s="8"/>
      <c r="H22" s="8"/>
      <c r="I22" s="8"/>
      <c r="J22" s="8"/>
    </row>
    <row r="23" spans="1:10" x14ac:dyDescent="0.2">
      <c r="A23" s="8"/>
      <c r="B23" s="8"/>
      <c r="C23" s="8"/>
      <c r="D23" s="8"/>
      <c r="E23" s="8"/>
      <c r="F23" s="8"/>
      <c r="G23" s="8"/>
      <c r="H23" s="8"/>
      <c r="I23" s="8"/>
      <c r="J23" s="8"/>
    </row>
    <row r="24" spans="1:10" x14ac:dyDescent="0.2">
      <c r="A24" s="8"/>
      <c r="B24" s="8"/>
      <c r="C24" s="8"/>
      <c r="D24" s="8"/>
      <c r="E24" s="8"/>
      <c r="F24" s="8"/>
      <c r="G24" s="8"/>
      <c r="H24" s="8"/>
      <c r="I24" s="8"/>
      <c r="J24" s="8"/>
    </row>
    <row r="25" spans="1:10" x14ac:dyDescent="0.2">
      <c r="A25" s="8"/>
      <c r="B25" s="8"/>
      <c r="C25" s="8"/>
      <c r="D25" s="8"/>
      <c r="E25" s="8"/>
      <c r="F25" s="8"/>
      <c r="G25" s="8"/>
      <c r="H25" s="8"/>
      <c r="I25" s="8"/>
      <c r="J25" s="8"/>
    </row>
    <row r="26" spans="1:10" x14ac:dyDescent="0.2">
      <c r="A26" s="8"/>
      <c r="B26" s="8"/>
      <c r="C26" s="8"/>
      <c r="D26" s="8"/>
      <c r="E26" s="8"/>
      <c r="F26" s="8"/>
      <c r="G26" s="8"/>
      <c r="H26" s="8"/>
      <c r="I26" s="8"/>
      <c r="J26" s="8"/>
    </row>
    <row r="27" spans="1:10" x14ac:dyDescent="0.2">
      <c r="A27" s="8"/>
      <c r="B27" s="8"/>
      <c r="C27" s="8"/>
      <c r="D27" s="8"/>
      <c r="E27" s="8"/>
      <c r="F27" s="8"/>
      <c r="G27" s="8"/>
      <c r="H27" s="8"/>
      <c r="I27" s="8"/>
      <c r="J27" s="8"/>
    </row>
    <row r="28" spans="1:10" x14ac:dyDescent="0.2">
      <c r="A28" s="8"/>
      <c r="B28" s="8"/>
      <c r="C28" s="8"/>
      <c r="D28" s="8"/>
      <c r="E28" s="8"/>
      <c r="F28" s="8"/>
      <c r="G28" s="8"/>
      <c r="H28" s="8"/>
      <c r="I28" s="8"/>
      <c r="J28" s="8"/>
    </row>
    <row r="29" spans="1:10" x14ac:dyDescent="0.2">
      <c r="A29" s="8"/>
      <c r="B29" s="8"/>
      <c r="C29" s="8"/>
      <c r="D29" s="8"/>
      <c r="E29" s="8"/>
      <c r="F29" s="8"/>
      <c r="G29" s="8"/>
      <c r="H29" s="8"/>
      <c r="I29" s="8"/>
      <c r="J29" s="8"/>
    </row>
    <row r="30" spans="1:10" x14ac:dyDescent="0.2">
      <c r="A30" s="8"/>
      <c r="B30" s="8"/>
      <c r="C30" s="8"/>
      <c r="D30" s="8"/>
      <c r="E30" s="8"/>
      <c r="F30" s="8"/>
      <c r="G30" s="8"/>
      <c r="H30" s="8"/>
      <c r="I30" s="8"/>
      <c r="J30" s="8"/>
    </row>
    <row r="31" spans="1:10" x14ac:dyDescent="0.2">
      <c r="A31" s="8"/>
      <c r="B31" s="8"/>
      <c r="C31" s="8"/>
      <c r="D31" s="8"/>
      <c r="E31" s="8"/>
      <c r="F31" s="8"/>
      <c r="G31" s="8"/>
      <c r="H31" s="8"/>
      <c r="I31" s="8"/>
      <c r="J31" s="8"/>
    </row>
    <row r="32" spans="1:10" x14ac:dyDescent="0.2">
      <c r="A32" s="8"/>
      <c r="B32" s="8"/>
      <c r="C32" s="8"/>
      <c r="D32" s="8"/>
      <c r="E32" s="8"/>
      <c r="F32" s="8"/>
      <c r="G32" s="8"/>
      <c r="H32" s="8"/>
      <c r="I32" s="8"/>
      <c r="J32" s="8"/>
    </row>
    <row r="33" spans="1:10" x14ac:dyDescent="0.2">
      <c r="A33" s="8"/>
      <c r="B33" s="8"/>
      <c r="C33" s="8"/>
      <c r="D33" s="8"/>
      <c r="E33" s="8"/>
      <c r="F33" s="8"/>
      <c r="G33" s="8"/>
      <c r="H33" s="8"/>
      <c r="I33" s="8"/>
      <c r="J33" s="8"/>
    </row>
    <row r="34" spans="1:10" x14ac:dyDescent="0.2">
      <c r="A34" s="8"/>
      <c r="B34" s="8"/>
      <c r="C34" s="8"/>
      <c r="D34" s="8"/>
      <c r="E34" s="8"/>
      <c r="F34" s="8"/>
      <c r="G34" s="8"/>
      <c r="H34" s="8"/>
      <c r="I34" s="8"/>
      <c r="J34" s="8"/>
    </row>
    <row r="35" spans="1:10" x14ac:dyDescent="0.2">
      <c r="A35" s="8"/>
      <c r="B35" s="8"/>
      <c r="C35" s="8"/>
      <c r="D35" s="8"/>
      <c r="E35" s="8"/>
      <c r="F35" s="8"/>
      <c r="G35" s="8"/>
      <c r="H35" s="8"/>
      <c r="I35" s="8"/>
      <c r="J35" s="8"/>
    </row>
    <row r="36" spans="1:10" x14ac:dyDescent="0.2">
      <c r="A36" s="32" t="s">
        <v>0</v>
      </c>
      <c r="B36" s="33">
        <v>3184</v>
      </c>
      <c r="C36" s="34" t="s">
        <v>1</v>
      </c>
      <c r="D36" s="35"/>
      <c r="E36" s="35"/>
      <c r="F36" s="35"/>
      <c r="G36" s="1"/>
      <c r="H36" s="30"/>
      <c r="I36" s="30"/>
      <c r="J36" s="30"/>
    </row>
    <row r="37" spans="1:10" x14ac:dyDescent="0.2">
      <c r="A37" s="32" t="s">
        <v>61</v>
      </c>
      <c r="B37" s="36">
        <f>+[1]Main!$C562</f>
        <v>8.61E-4</v>
      </c>
      <c r="C37" s="34" t="s">
        <v>41</v>
      </c>
      <c r="D37" s="35"/>
      <c r="E37" s="35"/>
      <c r="F37" s="35"/>
      <c r="G37" s="1"/>
      <c r="H37" s="30"/>
      <c r="I37" s="30"/>
      <c r="J37" s="30"/>
    </row>
    <row r="38" spans="1:10" x14ac:dyDescent="0.2">
      <c r="A38" s="32" t="s">
        <v>62</v>
      </c>
      <c r="B38" s="36">
        <f>+[1]Main!$C617</f>
        <v>2.1090000000000002E-3</v>
      </c>
      <c r="C38" s="34" t="s">
        <v>95</v>
      </c>
      <c r="D38" s="35"/>
      <c r="E38" s="37"/>
      <c r="F38" s="35"/>
      <c r="G38" s="1"/>
      <c r="H38" s="30"/>
      <c r="I38" s="30"/>
      <c r="J38" s="30"/>
    </row>
    <row r="39" spans="1:10" x14ac:dyDescent="0.2">
      <c r="A39" s="38" t="s">
        <v>32</v>
      </c>
      <c r="B39" s="39">
        <f>[2]Sheet1!E44</f>
        <v>20848415440</v>
      </c>
      <c r="C39" s="21"/>
      <c r="D39" s="31"/>
      <c r="E39" s="31"/>
      <c r="F39" s="23"/>
      <c r="G39" s="1"/>
      <c r="H39" s="30"/>
      <c r="I39" s="30"/>
      <c r="J39" s="30"/>
    </row>
    <row r="40" spans="1:10" x14ac:dyDescent="0.2">
      <c r="A40" s="32" t="s">
        <v>2</v>
      </c>
      <c r="B40" s="40">
        <f>[2]Sheet1!F44</f>
        <v>0.97130000000000005</v>
      </c>
      <c r="C40" s="7"/>
      <c r="D40" s="41" t="s">
        <v>3</v>
      </c>
      <c r="E40" s="42" t="str">
        <f>+[3]main!B45</f>
        <v>Salt Lake</v>
      </c>
      <c r="F40" s="43">
        <f>+[3]main!A45</f>
        <v>36</v>
      </c>
      <c r="G40" s="1"/>
      <c r="H40" s="30"/>
      <c r="I40" s="30"/>
      <c r="J40" s="30"/>
    </row>
    <row r="41" spans="1:10" x14ac:dyDescent="0.2">
      <c r="A41" s="32" t="s">
        <v>4</v>
      </c>
      <c r="B41" s="44">
        <f>[2]Sheet1!G44</f>
        <v>1.6750000000000001E-3</v>
      </c>
      <c r="C41" s="8"/>
      <c r="D41" s="24"/>
      <c r="E41" s="25"/>
      <c r="F41" s="24"/>
      <c r="G41" s="1"/>
      <c r="H41" s="30"/>
      <c r="I41" s="30"/>
      <c r="J41" s="30"/>
    </row>
    <row r="42" spans="1:10" x14ac:dyDescent="0.2">
      <c r="A42" s="32" t="s">
        <v>5</v>
      </c>
      <c r="B42" s="45">
        <f>[2]Sheet1!$C$100</f>
        <v>37496448</v>
      </c>
      <c r="C42" s="46"/>
      <c r="D42" s="47" t="s">
        <v>38</v>
      </c>
      <c r="E42" s="48" t="s">
        <v>7</v>
      </c>
      <c r="F42" s="47" t="s">
        <v>6</v>
      </c>
      <c r="G42" s="1"/>
      <c r="H42" s="30"/>
      <c r="I42" s="30"/>
      <c r="J42" s="30"/>
    </row>
    <row r="43" spans="1:10" x14ac:dyDescent="0.2">
      <c r="A43" s="32" t="s">
        <v>8</v>
      </c>
      <c r="B43" s="45">
        <f>+B42</f>
        <v>37496448</v>
      </c>
      <c r="C43" s="49"/>
      <c r="D43" s="50" t="s">
        <v>9</v>
      </c>
      <c r="E43" s="50" t="s">
        <v>37</v>
      </c>
      <c r="F43" s="50" t="s">
        <v>10</v>
      </c>
      <c r="G43" s="1"/>
      <c r="H43" s="30"/>
      <c r="I43" s="30"/>
      <c r="J43" s="30"/>
    </row>
    <row r="44" spans="1:10" x14ac:dyDescent="0.2">
      <c r="A44" s="32" t="s">
        <v>11</v>
      </c>
      <c r="B44" s="45">
        <v>0</v>
      </c>
      <c r="C44" s="51" t="s">
        <v>39</v>
      </c>
      <c r="D44" s="52" t="s">
        <v>12</v>
      </c>
      <c r="E44" s="52" t="s">
        <v>9</v>
      </c>
      <c r="F44" s="52" t="s">
        <v>9</v>
      </c>
      <c r="G44" s="1"/>
      <c r="H44" s="30"/>
      <c r="I44" s="30"/>
      <c r="J44" s="30"/>
    </row>
    <row r="45" spans="1:10" x14ac:dyDescent="0.2">
      <c r="A45" s="32" t="s">
        <v>70</v>
      </c>
      <c r="B45" s="45">
        <f>'[4]LRF FY17'!U42</f>
        <v>2119093</v>
      </c>
      <c r="C45" s="53"/>
      <c r="D45" s="54"/>
      <c r="E45" s="54"/>
      <c r="F45" s="54" t="s">
        <v>14</v>
      </c>
      <c r="G45" s="1"/>
      <c r="H45" s="30"/>
      <c r="I45" s="30"/>
      <c r="J45" s="30"/>
    </row>
    <row r="46" spans="1:10" x14ac:dyDescent="0.2">
      <c r="A46" s="55" t="s">
        <v>13</v>
      </c>
      <c r="B46" s="56"/>
      <c r="C46" s="53"/>
      <c r="D46" s="54"/>
      <c r="E46" s="54"/>
      <c r="F46" s="54"/>
      <c r="G46" s="2"/>
      <c r="H46" s="30"/>
      <c r="I46" s="30"/>
      <c r="J46" s="30"/>
    </row>
    <row r="47" spans="1:10" x14ac:dyDescent="0.2">
      <c r="A47" s="55" t="s">
        <v>15</v>
      </c>
      <c r="B47" s="56"/>
      <c r="C47" s="53"/>
      <c r="D47" s="54"/>
      <c r="E47" s="54"/>
      <c r="F47" s="54"/>
      <c r="G47" s="2"/>
      <c r="H47" s="57" t="s">
        <v>43</v>
      </c>
      <c r="I47" s="30"/>
      <c r="J47" s="57" t="s">
        <v>45</v>
      </c>
    </row>
    <row r="48" spans="1:10" x14ac:dyDescent="0.2">
      <c r="A48" s="58" t="s">
        <v>16</v>
      </c>
      <c r="B48" s="59"/>
      <c r="C48" s="60">
        <f>[3]main!C219-[3]main!F161</f>
        <v>21788.133000000002</v>
      </c>
      <c r="D48" s="61">
        <f>[3]main!E219-[3]main!H161</f>
        <v>69373414.079999998</v>
      </c>
      <c r="E48" s="62">
        <f>IF(B43&gt;D48,D48,B43)</f>
        <v>37496448</v>
      </c>
      <c r="F48" s="62">
        <f>D48-E48</f>
        <v>31876966.079999998</v>
      </c>
      <c r="G48" s="1"/>
      <c r="H48" s="57">
        <f>[3]main!H278</f>
        <v>76833434.75</v>
      </c>
      <c r="I48" s="30"/>
      <c r="J48" s="57">
        <f>'[5]Sheet 1'!E102</f>
        <v>97886283.200000003</v>
      </c>
    </row>
    <row r="49" spans="1:10" x14ac:dyDescent="0.2">
      <c r="A49" s="58" t="s">
        <v>17</v>
      </c>
      <c r="B49" s="59"/>
      <c r="C49" s="53">
        <f>[3]main!F161</f>
        <v>0</v>
      </c>
      <c r="D49" s="54">
        <f>[3]main!H161</f>
        <v>0</v>
      </c>
      <c r="E49" s="54">
        <f>IF(B42-SUM(E46:E48)&gt;D49,D49,B42-SUM(E46:E48))</f>
        <v>0</v>
      </c>
      <c r="F49" s="54">
        <f>D49-E49</f>
        <v>0</v>
      </c>
      <c r="G49" s="1"/>
      <c r="H49" s="57">
        <f>SUM(D48:D52)</f>
        <v>76833434.75</v>
      </c>
      <c r="I49" s="30"/>
      <c r="J49" s="57">
        <f>D63</f>
        <v>97886283.200000003</v>
      </c>
    </row>
    <row r="50" spans="1:10" x14ac:dyDescent="0.2">
      <c r="A50" s="58" t="s">
        <v>18</v>
      </c>
      <c r="B50" s="59"/>
      <c r="C50" s="53">
        <f>[3]main!F219</f>
        <v>2326.971</v>
      </c>
      <c r="D50" s="54">
        <f>[3]main!H219</f>
        <v>7409076.6699999999</v>
      </c>
      <c r="E50" s="54">
        <f>IF(B43-SUM(E48:E49)&gt;D50,D50,B43-SUM(E48:E49))</f>
        <v>0</v>
      </c>
      <c r="F50" s="54">
        <f>D50-E50</f>
        <v>7409076.6699999999</v>
      </c>
      <c r="G50" s="1"/>
      <c r="H50" s="57">
        <f>+H48-H49</f>
        <v>0</v>
      </c>
      <c r="I50" s="30"/>
      <c r="J50" s="57">
        <f>+J48-J49</f>
        <v>0</v>
      </c>
    </row>
    <row r="51" spans="1:10" x14ac:dyDescent="0.2">
      <c r="A51" s="58" t="s">
        <v>19</v>
      </c>
      <c r="B51" s="59"/>
      <c r="C51" s="53">
        <f>[3]main!C278</f>
        <v>0</v>
      </c>
      <c r="D51" s="54">
        <f>[3]main!E278</f>
        <v>0</v>
      </c>
      <c r="E51" s="54">
        <f>IF(B43-SUM(E48:E50)&gt;D51,D51,B43-SUM(E48:E50))</f>
        <v>0</v>
      </c>
      <c r="F51" s="54">
        <f>D51-E51</f>
        <v>0</v>
      </c>
      <c r="G51" s="1"/>
      <c r="H51" s="30"/>
      <c r="I51" s="30"/>
      <c r="J51" s="30"/>
    </row>
    <row r="52" spans="1:10" x14ac:dyDescent="0.2">
      <c r="A52" s="58" t="s">
        <v>42</v>
      </c>
      <c r="B52" s="59"/>
      <c r="C52" s="53">
        <f>[3]main!C102</f>
        <v>16</v>
      </c>
      <c r="D52" s="54">
        <f>[3]main!E102</f>
        <v>50944</v>
      </c>
      <c r="E52" s="54">
        <f>IF(B43-SUM(E48:E51)&gt;D52,D52,B43-SUM(E48:E51))</f>
        <v>0</v>
      </c>
      <c r="F52" s="54">
        <f>D52-E52</f>
        <v>50944</v>
      </c>
      <c r="G52" s="1"/>
      <c r="H52" s="30"/>
      <c r="I52" s="30"/>
      <c r="J52" s="30"/>
    </row>
    <row r="53" spans="1:10" x14ac:dyDescent="0.2">
      <c r="A53" s="55" t="s">
        <v>20</v>
      </c>
      <c r="B53" s="56"/>
      <c r="C53" s="63"/>
      <c r="D53" s="64"/>
      <c r="E53" s="64"/>
      <c r="F53" s="64" t="s">
        <v>14</v>
      </c>
      <c r="G53" s="1"/>
      <c r="H53" s="57" t="s">
        <v>44</v>
      </c>
      <c r="I53" s="30"/>
      <c r="J53" s="30"/>
    </row>
    <row r="54" spans="1:10" x14ac:dyDescent="0.2">
      <c r="A54" s="58" t="s">
        <v>21</v>
      </c>
      <c r="B54" s="59"/>
      <c r="C54" s="53">
        <f>'[6]Sheet 1'!C44</f>
        <v>3087.2269999999999</v>
      </c>
      <c r="D54" s="54">
        <f>'[6]Sheet 1'!E44</f>
        <v>9829730.5999999996</v>
      </c>
      <c r="E54" s="54">
        <f>IF(B43-SUM(E48:E53)&gt;D54,D54,B43-SUM(E48:E53))</f>
        <v>0</v>
      </c>
      <c r="F54" s="54">
        <f t="shared" ref="F54:F62" si="0">D54-E54</f>
        <v>9829730.5999999996</v>
      </c>
      <c r="G54" s="1"/>
      <c r="H54" s="57">
        <f>'[6]Sheet 1'!N160</f>
        <v>13627886.109999999</v>
      </c>
      <c r="I54" s="30"/>
      <c r="J54" s="30"/>
    </row>
    <row r="55" spans="1:10" x14ac:dyDescent="0.2">
      <c r="A55" s="59" t="s">
        <v>22</v>
      </c>
      <c r="B55" s="59"/>
      <c r="C55" s="53">
        <f>'[6]Sheet 1'!F44</f>
        <v>845.98</v>
      </c>
      <c r="D55" s="54">
        <f>'[6]Sheet 1'!H44</f>
        <v>2693600.32</v>
      </c>
      <c r="E55" s="54">
        <f>IF(B43-SUM(E48:E54)&gt;D55,D55,B43-SUM(E48:E54))</f>
        <v>0</v>
      </c>
      <c r="F55" s="54">
        <f t="shared" si="0"/>
        <v>2693600.32</v>
      </c>
      <c r="G55" s="1"/>
      <c r="H55" s="57">
        <f>SUM(D54:D60)</f>
        <v>13627886.109999999</v>
      </c>
      <c r="I55" s="30"/>
      <c r="J55" s="30"/>
    </row>
    <row r="56" spans="1:10" x14ac:dyDescent="0.2">
      <c r="A56" s="59" t="s">
        <v>23</v>
      </c>
      <c r="B56" s="59"/>
      <c r="C56" s="53">
        <f>'[6]Sheet 1'!C102</f>
        <v>263.13</v>
      </c>
      <c r="D56" s="54">
        <f>'[6]Sheet 1'!E102</f>
        <v>837805.92</v>
      </c>
      <c r="E56" s="54">
        <f>IF(B43-SUM(E48:E55)&gt;D56,D56,B43-SUM(E48:E55))</f>
        <v>0</v>
      </c>
      <c r="F56" s="54">
        <f t="shared" si="0"/>
        <v>837805.92</v>
      </c>
      <c r="G56" s="1"/>
      <c r="H56" s="57">
        <f>+H54-H55</f>
        <v>0</v>
      </c>
      <c r="I56" s="30"/>
      <c r="J56" s="30"/>
    </row>
    <row r="57" spans="1:10" x14ac:dyDescent="0.2">
      <c r="A57" s="58" t="s">
        <v>24</v>
      </c>
      <c r="B57" s="59"/>
      <c r="C57" s="53">
        <f>'[6]Sheet 1'!F102</f>
        <v>13.462999999999999</v>
      </c>
      <c r="D57" s="54">
        <f>'[6]Sheet 1'!H102</f>
        <v>42864.92</v>
      </c>
      <c r="E57" s="54">
        <f>IF(B43-SUM(E48:E56)&gt;D57,D57,B43-SUM(E48:E56))</f>
        <v>0</v>
      </c>
      <c r="F57" s="54">
        <f t="shared" si="0"/>
        <v>42864.92</v>
      </c>
      <c r="G57" s="1"/>
      <c r="H57" s="30"/>
      <c r="I57" s="30"/>
      <c r="J57" s="30"/>
    </row>
    <row r="58" spans="1:10" x14ac:dyDescent="0.2">
      <c r="A58" s="59" t="s">
        <v>71</v>
      </c>
      <c r="B58" s="59"/>
      <c r="C58" s="53">
        <f>'[6]Sheet 1'!C160</f>
        <v>70.314999999999998</v>
      </c>
      <c r="D58" s="54">
        <f>'[6]Sheet 1'!E160</f>
        <v>223884.35</v>
      </c>
      <c r="E58" s="54">
        <f>IF(B43-SUM(E48:E57)&gt;D58,D58,B43-SUM(E48:E57))</f>
        <v>0</v>
      </c>
      <c r="F58" s="54">
        <f t="shared" si="0"/>
        <v>223884.35</v>
      </c>
      <c r="G58" s="1"/>
      <c r="H58" s="30"/>
      <c r="I58" s="30"/>
      <c r="J58" s="30"/>
    </row>
    <row r="59" spans="1:10" x14ac:dyDescent="0.2">
      <c r="A59" s="59" t="s">
        <v>57</v>
      </c>
      <c r="B59" s="59"/>
      <c r="C59" s="53">
        <f>'[6]Sheet 1'!F160</f>
        <v>0</v>
      </c>
      <c r="D59" s="54">
        <f>'[6]Sheet 1'!H160</f>
        <v>0</v>
      </c>
      <c r="E59" s="54">
        <f>IF(B44-SUM(E49:E58)&gt;D59,D59,B44-SUM(E49:E58))</f>
        <v>0</v>
      </c>
      <c r="F59" s="54">
        <f t="shared" si="0"/>
        <v>0</v>
      </c>
      <c r="G59" s="1"/>
      <c r="H59" s="30"/>
      <c r="I59" s="30"/>
      <c r="J59" s="30"/>
    </row>
    <row r="60" spans="1:10" x14ac:dyDescent="0.2">
      <c r="A60" s="59" t="s">
        <v>64</v>
      </c>
      <c r="B60" s="59"/>
      <c r="C60" s="53">
        <f>'[6]Sheet 1'!I160</f>
        <v>0</v>
      </c>
      <c r="D60" s="54">
        <f>'[6]Sheet 1'!K160</f>
        <v>0</v>
      </c>
      <c r="E60" s="54">
        <f>IF(B46-SUM(E50:E59)&gt;D60,D60,B46-SUM(E50:E59))</f>
        <v>0</v>
      </c>
      <c r="F60" s="54">
        <f t="shared" si="0"/>
        <v>0</v>
      </c>
      <c r="G60" s="1"/>
      <c r="H60" s="57" t="s">
        <v>46</v>
      </c>
      <c r="I60" s="30"/>
      <c r="J60" s="30"/>
    </row>
    <row r="61" spans="1:10" x14ac:dyDescent="0.2">
      <c r="A61" s="59" t="s">
        <v>58</v>
      </c>
      <c r="B61" s="59"/>
      <c r="C61" s="53">
        <f>'[6]Sheet 1'!C218</f>
        <v>888.79600000000005</v>
      </c>
      <c r="D61" s="54">
        <f>'[6]Sheet 1'!E218</f>
        <v>2829926.91</v>
      </c>
      <c r="E61" s="54">
        <f>IF(B43-SUM(E48:E58)&gt;D61,D61,B43-SUM(E48:E58))</f>
        <v>0</v>
      </c>
      <c r="F61" s="54">
        <f t="shared" si="0"/>
        <v>2829926.91</v>
      </c>
      <c r="G61" s="4"/>
      <c r="H61" s="57">
        <f>+'[6]Sheet 1'!E218</f>
        <v>2829926.91</v>
      </c>
      <c r="I61" s="30"/>
      <c r="J61" s="30"/>
    </row>
    <row r="62" spans="1:10" x14ac:dyDescent="0.2">
      <c r="A62" s="58" t="s">
        <v>59</v>
      </c>
      <c r="B62" s="59"/>
      <c r="C62" s="53">
        <f>'[5]Sheet 1'!C44</f>
        <v>1443.164</v>
      </c>
      <c r="D62" s="54">
        <f>'[5]Sheet 1'!E44</f>
        <v>4595035.43</v>
      </c>
      <c r="E62" s="54">
        <f>IF(B43-SUM(E48:E61)&gt;D62,D62,B43-SUM(E48:E61))</f>
        <v>0</v>
      </c>
      <c r="F62" s="54">
        <f t="shared" si="0"/>
        <v>4595035.43</v>
      </c>
      <c r="G62" s="5"/>
      <c r="H62" s="57">
        <f>+D61</f>
        <v>2829926.91</v>
      </c>
      <c r="I62" s="30"/>
      <c r="J62" s="30"/>
    </row>
    <row r="63" spans="1:10" x14ac:dyDescent="0.2">
      <c r="A63" s="65" t="s">
        <v>28</v>
      </c>
      <c r="B63" s="56"/>
      <c r="C63" s="66">
        <f>SUM(C48:C62)</f>
        <v>30743.179</v>
      </c>
      <c r="D63" s="67">
        <f>SUM(D48:D62)</f>
        <v>97886283.200000003</v>
      </c>
      <c r="E63" s="67">
        <f>SUM(E48:E62)</f>
        <v>37496448</v>
      </c>
      <c r="F63" s="67">
        <f>SUM(F48:F62)</f>
        <v>60389835.200000003</v>
      </c>
      <c r="G63" s="1"/>
      <c r="H63" s="57">
        <f>+H61-H62</f>
        <v>0</v>
      </c>
      <c r="I63" s="30"/>
      <c r="J63" s="30"/>
    </row>
    <row r="64" spans="1:10" x14ac:dyDescent="0.2">
      <c r="A64" s="68" t="s">
        <v>26</v>
      </c>
      <c r="B64" s="56"/>
      <c r="C64" s="69"/>
      <c r="D64" s="54"/>
      <c r="E64" s="54"/>
      <c r="F64" s="54"/>
      <c r="G64" s="1"/>
      <c r="H64" s="57" t="s">
        <v>47</v>
      </c>
      <c r="I64" s="30"/>
      <c r="J64" s="57" t="s">
        <v>52</v>
      </c>
    </row>
    <row r="65" spans="1:10" x14ac:dyDescent="0.2">
      <c r="A65" s="58" t="s">
        <v>56</v>
      </c>
      <c r="B65" s="59"/>
      <c r="C65" s="20"/>
      <c r="D65" s="70">
        <f>[1]Main!F45</f>
        <v>283572.59000000003</v>
      </c>
      <c r="E65" s="54">
        <f>IF($B43-SUM($E63)&gt;D65,D65,$B43-SUM($E63))</f>
        <v>0</v>
      </c>
      <c r="F65" s="54">
        <f t="shared" ref="F65:F83" si="1">D65-E65</f>
        <v>283572.59000000003</v>
      </c>
      <c r="G65" s="1"/>
      <c r="H65" s="57">
        <f>[1]Main!G45</f>
        <v>3328578.35</v>
      </c>
      <c r="I65" s="30"/>
      <c r="J65" s="57">
        <f>+[1]Main!D506</f>
        <v>20139124.600000001</v>
      </c>
    </row>
    <row r="66" spans="1:10" x14ac:dyDescent="0.2">
      <c r="A66" s="59" t="s">
        <v>25</v>
      </c>
      <c r="B66" s="59"/>
      <c r="C66" s="20"/>
      <c r="D66" s="70">
        <f>[1]Main!C45</f>
        <v>3045005.76</v>
      </c>
      <c r="E66" s="54">
        <f>IF($B43-SUM($E63:E65)&gt;D66,D66,B43-SUM($E63:E65))</f>
        <v>0</v>
      </c>
      <c r="F66" s="54">
        <f t="shared" si="1"/>
        <v>3045005.76</v>
      </c>
      <c r="G66" s="1"/>
      <c r="H66" s="57">
        <f>SUM(D65:D67)</f>
        <v>3328578.35</v>
      </c>
      <c r="I66" s="30"/>
      <c r="J66" s="57">
        <f>SUM(D65:D92)-E78</f>
        <v>20139124.600000001</v>
      </c>
    </row>
    <row r="67" spans="1:10" x14ac:dyDescent="0.2">
      <c r="A67" s="71" t="s">
        <v>27</v>
      </c>
      <c r="B67" s="59"/>
      <c r="C67" s="20"/>
      <c r="D67" s="70">
        <f>[1]Main!D45</f>
        <v>0</v>
      </c>
      <c r="E67" s="54">
        <f>IF($B43-SUM($E63:E66)&gt;D67,D67,$B43-SUM($E63:E66))</f>
        <v>0</v>
      </c>
      <c r="F67" s="54">
        <f>D67-E67</f>
        <v>0</v>
      </c>
      <c r="G67" s="1"/>
      <c r="H67" s="57">
        <f>+H65-H66</f>
        <v>0</v>
      </c>
      <c r="I67" s="30"/>
      <c r="J67" s="57">
        <f>+J65-J66</f>
        <v>0</v>
      </c>
    </row>
    <row r="68" spans="1:10" x14ac:dyDescent="0.2">
      <c r="A68" s="72" t="s">
        <v>72</v>
      </c>
      <c r="B68" s="59"/>
      <c r="C68" s="20"/>
      <c r="D68" s="70">
        <f>[1]Main!E45</f>
        <v>0</v>
      </c>
      <c r="E68" s="54">
        <f>IF($B44-SUM($E64:E67)&gt;D68,D68,$B44-SUM($E64:E67))</f>
        <v>0</v>
      </c>
      <c r="F68" s="54">
        <f>D68-E68</f>
        <v>0</v>
      </c>
      <c r="G68" s="1"/>
      <c r="H68" s="30"/>
      <c r="I68" s="30"/>
      <c r="J68" s="30"/>
    </row>
    <row r="69" spans="1:10" x14ac:dyDescent="0.2">
      <c r="A69" s="72" t="s">
        <v>73</v>
      </c>
      <c r="B69" s="59"/>
      <c r="C69" s="20"/>
      <c r="D69" s="54">
        <f>+[1]Main!$F161</f>
        <v>210405.39</v>
      </c>
      <c r="E69" s="54">
        <f>IF($B43-SUM($E63:E67)&gt;D69,D69,$B43-SUM($E63:E67))</f>
        <v>0</v>
      </c>
      <c r="F69" s="54">
        <f t="shared" si="1"/>
        <v>210405.39</v>
      </c>
      <c r="G69" s="1"/>
      <c r="H69" s="30"/>
      <c r="I69" s="30"/>
      <c r="J69" s="30"/>
    </row>
    <row r="70" spans="1:10" x14ac:dyDescent="0.2">
      <c r="A70" s="71" t="s">
        <v>74</v>
      </c>
      <c r="B70" s="59"/>
      <c r="C70" s="20"/>
      <c r="D70" s="54">
        <f>+[1]Main!$C103</f>
        <v>1877252</v>
      </c>
      <c r="E70" s="54">
        <f>IF($B43-SUM($E63:E69)&gt;D70,D70,$B43-SUM($E63:E69))</f>
        <v>0</v>
      </c>
      <c r="F70" s="54">
        <f t="shared" si="1"/>
        <v>1877252</v>
      </c>
      <c r="G70" s="1"/>
      <c r="H70" s="30"/>
      <c r="I70" s="30"/>
      <c r="J70" s="30"/>
    </row>
    <row r="71" spans="1:10" x14ac:dyDescent="0.2">
      <c r="A71" s="71" t="s">
        <v>75</v>
      </c>
      <c r="B71" s="59"/>
      <c r="C71" s="20"/>
      <c r="D71" s="54">
        <f>+[1]Main!$D103</f>
        <v>223598</v>
      </c>
      <c r="E71" s="54">
        <f>IF($B43-SUM($E63:E70)&gt;D71,D71,$B43-SUM($E63:E70))</f>
        <v>0</v>
      </c>
      <c r="F71" s="54">
        <f t="shared" si="1"/>
        <v>223598</v>
      </c>
      <c r="G71" s="1"/>
      <c r="H71" s="30"/>
      <c r="I71" s="30"/>
      <c r="J71" s="30"/>
    </row>
    <row r="72" spans="1:10" x14ac:dyDescent="0.2">
      <c r="A72" s="71" t="s">
        <v>76</v>
      </c>
      <c r="B72" s="59"/>
      <c r="C72" s="20"/>
      <c r="D72" s="54">
        <f>+[1]Main!$E103</f>
        <v>649320</v>
      </c>
      <c r="E72" s="54">
        <f>IF($B43-SUM($E63:E71)&gt;D72,D72,$B43-SUM($E63:E71))</f>
        <v>0</v>
      </c>
      <c r="F72" s="54">
        <f t="shared" si="1"/>
        <v>649320</v>
      </c>
      <c r="G72" s="1"/>
      <c r="H72" s="30"/>
      <c r="I72" s="30"/>
      <c r="J72" s="30"/>
    </row>
    <row r="73" spans="1:10" x14ac:dyDescent="0.2">
      <c r="A73" s="71" t="s">
        <v>77</v>
      </c>
      <c r="B73" s="59"/>
      <c r="C73" s="20"/>
      <c r="D73" s="54">
        <f>[1]Main!F103</f>
        <v>1722133</v>
      </c>
      <c r="E73" s="54">
        <f>IF($B43-SUM($E63:E72)&gt;D73,D73,$B43-SUM($E63:E72))</f>
        <v>0</v>
      </c>
      <c r="F73" s="54">
        <f t="shared" si="1"/>
        <v>1722133</v>
      </c>
      <c r="G73" s="1"/>
      <c r="H73" s="57" t="s">
        <v>48</v>
      </c>
      <c r="I73" s="30"/>
      <c r="J73" s="30"/>
    </row>
    <row r="74" spans="1:10" x14ac:dyDescent="0.2">
      <c r="A74" s="71" t="s">
        <v>79</v>
      </c>
      <c r="B74" s="59"/>
      <c r="C74" s="20"/>
      <c r="D74" s="54">
        <f>[1]Main!G103</f>
        <v>0</v>
      </c>
      <c r="E74" s="54">
        <f>IF($B43-SUM($E63:E73)&gt;D74,D74,$B43-SUM($E63:E73))</f>
        <v>0</v>
      </c>
      <c r="F74" s="54">
        <f t="shared" si="1"/>
        <v>0</v>
      </c>
      <c r="G74" s="1"/>
      <c r="H74" s="57"/>
      <c r="I74" s="30"/>
      <c r="J74" s="30"/>
    </row>
    <row r="75" spans="1:10" x14ac:dyDescent="0.2">
      <c r="A75" s="71" t="s">
        <v>78</v>
      </c>
      <c r="B75" s="59"/>
      <c r="C75" s="20"/>
      <c r="D75" s="54">
        <f>[1]Main!G161</f>
        <v>57283.199999999997</v>
      </c>
      <c r="E75" s="54">
        <f>IF($B43-SUM($E63:E74)&gt;D75,D75,$B43-SUM($E63:E74))</f>
        <v>0</v>
      </c>
      <c r="F75" s="54">
        <f t="shared" si="1"/>
        <v>57283.199999999997</v>
      </c>
      <c r="G75" s="1"/>
      <c r="H75" s="73">
        <f>+[1]Main!D219</f>
        <v>4739991.59</v>
      </c>
      <c r="I75" s="30"/>
      <c r="J75" s="30"/>
    </row>
    <row r="76" spans="1:10" x14ac:dyDescent="0.2">
      <c r="A76" s="71" t="s">
        <v>80</v>
      </c>
      <c r="B76" s="59"/>
      <c r="C76" s="20"/>
      <c r="D76" s="54">
        <f>[1]Main!C219</f>
        <v>0</v>
      </c>
      <c r="E76" s="54"/>
      <c r="F76" s="54">
        <f t="shared" si="1"/>
        <v>0</v>
      </c>
      <c r="G76" s="1"/>
      <c r="H76" s="57">
        <f>+SUM(D69:D76)</f>
        <v>4739991.59</v>
      </c>
      <c r="I76" s="30"/>
      <c r="J76" s="30"/>
    </row>
    <row r="77" spans="1:10" x14ac:dyDescent="0.2">
      <c r="A77" s="71" t="s">
        <v>81</v>
      </c>
      <c r="B77" s="59"/>
      <c r="C77" s="20"/>
      <c r="D77" s="54">
        <f>[1]Main!C277</f>
        <v>1758839</v>
      </c>
      <c r="E77" s="54">
        <v>0</v>
      </c>
      <c r="F77" s="54">
        <f t="shared" si="1"/>
        <v>1758839</v>
      </c>
      <c r="G77" s="1"/>
      <c r="H77" s="57">
        <f>+H75-H76</f>
        <v>0</v>
      </c>
      <c r="I77" s="30"/>
      <c r="J77" s="30"/>
    </row>
    <row r="78" spans="1:10" x14ac:dyDescent="0.2">
      <c r="A78" s="71" t="s">
        <v>82</v>
      </c>
      <c r="B78" s="59"/>
      <c r="C78" s="20"/>
      <c r="D78" s="54">
        <f>+[7]Main!I44+[7]Main!J44</f>
        <v>2545891.2400000002</v>
      </c>
      <c r="E78" s="74">
        <f>[7]Main!J44</f>
        <v>2072154.84</v>
      </c>
      <c r="F78" s="54">
        <f t="shared" si="1"/>
        <v>473736.4</v>
      </c>
      <c r="G78" s="1"/>
      <c r="H78" s="30"/>
      <c r="I78" s="30"/>
      <c r="J78" s="30"/>
    </row>
    <row r="79" spans="1:10" x14ac:dyDescent="0.2">
      <c r="A79" s="71" t="s">
        <v>83</v>
      </c>
      <c r="B79" s="59"/>
      <c r="C79" s="20"/>
      <c r="D79" s="54">
        <f>[1]Main!F277</f>
        <v>407345</v>
      </c>
      <c r="E79" s="54">
        <v>0</v>
      </c>
      <c r="F79" s="54">
        <f t="shared" si="1"/>
        <v>407345</v>
      </c>
      <c r="G79" s="1"/>
      <c r="H79" s="30"/>
      <c r="I79" s="30"/>
      <c r="J79" s="30"/>
    </row>
    <row r="80" spans="1:10" x14ac:dyDescent="0.2">
      <c r="A80" s="71" t="s">
        <v>84</v>
      </c>
      <c r="B80" s="59"/>
      <c r="C80" s="7"/>
      <c r="D80" s="54">
        <f>[1]Main!E277</f>
        <v>34568.730000000003</v>
      </c>
      <c r="E80" s="54">
        <v>0</v>
      </c>
      <c r="F80" s="54">
        <f t="shared" si="1"/>
        <v>34568.730000000003</v>
      </c>
      <c r="G80" s="1"/>
      <c r="H80" s="57" t="s">
        <v>49</v>
      </c>
      <c r="I80" s="30"/>
      <c r="J80" s="30"/>
    </row>
    <row r="81" spans="1:10" x14ac:dyDescent="0.2">
      <c r="A81" s="71" t="s">
        <v>85</v>
      </c>
      <c r="B81" s="59"/>
      <c r="C81" s="7"/>
      <c r="D81" s="54">
        <f>[1]Main!G277</f>
        <v>813141</v>
      </c>
      <c r="E81" s="54">
        <v>0</v>
      </c>
      <c r="F81" s="54">
        <f t="shared" si="1"/>
        <v>813141</v>
      </c>
      <c r="G81" s="1"/>
      <c r="H81" s="57">
        <f>+[1]Main!C506</f>
        <v>11715046.779999999</v>
      </c>
      <c r="I81" s="57"/>
      <c r="J81" s="57"/>
    </row>
    <row r="82" spans="1:10" x14ac:dyDescent="0.2">
      <c r="A82" s="71" t="s">
        <v>86</v>
      </c>
      <c r="B82" s="59"/>
      <c r="C82" s="20"/>
      <c r="D82" s="54">
        <f>[1]Main!C335</f>
        <v>75000</v>
      </c>
      <c r="E82" s="54">
        <v>0</v>
      </c>
      <c r="F82" s="54">
        <f t="shared" si="1"/>
        <v>75000</v>
      </c>
      <c r="G82" s="1"/>
      <c r="H82" s="57">
        <f>+SUM(D77:D87)-E78</f>
        <v>11715046.779999999</v>
      </c>
      <c r="I82" s="57"/>
      <c r="J82" s="57">
        <f>+H82-H81</f>
        <v>0</v>
      </c>
    </row>
    <row r="83" spans="1:10" x14ac:dyDescent="0.2">
      <c r="A83" s="71" t="s">
        <v>87</v>
      </c>
      <c r="C83" s="8"/>
      <c r="D83" s="76">
        <f>[1]Main!D335</f>
        <v>7349862.6699999999</v>
      </c>
      <c r="E83" s="77">
        <v>0</v>
      </c>
      <c r="F83" s="77">
        <f t="shared" si="1"/>
        <v>7349862.6699999999</v>
      </c>
      <c r="G83" s="5"/>
      <c r="H83" s="57">
        <f>+H81-H82</f>
        <v>0</v>
      </c>
      <c r="I83" s="57"/>
      <c r="J83" s="57"/>
    </row>
    <row r="84" spans="1:10" x14ac:dyDescent="0.2">
      <c r="A84" s="71" t="s">
        <v>88</v>
      </c>
      <c r="B84" s="59"/>
      <c r="C84" s="20"/>
      <c r="D84" s="54">
        <f>+[1]Main!$E335</f>
        <v>31896.7</v>
      </c>
      <c r="E84" s="54">
        <v>0</v>
      </c>
      <c r="F84" s="54">
        <f>D84-E84</f>
        <v>31896.7</v>
      </c>
      <c r="G84" s="4"/>
      <c r="H84" s="30"/>
      <c r="I84" s="30"/>
      <c r="J84" s="30"/>
    </row>
    <row r="85" spans="1:10" x14ac:dyDescent="0.2">
      <c r="A85" s="71" t="s">
        <v>89</v>
      </c>
      <c r="B85" s="59"/>
      <c r="C85" s="20"/>
      <c r="D85" s="54">
        <f>[1]Main!F335</f>
        <v>178704.19</v>
      </c>
      <c r="E85" s="54">
        <v>0</v>
      </c>
      <c r="F85" s="54">
        <f>D85-E85</f>
        <v>178704.19</v>
      </c>
      <c r="G85" s="4"/>
      <c r="H85" s="30"/>
      <c r="I85" s="30"/>
      <c r="J85" s="30"/>
    </row>
    <row r="86" spans="1:10" x14ac:dyDescent="0.2">
      <c r="A86" s="71" t="s">
        <v>90</v>
      </c>
      <c r="B86" s="59"/>
      <c r="C86" s="20"/>
      <c r="D86" s="54">
        <f>[1]Main!G335</f>
        <v>229234</v>
      </c>
      <c r="E86" s="54">
        <v>0</v>
      </c>
      <c r="F86" s="54">
        <f>D86-E86</f>
        <v>229234</v>
      </c>
      <c r="G86" s="1"/>
      <c r="H86" s="57" t="s">
        <v>50</v>
      </c>
      <c r="I86" s="30"/>
      <c r="J86" s="30"/>
    </row>
    <row r="87" spans="1:10" x14ac:dyDescent="0.2">
      <c r="A87" s="71" t="s">
        <v>93</v>
      </c>
      <c r="B87" s="59"/>
      <c r="C87" s="20"/>
      <c r="D87" s="54">
        <f>[1]Main!F392</f>
        <v>362719.09</v>
      </c>
      <c r="E87" s="54">
        <v>0</v>
      </c>
      <c r="F87" s="54">
        <f>D87-E87</f>
        <v>362719.09</v>
      </c>
      <c r="G87" s="1"/>
      <c r="H87" s="57"/>
      <c r="I87" s="30"/>
      <c r="J87" s="30"/>
    </row>
    <row r="88" spans="1:10" x14ac:dyDescent="0.2">
      <c r="A88" s="55" t="s">
        <v>30</v>
      </c>
      <c r="B88" s="78"/>
      <c r="C88" s="79"/>
      <c r="D88" s="64"/>
      <c r="E88" s="64"/>
      <c r="F88" s="64"/>
      <c r="G88" s="1"/>
      <c r="H88" s="57"/>
      <c r="I88" s="30"/>
      <c r="J88" s="30"/>
    </row>
    <row r="89" spans="1:10" x14ac:dyDescent="0.2">
      <c r="A89" s="71" t="s">
        <v>60</v>
      </c>
      <c r="B89" s="59"/>
      <c r="C89" s="20"/>
      <c r="D89" s="54">
        <f>[1]Main!C449</f>
        <v>252639.78</v>
      </c>
      <c r="E89" s="54">
        <v>0</v>
      </c>
      <c r="F89" s="54">
        <f>D89-E89</f>
        <v>252639.78</v>
      </c>
      <c r="G89" s="1"/>
      <c r="H89" s="57">
        <f>+[1]Main!G449</f>
        <v>355507.88</v>
      </c>
      <c r="I89" s="30"/>
      <c r="J89" s="30"/>
    </row>
    <row r="90" spans="1:10" x14ac:dyDescent="0.2">
      <c r="A90" s="71" t="s">
        <v>63</v>
      </c>
      <c r="B90" s="59"/>
      <c r="C90" s="20"/>
      <c r="D90" s="54">
        <f>[1]Main!D449</f>
        <v>0</v>
      </c>
      <c r="E90" s="54">
        <v>0</v>
      </c>
      <c r="F90" s="54">
        <f>D90-E90</f>
        <v>0</v>
      </c>
      <c r="G90" s="4"/>
      <c r="H90" s="57">
        <f>SUM(D89:D92)</f>
        <v>355507.88</v>
      </c>
      <c r="I90" s="30"/>
      <c r="J90" s="30"/>
    </row>
    <row r="91" spans="1:10" x14ac:dyDescent="0.2">
      <c r="A91" s="71" t="s">
        <v>91</v>
      </c>
      <c r="B91" s="59"/>
      <c r="C91" s="20"/>
      <c r="D91" s="54">
        <f>[1]Main!E449</f>
        <v>0</v>
      </c>
      <c r="E91" s="54">
        <v>0</v>
      </c>
      <c r="F91" s="54">
        <f>D91-E91</f>
        <v>0</v>
      </c>
      <c r="G91" s="4"/>
      <c r="H91" s="57">
        <f>+H89-H90</f>
        <v>0</v>
      </c>
      <c r="I91" s="30"/>
      <c r="J91" s="30"/>
    </row>
    <row r="92" spans="1:10" x14ac:dyDescent="0.2">
      <c r="A92" s="71" t="s">
        <v>92</v>
      </c>
      <c r="B92" s="59"/>
      <c r="C92" s="20"/>
      <c r="D92" s="54">
        <f>[1]Main!F449</f>
        <v>102868.1</v>
      </c>
      <c r="E92" s="54">
        <v>0</v>
      </c>
      <c r="F92" s="54">
        <f>D92-E92</f>
        <v>102868.1</v>
      </c>
      <c r="G92" s="1"/>
      <c r="H92" s="30"/>
      <c r="I92" s="30"/>
      <c r="J92" s="30"/>
    </row>
    <row r="93" spans="1:10" x14ac:dyDescent="0.2">
      <c r="A93" s="55" t="s">
        <v>31</v>
      </c>
      <c r="B93" s="78"/>
      <c r="C93" s="79"/>
      <c r="D93" s="64"/>
      <c r="E93" s="64"/>
      <c r="F93" s="64"/>
      <c r="G93" s="1"/>
      <c r="H93" s="30"/>
      <c r="I93" s="30"/>
      <c r="J93" s="30"/>
    </row>
    <row r="94" spans="1:10" x14ac:dyDescent="0.2">
      <c r="A94" s="58" t="s">
        <v>69</v>
      </c>
      <c r="B94" s="59"/>
      <c r="C94" s="20"/>
      <c r="D94" s="54">
        <f>+[1]Main!$G562</f>
        <v>19274293.559999999</v>
      </c>
      <c r="E94" s="54">
        <f>+[1]Main!$D562</f>
        <v>19274293.559999999</v>
      </c>
      <c r="F94" s="54">
        <f>+D94-E94</f>
        <v>0</v>
      </c>
      <c r="G94" s="1"/>
      <c r="H94" s="30"/>
      <c r="I94" s="30"/>
      <c r="J94" s="30"/>
    </row>
    <row r="95" spans="1:10" x14ac:dyDescent="0.2">
      <c r="A95" s="59" t="s">
        <v>68</v>
      </c>
      <c r="B95" s="59"/>
      <c r="C95" s="20"/>
      <c r="D95" s="54">
        <f>+[1]Main!$G617</f>
        <v>8954375.6400000006</v>
      </c>
      <c r="E95" s="54">
        <f>+[1]Main!$D617</f>
        <v>8954375.6400000006</v>
      </c>
      <c r="F95" s="54">
        <f>+D95-E95</f>
        <v>0</v>
      </c>
      <c r="G95" s="1"/>
      <c r="H95" s="30"/>
      <c r="I95" s="30"/>
      <c r="J95" s="30"/>
    </row>
    <row r="96" spans="1:10" ht="13.5" thickBot="1" x14ac:dyDescent="0.25">
      <c r="A96" s="80"/>
      <c r="B96" s="81"/>
      <c r="C96" s="82" t="s">
        <v>29</v>
      </c>
      <c r="D96" s="83">
        <f>SUM(D63:D95)</f>
        <v>148326231.84</v>
      </c>
      <c r="E96" s="83">
        <f>SUM(E63:E95)</f>
        <v>67797272.040000007</v>
      </c>
      <c r="F96" s="83">
        <f>SUM(F63:F95)</f>
        <v>80528959.799999997</v>
      </c>
      <c r="G96" s="1"/>
      <c r="H96" s="30"/>
      <c r="I96" s="30"/>
      <c r="J96" s="30"/>
    </row>
    <row r="97" spans="1:10" ht="13.5" thickTop="1" x14ac:dyDescent="0.2">
      <c r="A97" s="84"/>
      <c r="B97" s="59"/>
      <c r="C97" s="85"/>
      <c r="D97" s="86"/>
      <c r="E97" s="86"/>
      <c r="F97" s="87"/>
      <c r="G97" s="1"/>
      <c r="H97" s="30"/>
      <c r="I97" s="30"/>
      <c r="J97" s="30"/>
    </row>
    <row r="98" spans="1:10" x14ac:dyDescent="0.2">
      <c r="A98" s="88" t="s">
        <v>40</v>
      </c>
      <c r="B98" s="78"/>
      <c r="C98" s="89"/>
      <c r="D98" s="90"/>
      <c r="E98" s="91"/>
      <c r="F98" s="92" t="s">
        <v>36</v>
      </c>
      <c r="G98" s="6"/>
      <c r="H98" s="57" t="s">
        <v>51</v>
      </c>
      <c r="I98" s="30"/>
      <c r="J98" s="57" t="s">
        <v>7</v>
      </c>
    </row>
    <row r="99" spans="1:10" x14ac:dyDescent="0.2">
      <c r="A99" s="93" t="s">
        <v>33</v>
      </c>
      <c r="B99" s="94"/>
      <c r="C99" s="95"/>
      <c r="D99" s="96"/>
      <c r="E99" s="96"/>
      <c r="F99" s="91"/>
      <c r="G99" s="6"/>
      <c r="H99" s="30"/>
      <c r="I99" s="30"/>
      <c r="J99" s="30"/>
    </row>
    <row r="100" spans="1:10" x14ac:dyDescent="0.2">
      <c r="A100" s="59" t="s">
        <v>34</v>
      </c>
      <c r="B100" s="59"/>
      <c r="C100" s="22"/>
      <c r="D100" s="27"/>
      <c r="E100" s="27"/>
      <c r="F100" s="97">
        <f>+[8]Main!$C45</f>
        <v>0</v>
      </c>
      <c r="G100" s="5"/>
      <c r="H100" s="57">
        <f>+[1]Main!G673</f>
        <v>28228669.199999999</v>
      </c>
      <c r="I100" s="30"/>
      <c r="J100" s="57">
        <f>+[1]Main!E673+[1]Main!F673</f>
        <v>0</v>
      </c>
    </row>
    <row r="101" spans="1:10" x14ac:dyDescent="0.2">
      <c r="A101" s="59" t="s">
        <v>66</v>
      </c>
      <c r="B101" s="59"/>
      <c r="C101" s="22"/>
      <c r="D101" s="27"/>
      <c r="E101" s="27"/>
      <c r="F101" s="97">
        <f>+[8]Main!$D45</f>
        <v>0</v>
      </c>
      <c r="G101" s="5"/>
      <c r="H101" s="57">
        <f>+D94+D95</f>
        <v>28228669.199999999</v>
      </c>
      <c r="I101" s="30"/>
      <c r="J101" s="57">
        <f>+F94+F95</f>
        <v>0</v>
      </c>
    </row>
    <row r="102" spans="1:10" x14ac:dyDescent="0.2">
      <c r="A102" s="32" t="s">
        <v>65</v>
      </c>
      <c r="B102" s="32"/>
      <c r="C102" s="22"/>
      <c r="D102" s="28"/>
      <c r="E102" s="28"/>
      <c r="F102" s="97">
        <f>+[8]Main!$E45</f>
        <v>0</v>
      </c>
      <c r="G102" s="1"/>
      <c r="H102" s="57">
        <f>+H100-H101</f>
        <v>0</v>
      </c>
      <c r="I102" s="30"/>
      <c r="J102" s="57">
        <f>+J100-J101</f>
        <v>0</v>
      </c>
    </row>
    <row r="103" spans="1:10" x14ac:dyDescent="0.2">
      <c r="A103" s="32" t="s">
        <v>67</v>
      </c>
      <c r="B103" s="32"/>
      <c r="C103" s="22"/>
      <c r="D103" s="28"/>
      <c r="E103" s="28"/>
      <c r="F103" s="97">
        <f>+[8]Main!$F45</f>
        <v>0</v>
      </c>
      <c r="G103" s="1"/>
      <c r="H103" s="30"/>
      <c r="I103" s="30"/>
      <c r="J103" s="30"/>
    </row>
    <row r="104" spans="1:10" x14ac:dyDescent="0.2">
      <c r="A104" s="88" t="s">
        <v>35</v>
      </c>
      <c r="B104" s="78"/>
      <c r="C104" s="89"/>
      <c r="D104" s="90"/>
      <c r="E104" s="91"/>
      <c r="F104" s="54">
        <f>+[8]Main!$C103</f>
        <v>60809.02</v>
      </c>
      <c r="G104" s="1"/>
      <c r="H104" s="30"/>
      <c r="I104" s="30"/>
      <c r="J104" s="30"/>
    </row>
    <row r="105" spans="1:10" ht="13.5" thickBot="1" x14ac:dyDescent="0.25">
      <c r="A105" s="98"/>
      <c r="B105" s="99"/>
      <c r="C105" s="100" t="s">
        <v>29</v>
      </c>
      <c r="D105" s="101"/>
      <c r="E105" s="102"/>
      <c r="F105" s="103">
        <f>SUM(F100:F104)</f>
        <v>60809.02</v>
      </c>
      <c r="G105" s="1"/>
      <c r="H105" s="30"/>
      <c r="I105" s="30"/>
      <c r="J105" s="30"/>
    </row>
    <row r="106" spans="1:10" ht="13.5" thickBot="1" x14ac:dyDescent="0.25">
      <c r="A106" s="104"/>
      <c r="B106" s="105"/>
      <c r="C106" s="106" t="s">
        <v>53</v>
      </c>
      <c r="D106" s="107"/>
      <c r="E106" s="108"/>
      <c r="F106" s="109">
        <f>+F105+F96</f>
        <v>80589768.819999993</v>
      </c>
      <c r="G106" s="1"/>
      <c r="H106" s="57" t="s">
        <v>54</v>
      </c>
      <c r="I106" s="30"/>
      <c r="J106" s="30"/>
    </row>
    <row r="107" spans="1:10" x14ac:dyDescent="0.2">
      <c r="A107" s="11"/>
      <c r="B107" s="12"/>
      <c r="C107" s="9"/>
      <c r="D107" s="29"/>
      <c r="E107" s="29"/>
      <c r="F107" s="110"/>
      <c r="G107" s="1"/>
      <c r="H107" s="57">
        <f>+[8]Main!$G45</f>
        <v>0</v>
      </c>
      <c r="I107" s="30"/>
      <c r="J107" s="30"/>
    </row>
    <row r="108" spans="1:10" x14ac:dyDescent="0.2">
      <c r="A108" s="11"/>
      <c r="B108" s="12"/>
      <c r="C108" s="9"/>
      <c r="D108" s="29"/>
      <c r="E108" s="29"/>
      <c r="F108" s="110"/>
      <c r="G108" s="1"/>
      <c r="H108" s="57">
        <f>SUM(F100:F103)</f>
        <v>0</v>
      </c>
      <c r="I108" s="30"/>
      <c r="J108" s="30"/>
    </row>
    <row r="109" spans="1:10" x14ac:dyDescent="0.2">
      <c r="A109" s="1"/>
      <c r="B109" s="1"/>
      <c r="C109" s="7"/>
      <c r="D109" s="26"/>
      <c r="E109" s="26"/>
      <c r="F109" s="86">
        <f>+F105+F96</f>
        <v>80589768.819999993</v>
      </c>
      <c r="G109" s="1"/>
      <c r="H109" s="57">
        <f>+H107-H108</f>
        <v>0</v>
      </c>
      <c r="I109" s="30"/>
      <c r="J109" s="30"/>
    </row>
    <row r="110" spans="1:10" x14ac:dyDescent="0.2">
      <c r="A110" s="1"/>
      <c r="B110" s="1"/>
      <c r="C110" s="7"/>
      <c r="D110" s="26"/>
      <c r="E110" s="26"/>
      <c r="F110" s="86">
        <f>+[1]Main!$F789</f>
        <v>80589768.819999993</v>
      </c>
      <c r="G110" s="1"/>
      <c r="H110" s="30"/>
      <c r="I110" s="30"/>
      <c r="J110" s="30"/>
    </row>
    <row r="111" spans="1:10" x14ac:dyDescent="0.2">
      <c r="A111" s="1"/>
      <c r="B111" s="1"/>
      <c r="C111" s="7"/>
      <c r="D111" s="26"/>
      <c r="E111" s="86">
        <f>+E96+[1]Main!$E789</f>
        <v>0</v>
      </c>
      <c r="F111" s="86">
        <f>+F110-F109</f>
        <v>0</v>
      </c>
      <c r="G111" s="1"/>
      <c r="H111" s="30"/>
      <c r="I111" s="30"/>
      <c r="J111" s="30"/>
    </row>
    <row r="112" spans="1:10" x14ac:dyDescent="0.2">
      <c r="A112" s="59"/>
      <c r="B112" s="59"/>
      <c r="C112" s="85"/>
      <c r="D112" s="86"/>
      <c r="E112" s="86"/>
      <c r="F112" s="86"/>
      <c r="G112" s="59"/>
      <c r="H112" s="57"/>
      <c r="I112" s="57"/>
      <c r="J112" s="57"/>
    </row>
    <row r="113" spans="1:10" x14ac:dyDescent="0.2">
      <c r="A113" s="59"/>
      <c r="B113" s="59"/>
      <c r="C113" s="85"/>
      <c r="D113" s="86"/>
      <c r="E113" s="86"/>
      <c r="F113" s="86"/>
      <c r="G113" s="59"/>
      <c r="H113" s="57"/>
      <c r="I113" s="57"/>
      <c r="J113" s="57"/>
    </row>
    <row r="114" spans="1:10" x14ac:dyDescent="0.2">
      <c r="A114" s="59"/>
      <c r="B114" s="59"/>
      <c r="C114" s="85"/>
      <c r="D114" s="86"/>
      <c r="E114" s="86"/>
      <c r="F114" s="86"/>
      <c r="G114" s="59"/>
      <c r="H114" s="111" t="s">
        <v>55</v>
      </c>
      <c r="I114" s="57"/>
      <c r="J114" s="57"/>
    </row>
    <row r="115" spans="1:10" x14ac:dyDescent="0.2">
      <c r="G115" s="59"/>
      <c r="H115" s="113"/>
      <c r="I115" s="112"/>
      <c r="J115" s="112"/>
    </row>
    <row r="116" spans="1:10" x14ac:dyDescent="0.2">
      <c r="G116" s="59"/>
      <c r="H116" s="112"/>
      <c r="I116" s="112"/>
      <c r="J116" s="112"/>
    </row>
    <row r="117" spans="1:10" x14ac:dyDescent="0.2">
      <c r="G117" s="59"/>
      <c r="H117" s="112"/>
      <c r="I117" s="112"/>
      <c r="J117" s="112"/>
    </row>
    <row r="118" spans="1:10" x14ac:dyDescent="0.2">
      <c r="G118" s="59"/>
      <c r="H118" s="112"/>
      <c r="I118" s="112"/>
      <c r="J118" s="112"/>
    </row>
    <row r="119" spans="1:10" x14ac:dyDescent="0.2">
      <c r="G119" s="59"/>
      <c r="H119" s="112"/>
      <c r="I119" s="112"/>
      <c r="J119" s="112"/>
    </row>
    <row r="120" spans="1:10" x14ac:dyDescent="0.2">
      <c r="G120" s="59"/>
      <c r="H120" s="71"/>
      <c r="I120" s="112"/>
      <c r="J120" s="112"/>
    </row>
  </sheetData>
  <mergeCells count="1">
    <mergeCell ref="D39:E39"/>
  </mergeCells>
  <phoneticPr fontId="0" type="noConversion"/>
  <printOptions horizontalCentered="1" verticalCentered="1"/>
  <pageMargins left="0.5" right="0.25" top="0.5" bottom="0.5" header="0.5" footer="0.5"/>
  <pageSetup scale="89" orientation="portrait" horizontalDpi="1200" r:id="rId1"/>
  <headerFooter alignWithMargins="0">
    <oddHeader>&amp;R&amp;8Current as of: &amp;D</oddHeader>
    <oddFooter>&amp;L&amp;8USOE, Finance and Statistics&amp;R&amp;8&amp;F</oddFooter>
  </headerFooter>
  <picture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/>
  <dimension ref="A1:J121"/>
  <sheetViews>
    <sheetView topLeftCell="A55" workbookViewId="0">
      <selection activeCell="B44" sqref="B44"/>
    </sheetView>
  </sheetViews>
  <sheetFormatPr defaultColWidth="18.28515625" defaultRowHeight="12.75" x14ac:dyDescent="0.2"/>
  <cols>
    <col min="1" max="1" width="27" style="75" customWidth="1"/>
    <col min="2" max="2" width="16.7109375" style="75" customWidth="1"/>
    <col min="3" max="3" width="15.85546875" style="75" customWidth="1"/>
    <col min="4" max="4" width="16.28515625" style="75" customWidth="1"/>
    <col min="5" max="5" width="15.5703125" style="75" customWidth="1"/>
    <col min="6" max="6" width="17.42578125" style="75" customWidth="1"/>
    <col min="7" max="7" width="5.7109375" style="75" customWidth="1"/>
    <col min="8" max="8" width="21.5703125" style="75" customWidth="1"/>
    <col min="9" max="9" width="5" style="75" customWidth="1"/>
    <col min="10" max="10" width="20.85546875" style="75" customWidth="1"/>
    <col min="11" max="16384" width="18.28515625" style="75"/>
  </cols>
  <sheetData>
    <row r="1" spans="1:10" x14ac:dyDescent="0.2">
      <c r="A1" s="8"/>
      <c r="B1" s="8"/>
      <c r="C1" s="8"/>
      <c r="D1" s="8"/>
      <c r="E1" s="8"/>
      <c r="F1" s="8"/>
      <c r="G1" s="8"/>
      <c r="H1" s="8"/>
      <c r="I1" s="8"/>
      <c r="J1" s="8"/>
    </row>
    <row r="2" spans="1:10" x14ac:dyDescent="0.2">
      <c r="A2" s="8"/>
      <c r="B2" s="8"/>
      <c r="C2" s="8"/>
      <c r="D2" s="8"/>
      <c r="E2" s="8"/>
      <c r="F2" s="8"/>
      <c r="G2" s="8"/>
      <c r="H2" s="8"/>
      <c r="I2" s="8"/>
      <c r="J2" s="8"/>
    </row>
    <row r="3" spans="1:10" x14ac:dyDescent="0.2">
      <c r="A3" s="8"/>
      <c r="B3" s="8"/>
      <c r="C3" s="8"/>
      <c r="D3" s="8"/>
      <c r="E3" s="8"/>
      <c r="F3" s="8"/>
      <c r="G3" s="8"/>
      <c r="H3" s="8"/>
      <c r="I3" s="8"/>
      <c r="J3" s="8"/>
    </row>
    <row r="4" spans="1:10" x14ac:dyDescent="0.2">
      <c r="A4" s="8"/>
      <c r="B4" s="8"/>
      <c r="C4" s="8"/>
      <c r="D4" s="8"/>
      <c r="E4" s="8"/>
      <c r="F4" s="8"/>
      <c r="G4" s="8"/>
      <c r="H4" s="8"/>
      <c r="I4" s="8"/>
      <c r="J4" s="8"/>
    </row>
    <row r="5" spans="1:10" x14ac:dyDescent="0.2">
      <c r="A5" s="8"/>
      <c r="B5" s="8"/>
      <c r="C5" s="8"/>
      <c r="D5" s="8"/>
      <c r="E5" s="8"/>
      <c r="F5" s="8"/>
      <c r="G5" s="8"/>
      <c r="H5" s="8"/>
      <c r="I5" s="8"/>
      <c r="J5" s="8"/>
    </row>
    <row r="6" spans="1:10" x14ac:dyDescent="0.2">
      <c r="A6" s="8"/>
      <c r="B6" s="8"/>
      <c r="C6" s="8"/>
      <c r="D6" s="8"/>
      <c r="E6" s="8"/>
      <c r="F6" s="8"/>
      <c r="G6" s="8"/>
      <c r="H6" s="8"/>
      <c r="I6" s="8"/>
      <c r="J6" s="8"/>
    </row>
    <row r="7" spans="1:10" x14ac:dyDescent="0.2">
      <c r="A7" s="8"/>
      <c r="B7" s="8"/>
      <c r="C7" s="8"/>
      <c r="D7" s="8"/>
      <c r="E7" s="8"/>
      <c r="F7" s="8"/>
      <c r="G7" s="8"/>
      <c r="H7" s="8"/>
      <c r="I7" s="8"/>
      <c r="J7" s="8"/>
    </row>
    <row r="8" spans="1:10" x14ac:dyDescent="0.2">
      <c r="A8" s="8"/>
      <c r="B8" s="8"/>
      <c r="C8" s="8"/>
      <c r="D8" s="8"/>
      <c r="E8" s="8"/>
      <c r="F8" s="8"/>
      <c r="G8" s="8"/>
      <c r="H8" s="8"/>
      <c r="I8" s="8"/>
      <c r="J8" s="8"/>
    </row>
    <row r="9" spans="1:10" x14ac:dyDescent="0.2">
      <c r="A9" s="8"/>
      <c r="B9" s="8"/>
      <c r="C9" s="8"/>
      <c r="D9" s="8"/>
      <c r="E9" s="8"/>
      <c r="F9" s="8"/>
      <c r="G9" s="8"/>
      <c r="H9" s="8"/>
      <c r="I9" s="8"/>
      <c r="J9" s="8"/>
    </row>
    <row r="10" spans="1:10" x14ac:dyDescent="0.2">
      <c r="A10" s="8"/>
      <c r="B10" s="15"/>
      <c r="C10" s="8"/>
      <c r="D10" s="8"/>
      <c r="E10" s="8"/>
      <c r="F10" s="8"/>
      <c r="G10" s="8"/>
      <c r="H10" s="8"/>
      <c r="I10" s="8"/>
      <c r="J10" s="8"/>
    </row>
    <row r="11" spans="1:10" x14ac:dyDescent="0.2">
      <c r="A11" s="8"/>
      <c r="B11" s="8"/>
      <c r="C11" s="8"/>
      <c r="D11" s="8"/>
      <c r="E11" s="8"/>
      <c r="F11" s="8"/>
      <c r="G11" s="8"/>
      <c r="H11" s="8"/>
      <c r="I11" s="8"/>
      <c r="J11" s="8"/>
    </row>
    <row r="12" spans="1:10" x14ac:dyDescent="0.2">
      <c r="A12" s="8"/>
      <c r="B12" s="8"/>
      <c r="C12" s="8"/>
      <c r="D12" s="8"/>
      <c r="E12" s="8"/>
      <c r="F12" s="8"/>
      <c r="G12" s="8"/>
      <c r="H12" s="8"/>
      <c r="I12" s="8"/>
      <c r="J12" s="8"/>
    </row>
    <row r="13" spans="1:10" x14ac:dyDescent="0.2">
      <c r="A13" s="8"/>
      <c r="B13" s="8"/>
      <c r="C13" s="8"/>
      <c r="D13" s="8"/>
      <c r="E13" s="8"/>
      <c r="F13" s="8"/>
      <c r="G13" s="8"/>
      <c r="H13" s="8"/>
      <c r="I13" s="8"/>
      <c r="J13" s="8"/>
    </row>
    <row r="14" spans="1:10" x14ac:dyDescent="0.2">
      <c r="A14" s="8"/>
      <c r="B14" s="8"/>
      <c r="C14" s="8"/>
      <c r="D14" s="8"/>
      <c r="E14" s="8"/>
      <c r="F14" s="8"/>
      <c r="G14" s="8"/>
      <c r="H14" s="8"/>
      <c r="I14" s="8"/>
      <c r="J14" s="8"/>
    </row>
    <row r="15" spans="1:10" x14ac:dyDescent="0.2">
      <c r="A15" s="8"/>
      <c r="B15" s="8"/>
      <c r="C15" s="8"/>
      <c r="D15" s="8"/>
      <c r="E15" s="8"/>
      <c r="F15" s="8"/>
      <c r="G15" s="8"/>
      <c r="H15" s="8"/>
      <c r="I15" s="8"/>
      <c r="J15" s="8"/>
    </row>
    <row r="16" spans="1:10" x14ac:dyDescent="0.2">
      <c r="A16" s="8"/>
      <c r="B16" s="8"/>
      <c r="C16" s="8"/>
      <c r="D16" s="8"/>
      <c r="E16" s="8"/>
      <c r="F16" s="8"/>
      <c r="G16" s="8"/>
      <c r="H16" s="8"/>
      <c r="I16" s="8"/>
      <c r="J16" s="8"/>
    </row>
    <row r="17" spans="1:10" x14ac:dyDescent="0.2">
      <c r="A17" s="8"/>
      <c r="B17" s="8"/>
      <c r="C17" s="8"/>
      <c r="D17" s="8"/>
      <c r="E17" s="8"/>
      <c r="F17" s="8"/>
      <c r="G17" s="8"/>
      <c r="H17" s="8"/>
      <c r="I17" s="8"/>
      <c r="J17" s="8"/>
    </row>
    <row r="18" spans="1:10" x14ac:dyDescent="0.2">
      <c r="A18" s="8"/>
      <c r="B18" s="8"/>
      <c r="C18" s="8"/>
      <c r="D18" s="8"/>
      <c r="E18" s="8"/>
      <c r="F18" s="8"/>
      <c r="G18" s="8"/>
      <c r="H18" s="8"/>
      <c r="I18" s="8"/>
      <c r="J18" s="8"/>
    </row>
    <row r="19" spans="1:10" x14ac:dyDescent="0.2">
      <c r="A19" s="8"/>
      <c r="B19" s="8"/>
      <c r="C19" s="8"/>
      <c r="D19" s="8"/>
      <c r="E19" s="8"/>
      <c r="F19" s="8"/>
      <c r="G19" s="8"/>
      <c r="H19" s="8"/>
      <c r="I19" s="8"/>
      <c r="J19" s="8"/>
    </row>
    <row r="20" spans="1:10" x14ac:dyDescent="0.2">
      <c r="A20" s="8"/>
      <c r="B20" s="8"/>
      <c r="C20" s="8"/>
      <c r="D20" s="8"/>
      <c r="E20" s="8"/>
      <c r="F20" s="8"/>
      <c r="G20" s="8"/>
      <c r="H20" s="8"/>
      <c r="I20" s="8"/>
      <c r="J20" s="8"/>
    </row>
    <row r="21" spans="1:10" x14ac:dyDescent="0.2">
      <c r="A21" s="8"/>
      <c r="B21" s="8"/>
      <c r="C21" s="8"/>
      <c r="D21" s="8"/>
      <c r="E21" s="8"/>
      <c r="F21" s="8"/>
      <c r="G21" s="8"/>
      <c r="H21" s="8"/>
      <c r="I21" s="8"/>
      <c r="J21" s="8"/>
    </row>
    <row r="22" spans="1:10" x14ac:dyDescent="0.2">
      <c r="A22" s="8"/>
      <c r="B22" s="8"/>
      <c r="C22" s="8"/>
      <c r="D22" s="8"/>
      <c r="E22" s="8"/>
      <c r="F22" s="8"/>
      <c r="G22" s="8"/>
      <c r="H22" s="8"/>
      <c r="I22" s="8"/>
      <c r="J22" s="8"/>
    </row>
    <row r="23" spans="1:10" x14ac:dyDescent="0.2">
      <c r="A23" s="8"/>
      <c r="B23" s="8"/>
      <c r="C23" s="8"/>
      <c r="D23" s="8"/>
      <c r="E23" s="8"/>
      <c r="F23" s="8"/>
      <c r="G23" s="8"/>
      <c r="H23" s="8"/>
      <c r="I23" s="8"/>
      <c r="J23" s="8"/>
    </row>
    <row r="24" spans="1:10" x14ac:dyDescent="0.2">
      <c r="A24" s="8"/>
      <c r="B24" s="8"/>
      <c r="C24" s="8"/>
      <c r="D24" s="8"/>
      <c r="E24" s="8"/>
      <c r="F24" s="8"/>
      <c r="G24" s="8"/>
      <c r="H24" s="8"/>
      <c r="I24" s="8"/>
      <c r="J24" s="8"/>
    </row>
    <row r="25" spans="1:10" x14ac:dyDescent="0.2">
      <c r="A25" s="8"/>
      <c r="B25" s="8"/>
      <c r="C25" s="8"/>
      <c r="D25" s="8"/>
      <c r="E25" s="8"/>
      <c r="F25" s="8"/>
      <c r="G25" s="8"/>
      <c r="H25" s="8"/>
      <c r="I25" s="8"/>
      <c r="J25" s="8"/>
    </row>
    <row r="26" spans="1:10" x14ac:dyDescent="0.2">
      <c r="A26" s="8"/>
      <c r="B26" s="8"/>
      <c r="C26" s="8"/>
      <c r="D26" s="8"/>
      <c r="E26" s="8"/>
      <c r="F26" s="8"/>
      <c r="G26" s="8"/>
      <c r="H26" s="8"/>
      <c r="I26" s="8"/>
      <c r="J26" s="8"/>
    </row>
    <row r="27" spans="1:10" x14ac:dyDescent="0.2">
      <c r="A27" s="8"/>
      <c r="B27" s="8"/>
      <c r="C27" s="8"/>
      <c r="D27" s="8"/>
      <c r="E27" s="8"/>
      <c r="F27" s="8"/>
      <c r="G27" s="8"/>
      <c r="H27" s="8"/>
      <c r="I27" s="8"/>
      <c r="J27" s="8"/>
    </row>
    <row r="28" spans="1:10" x14ac:dyDescent="0.2">
      <c r="A28" s="8"/>
      <c r="B28" s="8"/>
      <c r="C28" s="8"/>
      <c r="D28" s="8"/>
      <c r="E28" s="8"/>
      <c r="F28" s="8"/>
      <c r="G28" s="8"/>
      <c r="H28" s="8"/>
      <c r="I28" s="8"/>
      <c r="J28" s="8"/>
    </row>
    <row r="29" spans="1:10" x14ac:dyDescent="0.2">
      <c r="A29" s="8"/>
      <c r="B29" s="8"/>
      <c r="C29" s="8"/>
      <c r="D29" s="8"/>
      <c r="E29" s="8"/>
      <c r="F29" s="8"/>
      <c r="G29" s="8"/>
      <c r="H29" s="8"/>
      <c r="I29" s="8"/>
      <c r="J29" s="8"/>
    </row>
    <row r="30" spans="1:10" x14ac:dyDescent="0.2">
      <c r="A30" s="8"/>
      <c r="B30" s="8"/>
      <c r="C30" s="8"/>
      <c r="D30" s="8"/>
      <c r="E30" s="8"/>
      <c r="F30" s="8"/>
      <c r="G30" s="8"/>
      <c r="H30" s="8"/>
      <c r="I30" s="8"/>
      <c r="J30" s="8"/>
    </row>
    <row r="31" spans="1:10" x14ac:dyDescent="0.2">
      <c r="A31" s="8"/>
      <c r="B31" s="8"/>
      <c r="C31" s="8"/>
      <c r="D31" s="8"/>
      <c r="E31" s="8"/>
      <c r="F31" s="8"/>
      <c r="G31" s="8"/>
      <c r="H31" s="8"/>
      <c r="I31" s="8"/>
      <c r="J31" s="8"/>
    </row>
    <row r="32" spans="1:10" x14ac:dyDescent="0.2">
      <c r="A32" s="8"/>
      <c r="B32" s="8"/>
      <c r="C32" s="8"/>
      <c r="D32" s="8"/>
      <c r="E32" s="8"/>
      <c r="F32" s="8"/>
      <c r="G32" s="8"/>
      <c r="H32" s="8"/>
      <c r="I32" s="8"/>
      <c r="J32" s="8"/>
    </row>
    <row r="33" spans="1:10" x14ac:dyDescent="0.2">
      <c r="A33" s="8"/>
      <c r="B33" s="8"/>
      <c r="C33" s="8"/>
      <c r="D33" s="8"/>
      <c r="E33" s="8"/>
      <c r="F33" s="8"/>
      <c r="G33" s="8"/>
      <c r="H33" s="8"/>
      <c r="I33" s="8"/>
      <c r="J33" s="8"/>
    </row>
    <row r="34" spans="1:10" x14ac:dyDescent="0.2">
      <c r="A34" s="8"/>
      <c r="B34" s="8"/>
      <c r="C34" s="8"/>
      <c r="D34" s="8"/>
      <c r="E34" s="8"/>
      <c r="F34" s="8"/>
      <c r="G34" s="8"/>
      <c r="H34" s="8"/>
      <c r="I34" s="8"/>
      <c r="J34" s="8"/>
    </row>
    <row r="35" spans="1:10" x14ac:dyDescent="0.2">
      <c r="A35" s="8"/>
      <c r="B35" s="8"/>
      <c r="C35" s="8"/>
      <c r="D35" s="8"/>
      <c r="E35" s="8"/>
      <c r="F35" s="8"/>
      <c r="G35" s="8"/>
      <c r="H35" s="8"/>
      <c r="I35" s="8"/>
      <c r="J35" s="8"/>
    </row>
    <row r="36" spans="1:10" x14ac:dyDescent="0.2">
      <c r="A36" s="8"/>
      <c r="B36" s="8"/>
      <c r="C36" s="8"/>
      <c r="D36" s="8"/>
      <c r="E36" s="8"/>
      <c r="F36" s="8"/>
      <c r="G36" s="8"/>
      <c r="H36" s="8"/>
      <c r="I36" s="8"/>
      <c r="J36" s="8"/>
    </row>
    <row r="37" spans="1:10" x14ac:dyDescent="0.2">
      <c r="A37" s="32" t="s">
        <v>0</v>
      </c>
      <c r="B37" s="33">
        <v>3184</v>
      </c>
      <c r="C37" s="34" t="s">
        <v>1</v>
      </c>
      <c r="D37" s="35"/>
      <c r="E37" s="35"/>
      <c r="F37" s="35"/>
      <c r="G37" s="1"/>
      <c r="H37" s="30"/>
      <c r="I37" s="30"/>
      <c r="J37" s="30"/>
    </row>
    <row r="38" spans="1:10" x14ac:dyDescent="0.2">
      <c r="A38" s="32" t="s">
        <v>61</v>
      </c>
      <c r="B38" s="36">
        <f>+[1]Main!$C563</f>
        <v>1.603E-3</v>
      </c>
      <c r="C38" s="34" t="s">
        <v>41</v>
      </c>
      <c r="D38" s="35"/>
      <c r="E38" s="35"/>
      <c r="F38" s="35"/>
      <c r="G38" s="1"/>
      <c r="H38" s="30"/>
      <c r="I38" s="30"/>
      <c r="J38" s="30"/>
    </row>
    <row r="39" spans="1:10" x14ac:dyDescent="0.2">
      <c r="A39" s="32" t="s">
        <v>62</v>
      </c>
      <c r="B39" s="36">
        <f>+[1]Main!$C618</f>
        <v>2.1350000000000002E-3</v>
      </c>
      <c r="C39" s="34" t="s">
        <v>95</v>
      </c>
      <c r="D39" s="35"/>
      <c r="E39" s="37"/>
      <c r="F39" s="35"/>
      <c r="G39" s="1"/>
      <c r="H39" s="30"/>
      <c r="I39" s="30"/>
      <c r="J39" s="30"/>
    </row>
    <row r="40" spans="1:10" x14ac:dyDescent="0.2">
      <c r="A40" s="38" t="s">
        <v>32</v>
      </c>
      <c r="B40" s="39">
        <f>[2]Sheet1!E45</f>
        <v>3579226139</v>
      </c>
      <c r="C40" s="21"/>
      <c r="D40" s="31"/>
      <c r="E40" s="31"/>
      <c r="F40" s="23"/>
      <c r="G40" s="1"/>
      <c r="H40" s="30"/>
      <c r="I40" s="30"/>
      <c r="J40" s="30"/>
    </row>
    <row r="41" spans="1:10" x14ac:dyDescent="0.2">
      <c r="A41" s="32" t="s">
        <v>2</v>
      </c>
      <c r="B41" s="40">
        <f>[2]Sheet1!F45</f>
        <v>0.94950000000000001</v>
      </c>
      <c r="C41" s="7"/>
      <c r="D41" s="41" t="s">
        <v>3</v>
      </c>
      <c r="E41" s="42" t="str">
        <f>+[3]main!B46</f>
        <v>Ogden</v>
      </c>
      <c r="F41" s="43">
        <f>+[3]main!A46</f>
        <v>37</v>
      </c>
      <c r="G41" s="1"/>
      <c r="H41" s="30"/>
      <c r="I41" s="30"/>
      <c r="J41" s="30"/>
    </row>
    <row r="42" spans="1:10" x14ac:dyDescent="0.2">
      <c r="A42" s="32" t="s">
        <v>4</v>
      </c>
      <c r="B42" s="44">
        <f>[2]Sheet1!G45</f>
        <v>1.6750000000000001E-3</v>
      </c>
      <c r="C42" s="8"/>
      <c r="D42" s="24"/>
      <c r="E42" s="25"/>
      <c r="F42" s="24"/>
      <c r="G42" s="1"/>
      <c r="H42" s="30"/>
      <c r="I42" s="30"/>
      <c r="J42" s="30"/>
    </row>
    <row r="43" spans="1:10" x14ac:dyDescent="0.2">
      <c r="A43" s="32" t="s">
        <v>5</v>
      </c>
      <c r="B43" s="45">
        <f>[2]Sheet1!$C$101</f>
        <v>6338286</v>
      </c>
      <c r="C43" s="46"/>
      <c r="D43" s="47" t="s">
        <v>38</v>
      </c>
      <c r="E43" s="48" t="s">
        <v>7</v>
      </c>
      <c r="F43" s="47" t="s">
        <v>6</v>
      </c>
      <c r="G43" s="1"/>
      <c r="H43" s="30"/>
      <c r="I43" s="30"/>
      <c r="J43" s="30"/>
    </row>
    <row r="44" spans="1:10" x14ac:dyDescent="0.2">
      <c r="A44" s="32" t="s">
        <v>8</v>
      </c>
      <c r="B44" s="45">
        <f>+B43</f>
        <v>6338286</v>
      </c>
      <c r="C44" s="49"/>
      <c r="D44" s="50" t="s">
        <v>9</v>
      </c>
      <c r="E44" s="50" t="s">
        <v>37</v>
      </c>
      <c r="F44" s="50" t="s">
        <v>10</v>
      </c>
      <c r="G44" s="1"/>
      <c r="H44" s="30"/>
      <c r="I44" s="30"/>
      <c r="J44" s="30"/>
    </row>
    <row r="45" spans="1:10" x14ac:dyDescent="0.2">
      <c r="A45" s="32" t="s">
        <v>11</v>
      </c>
      <c r="B45" s="45">
        <v>0</v>
      </c>
      <c r="C45" s="51" t="s">
        <v>39</v>
      </c>
      <c r="D45" s="52" t="s">
        <v>12</v>
      </c>
      <c r="E45" s="52" t="s">
        <v>9</v>
      </c>
      <c r="F45" s="52" t="s">
        <v>9</v>
      </c>
      <c r="G45" s="1"/>
      <c r="H45" s="30"/>
      <c r="I45" s="30"/>
      <c r="J45" s="30"/>
    </row>
    <row r="46" spans="1:10" x14ac:dyDescent="0.2">
      <c r="A46" s="32" t="s">
        <v>70</v>
      </c>
      <c r="B46" s="45">
        <f>'[4]LRF FY17'!U43</f>
        <v>680061</v>
      </c>
      <c r="C46" s="53"/>
      <c r="D46" s="54"/>
      <c r="E46" s="54"/>
      <c r="F46" s="54" t="s">
        <v>14</v>
      </c>
      <c r="G46" s="1"/>
      <c r="H46" s="30"/>
      <c r="I46" s="30"/>
      <c r="J46" s="30"/>
    </row>
    <row r="47" spans="1:10" x14ac:dyDescent="0.2">
      <c r="A47" s="55" t="s">
        <v>13</v>
      </c>
      <c r="B47" s="56"/>
      <c r="C47" s="53"/>
      <c r="D47" s="54"/>
      <c r="E47" s="54"/>
      <c r="F47" s="54"/>
      <c r="G47" s="2"/>
      <c r="H47" s="30"/>
      <c r="I47" s="30"/>
      <c r="J47" s="30"/>
    </row>
    <row r="48" spans="1:10" x14ac:dyDescent="0.2">
      <c r="A48" s="55" t="s">
        <v>15</v>
      </c>
      <c r="B48" s="56"/>
      <c r="C48" s="53"/>
      <c r="D48" s="54"/>
      <c r="E48" s="54"/>
      <c r="F48" s="54"/>
      <c r="G48" s="2"/>
      <c r="H48" s="57" t="s">
        <v>43</v>
      </c>
      <c r="I48" s="30"/>
      <c r="J48" s="57" t="s">
        <v>45</v>
      </c>
    </row>
    <row r="49" spans="1:10" x14ac:dyDescent="0.2">
      <c r="A49" s="58" t="s">
        <v>16</v>
      </c>
      <c r="B49" s="59"/>
      <c r="C49" s="60">
        <f>[3]main!C220-[3]main!F162</f>
        <v>11350.189</v>
      </c>
      <c r="D49" s="61">
        <f>[3]main!E220-[3]main!H162</f>
        <v>36139000.75</v>
      </c>
      <c r="E49" s="62">
        <f>IF(B44&gt;D49,D49,B44)</f>
        <v>6338286</v>
      </c>
      <c r="F49" s="62">
        <f>D49-E49</f>
        <v>29800714.75</v>
      </c>
      <c r="G49" s="1"/>
      <c r="H49" s="57">
        <f>[3]main!H279</f>
        <v>39265171.579999998</v>
      </c>
      <c r="I49" s="30"/>
      <c r="J49" s="57">
        <f>'[5]Sheet 1'!E103</f>
        <v>49619570.219999999</v>
      </c>
    </row>
    <row r="50" spans="1:10" x14ac:dyDescent="0.2">
      <c r="A50" s="58" t="s">
        <v>17</v>
      </c>
      <c r="B50" s="59"/>
      <c r="C50" s="53">
        <f>[3]main!F162</f>
        <v>0</v>
      </c>
      <c r="D50" s="54">
        <f>[3]main!H162</f>
        <v>0</v>
      </c>
      <c r="E50" s="54">
        <f>IF(B43-SUM(E47:E49)&gt;D50,D50,B43-SUM(E47:E49))</f>
        <v>0</v>
      </c>
      <c r="F50" s="54">
        <f>D50-E50</f>
        <v>0</v>
      </c>
      <c r="G50" s="1"/>
      <c r="H50" s="57">
        <f>SUM(D49:D53)</f>
        <v>39265171.579999998</v>
      </c>
      <c r="I50" s="30"/>
      <c r="J50" s="57">
        <f>D64</f>
        <v>49619570.219999999</v>
      </c>
    </row>
    <row r="51" spans="1:10" x14ac:dyDescent="0.2">
      <c r="A51" s="58" t="s">
        <v>18</v>
      </c>
      <c r="B51" s="59"/>
      <c r="C51" s="53">
        <f>[3]main!F220</f>
        <v>977.83799999999997</v>
      </c>
      <c r="D51" s="54">
        <f>[3]main!H220</f>
        <v>3113434.83</v>
      </c>
      <c r="E51" s="54">
        <f>IF(B44-SUM(E49:E50)&gt;D51,D51,B44-SUM(E49:E50))</f>
        <v>0</v>
      </c>
      <c r="F51" s="54">
        <f>D51-E51</f>
        <v>3113434.83</v>
      </c>
      <c r="G51" s="1"/>
      <c r="H51" s="57">
        <f>+H49-H50</f>
        <v>0</v>
      </c>
      <c r="I51" s="30"/>
      <c r="J51" s="57">
        <f>+J49-J50</f>
        <v>0</v>
      </c>
    </row>
    <row r="52" spans="1:10" x14ac:dyDescent="0.2">
      <c r="A52" s="58" t="s">
        <v>19</v>
      </c>
      <c r="B52" s="59"/>
      <c r="C52" s="53">
        <f>[3]main!C279</f>
        <v>0</v>
      </c>
      <c r="D52" s="54">
        <f>[3]main!E279</f>
        <v>0</v>
      </c>
      <c r="E52" s="54">
        <f>IF(B44-SUM(E49:E51)&gt;D52,D52,B44-SUM(E49:E51))</f>
        <v>0</v>
      </c>
      <c r="F52" s="54">
        <f>D52-E52</f>
        <v>0</v>
      </c>
      <c r="G52" s="1"/>
      <c r="H52" s="30"/>
      <c r="I52" s="30"/>
      <c r="J52" s="30"/>
    </row>
    <row r="53" spans="1:10" x14ac:dyDescent="0.2">
      <c r="A53" s="58" t="s">
        <v>42</v>
      </c>
      <c r="B53" s="59"/>
      <c r="C53" s="53">
        <f>[3]main!C103</f>
        <v>4</v>
      </c>
      <c r="D53" s="54">
        <f>[3]main!E103</f>
        <v>12736</v>
      </c>
      <c r="E53" s="54">
        <f>IF(B44-SUM(E49:E52)&gt;D53,D53,B44-SUM(E49:E52))</f>
        <v>0</v>
      </c>
      <c r="F53" s="54">
        <f>D53-E53</f>
        <v>12736</v>
      </c>
      <c r="G53" s="1"/>
      <c r="H53" s="30"/>
      <c r="I53" s="30"/>
      <c r="J53" s="30"/>
    </row>
    <row r="54" spans="1:10" x14ac:dyDescent="0.2">
      <c r="A54" s="55" t="s">
        <v>20</v>
      </c>
      <c r="B54" s="56"/>
      <c r="C54" s="63"/>
      <c r="D54" s="64"/>
      <c r="E54" s="64"/>
      <c r="F54" s="64" t="s">
        <v>14</v>
      </c>
      <c r="G54" s="1"/>
      <c r="H54" s="57" t="s">
        <v>44</v>
      </c>
      <c r="I54" s="30"/>
      <c r="J54" s="30"/>
    </row>
    <row r="55" spans="1:10" x14ac:dyDescent="0.2">
      <c r="A55" s="58" t="s">
        <v>21</v>
      </c>
      <c r="B55" s="59"/>
      <c r="C55" s="53">
        <f>'[6]Sheet 1'!C45</f>
        <v>1376.8389999999999</v>
      </c>
      <c r="D55" s="54">
        <f>'[6]Sheet 1'!E45</f>
        <v>4383855.38</v>
      </c>
      <c r="E55" s="54">
        <f>IF(B44-SUM(E49:E54)&gt;D55,D55,B44-SUM(E49:E54))</f>
        <v>0</v>
      </c>
      <c r="F55" s="54">
        <f t="shared" ref="F55:F63" si="0">D55-E55</f>
        <v>4383855.38</v>
      </c>
      <c r="G55" s="1"/>
      <c r="H55" s="57">
        <f>'[6]Sheet 1'!N161</f>
        <v>6207923.2000000002</v>
      </c>
      <c r="I55" s="30"/>
      <c r="J55" s="30"/>
    </row>
    <row r="56" spans="1:10" x14ac:dyDescent="0.2">
      <c r="A56" s="59" t="s">
        <v>22</v>
      </c>
      <c r="B56" s="59"/>
      <c r="C56" s="53">
        <f>'[6]Sheet 1'!F45</f>
        <v>319.11</v>
      </c>
      <c r="D56" s="54">
        <f>'[6]Sheet 1'!H45</f>
        <v>1016046.24</v>
      </c>
      <c r="E56" s="54">
        <f>IF(B44-SUM(E49:E55)&gt;D56,D56,B44-SUM(E49:E55))</f>
        <v>0</v>
      </c>
      <c r="F56" s="54">
        <f t="shared" si="0"/>
        <v>1016046.24</v>
      </c>
      <c r="G56" s="1"/>
      <c r="H56" s="57">
        <f>SUM(D55:D61)</f>
        <v>6207923.2000000002</v>
      </c>
      <c r="I56" s="30"/>
      <c r="J56" s="30"/>
    </row>
    <row r="57" spans="1:10" x14ac:dyDescent="0.2">
      <c r="A57" s="59" t="s">
        <v>23</v>
      </c>
      <c r="B57" s="59"/>
      <c r="C57" s="53">
        <f>'[6]Sheet 1'!C103</f>
        <v>210.21</v>
      </c>
      <c r="D57" s="54">
        <f>'[6]Sheet 1'!E103</f>
        <v>669308.64</v>
      </c>
      <c r="E57" s="54">
        <f>IF(B44-SUM(E49:E56)&gt;D57,D57,B44-SUM(E49:E56))</f>
        <v>0</v>
      </c>
      <c r="F57" s="54">
        <f t="shared" si="0"/>
        <v>669308.64</v>
      </c>
      <c r="G57" s="1"/>
      <c r="H57" s="57">
        <f>+H55-H56</f>
        <v>0</v>
      </c>
      <c r="I57" s="30"/>
      <c r="J57" s="30"/>
    </row>
    <row r="58" spans="1:10" x14ac:dyDescent="0.2">
      <c r="A58" s="58" t="s">
        <v>24</v>
      </c>
      <c r="B58" s="59"/>
      <c r="C58" s="53">
        <f>'[6]Sheet 1'!F103</f>
        <v>7.2889999999999997</v>
      </c>
      <c r="D58" s="54">
        <f>'[6]Sheet 1'!H103</f>
        <v>23208.12</v>
      </c>
      <c r="E58" s="54">
        <f>IF(B44-SUM(E49:E57)&gt;D58,D58,B44-SUM(E49:E57))</f>
        <v>0</v>
      </c>
      <c r="F58" s="54">
        <f t="shared" si="0"/>
        <v>23208.12</v>
      </c>
      <c r="G58" s="1"/>
      <c r="H58" s="30"/>
      <c r="I58" s="30"/>
      <c r="J58" s="30"/>
    </row>
    <row r="59" spans="1:10" x14ac:dyDescent="0.2">
      <c r="A59" s="59" t="s">
        <v>71</v>
      </c>
      <c r="B59" s="59"/>
      <c r="C59" s="53">
        <f>'[6]Sheet 1'!C161</f>
        <v>36.277000000000001</v>
      </c>
      <c r="D59" s="54">
        <f>'[6]Sheet 1'!E161</f>
        <v>115504.82</v>
      </c>
      <c r="E59" s="54">
        <f>IF(B44-SUM(E49:E58)&gt;D59,D59,B44-SUM(E49:E58))</f>
        <v>0</v>
      </c>
      <c r="F59" s="54">
        <f t="shared" si="0"/>
        <v>115504.82</v>
      </c>
      <c r="G59" s="1"/>
      <c r="H59" s="30"/>
      <c r="I59" s="30"/>
      <c r="J59" s="30"/>
    </row>
    <row r="60" spans="1:10" x14ac:dyDescent="0.2">
      <c r="A60" s="59" t="s">
        <v>57</v>
      </c>
      <c r="B60" s="59"/>
      <c r="C60" s="53">
        <f>'[6]Sheet 1'!F161</f>
        <v>0</v>
      </c>
      <c r="D60" s="54">
        <f>'[6]Sheet 1'!H161</f>
        <v>0</v>
      </c>
      <c r="E60" s="54">
        <f>IF(B45-SUM(E50:E59)&gt;D60,D60,B45-SUM(E50:E59))</f>
        <v>0</v>
      </c>
      <c r="F60" s="54">
        <f t="shared" si="0"/>
        <v>0</v>
      </c>
      <c r="G60" s="1"/>
      <c r="H60" s="30"/>
      <c r="I60" s="30"/>
      <c r="J60" s="30"/>
    </row>
    <row r="61" spans="1:10" x14ac:dyDescent="0.2">
      <c r="A61" s="59" t="s">
        <v>64</v>
      </c>
      <c r="B61" s="59"/>
      <c r="C61" s="53">
        <f>'[6]Sheet 1'!I161</f>
        <v>0</v>
      </c>
      <c r="D61" s="54">
        <f>'[6]Sheet 1'!K161</f>
        <v>0</v>
      </c>
      <c r="E61" s="54">
        <f>IF(B47-SUM(E51:E60)&gt;D61,D61,B47-SUM(E51:E60))</f>
        <v>0</v>
      </c>
      <c r="F61" s="54">
        <f t="shared" si="0"/>
        <v>0</v>
      </c>
      <c r="G61" s="1"/>
      <c r="H61" s="57" t="s">
        <v>46</v>
      </c>
      <c r="I61" s="30"/>
      <c r="J61" s="30"/>
    </row>
    <row r="62" spans="1:10" x14ac:dyDescent="0.2">
      <c r="A62" s="59" t="s">
        <v>58</v>
      </c>
      <c r="B62" s="59"/>
      <c r="C62" s="53">
        <f>'[6]Sheet 1'!C219</f>
        <v>550.03800000000001</v>
      </c>
      <c r="D62" s="54">
        <f>'[6]Sheet 1'!E219</f>
        <v>1751322.39</v>
      </c>
      <c r="E62" s="54">
        <f>IF(B44-SUM(E49:E59)&gt;D62,D62,B44-SUM(E49:E59))</f>
        <v>0</v>
      </c>
      <c r="F62" s="54">
        <f t="shared" si="0"/>
        <v>1751322.39</v>
      </c>
      <c r="G62" s="4"/>
      <c r="H62" s="57">
        <f>+'[6]Sheet 1'!E219</f>
        <v>1751322.39</v>
      </c>
      <c r="I62" s="30"/>
      <c r="J62" s="30"/>
    </row>
    <row r="63" spans="1:10" x14ac:dyDescent="0.2">
      <c r="A63" s="58" t="s">
        <v>59</v>
      </c>
      <c r="B63" s="59"/>
      <c r="C63" s="53">
        <f>'[5]Sheet 1'!C45</f>
        <v>752.24699999999996</v>
      </c>
      <c r="D63" s="54">
        <f>'[5]Sheet 1'!E45</f>
        <v>2395153.0499999998</v>
      </c>
      <c r="E63" s="54">
        <f>IF(B44-SUM(E49:E62)&gt;D63,D63,B44-SUM(E49:E62))</f>
        <v>0</v>
      </c>
      <c r="F63" s="54">
        <f t="shared" si="0"/>
        <v>2395153.0499999998</v>
      </c>
      <c r="G63" s="5"/>
      <c r="H63" s="57">
        <f>+D62</f>
        <v>1751322.39</v>
      </c>
      <c r="I63" s="30"/>
      <c r="J63" s="30"/>
    </row>
    <row r="64" spans="1:10" x14ac:dyDescent="0.2">
      <c r="A64" s="65" t="s">
        <v>28</v>
      </c>
      <c r="B64" s="56"/>
      <c r="C64" s="66">
        <f>SUM(C49:C63)</f>
        <v>15584.037</v>
      </c>
      <c r="D64" s="67">
        <f>SUM(D49:D63)</f>
        <v>49619570.219999999</v>
      </c>
      <c r="E64" s="67">
        <f>SUM(E49:E63)</f>
        <v>6338286</v>
      </c>
      <c r="F64" s="67">
        <f>SUM(F49:F63)</f>
        <v>43281284.219999999</v>
      </c>
      <c r="G64" s="1"/>
      <c r="H64" s="57">
        <f>+H62-H63</f>
        <v>0</v>
      </c>
      <c r="I64" s="30"/>
      <c r="J64" s="30"/>
    </row>
    <row r="65" spans="1:10" x14ac:dyDescent="0.2">
      <c r="A65" s="68" t="s">
        <v>26</v>
      </c>
      <c r="B65" s="56"/>
      <c r="C65" s="69"/>
      <c r="D65" s="54"/>
      <c r="E65" s="54"/>
      <c r="F65" s="54"/>
      <c r="G65" s="1"/>
      <c r="H65" s="57" t="s">
        <v>47</v>
      </c>
      <c r="I65" s="30"/>
      <c r="J65" s="57" t="s">
        <v>52</v>
      </c>
    </row>
    <row r="66" spans="1:10" x14ac:dyDescent="0.2">
      <c r="A66" s="58" t="s">
        <v>56</v>
      </c>
      <c r="B66" s="59"/>
      <c r="C66" s="20"/>
      <c r="D66" s="70">
        <f>[1]Main!F46</f>
        <v>143783.82</v>
      </c>
      <c r="E66" s="54">
        <f>IF($B44-SUM($E64)&gt;D66,D66,$B44-SUM($E64))</f>
        <v>0</v>
      </c>
      <c r="F66" s="54">
        <f t="shared" ref="F66:F84" si="1">D66-E66</f>
        <v>143783.82</v>
      </c>
      <c r="G66" s="1"/>
      <c r="H66" s="57">
        <f>[1]Main!G46</f>
        <v>1054273.6000000001</v>
      </c>
      <c r="I66" s="30"/>
      <c r="J66" s="57">
        <f>+[1]Main!D507</f>
        <v>10660198.279999999</v>
      </c>
    </row>
    <row r="67" spans="1:10" x14ac:dyDescent="0.2">
      <c r="A67" s="59" t="s">
        <v>25</v>
      </c>
      <c r="B67" s="59"/>
      <c r="C67" s="20"/>
      <c r="D67" s="70">
        <f>[1]Main!C46</f>
        <v>910489.78</v>
      </c>
      <c r="E67" s="54">
        <f>IF($B44-SUM($E64:E66)&gt;D67,D67,B44-SUM($E64:E66))</f>
        <v>0</v>
      </c>
      <c r="F67" s="54">
        <f t="shared" si="1"/>
        <v>910489.78</v>
      </c>
      <c r="G67" s="1"/>
      <c r="H67" s="57">
        <f>SUM(D66:D68)</f>
        <v>1054273.6000000001</v>
      </c>
      <c r="I67" s="30"/>
      <c r="J67" s="57">
        <f>SUM(D66:D93)-E79</f>
        <v>10660198.279999999</v>
      </c>
    </row>
    <row r="68" spans="1:10" x14ac:dyDescent="0.2">
      <c r="A68" s="71" t="s">
        <v>27</v>
      </c>
      <c r="B68" s="59"/>
      <c r="C68" s="20"/>
      <c r="D68" s="70">
        <f>[1]Main!D46</f>
        <v>0</v>
      </c>
      <c r="E68" s="54">
        <f>IF($B44-SUM($E64:E67)&gt;D68,D68,$B44-SUM($E64:E67))</f>
        <v>0</v>
      </c>
      <c r="F68" s="54">
        <f>D68-E68</f>
        <v>0</v>
      </c>
      <c r="G68" s="1"/>
      <c r="H68" s="57">
        <f>+H66-H67</f>
        <v>0</v>
      </c>
      <c r="I68" s="30"/>
      <c r="J68" s="57">
        <f>+J66-J67</f>
        <v>0</v>
      </c>
    </row>
    <row r="69" spans="1:10" x14ac:dyDescent="0.2">
      <c r="A69" s="72" t="s">
        <v>72</v>
      </c>
      <c r="B69" s="59"/>
      <c r="C69" s="20"/>
      <c r="D69" s="70">
        <f>[1]Main!E46</f>
        <v>0</v>
      </c>
      <c r="E69" s="54">
        <f>IF($B45-SUM($E65:E68)&gt;D69,D69,$B45-SUM($E65:E68))</f>
        <v>0</v>
      </c>
      <c r="F69" s="54">
        <f>D69-E69</f>
        <v>0</v>
      </c>
      <c r="G69" s="1"/>
      <c r="H69" s="30"/>
      <c r="I69" s="30"/>
      <c r="J69" s="30"/>
    </row>
    <row r="70" spans="1:10" x14ac:dyDescent="0.2">
      <c r="A70" s="72" t="s">
        <v>73</v>
      </c>
      <c r="B70" s="59"/>
      <c r="C70" s="20"/>
      <c r="D70" s="54">
        <f>+[1]Main!$F162</f>
        <v>76254.259999999995</v>
      </c>
      <c r="E70" s="54">
        <f>IF($B44-SUM($E64:E68)&gt;D70,D70,$B44-SUM($E64:E68))</f>
        <v>0</v>
      </c>
      <c r="F70" s="54">
        <f t="shared" si="1"/>
        <v>76254.259999999995</v>
      </c>
      <c r="G70" s="1"/>
      <c r="H70" s="30"/>
      <c r="I70" s="30"/>
      <c r="J70" s="30"/>
    </row>
    <row r="71" spans="1:10" x14ac:dyDescent="0.2">
      <c r="A71" s="71" t="s">
        <v>74</v>
      </c>
      <c r="B71" s="59"/>
      <c r="C71" s="20"/>
      <c r="D71" s="54">
        <f>+[1]Main!$C104</f>
        <v>1210805</v>
      </c>
      <c r="E71" s="54">
        <f>IF($B44-SUM($E64:E70)&gt;D71,D71,$B44-SUM($E64:E70))</f>
        <v>0</v>
      </c>
      <c r="F71" s="54">
        <f t="shared" si="1"/>
        <v>1210805</v>
      </c>
      <c r="G71" s="1"/>
      <c r="H71" s="30"/>
      <c r="I71" s="30"/>
      <c r="J71" s="30"/>
    </row>
    <row r="72" spans="1:10" x14ac:dyDescent="0.2">
      <c r="A72" s="71" t="s">
        <v>75</v>
      </c>
      <c r="B72" s="59"/>
      <c r="C72" s="20"/>
      <c r="D72" s="54">
        <f>+[1]Main!$D104</f>
        <v>206634</v>
      </c>
      <c r="E72" s="54">
        <f>IF($B44-SUM($E64:E71)&gt;D72,D72,$B44-SUM($E64:E71))</f>
        <v>0</v>
      </c>
      <c r="F72" s="54">
        <f t="shared" si="1"/>
        <v>206634</v>
      </c>
      <c r="G72" s="1"/>
      <c r="H72" s="30"/>
      <c r="I72" s="30"/>
      <c r="J72" s="30"/>
    </row>
    <row r="73" spans="1:10" x14ac:dyDescent="0.2">
      <c r="A73" s="71" t="s">
        <v>76</v>
      </c>
      <c r="B73" s="59"/>
      <c r="C73" s="20"/>
      <c r="D73" s="54">
        <f>+[1]Main!$E104</f>
        <v>1940127</v>
      </c>
      <c r="E73" s="54">
        <f>IF($B44-SUM($E64:E72)&gt;D73,D73,$B44-SUM($E64:E72))</f>
        <v>0</v>
      </c>
      <c r="F73" s="54">
        <f t="shared" si="1"/>
        <v>1940127</v>
      </c>
      <c r="G73" s="1"/>
      <c r="H73" s="30"/>
      <c r="I73" s="30"/>
      <c r="J73" s="30"/>
    </row>
    <row r="74" spans="1:10" x14ac:dyDescent="0.2">
      <c r="A74" s="71" t="s">
        <v>77</v>
      </c>
      <c r="B74" s="59"/>
      <c r="C74" s="20"/>
      <c r="D74" s="54">
        <f>[1]Main!F104</f>
        <v>0</v>
      </c>
      <c r="E74" s="54">
        <f>IF($B44-SUM($E64:E73)&gt;D74,D74,$B44-SUM($E64:E73))</f>
        <v>0</v>
      </c>
      <c r="F74" s="54">
        <f t="shared" si="1"/>
        <v>0</v>
      </c>
      <c r="G74" s="1"/>
      <c r="H74" s="57" t="s">
        <v>48</v>
      </c>
      <c r="I74" s="30"/>
      <c r="J74" s="30"/>
    </row>
    <row r="75" spans="1:10" x14ac:dyDescent="0.2">
      <c r="A75" s="71" t="s">
        <v>79</v>
      </c>
      <c r="B75" s="59"/>
      <c r="C75" s="20"/>
      <c r="D75" s="54">
        <f>[1]Main!G104</f>
        <v>0</v>
      </c>
      <c r="E75" s="54">
        <f>IF($B44-SUM($E64:E74)&gt;D75,D75,$B44-SUM($E64:E74))</f>
        <v>0</v>
      </c>
      <c r="F75" s="54">
        <f t="shared" si="1"/>
        <v>0</v>
      </c>
      <c r="G75" s="1"/>
      <c r="H75" s="57"/>
      <c r="I75" s="30"/>
      <c r="J75" s="30"/>
    </row>
    <row r="76" spans="1:10" x14ac:dyDescent="0.2">
      <c r="A76" s="71" t="s">
        <v>78</v>
      </c>
      <c r="B76" s="59"/>
      <c r="C76" s="20"/>
      <c r="D76" s="54">
        <f>[1]Main!G162</f>
        <v>62739.76</v>
      </c>
      <c r="E76" s="54">
        <f>IF($B44-SUM($E64:E75)&gt;D76,D76,$B44-SUM($E64:E75))</f>
        <v>0</v>
      </c>
      <c r="F76" s="54">
        <f t="shared" si="1"/>
        <v>62739.76</v>
      </c>
      <c r="G76" s="1"/>
      <c r="H76" s="73">
        <f>+[1]Main!D220</f>
        <v>3496560.02</v>
      </c>
      <c r="I76" s="30"/>
      <c r="J76" s="30"/>
    </row>
    <row r="77" spans="1:10" x14ac:dyDescent="0.2">
      <c r="A77" s="71" t="s">
        <v>80</v>
      </c>
      <c r="B77" s="59"/>
      <c r="C77" s="20"/>
      <c r="D77" s="54">
        <f>[1]Main!C220</f>
        <v>0</v>
      </c>
      <c r="E77" s="54"/>
      <c r="F77" s="54">
        <f t="shared" si="1"/>
        <v>0</v>
      </c>
      <c r="G77" s="1"/>
      <c r="H77" s="57">
        <f>+SUM(D70:D77)</f>
        <v>3496560.02</v>
      </c>
      <c r="I77" s="30"/>
      <c r="J77" s="30"/>
    </row>
    <row r="78" spans="1:10" x14ac:dyDescent="0.2">
      <c r="A78" s="71" t="s">
        <v>81</v>
      </c>
      <c r="B78" s="59"/>
      <c r="C78" s="20"/>
      <c r="D78" s="54">
        <f>[1]Main!C278</f>
        <v>956075</v>
      </c>
      <c r="E78" s="54">
        <v>0</v>
      </c>
      <c r="F78" s="54">
        <f t="shared" si="1"/>
        <v>956075</v>
      </c>
      <c r="G78" s="1"/>
      <c r="H78" s="57">
        <f>+H76-H77</f>
        <v>0</v>
      </c>
      <c r="I78" s="30"/>
      <c r="J78" s="30"/>
    </row>
    <row r="79" spans="1:10" x14ac:dyDescent="0.2">
      <c r="A79" s="71" t="s">
        <v>82</v>
      </c>
      <c r="B79" s="59"/>
      <c r="C79" s="20"/>
      <c r="D79" s="54">
        <f>+[7]Main!I45+[7]Main!J45</f>
        <v>851049.78</v>
      </c>
      <c r="E79" s="74">
        <f>[7]Main!J45</f>
        <v>391353.71</v>
      </c>
      <c r="F79" s="54">
        <f t="shared" si="1"/>
        <v>459696.07</v>
      </c>
      <c r="G79" s="1"/>
      <c r="H79" s="30"/>
      <c r="I79" s="30"/>
      <c r="J79" s="30"/>
    </row>
    <row r="80" spans="1:10" x14ac:dyDescent="0.2">
      <c r="A80" s="71" t="s">
        <v>83</v>
      </c>
      <c r="B80" s="59"/>
      <c r="C80" s="20"/>
      <c r="D80" s="54">
        <f>[1]Main!F278</f>
        <v>278253</v>
      </c>
      <c r="E80" s="54">
        <v>0</v>
      </c>
      <c r="F80" s="54">
        <f t="shared" si="1"/>
        <v>278253</v>
      </c>
      <c r="G80" s="1"/>
      <c r="H80" s="30"/>
      <c r="I80" s="30"/>
      <c r="J80" s="30"/>
    </row>
    <row r="81" spans="1:10" x14ac:dyDescent="0.2">
      <c r="A81" s="71" t="s">
        <v>84</v>
      </c>
      <c r="B81" s="59"/>
      <c r="C81" s="7"/>
      <c r="D81" s="54">
        <f>[1]Main!E278</f>
        <v>20035.32</v>
      </c>
      <c r="E81" s="54">
        <v>0</v>
      </c>
      <c r="F81" s="54">
        <f t="shared" si="1"/>
        <v>20035.32</v>
      </c>
      <c r="G81" s="1"/>
      <c r="H81" s="57" t="s">
        <v>49</v>
      </c>
      <c r="I81" s="30"/>
      <c r="J81" s="30"/>
    </row>
    <row r="82" spans="1:10" x14ac:dyDescent="0.2">
      <c r="A82" s="71" t="s">
        <v>85</v>
      </c>
      <c r="B82" s="59"/>
      <c r="C82" s="7"/>
      <c r="D82" s="54">
        <f>[1]Main!G278</f>
        <v>201849</v>
      </c>
      <c r="E82" s="54">
        <v>0</v>
      </c>
      <c r="F82" s="54">
        <f t="shared" si="1"/>
        <v>201849</v>
      </c>
      <c r="G82" s="1"/>
      <c r="H82" s="57">
        <f>+[1]Main!C507</f>
        <v>5980679.9100000001</v>
      </c>
      <c r="I82" s="57"/>
      <c r="J82" s="57"/>
    </row>
    <row r="83" spans="1:10" x14ac:dyDescent="0.2">
      <c r="A83" s="71" t="s">
        <v>86</v>
      </c>
      <c r="B83" s="59"/>
      <c r="C83" s="20"/>
      <c r="D83" s="54">
        <f>[1]Main!C336</f>
        <v>80000</v>
      </c>
      <c r="E83" s="54">
        <v>0</v>
      </c>
      <c r="F83" s="54">
        <f t="shared" si="1"/>
        <v>80000</v>
      </c>
      <c r="G83" s="1"/>
      <c r="H83" s="57">
        <f>+SUM(D78:D88)-E79</f>
        <v>5980679.9100000001</v>
      </c>
      <c r="I83" s="57"/>
      <c r="J83" s="57">
        <f>+H83-H82</f>
        <v>0</v>
      </c>
    </row>
    <row r="84" spans="1:10" x14ac:dyDescent="0.2">
      <c r="A84" s="71" t="s">
        <v>87</v>
      </c>
      <c r="C84" s="8"/>
      <c r="D84" s="76">
        <f>[1]Main!D336</f>
        <v>3601010</v>
      </c>
      <c r="E84" s="77">
        <v>0</v>
      </c>
      <c r="F84" s="77">
        <f t="shared" si="1"/>
        <v>3601010</v>
      </c>
      <c r="G84" s="5"/>
      <c r="H84" s="57">
        <f>+H82-H83</f>
        <v>0</v>
      </c>
      <c r="I84" s="57"/>
      <c r="J84" s="57"/>
    </row>
    <row r="85" spans="1:10" x14ac:dyDescent="0.2">
      <c r="A85" s="71" t="s">
        <v>88</v>
      </c>
      <c r="B85" s="59"/>
      <c r="C85" s="20"/>
      <c r="D85" s="54">
        <f>+[1]Main!$E336</f>
        <v>16709.48</v>
      </c>
      <c r="E85" s="54">
        <v>0</v>
      </c>
      <c r="F85" s="54">
        <f>D85-E85</f>
        <v>16709.48</v>
      </c>
      <c r="G85" s="4"/>
      <c r="H85" s="30"/>
      <c r="I85" s="30"/>
      <c r="J85" s="30"/>
    </row>
    <row r="86" spans="1:10" x14ac:dyDescent="0.2">
      <c r="A86" s="71" t="s">
        <v>89</v>
      </c>
      <c r="B86" s="59"/>
      <c r="C86" s="20"/>
      <c r="D86" s="54">
        <f>[1]Main!F336</f>
        <v>66286.039999999994</v>
      </c>
      <c r="E86" s="54">
        <v>0</v>
      </c>
      <c r="F86" s="54">
        <f>D86-E86</f>
        <v>66286.039999999994</v>
      </c>
      <c r="G86" s="4"/>
      <c r="H86" s="30"/>
      <c r="I86" s="30"/>
      <c r="J86" s="30"/>
    </row>
    <row r="87" spans="1:10" x14ac:dyDescent="0.2">
      <c r="A87" s="71" t="s">
        <v>90</v>
      </c>
      <c r="B87" s="59"/>
      <c r="C87" s="20"/>
      <c r="D87" s="54">
        <f>[1]Main!G336</f>
        <v>300766</v>
      </c>
      <c r="E87" s="54">
        <v>0</v>
      </c>
      <c r="F87" s="54">
        <f>D87-E87</f>
        <v>300766</v>
      </c>
      <c r="G87" s="1"/>
      <c r="H87" s="57" t="s">
        <v>50</v>
      </c>
      <c r="I87" s="30"/>
      <c r="J87" s="30"/>
    </row>
    <row r="88" spans="1:10" x14ac:dyDescent="0.2">
      <c r="A88" s="71" t="s">
        <v>93</v>
      </c>
      <c r="B88" s="59"/>
      <c r="C88" s="20"/>
      <c r="D88" s="54">
        <f>[1]Main!F393</f>
        <v>0</v>
      </c>
      <c r="E88" s="54">
        <v>0</v>
      </c>
      <c r="F88" s="54">
        <f>D88-E88</f>
        <v>0</v>
      </c>
      <c r="G88" s="1"/>
      <c r="H88" s="57"/>
      <c r="I88" s="30"/>
      <c r="J88" s="30"/>
    </row>
    <row r="89" spans="1:10" x14ac:dyDescent="0.2">
      <c r="A89" s="55" t="s">
        <v>30</v>
      </c>
      <c r="B89" s="78"/>
      <c r="C89" s="79"/>
      <c r="D89" s="64"/>
      <c r="E89" s="64"/>
      <c r="F89" s="64"/>
      <c r="G89" s="1"/>
      <c r="H89" s="57"/>
      <c r="I89" s="30"/>
      <c r="J89" s="30"/>
    </row>
    <row r="90" spans="1:10" x14ac:dyDescent="0.2">
      <c r="A90" s="71" t="s">
        <v>60</v>
      </c>
      <c r="B90" s="59"/>
      <c r="C90" s="20"/>
      <c r="D90" s="54">
        <f>[1]Main!C450</f>
        <v>123684.75</v>
      </c>
      <c r="E90" s="54">
        <v>0</v>
      </c>
      <c r="F90" s="54">
        <f>D90-E90</f>
        <v>123684.75</v>
      </c>
      <c r="G90" s="1"/>
      <c r="H90" s="57">
        <f>+[1]Main!G450</f>
        <v>128684.75</v>
      </c>
      <c r="I90" s="30"/>
      <c r="J90" s="30"/>
    </row>
    <row r="91" spans="1:10" x14ac:dyDescent="0.2">
      <c r="A91" s="71" t="s">
        <v>63</v>
      </c>
      <c r="B91" s="59"/>
      <c r="C91" s="20"/>
      <c r="D91" s="54">
        <f>[1]Main!D450</f>
        <v>0</v>
      </c>
      <c r="E91" s="54">
        <v>0</v>
      </c>
      <c r="F91" s="54">
        <f>D91-E91</f>
        <v>0</v>
      </c>
      <c r="G91" s="4"/>
      <c r="H91" s="57">
        <f>SUM(D90:D93)</f>
        <v>128684.75</v>
      </c>
      <c r="I91" s="30"/>
      <c r="J91" s="30"/>
    </row>
    <row r="92" spans="1:10" x14ac:dyDescent="0.2">
      <c r="A92" s="71" t="s">
        <v>91</v>
      </c>
      <c r="B92" s="59"/>
      <c r="C92" s="20"/>
      <c r="D92" s="54">
        <f>[1]Main!E450</f>
        <v>0</v>
      </c>
      <c r="E92" s="54">
        <v>0</v>
      </c>
      <c r="F92" s="54">
        <f>D92-E92</f>
        <v>0</v>
      </c>
      <c r="G92" s="4"/>
      <c r="H92" s="57">
        <f>+H90-H91</f>
        <v>0</v>
      </c>
      <c r="I92" s="30"/>
      <c r="J92" s="30"/>
    </row>
    <row r="93" spans="1:10" x14ac:dyDescent="0.2">
      <c r="A93" s="71" t="s">
        <v>92</v>
      </c>
      <c r="B93" s="59"/>
      <c r="C93" s="20"/>
      <c r="D93" s="54">
        <f>[1]Main!F450</f>
        <v>5000</v>
      </c>
      <c r="E93" s="54">
        <v>0</v>
      </c>
      <c r="F93" s="54">
        <f>D93-E93</f>
        <v>5000</v>
      </c>
      <c r="G93" s="1"/>
      <c r="H93" s="30"/>
      <c r="I93" s="30"/>
      <c r="J93" s="30"/>
    </row>
    <row r="94" spans="1:10" x14ac:dyDescent="0.2">
      <c r="A94" s="55" t="s">
        <v>31</v>
      </c>
      <c r="B94" s="78"/>
      <c r="C94" s="79"/>
      <c r="D94" s="64"/>
      <c r="E94" s="64"/>
      <c r="F94" s="64"/>
      <c r="G94" s="1"/>
      <c r="H94" s="30"/>
      <c r="I94" s="30"/>
      <c r="J94" s="30"/>
    </row>
    <row r="95" spans="1:10" x14ac:dyDescent="0.2">
      <c r="A95" s="58" t="s">
        <v>69</v>
      </c>
      <c r="B95" s="59"/>
      <c r="C95" s="20"/>
      <c r="D95" s="54">
        <f>+[1]Main!$G563</f>
        <v>9608487.5399999991</v>
      </c>
      <c r="E95" s="54">
        <f>+[1]Main!$D563</f>
        <v>6054482.0700000003</v>
      </c>
      <c r="F95" s="54">
        <f>+D95-E95</f>
        <v>3554005.47</v>
      </c>
      <c r="G95" s="1"/>
      <c r="H95" s="30"/>
      <c r="I95" s="30"/>
      <c r="J95" s="30"/>
    </row>
    <row r="96" spans="1:10" x14ac:dyDescent="0.2">
      <c r="A96" s="59" t="s">
        <v>68</v>
      </c>
      <c r="B96" s="59"/>
      <c r="C96" s="20"/>
      <c r="D96" s="54">
        <f>+[1]Main!$G618</f>
        <v>2402121.89</v>
      </c>
      <c r="E96" s="54">
        <f>+[1]Main!$D618</f>
        <v>1513620.52</v>
      </c>
      <c r="F96" s="54">
        <f>+D96-E96</f>
        <v>888501.37</v>
      </c>
      <c r="G96" s="1"/>
      <c r="H96" s="30"/>
      <c r="I96" s="30"/>
      <c r="J96" s="30"/>
    </row>
    <row r="97" spans="1:10" ht="13.5" thickBot="1" x14ac:dyDescent="0.25">
      <c r="A97" s="80"/>
      <c r="B97" s="81"/>
      <c r="C97" s="82" t="s">
        <v>29</v>
      </c>
      <c r="D97" s="83">
        <f>SUM(D64:D96)</f>
        <v>72681731.640000001</v>
      </c>
      <c r="E97" s="83">
        <f>SUM(E64:E96)</f>
        <v>14297742.300000001</v>
      </c>
      <c r="F97" s="83">
        <f>SUM(F64:F96)</f>
        <v>58383989.340000004</v>
      </c>
      <c r="G97" s="1"/>
      <c r="H97" s="30"/>
      <c r="I97" s="30"/>
      <c r="J97" s="30"/>
    </row>
    <row r="98" spans="1:10" ht="13.5" thickTop="1" x14ac:dyDescent="0.2">
      <c r="A98" s="84"/>
      <c r="B98" s="59"/>
      <c r="C98" s="85"/>
      <c r="D98" s="86"/>
      <c r="E98" s="86"/>
      <c r="F98" s="87"/>
      <c r="G98" s="1"/>
      <c r="H98" s="30"/>
      <c r="I98" s="30"/>
      <c r="J98" s="30"/>
    </row>
    <row r="99" spans="1:10" x14ac:dyDescent="0.2">
      <c r="A99" s="88" t="s">
        <v>40</v>
      </c>
      <c r="B99" s="78"/>
      <c r="C99" s="89"/>
      <c r="D99" s="90"/>
      <c r="E99" s="91"/>
      <c r="F99" s="92" t="s">
        <v>36</v>
      </c>
      <c r="G99" s="6"/>
      <c r="H99" s="57" t="s">
        <v>51</v>
      </c>
      <c r="I99" s="30"/>
      <c r="J99" s="57" t="s">
        <v>7</v>
      </c>
    </row>
    <row r="100" spans="1:10" x14ac:dyDescent="0.2">
      <c r="A100" s="93" t="s">
        <v>33</v>
      </c>
      <c r="B100" s="94"/>
      <c r="C100" s="95"/>
      <c r="D100" s="96"/>
      <c r="E100" s="96"/>
      <c r="F100" s="91"/>
      <c r="G100" s="6"/>
      <c r="H100" s="30"/>
      <c r="I100" s="30"/>
      <c r="J100" s="30"/>
    </row>
    <row r="101" spans="1:10" x14ac:dyDescent="0.2">
      <c r="A101" s="59" t="s">
        <v>34</v>
      </c>
      <c r="B101" s="59"/>
      <c r="C101" s="22"/>
      <c r="D101" s="27"/>
      <c r="E101" s="27"/>
      <c r="F101" s="97">
        <f>+[8]Main!$C46</f>
        <v>0</v>
      </c>
      <c r="G101" s="5"/>
      <c r="H101" s="57">
        <f>+[1]Main!G674</f>
        <v>12010609.43</v>
      </c>
      <c r="I101" s="30"/>
      <c r="J101" s="57">
        <f>+[1]Main!E674+[1]Main!F674</f>
        <v>4442506.84</v>
      </c>
    </row>
    <row r="102" spans="1:10" x14ac:dyDescent="0.2">
      <c r="A102" s="59" t="s">
        <v>66</v>
      </c>
      <c r="B102" s="59"/>
      <c r="C102" s="22"/>
      <c r="D102" s="27"/>
      <c r="E102" s="27"/>
      <c r="F102" s="97">
        <f>+[8]Main!$D46</f>
        <v>659203</v>
      </c>
      <c r="G102" s="5"/>
      <c r="H102" s="57">
        <f>+D95+D96</f>
        <v>12010609.43</v>
      </c>
      <c r="I102" s="30"/>
      <c r="J102" s="57">
        <f>+F95+F96</f>
        <v>4442506.84</v>
      </c>
    </row>
    <row r="103" spans="1:10" x14ac:dyDescent="0.2">
      <c r="A103" s="32" t="s">
        <v>65</v>
      </c>
      <c r="B103" s="32"/>
      <c r="C103" s="22"/>
      <c r="D103" s="28"/>
      <c r="E103" s="28"/>
      <c r="F103" s="97">
        <f>+[8]Main!$E46</f>
        <v>0</v>
      </c>
      <c r="G103" s="1"/>
      <c r="H103" s="57">
        <f>+H101-H102</f>
        <v>0</v>
      </c>
      <c r="I103" s="30"/>
      <c r="J103" s="57">
        <f>+J101-J102</f>
        <v>0</v>
      </c>
    </row>
    <row r="104" spans="1:10" x14ac:dyDescent="0.2">
      <c r="A104" s="32" t="s">
        <v>67</v>
      </c>
      <c r="B104" s="32"/>
      <c r="C104" s="22"/>
      <c r="D104" s="28"/>
      <c r="E104" s="28"/>
      <c r="F104" s="97">
        <f>+[8]Main!$F46</f>
        <v>0</v>
      </c>
      <c r="G104" s="1"/>
      <c r="H104" s="30"/>
      <c r="I104" s="30"/>
      <c r="J104" s="30"/>
    </row>
    <row r="105" spans="1:10" x14ac:dyDescent="0.2">
      <c r="A105" s="88" t="s">
        <v>35</v>
      </c>
      <c r="B105" s="78"/>
      <c r="C105" s="89"/>
      <c r="D105" s="90"/>
      <c r="E105" s="91"/>
      <c r="F105" s="54">
        <f>+[8]Main!$C104</f>
        <v>36457.89</v>
      </c>
      <c r="G105" s="1"/>
      <c r="H105" s="30"/>
      <c r="I105" s="30"/>
      <c r="J105" s="30"/>
    </row>
    <row r="106" spans="1:10" ht="13.5" thickBot="1" x14ac:dyDescent="0.25">
      <c r="A106" s="98"/>
      <c r="B106" s="99"/>
      <c r="C106" s="100" t="s">
        <v>29</v>
      </c>
      <c r="D106" s="101"/>
      <c r="E106" s="102"/>
      <c r="F106" s="103">
        <f>SUM(F101:F105)</f>
        <v>695660.89</v>
      </c>
      <c r="G106" s="1"/>
      <c r="H106" s="30"/>
      <c r="I106" s="30"/>
      <c r="J106" s="30"/>
    </row>
    <row r="107" spans="1:10" ht="13.5" thickBot="1" x14ac:dyDescent="0.25">
      <c r="A107" s="104"/>
      <c r="B107" s="105"/>
      <c r="C107" s="106" t="s">
        <v>53</v>
      </c>
      <c r="D107" s="107"/>
      <c r="E107" s="108"/>
      <c r="F107" s="109">
        <f>+F106+F97</f>
        <v>59079650.229999997</v>
      </c>
      <c r="G107" s="1"/>
      <c r="H107" s="57" t="s">
        <v>54</v>
      </c>
      <c r="I107" s="30"/>
      <c r="J107" s="30"/>
    </row>
    <row r="108" spans="1:10" x14ac:dyDescent="0.2">
      <c r="A108" s="11"/>
      <c r="B108" s="12"/>
      <c r="C108" s="9"/>
      <c r="D108" s="29"/>
      <c r="E108" s="29"/>
      <c r="F108" s="110"/>
      <c r="G108" s="1"/>
      <c r="H108" s="57">
        <f>+[8]Main!$G46</f>
        <v>659203</v>
      </c>
      <c r="I108" s="30"/>
      <c r="J108" s="30"/>
    </row>
    <row r="109" spans="1:10" x14ac:dyDescent="0.2">
      <c r="A109" s="11"/>
      <c r="B109" s="12"/>
      <c r="C109" s="9"/>
      <c r="D109" s="29"/>
      <c r="E109" s="29"/>
      <c r="F109" s="110"/>
      <c r="G109" s="1"/>
      <c r="H109" s="57">
        <f>SUM(F101:F104)</f>
        <v>659203</v>
      </c>
      <c r="I109" s="30"/>
      <c r="J109" s="30"/>
    </row>
    <row r="110" spans="1:10" x14ac:dyDescent="0.2">
      <c r="A110" s="1"/>
      <c r="B110" s="1"/>
      <c r="C110" s="7"/>
      <c r="D110" s="26"/>
      <c r="E110" s="26"/>
      <c r="F110" s="86">
        <f>+F106+F97</f>
        <v>59079650.229999997</v>
      </c>
      <c r="G110" s="1"/>
      <c r="H110" s="57">
        <f>+H108-H109</f>
        <v>0</v>
      </c>
      <c r="I110" s="30"/>
      <c r="J110" s="30"/>
    </row>
    <row r="111" spans="1:10" x14ac:dyDescent="0.2">
      <c r="A111" s="1"/>
      <c r="B111" s="1"/>
      <c r="C111" s="7"/>
      <c r="D111" s="26"/>
      <c r="E111" s="26"/>
      <c r="F111" s="86">
        <f>+[1]Main!$F790</f>
        <v>59079650.229999997</v>
      </c>
      <c r="G111" s="1"/>
      <c r="H111" s="30"/>
      <c r="I111" s="30"/>
      <c r="J111" s="30"/>
    </row>
    <row r="112" spans="1:10" x14ac:dyDescent="0.2">
      <c r="A112" s="1"/>
      <c r="B112" s="1"/>
      <c r="C112" s="7"/>
      <c r="D112" s="26"/>
      <c r="E112" s="86">
        <f>+E97+[1]Main!$E790</f>
        <v>0</v>
      </c>
      <c r="F112" s="86">
        <f>+F111-F110</f>
        <v>0</v>
      </c>
      <c r="G112" s="1"/>
      <c r="H112" s="30"/>
      <c r="I112" s="30"/>
      <c r="J112" s="30"/>
    </row>
    <row r="113" spans="1:10" x14ac:dyDescent="0.2">
      <c r="A113" s="59"/>
      <c r="B113" s="59"/>
      <c r="C113" s="85"/>
      <c r="D113" s="86"/>
      <c r="E113" s="86"/>
      <c r="F113" s="86"/>
      <c r="G113" s="59"/>
      <c r="H113" s="57"/>
      <c r="I113" s="57"/>
      <c r="J113" s="57"/>
    </row>
    <row r="114" spans="1:10" x14ac:dyDescent="0.2">
      <c r="A114" s="59"/>
      <c r="B114" s="59"/>
      <c r="C114" s="85"/>
      <c r="D114" s="86"/>
      <c r="E114" s="86"/>
      <c r="F114" s="86"/>
      <c r="G114" s="59"/>
      <c r="H114" s="57"/>
      <c r="I114" s="57"/>
      <c r="J114" s="57"/>
    </row>
    <row r="115" spans="1:10" x14ac:dyDescent="0.2">
      <c r="A115" s="59"/>
      <c r="B115" s="59"/>
      <c r="C115" s="85"/>
      <c r="D115" s="86"/>
      <c r="E115" s="86"/>
      <c r="F115" s="86"/>
      <c r="G115" s="59"/>
      <c r="H115" s="111" t="s">
        <v>55</v>
      </c>
      <c r="I115" s="57"/>
      <c r="J115" s="57"/>
    </row>
    <row r="116" spans="1:10" x14ac:dyDescent="0.2">
      <c r="G116" s="59"/>
      <c r="H116" s="113"/>
      <c r="I116" s="112"/>
      <c r="J116" s="112"/>
    </row>
    <row r="117" spans="1:10" x14ac:dyDescent="0.2">
      <c r="G117" s="59"/>
      <c r="H117" s="112"/>
      <c r="I117" s="112"/>
      <c r="J117" s="112"/>
    </row>
    <row r="118" spans="1:10" x14ac:dyDescent="0.2">
      <c r="G118" s="59"/>
      <c r="H118" s="112"/>
      <c r="I118" s="112"/>
      <c r="J118" s="112"/>
    </row>
    <row r="119" spans="1:10" x14ac:dyDescent="0.2">
      <c r="G119" s="59"/>
      <c r="H119" s="112"/>
      <c r="I119" s="112"/>
      <c r="J119" s="112"/>
    </row>
    <row r="120" spans="1:10" x14ac:dyDescent="0.2">
      <c r="G120" s="59"/>
      <c r="H120" s="112"/>
      <c r="I120" s="112"/>
      <c r="J120" s="112"/>
    </row>
    <row r="121" spans="1:10" x14ac:dyDescent="0.2">
      <c r="G121" s="59"/>
      <c r="H121" s="71"/>
      <c r="I121" s="112"/>
      <c r="J121" s="112"/>
    </row>
  </sheetData>
  <mergeCells count="1">
    <mergeCell ref="D40:E40"/>
  </mergeCells>
  <phoneticPr fontId="0" type="noConversion"/>
  <printOptions horizontalCentered="1" verticalCentered="1"/>
  <pageMargins left="0.5" right="0.25" top="0.5" bottom="0.5" header="0.5" footer="0.5"/>
  <pageSetup scale="89" orientation="portrait" horizontalDpi="1200" r:id="rId1"/>
  <headerFooter alignWithMargins="0">
    <oddHeader>&amp;R&amp;8Current as of: &amp;D</oddHeader>
    <oddFooter>&amp;L&amp;8USOE, Finance and Statistics&amp;R&amp;8&amp;F</oddFooter>
  </headerFooter>
  <picture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8"/>
  <dimension ref="A1:J122"/>
  <sheetViews>
    <sheetView topLeftCell="A67" workbookViewId="0">
      <selection activeCell="B45" sqref="B45"/>
    </sheetView>
  </sheetViews>
  <sheetFormatPr defaultColWidth="18.28515625" defaultRowHeight="12.75" x14ac:dyDescent="0.2"/>
  <cols>
    <col min="1" max="1" width="27" style="75" customWidth="1"/>
    <col min="2" max="2" width="16.7109375" style="75" customWidth="1"/>
    <col min="3" max="3" width="15.85546875" style="75" customWidth="1"/>
    <col min="4" max="4" width="16.28515625" style="75" customWidth="1"/>
    <col min="5" max="5" width="15.5703125" style="75" customWidth="1"/>
    <col min="6" max="6" width="17.42578125" style="75" customWidth="1"/>
    <col min="7" max="7" width="5.7109375" style="75" customWidth="1"/>
    <col min="8" max="8" width="21.5703125" style="75" customWidth="1"/>
    <col min="9" max="9" width="5" style="75" customWidth="1"/>
    <col min="10" max="10" width="20.85546875" style="75" customWidth="1"/>
    <col min="11" max="16384" width="18.28515625" style="75"/>
  </cols>
  <sheetData>
    <row r="1" spans="1:10" x14ac:dyDescent="0.2">
      <c r="A1" s="8"/>
      <c r="B1" s="8"/>
      <c r="C1" s="8"/>
      <c r="D1" s="8"/>
      <c r="E1" s="8"/>
      <c r="F1" s="8"/>
      <c r="G1" s="8"/>
      <c r="H1" s="8"/>
      <c r="I1" s="8"/>
      <c r="J1" s="8"/>
    </row>
    <row r="2" spans="1:10" x14ac:dyDescent="0.2">
      <c r="A2" s="8"/>
      <c r="B2" s="8"/>
      <c r="C2" s="8"/>
      <c r="D2" s="8"/>
      <c r="E2" s="8"/>
      <c r="F2" s="8"/>
      <c r="G2" s="8"/>
      <c r="H2" s="8"/>
      <c r="I2" s="8"/>
      <c r="J2" s="8"/>
    </row>
    <row r="3" spans="1:10" x14ac:dyDescent="0.2">
      <c r="A3" s="8"/>
      <c r="B3" s="8"/>
      <c r="C3" s="8"/>
      <c r="D3" s="8"/>
      <c r="E3" s="8"/>
      <c r="F3" s="8"/>
      <c r="G3" s="8"/>
      <c r="H3" s="8"/>
      <c r="I3" s="8"/>
      <c r="J3" s="8"/>
    </row>
    <row r="4" spans="1:10" x14ac:dyDescent="0.2">
      <c r="A4" s="8"/>
      <c r="B4" s="8"/>
      <c r="C4" s="8"/>
      <c r="D4" s="8"/>
      <c r="E4" s="8"/>
      <c r="F4" s="8"/>
      <c r="G4" s="8"/>
      <c r="H4" s="8"/>
      <c r="I4" s="8"/>
      <c r="J4" s="8"/>
    </row>
    <row r="5" spans="1:10" x14ac:dyDescent="0.2">
      <c r="A5" s="8"/>
      <c r="B5" s="8"/>
      <c r="C5" s="8"/>
      <c r="D5" s="8"/>
      <c r="E5" s="8"/>
      <c r="F5" s="8"/>
      <c r="G5" s="8"/>
      <c r="H5" s="8"/>
      <c r="I5" s="8"/>
      <c r="J5" s="8"/>
    </row>
    <row r="6" spans="1:10" x14ac:dyDescent="0.2">
      <c r="A6" s="8"/>
      <c r="B6" s="8"/>
      <c r="C6" s="8"/>
      <c r="D6" s="8"/>
      <c r="E6" s="8"/>
      <c r="F6" s="8"/>
      <c r="G6" s="8"/>
      <c r="H6" s="8"/>
      <c r="I6" s="8"/>
      <c r="J6" s="8"/>
    </row>
    <row r="7" spans="1:10" x14ac:dyDescent="0.2">
      <c r="A7" s="8"/>
      <c r="B7" s="8"/>
      <c r="C7" s="8"/>
      <c r="D7" s="8"/>
      <c r="E7" s="8"/>
      <c r="F7" s="8"/>
      <c r="G7" s="8"/>
      <c r="H7" s="8"/>
      <c r="I7" s="8"/>
      <c r="J7" s="8"/>
    </row>
    <row r="8" spans="1:10" x14ac:dyDescent="0.2">
      <c r="A8" s="8"/>
      <c r="B8" s="8"/>
      <c r="C8" s="8"/>
      <c r="D8" s="8"/>
      <c r="E8" s="8"/>
      <c r="F8" s="8"/>
      <c r="G8" s="8"/>
      <c r="H8" s="8"/>
      <c r="I8" s="8"/>
      <c r="J8" s="8"/>
    </row>
    <row r="9" spans="1:10" x14ac:dyDescent="0.2">
      <c r="A9" s="8"/>
      <c r="B9" s="8"/>
      <c r="C9" s="8"/>
      <c r="D9" s="8"/>
      <c r="E9" s="8"/>
      <c r="F9" s="8"/>
      <c r="G9" s="8"/>
      <c r="H9" s="8"/>
      <c r="I9" s="8"/>
      <c r="J9" s="8"/>
    </row>
    <row r="10" spans="1:10" x14ac:dyDescent="0.2">
      <c r="A10" s="8"/>
      <c r="B10" s="15"/>
      <c r="C10" s="8"/>
      <c r="D10" s="8"/>
      <c r="E10" s="8"/>
      <c r="F10" s="8"/>
      <c r="G10" s="8"/>
      <c r="H10" s="8"/>
      <c r="I10" s="8"/>
      <c r="J10" s="8"/>
    </row>
    <row r="11" spans="1:10" x14ac:dyDescent="0.2">
      <c r="A11" s="8"/>
      <c r="B11" s="8"/>
      <c r="C11" s="8"/>
      <c r="D11" s="8"/>
      <c r="E11" s="8"/>
      <c r="F11" s="8"/>
      <c r="G11" s="8"/>
      <c r="H11" s="8"/>
      <c r="I11" s="8"/>
      <c r="J11" s="8"/>
    </row>
    <row r="12" spans="1:10" x14ac:dyDescent="0.2">
      <c r="A12" s="8"/>
      <c r="B12" s="8"/>
      <c r="C12" s="8"/>
      <c r="D12" s="8"/>
      <c r="E12" s="8"/>
      <c r="F12" s="8"/>
      <c r="G12" s="8"/>
      <c r="H12" s="8"/>
      <c r="I12" s="8"/>
      <c r="J12" s="8"/>
    </row>
    <row r="13" spans="1:10" x14ac:dyDescent="0.2">
      <c r="A13" s="8"/>
      <c r="B13" s="8"/>
      <c r="C13" s="8"/>
      <c r="D13" s="8"/>
      <c r="E13" s="8"/>
      <c r="F13" s="8"/>
      <c r="G13" s="8"/>
      <c r="H13" s="8"/>
      <c r="I13" s="8"/>
      <c r="J13" s="8"/>
    </row>
    <row r="14" spans="1:10" x14ac:dyDescent="0.2">
      <c r="A14" s="8"/>
      <c r="B14" s="8"/>
      <c r="C14" s="8"/>
      <c r="D14" s="8"/>
      <c r="E14" s="8"/>
      <c r="F14" s="8"/>
      <c r="G14" s="8"/>
      <c r="H14" s="8"/>
      <c r="I14" s="8"/>
      <c r="J14" s="8"/>
    </row>
    <row r="15" spans="1:10" x14ac:dyDescent="0.2">
      <c r="A15" s="8"/>
      <c r="B15" s="8"/>
      <c r="C15" s="8"/>
      <c r="D15" s="8"/>
      <c r="E15" s="8"/>
      <c r="F15" s="8"/>
      <c r="G15" s="8"/>
      <c r="H15" s="8"/>
      <c r="I15" s="8"/>
      <c r="J15" s="8"/>
    </row>
    <row r="16" spans="1:10" x14ac:dyDescent="0.2">
      <c r="A16" s="8"/>
      <c r="B16" s="8"/>
      <c r="C16" s="8"/>
      <c r="D16" s="8"/>
      <c r="E16" s="8"/>
      <c r="F16" s="8"/>
      <c r="G16" s="8"/>
      <c r="H16" s="8"/>
      <c r="I16" s="8"/>
      <c r="J16" s="8"/>
    </row>
    <row r="17" spans="1:10" x14ac:dyDescent="0.2">
      <c r="A17" s="8"/>
      <c r="B17" s="8"/>
      <c r="C17" s="8"/>
      <c r="D17" s="8"/>
      <c r="E17" s="8"/>
      <c r="F17" s="8"/>
      <c r="G17" s="8"/>
      <c r="H17" s="8"/>
      <c r="I17" s="8"/>
      <c r="J17" s="8"/>
    </row>
    <row r="18" spans="1:10" x14ac:dyDescent="0.2">
      <c r="A18" s="8"/>
      <c r="B18" s="8"/>
      <c r="C18" s="8"/>
      <c r="D18" s="8"/>
      <c r="E18" s="8"/>
      <c r="F18" s="8"/>
      <c r="G18" s="8"/>
      <c r="H18" s="8"/>
      <c r="I18" s="8"/>
      <c r="J18" s="8"/>
    </row>
    <row r="19" spans="1:10" x14ac:dyDescent="0.2">
      <c r="A19" s="8"/>
      <c r="B19" s="8"/>
      <c r="C19" s="8"/>
      <c r="D19" s="8"/>
      <c r="E19" s="8"/>
      <c r="F19" s="8"/>
      <c r="G19" s="8"/>
      <c r="H19" s="8"/>
      <c r="I19" s="8"/>
      <c r="J19" s="8"/>
    </row>
    <row r="20" spans="1:10" x14ac:dyDescent="0.2">
      <c r="A20" s="8"/>
      <c r="B20" s="8"/>
      <c r="C20" s="8"/>
      <c r="D20" s="8"/>
      <c r="E20" s="8"/>
      <c r="F20" s="8"/>
      <c r="G20" s="8"/>
      <c r="H20" s="8"/>
      <c r="I20" s="8"/>
      <c r="J20" s="8"/>
    </row>
    <row r="21" spans="1:10" x14ac:dyDescent="0.2">
      <c r="A21" s="8"/>
      <c r="B21" s="8"/>
      <c r="C21" s="8"/>
      <c r="D21" s="8"/>
      <c r="E21" s="8"/>
      <c r="F21" s="8"/>
      <c r="G21" s="8"/>
      <c r="H21" s="8"/>
      <c r="I21" s="8"/>
      <c r="J21" s="8"/>
    </row>
    <row r="22" spans="1:10" x14ac:dyDescent="0.2">
      <c r="A22" s="8"/>
      <c r="B22" s="8"/>
      <c r="C22" s="8"/>
      <c r="D22" s="8"/>
      <c r="E22" s="8"/>
      <c r="F22" s="8"/>
      <c r="G22" s="8"/>
      <c r="H22" s="8"/>
      <c r="I22" s="8"/>
      <c r="J22" s="8"/>
    </row>
    <row r="23" spans="1:10" x14ac:dyDescent="0.2">
      <c r="A23" s="8"/>
      <c r="B23" s="8"/>
      <c r="C23" s="8"/>
      <c r="D23" s="8"/>
      <c r="E23" s="8"/>
      <c r="F23" s="8"/>
      <c r="G23" s="8"/>
      <c r="H23" s="8"/>
      <c r="I23" s="8"/>
      <c r="J23" s="8"/>
    </row>
    <row r="24" spans="1:10" x14ac:dyDescent="0.2">
      <c r="A24" s="8"/>
      <c r="B24" s="8"/>
      <c r="C24" s="8"/>
      <c r="D24" s="8"/>
      <c r="E24" s="8"/>
      <c r="F24" s="8"/>
      <c r="G24" s="8"/>
      <c r="H24" s="8"/>
      <c r="I24" s="8"/>
      <c r="J24" s="8"/>
    </row>
    <row r="25" spans="1:10" x14ac:dyDescent="0.2">
      <c r="A25" s="8"/>
      <c r="B25" s="8"/>
      <c r="C25" s="8"/>
      <c r="D25" s="8"/>
      <c r="E25" s="8"/>
      <c r="F25" s="8"/>
      <c r="G25" s="8"/>
      <c r="H25" s="8"/>
      <c r="I25" s="8"/>
      <c r="J25" s="8"/>
    </row>
    <row r="26" spans="1:10" x14ac:dyDescent="0.2">
      <c r="A26" s="8"/>
      <c r="B26" s="8"/>
      <c r="C26" s="8"/>
      <c r="D26" s="8"/>
      <c r="E26" s="8"/>
      <c r="F26" s="8"/>
      <c r="G26" s="8"/>
      <c r="H26" s="8"/>
      <c r="I26" s="8"/>
      <c r="J26" s="8"/>
    </row>
    <row r="27" spans="1:10" x14ac:dyDescent="0.2">
      <c r="A27" s="8"/>
      <c r="B27" s="8"/>
      <c r="C27" s="8"/>
      <c r="D27" s="8"/>
      <c r="E27" s="8"/>
      <c r="F27" s="8"/>
      <c r="G27" s="8"/>
      <c r="H27" s="8"/>
      <c r="I27" s="8"/>
      <c r="J27" s="8"/>
    </row>
    <row r="28" spans="1:10" x14ac:dyDescent="0.2">
      <c r="A28" s="8"/>
      <c r="B28" s="8"/>
      <c r="C28" s="8"/>
      <c r="D28" s="8"/>
      <c r="E28" s="8"/>
      <c r="F28" s="8"/>
      <c r="G28" s="8"/>
      <c r="H28" s="8"/>
      <c r="I28" s="8"/>
      <c r="J28" s="8"/>
    </row>
    <row r="29" spans="1:10" x14ac:dyDescent="0.2">
      <c r="A29" s="8"/>
      <c r="B29" s="8"/>
      <c r="C29" s="8"/>
      <c r="D29" s="8"/>
      <c r="E29" s="8"/>
      <c r="F29" s="8"/>
      <c r="G29" s="8"/>
      <c r="H29" s="8"/>
      <c r="I29" s="8"/>
      <c r="J29" s="8"/>
    </row>
    <row r="30" spans="1:10" x14ac:dyDescent="0.2">
      <c r="A30" s="8"/>
      <c r="B30" s="8"/>
      <c r="C30" s="8"/>
      <c r="D30" s="8"/>
      <c r="E30" s="8"/>
      <c r="F30" s="8"/>
      <c r="G30" s="8"/>
      <c r="H30" s="8"/>
      <c r="I30" s="8"/>
      <c r="J30" s="8"/>
    </row>
    <row r="31" spans="1:10" x14ac:dyDescent="0.2">
      <c r="A31" s="8"/>
      <c r="B31" s="8"/>
      <c r="C31" s="8"/>
      <c r="D31" s="8"/>
      <c r="E31" s="8"/>
      <c r="F31" s="8"/>
      <c r="G31" s="8"/>
      <c r="H31" s="8"/>
      <c r="I31" s="8"/>
      <c r="J31" s="8"/>
    </row>
    <row r="32" spans="1:10" x14ac:dyDescent="0.2">
      <c r="A32" s="8"/>
      <c r="B32" s="8"/>
      <c r="C32" s="8"/>
      <c r="D32" s="8"/>
      <c r="E32" s="8"/>
      <c r="F32" s="8"/>
      <c r="G32" s="8"/>
      <c r="H32" s="8"/>
      <c r="I32" s="8"/>
      <c r="J32" s="8"/>
    </row>
    <row r="33" spans="1:10" x14ac:dyDescent="0.2">
      <c r="A33" s="8"/>
      <c r="B33" s="8"/>
      <c r="C33" s="8"/>
      <c r="D33" s="8"/>
      <c r="E33" s="8"/>
      <c r="F33" s="8"/>
      <c r="G33" s="8"/>
      <c r="H33" s="8"/>
      <c r="I33" s="8"/>
      <c r="J33" s="8"/>
    </row>
    <row r="34" spans="1:10" x14ac:dyDescent="0.2">
      <c r="A34" s="8"/>
      <c r="B34" s="8"/>
      <c r="C34" s="8"/>
      <c r="D34" s="8"/>
      <c r="E34" s="8"/>
      <c r="F34" s="8"/>
      <c r="G34" s="8"/>
      <c r="H34" s="8"/>
      <c r="I34" s="8"/>
      <c r="J34" s="8"/>
    </row>
    <row r="35" spans="1:10" x14ac:dyDescent="0.2">
      <c r="A35" s="8"/>
      <c r="B35" s="8"/>
      <c r="C35" s="8"/>
      <c r="D35" s="8"/>
      <c r="E35" s="8"/>
      <c r="F35" s="8"/>
      <c r="G35" s="8"/>
      <c r="H35" s="8"/>
      <c r="I35" s="8"/>
      <c r="J35" s="8"/>
    </row>
    <row r="36" spans="1:10" x14ac:dyDescent="0.2">
      <c r="A36" s="8"/>
      <c r="B36" s="8"/>
      <c r="C36" s="8"/>
      <c r="D36" s="8"/>
      <c r="E36" s="8"/>
      <c r="F36" s="8"/>
      <c r="G36" s="8"/>
      <c r="H36" s="8"/>
      <c r="I36" s="8"/>
      <c r="J36" s="8"/>
    </row>
    <row r="37" spans="1:10" x14ac:dyDescent="0.2">
      <c r="A37" s="8"/>
      <c r="B37" s="8"/>
      <c r="C37" s="8"/>
      <c r="D37" s="8"/>
      <c r="E37" s="8"/>
      <c r="F37" s="8"/>
      <c r="G37" s="8"/>
      <c r="H37" s="8"/>
      <c r="I37" s="8"/>
      <c r="J37" s="8"/>
    </row>
    <row r="38" spans="1:10" x14ac:dyDescent="0.2">
      <c r="A38" s="32" t="s">
        <v>0</v>
      </c>
      <c r="B38" s="33">
        <v>3184</v>
      </c>
      <c r="C38" s="34" t="s">
        <v>1</v>
      </c>
      <c r="D38" s="35"/>
      <c r="E38" s="35"/>
      <c r="F38" s="35"/>
      <c r="G38" s="1"/>
      <c r="H38" s="30"/>
      <c r="I38" s="30"/>
      <c r="J38" s="30"/>
    </row>
    <row r="39" spans="1:10" x14ac:dyDescent="0.2">
      <c r="A39" s="32" t="s">
        <v>61</v>
      </c>
      <c r="B39" s="36">
        <f>+[1]Main!$C564</f>
        <v>1.093E-3</v>
      </c>
      <c r="C39" s="34" t="s">
        <v>41</v>
      </c>
      <c r="D39" s="35"/>
      <c r="E39" s="35"/>
      <c r="F39" s="35"/>
      <c r="G39" s="1"/>
      <c r="H39" s="30"/>
      <c r="I39" s="30"/>
      <c r="J39" s="30"/>
    </row>
    <row r="40" spans="1:10" x14ac:dyDescent="0.2">
      <c r="A40" s="32" t="s">
        <v>62</v>
      </c>
      <c r="B40" s="36">
        <f>+[1]Main!$C619</f>
        <v>1.6000000000000001E-3</v>
      </c>
      <c r="C40" s="34" t="s">
        <v>95</v>
      </c>
      <c r="D40" s="35"/>
      <c r="E40" s="37"/>
      <c r="F40" s="35"/>
      <c r="G40" s="1"/>
      <c r="H40" s="30"/>
      <c r="I40" s="30"/>
      <c r="J40" s="30"/>
    </row>
    <row r="41" spans="1:10" x14ac:dyDescent="0.2">
      <c r="A41" s="38" t="s">
        <v>32</v>
      </c>
      <c r="B41" s="39">
        <f>[2]Sheet1!E46</f>
        <v>5319149189</v>
      </c>
      <c r="C41" s="21"/>
      <c r="D41" s="31"/>
      <c r="E41" s="31"/>
      <c r="F41" s="23"/>
      <c r="G41" s="1"/>
      <c r="H41" s="30"/>
      <c r="I41" s="30"/>
      <c r="J41" s="30"/>
    </row>
    <row r="42" spans="1:10" x14ac:dyDescent="0.2">
      <c r="A42" s="32" t="s">
        <v>2</v>
      </c>
      <c r="B42" s="40">
        <f>[2]Sheet1!F46</f>
        <v>0.93079999999999996</v>
      </c>
      <c r="C42" s="7"/>
      <c r="D42" s="41" t="s">
        <v>3</v>
      </c>
      <c r="E42" s="42" t="str">
        <f>+[3]main!B47</f>
        <v>Provo</v>
      </c>
      <c r="F42" s="43">
        <f>+[3]main!A47</f>
        <v>38</v>
      </c>
      <c r="G42" s="1"/>
      <c r="H42" s="30"/>
      <c r="I42" s="30"/>
      <c r="J42" s="30"/>
    </row>
    <row r="43" spans="1:10" x14ac:dyDescent="0.2">
      <c r="A43" s="32" t="s">
        <v>4</v>
      </c>
      <c r="B43" s="44">
        <f>[2]Sheet1!G46</f>
        <v>1.6750000000000001E-3</v>
      </c>
      <c r="C43" s="8"/>
      <c r="D43" s="24"/>
      <c r="E43" s="25"/>
      <c r="F43" s="24"/>
      <c r="G43" s="1"/>
      <c r="H43" s="30"/>
      <c r="I43" s="30"/>
      <c r="J43" s="30"/>
    </row>
    <row r="44" spans="1:10" x14ac:dyDescent="0.2">
      <c r="A44" s="32" t="s">
        <v>5</v>
      </c>
      <c r="B44" s="45">
        <f>[2]Sheet1!$C$102</f>
        <v>9246418</v>
      </c>
      <c r="C44" s="46"/>
      <c r="D44" s="47" t="s">
        <v>38</v>
      </c>
      <c r="E44" s="48" t="s">
        <v>7</v>
      </c>
      <c r="F44" s="47" t="s">
        <v>6</v>
      </c>
      <c r="G44" s="1"/>
      <c r="H44" s="30"/>
      <c r="I44" s="30"/>
      <c r="J44" s="30"/>
    </row>
    <row r="45" spans="1:10" x14ac:dyDescent="0.2">
      <c r="A45" s="32" t="s">
        <v>8</v>
      </c>
      <c r="B45" s="45">
        <f>+B44</f>
        <v>9246418</v>
      </c>
      <c r="C45" s="49"/>
      <c r="D45" s="50" t="s">
        <v>9</v>
      </c>
      <c r="E45" s="50" t="s">
        <v>37</v>
      </c>
      <c r="F45" s="50" t="s">
        <v>10</v>
      </c>
      <c r="G45" s="1"/>
      <c r="H45" s="30"/>
      <c r="I45" s="30"/>
      <c r="J45" s="30"/>
    </row>
    <row r="46" spans="1:10" x14ac:dyDescent="0.2">
      <c r="A46" s="32" t="s">
        <v>11</v>
      </c>
      <c r="B46" s="45">
        <v>0</v>
      </c>
      <c r="C46" s="51" t="s">
        <v>39</v>
      </c>
      <c r="D46" s="52" t="s">
        <v>12</v>
      </c>
      <c r="E46" s="52" t="s">
        <v>9</v>
      </c>
      <c r="F46" s="52" t="s">
        <v>9</v>
      </c>
      <c r="G46" s="1"/>
      <c r="H46" s="30"/>
      <c r="I46" s="30"/>
      <c r="J46" s="30"/>
    </row>
    <row r="47" spans="1:10" x14ac:dyDescent="0.2">
      <c r="A47" s="32" t="s">
        <v>70</v>
      </c>
      <c r="B47" s="45">
        <f>'[4]LRF FY17'!U44</f>
        <v>397234</v>
      </c>
      <c r="C47" s="53"/>
      <c r="D47" s="54"/>
      <c r="E47" s="54"/>
      <c r="F47" s="54" t="s">
        <v>14</v>
      </c>
      <c r="G47" s="1"/>
      <c r="H47" s="30"/>
      <c r="I47" s="30"/>
      <c r="J47" s="30"/>
    </row>
    <row r="48" spans="1:10" x14ac:dyDescent="0.2">
      <c r="A48" s="55" t="s">
        <v>13</v>
      </c>
      <c r="B48" s="56"/>
      <c r="C48" s="53"/>
      <c r="D48" s="54"/>
      <c r="E48" s="54"/>
      <c r="F48" s="54"/>
      <c r="G48" s="2"/>
      <c r="H48" s="30"/>
      <c r="I48" s="30"/>
      <c r="J48" s="30"/>
    </row>
    <row r="49" spans="1:10" x14ac:dyDescent="0.2">
      <c r="A49" s="55" t="s">
        <v>15</v>
      </c>
      <c r="B49" s="56"/>
      <c r="C49" s="53"/>
      <c r="D49" s="54"/>
      <c r="E49" s="54"/>
      <c r="F49" s="54"/>
      <c r="G49" s="2"/>
      <c r="H49" s="57" t="s">
        <v>43</v>
      </c>
      <c r="I49" s="30"/>
      <c r="J49" s="57" t="s">
        <v>45</v>
      </c>
    </row>
    <row r="50" spans="1:10" x14ac:dyDescent="0.2">
      <c r="A50" s="58" t="s">
        <v>16</v>
      </c>
      <c r="B50" s="59"/>
      <c r="C50" s="60">
        <f>[3]main!C221-[3]main!F163</f>
        <v>16505.552</v>
      </c>
      <c r="D50" s="61">
        <f>[3]main!E221-[3]main!H163</f>
        <v>52553678.670000002</v>
      </c>
      <c r="E50" s="62">
        <f>IF(B45&gt;D50,D50,B45)</f>
        <v>9246418</v>
      </c>
      <c r="F50" s="62">
        <f>D50-E50</f>
        <v>43307260.670000002</v>
      </c>
      <c r="G50" s="1"/>
      <c r="H50" s="57">
        <f>[3]main!H280</f>
        <v>56669134.579999998</v>
      </c>
      <c r="I50" s="30"/>
      <c r="J50" s="57">
        <f>'[5]Sheet 1'!E104</f>
        <v>71589835</v>
      </c>
    </row>
    <row r="51" spans="1:10" x14ac:dyDescent="0.2">
      <c r="A51" s="58" t="s">
        <v>17</v>
      </c>
      <c r="B51" s="59"/>
      <c r="C51" s="53">
        <f>[3]main!F163</f>
        <v>0</v>
      </c>
      <c r="D51" s="54">
        <f>[3]main!H163</f>
        <v>0</v>
      </c>
      <c r="E51" s="54">
        <f>IF(B44-SUM(E48:E50)&gt;D51,D51,B44-SUM(E48:E50))</f>
        <v>0</v>
      </c>
      <c r="F51" s="54">
        <f>D51-E51</f>
        <v>0</v>
      </c>
      <c r="G51" s="1"/>
      <c r="H51" s="57">
        <f>SUM(D50:D54)</f>
        <v>56669134.579999998</v>
      </c>
      <c r="I51" s="30"/>
      <c r="J51" s="57">
        <f>D65</f>
        <v>71589835</v>
      </c>
    </row>
    <row r="52" spans="1:10" x14ac:dyDescent="0.2">
      <c r="A52" s="58" t="s">
        <v>18</v>
      </c>
      <c r="B52" s="59"/>
      <c r="C52" s="53">
        <f>[3]main!F221</f>
        <v>1283.5429999999999</v>
      </c>
      <c r="D52" s="54">
        <f>[3]main!H221</f>
        <v>4086799.91</v>
      </c>
      <c r="E52" s="54">
        <f>IF(B45-SUM(E50:E51)&gt;D52,D52,B45-SUM(E50:E51))</f>
        <v>0</v>
      </c>
      <c r="F52" s="54">
        <f>D52-E52</f>
        <v>4086799.91</v>
      </c>
      <c r="G52" s="1"/>
      <c r="H52" s="57">
        <f>+H50-H51</f>
        <v>0</v>
      </c>
      <c r="I52" s="30"/>
      <c r="J52" s="57">
        <f>+J50-J51</f>
        <v>0</v>
      </c>
    </row>
    <row r="53" spans="1:10" x14ac:dyDescent="0.2">
      <c r="A53" s="58" t="s">
        <v>19</v>
      </c>
      <c r="B53" s="59"/>
      <c r="C53" s="53">
        <f>[3]main!C280</f>
        <v>0</v>
      </c>
      <c r="D53" s="54">
        <f>[3]main!E280</f>
        <v>0</v>
      </c>
      <c r="E53" s="54">
        <f>IF(B45-SUM(E50:E52)&gt;D53,D53,B45-SUM(E50:E52))</f>
        <v>0</v>
      </c>
      <c r="F53" s="54">
        <f>D53-E53</f>
        <v>0</v>
      </c>
      <c r="G53" s="1"/>
      <c r="H53" s="30"/>
      <c r="I53" s="30"/>
      <c r="J53" s="30"/>
    </row>
    <row r="54" spans="1:10" x14ac:dyDescent="0.2">
      <c r="A54" s="58" t="s">
        <v>42</v>
      </c>
      <c r="B54" s="59"/>
      <c r="C54" s="53">
        <f>[3]main!C104</f>
        <v>9</v>
      </c>
      <c r="D54" s="54">
        <f>[3]main!E104</f>
        <v>28656</v>
      </c>
      <c r="E54" s="54">
        <f>IF(B45-SUM(E50:E53)&gt;D54,D54,B45-SUM(E50:E53))</f>
        <v>0</v>
      </c>
      <c r="F54" s="54">
        <f>D54-E54</f>
        <v>28656</v>
      </c>
      <c r="G54" s="1"/>
      <c r="H54" s="30"/>
      <c r="I54" s="30"/>
      <c r="J54" s="30"/>
    </row>
    <row r="55" spans="1:10" x14ac:dyDescent="0.2">
      <c r="A55" s="55" t="s">
        <v>20</v>
      </c>
      <c r="B55" s="56"/>
      <c r="C55" s="63"/>
      <c r="D55" s="64"/>
      <c r="E55" s="64"/>
      <c r="F55" s="64" t="s">
        <v>14</v>
      </c>
      <c r="G55" s="1"/>
      <c r="H55" s="57" t="s">
        <v>44</v>
      </c>
      <c r="I55" s="30"/>
      <c r="J55" s="30"/>
    </row>
    <row r="56" spans="1:10" x14ac:dyDescent="0.2">
      <c r="A56" s="58" t="s">
        <v>21</v>
      </c>
      <c r="B56" s="59"/>
      <c r="C56" s="53">
        <f>'[6]Sheet 1'!C46</f>
        <v>2004.1279999999999</v>
      </c>
      <c r="D56" s="54">
        <f>'[6]Sheet 1'!E46</f>
        <v>6381142.2199999997</v>
      </c>
      <c r="E56" s="54">
        <f>IF(B45-SUM(E50:E55)&gt;D56,D56,B45-SUM(E50:E55))</f>
        <v>0</v>
      </c>
      <c r="F56" s="54">
        <f t="shared" ref="F56:F64" si="0">D56-E56</f>
        <v>6381142.2199999997</v>
      </c>
      <c r="G56" s="1"/>
      <c r="H56" s="57">
        <f>'[6]Sheet 1'!N162</f>
        <v>9231591.2200000007</v>
      </c>
      <c r="I56" s="30"/>
      <c r="J56" s="30"/>
    </row>
    <row r="57" spans="1:10" x14ac:dyDescent="0.2">
      <c r="A57" s="59" t="s">
        <v>22</v>
      </c>
      <c r="B57" s="59"/>
      <c r="C57" s="53">
        <f>'[6]Sheet 1'!F46</f>
        <v>503.91</v>
      </c>
      <c r="D57" s="54">
        <f>'[6]Sheet 1'!H46</f>
        <v>1604449.44</v>
      </c>
      <c r="E57" s="54">
        <f>IF(B45-SUM(E50:E56)&gt;D57,D57,B45-SUM(E50:E56))</f>
        <v>0</v>
      </c>
      <c r="F57" s="54">
        <f t="shared" si="0"/>
        <v>1604449.44</v>
      </c>
      <c r="G57" s="1"/>
      <c r="H57" s="57">
        <f>SUM(D56:D62)</f>
        <v>9231591.2200000007</v>
      </c>
      <c r="I57" s="30"/>
      <c r="J57" s="30"/>
    </row>
    <row r="58" spans="1:10" x14ac:dyDescent="0.2">
      <c r="A58" s="59" t="s">
        <v>23</v>
      </c>
      <c r="B58" s="59"/>
      <c r="C58" s="53">
        <f>'[6]Sheet 1'!C104</f>
        <v>329.28</v>
      </c>
      <c r="D58" s="54">
        <f>'[6]Sheet 1'!E104</f>
        <v>1048427.52</v>
      </c>
      <c r="E58" s="54">
        <f>IF(B45-SUM(E50:E57)&gt;D58,D58,B45-SUM(E50:E57))</f>
        <v>0</v>
      </c>
      <c r="F58" s="54">
        <f t="shared" si="0"/>
        <v>1048427.52</v>
      </c>
      <c r="G58" s="1"/>
      <c r="H58" s="57">
        <f>+H56-H57</f>
        <v>0</v>
      </c>
      <c r="I58" s="30"/>
      <c r="J58" s="30"/>
    </row>
    <row r="59" spans="1:10" x14ac:dyDescent="0.2">
      <c r="A59" s="58" t="s">
        <v>24</v>
      </c>
      <c r="B59" s="59"/>
      <c r="C59" s="53">
        <f>'[6]Sheet 1'!F104</f>
        <v>9.0660000000000007</v>
      </c>
      <c r="D59" s="54">
        <f>'[6]Sheet 1'!H104</f>
        <v>28867.1</v>
      </c>
      <c r="E59" s="54">
        <f>IF(B45-SUM(E50:E58)&gt;D59,D59,B45-SUM(E50:E58))</f>
        <v>0</v>
      </c>
      <c r="F59" s="54">
        <f t="shared" si="0"/>
        <v>28867.1</v>
      </c>
      <c r="G59" s="1"/>
      <c r="H59" s="30"/>
      <c r="I59" s="30"/>
      <c r="J59" s="30"/>
    </row>
    <row r="60" spans="1:10" x14ac:dyDescent="0.2">
      <c r="A60" s="59" t="s">
        <v>71</v>
      </c>
      <c r="B60" s="59"/>
      <c r="C60" s="53">
        <f>'[6]Sheet 1'!C162</f>
        <v>46.076000000000001</v>
      </c>
      <c r="D60" s="54">
        <f>'[6]Sheet 1'!E162</f>
        <v>146706.13</v>
      </c>
      <c r="E60" s="54">
        <f>IF(B45-SUM(E50:E59)&gt;D60,D60,B45-SUM(E50:E59))</f>
        <v>0</v>
      </c>
      <c r="F60" s="54">
        <f t="shared" si="0"/>
        <v>146706.13</v>
      </c>
      <c r="G60" s="1"/>
      <c r="H60" s="30"/>
      <c r="I60" s="30"/>
      <c r="J60" s="30"/>
    </row>
    <row r="61" spans="1:10" x14ac:dyDescent="0.2">
      <c r="A61" s="59" t="s">
        <v>57</v>
      </c>
      <c r="B61" s="59"/>
      <c r="C61" s="53">
        <f>'[6]Sheet 1'!F162</f>
        <v>0</v>
      </c>
      <c r="D61" s="54">
        <f>'[6]Sheet 1'!H162</f>
        <v>0</v>
      </c>
      <c r="E61" s="54">
        <f>IF(B46-SUM(E51:E60)&gt;D61,D61,B46-SUM(E51:E60))</f>
        <v>0</v>
      </c>
      <c r="F61" s="54">
        <f t="shared" si="0"/>
        <v>0</v>
      </c>
      <c r="G61" s="1"/>
      <c r="H61" s="30"/>
      <c r="I61" s="30"/>
      <c r="J61" s="30"/>
    </row>
    <row r="62" spans="1:10" x14ac:dyDescent="0.2">
      <c r="A62" s="59" t="s">
        <v>64</v>
      </c>
      <c r="B62" s="59"/>
      <c r="C62" s="53">
        <f>'[6]Sheet 1'!I162</f>
        <v>6.9089999999999998</v>
      </c>
      <c r="D62" s="54">
        <f>'[6]Sheet 1'!K162</f>
        <v>21998.81</v>
      </c>
      <c r="E62" s="54">
        <f>IF(B48-SUM(E52:E61)&gt;D62,D62,B48-SUM(E52:E61))</f>
        <v>0</v>
      </c>
      <c r="F62" s="54">
        <f t="shared" si="0"/>
        <v>21998.81</v>
      </c>
      <c r="G62" s="1"/>
      <c r="H62" s="57" t="s">
        <v>46</v>
      </c>
      <c r="I62" s="30"/>
      <c r="J62" s="30"/>
    </row>
    <row r="63" spans="1:10" x14ac:dyDescent="0.2">
      <c r="A63" s="59" t="s">
        <v>58</v>
      </c>
      <c r="B63" s="59"/>
      <c r="C63" s="53">
        <f>'[6]Sheet 1'!C220</f>
        <v>669.79399999999998</v>
      </c>
      <c r="D63" s="54">
        <f>'[6]Sheet 1'!E220</f>
        <v>2132624.34</v>
      </c>
      <c r="E63" s="54">
        <f>IF(B45-SUM(E50:E60)&gt;D63,D63,B45-SUM(E50:E60))</f>
        <v>0</v>
      </c>
      <c r="F63" s="54">
        <f t="shared" si="0"/>
        <v>2132624.34</v>
      </c>
      <c r="G63" s="4"/>
      <c r="H63" s="57">
        <f>+'[6]Sheet 1'!E220</f>
        <v>2132624.34</v>
      </c>
      <c r="I63" s="30"/>
      <c r="J63" s="30"/>
    </row>
    <row r="64" spans="1:10" x14ac:dyDescent="0.2">
      <c r="A64" s="58" t="s">
        <v>59</v>
      </c>
      <c r="B64" s="59"/>
      <c r="C64" s="53">
        <f>'[5]Sheet 1'!C46</f>
        <v>1116.9860000000001</v>
      </c>
      <c r="D64" s="54">
        <f>'[5]Sheet 1'!E46</f>
        <v>3556484.86</v>
      </c>
      <c r="E64" s="54">
        <f>IF(B45-SUM(E50:E63)&gt;D64,D64,B45-SUM(E50:E63))</f>
        <v>0</v>
      </c>
      <c r="F64" s="54">
        <f t="shared" si="0"/>
        <v>3556484.86</v>
      </c>
      <c r="G64" s="5"/>
      <c r="H64" s="57">
        <f>+D63</f>
        <v>2132624.34</v>
      </c>
      <c r="I64" s="30"/>
      <c r="J64" s="30"/>
    </row>
    <row r="65" spans="1:10" x14ac:dyDescent="0.2">
      <c r="A65" s="65" t="s">
        <v>28</v>
      </c>
      <c r="B65" s="56"/>
      <c r="C65" s="66">
        <f>SUM(C50:C64)</f>
        <v>22484.243999999999</v>
      </c>
      <c r="D65" s="67">
        <f>SUM(D50:D64)</f>
        <v>71589835</v>
      </c>
      <c r="E65" s="67">
        <f>SUM(E50:E64)</f>
        <v>9246418</v>
      </c>
      <c r="F65" s="67">
        <f>SUM(F50:F64)</f>
        <v>62343417</v>
      </c>
      <c r="G65" s="1"/>
      <c r="H65" s="57">
        <f>+H63-H64</f>
        <v>0</v>
      </c>
      <c r="I65" s="30"/>
      <c r="J65" s="30"/>
    </row>
    <row r="66" spans="1:10" x14ac:dyDescent="0.2">
      <c r="A66" s="68" t="s">
        <v>26</v>
      </c>
      <c r="B66" s="56"/>
      <c r="C66" s="69"/>
      <c r="D66" s="54"/>
      <c r="E66" s="54"/>
      <c r="F66" s="54"/>
      <c r="G66" s="1"/>
      <c r="H66" s="57" t="s">
        <v>47</v>
      </c>
      <c r="I66" s="30"/>
      <c r="J66" s="57" t="s">
        <v>52</v>
      </c>
    </row>
    <row r="67" spans="1:10" x14ac:dyDescent="0.2">
      <c r="A67" s="58" t="s">
        <v>56</v>
      </c>
      <c r="B67" s="59"/>
      <c r="C67" s="20"/>
      <c r="D67" s="70">
        <f>[1]Main!F47</f>
        <v>207417.78</v>
      </c>
      <c r="E67" s="54">
        <f>IF($B45-SUM($E65)&gt;D67,D67,$B45-SUM($E65))</f>
        <v>0</v>
      </c>
      <c r="F67" s="54">
        <f t="shared" ref="F67:F85" si="1">D67-E67</f>
        <v>207417.78</v>
      </c>
      <c r="G67" s="1"/>
      <c r="H67" s="57">
        <f>[1]Main!G47</f>
        <v>1329215.3</v>
      </c>
      <c r="I67" s="30"/>
      <c r="J67" s="57">
        <f>+[1]Main!D508</f>
        <v>11231506.960000001</v>
      </c>
    </row>
    <row r="68" spans="1:10" x14ac:dyDescent="0.2">
      <c r="A68" s="59" t="s">
        <v>25</v>
      </c>
      <c r="B68" s="59"/>
      <c r="C68" s="20"/>
      <c r="D68" s="70">
        <f>[1]Main!C47</f>
        <v>1121797.52</v>
      </c>
      <c r="E68" s="54">
        <f>IF($B45-SUM($E65:E67)&gt;D68,D68,B45-SUM($E65:E67))</f>
        <v>0</v>
      </c>
      <c r="F68" s="54">
        <f t="shared" si="1"/>
        <v>1121797.52</v>
      </c>
      <c r="G68" s="1"/>
      <c r="H68" s="57">
        <f>SUM(D67:D69)</f>
        <v>1329215.3</v>
      </c>
      <c r="I68" s="30"/>
      <c r="J68" s="57">
        <f>SUM(D67:D94)-E80</f>
        <v>11231506.970000001</v>
      </c>
    </row>
    <row r="69" spans="1:10" x14ac:dyDescent="0.2">
      <c r="A69" s="71" t="s">
        <v>27</v>
      </c>
      <c r="B69" s="59"/>
      <c r="C69" s="20"/>
      <c r="D69" s="70">
        <f>[1]Main!D47</f>
        <v>0</v>
      </c>
      <c r="E69" s="54">
        <f>IF($B45-SUM($E65:E68)&gt;D69,D69,$B45-SUM($E65:E68))</f>
        <v>0</v>
      </c>
      <c r="F69" s="54">
        <f>D69-E69</f>
        <v>0</v>
      </c>
      <c r="G69" s="1"/>
      <c r="H69" s="57">
        <f>+H67-H68</f>
        <v>0</v>
      </c>
      <c r="I69" s="30"/>
      <c r="J69" s="57">
        <f>+J67-J68</f>
        <v>-0.01</v>
      </c>
    </row>
    <row r="70" spans="1:10" x14ac:dyDescent="0.2">
      <c r="A70" s="72" t="s">
        <v>72</v>
      </c>
      <c r="B70" s="59"/>
      <c r="C70" s="20"/>
      <c r="D70" s="70">
        <f>[1]Main!E47</f>
        <v>0</v>
      </c>
      <c r="E70" s="54">
        <f>IF($B46-SUM($E66:E69)&gt;D70,D70,$B46-SUM($E66:E69))</f>
        <v>0</v>
      </c>
      <c r="F70" s="54">
        <f>D70-E70</f>
        <v>0</v>
      </c>
      <c r="G70" s="1"/>
      <c r="H70" s="30"/>
      <c r="I70" s="30"/>
      <c r="J70" s="30"/>
    </row>
    <row r="71" spans="1:10" x14ac:dyDescent="0.2">
      <c r="A71" s="72" t="s">
        <v>73</v>
      </c>
      <c r="B71" s="59"/>
      <c r="C71" s="20"/>
      <c r="D71" s="54">
        <f>+[1]Main!$F163</f>
        <v>134707.20000000001</v>
      </c>
      <c r="E71" s="54">
        <f>IF($B45-SUM($E65:E69)&gt;D71,D71,$B45-SUM($E65:E69))</f>
        <v>0</v>
      </c>
      <c r="F71" s="54">
        <f t="shared" si="1"/>
        <v>134707.20000000001</v>
      </c>
      <c r="G71" s="1"/>
      <c r="H71" s="30"/>
      <c r="I71" s="30"/>
      <c r="J71" s="30"/>
    </row>
    <row r="72" spans="1:10" x14ac:dyDescent="0.2">
      <c r="A72" s="71" t="s">
        <v>74</v>
      </c>
      <c r="B72" s="59"/>
      <c r="C72" s="20"/>
      <c r="D72" s="54">
        <f>+[1]Main!$C105</f>
        <v>611302</v>
      </c>
      <c r="E72" s="54">
        <f>IF($B45-SUM($E65:E71)&gt;D72,D72,$B45-SUM($E65:E71))</f>
        <v>0</v>
      </c>
      <c r="F72" s="54">
        <f t="shared" si="1"/>
        <v>611302</v>
      </c>
      <c r="G72" s="1"/>
      <c r="H72" s="30"/>
      <c r="I72" s="30"/>
      <c r="J72" s="30"/>
    </row>
    <row r="73" spans="1:10" x14ac:dyDescent="0.2">
      <c r="A73" s="71" t="s">
        <v>75</v>
      </c>
      <c r="B73" s="59"/>
      <c r="C73" s="20"/>
      <c r="D73" s="54">
        <f>+[1]Main!$D105</f>
        <v>81945</v>
      </c>
      <c r="E73" s="54">
        <f>IF($B45-SUM($E65:E72)&gt;D73,D73,$B45-SUM($E65:E72))</f>
        <v>0</v>
      </c>
      <c r="F73" s="54">
        <f t="shared" si="1"/>
        <v>81945</v>
      </c>
      <c r="G73" s="1"/>
      <c r="H73" s="30"/>
      <c r="I73" s="30"/>
      <c r="J73" s="30"/>
    </row>
    <row r="74" spans="1:10" x14ac:dyDescent="0.2">
      <c r="A74" s="71" t="s">
        <v>76</v>
      </c>
      <c r="B74" s="59"/>
      <c r="C74" s="20"/>
      <c r="D74" s="54">
        <f>+[1]Main!$E105</f>
        <v>1431557</v>
      </c>
      <c r="E74" s="54">
        <f>IF($B45-SUM($E65:E73)&gt;D74,D74,$B45-SUM($E65:E73))</f>
        <v>0</v>
      </c>
      <c r="F74" s="54">
        <f t="shared" si="1"/>
        <v>1431557</v>
      </c>
      <c r="G74" s="1"/>
      <c r="H74" s="30"/>
      <c r="I74" s="30"/>
      <c r="J74" s="30"/>
    </row>
    <row r="75" spans="1:10" x14ac:dyDescent="0.2">
      <c r="A75" s="71" t="s">
        <v>77</v>
      </c>
      <c r="B75" s="59"/>
      <c r="C75" s="20"/>
      <c r="D75" s="54">
        <f>[1]Main!F105</f>
        <v>465788</v>
      </c>
      <c r="E75" s="54">
        <f>IF($B45-SUM($E65:E74)&gt;D75,D75,$B45-SUM($E65:E74))</f>
        <v>0</v>
      </c>
      <c r="F75" s="54">
        <f t="shared" si="1"/>
        <v>465788</v>
      </c>
      <c r="G75" s="1"/>
      <c r="H75" s="57" t="s">
        <v>48</v>
      </c>
      <c r="I75" s="30"/>
      <c r="J75" s="30"/>
    </row>
    <row r="76" spans="1:10" x14ac:dyDescent="0.2">
      <c r="A76" s="71" t="s">
        <v>79</v>
      </c>
      <c r="B76" s="59"/>
      <c r="C76" s="20"/>
      <c r="D76" s="54">
        <f>[1]Main!G105</f>
        <v>0</v>
      </c>
      <c r="E76" s="54">
        <f>IF($B45-SUM($E65:E75)&gt;D76,D76,$B45-SUM($E65:E75))</f>
        <v>0</v>
      </c>
      <c r="F76" s="54">
        <f t="shared" si="1"/>
        <v>0</v>
      </c>
      <c r="G76" s="1"/>
      <c r="H76" s="57"/>
      <c r="I76" s="30"/>
      <c r="J76" s="30"/>
    </row>
    <row r="77" spans="1:10" x14ac:dyDescent="0.2">
      <c r="A77" s="71" t="s">
        <v>78</v>
      </c>
      <c r="B77" s="59"/>
      <c r="C77" s="20"/>
      <c r="D77" s="54">
        <f>[1]Main!G163</f>
        <v>90384.28</v>
      </c>
      <c r="E77" s="54">
        <f>IF($B45-SUM($E65:E76)&gt;D77,D77,$B45-SUM($E65:E76))</f>
        <v>0</v>
      </c>
      <c r="F77" s="54">
        <f t="shared" si="1"/>
        <v>90384.28</v>
      </c>
      <c r="G77" s="1"/>
      <c r="H77" s="73">
        <f>+[1]Main!D221</f>
        <v>2815683.48</v>
      </c>
      <c r="I77" s="30"/>
      <c r="J77" s="30"/>
    </row>
    <row r="78" spans="1:10" x14ac:dyDescent="0.2">
      <c r="A78" s="71" t="s">
        <v>80</v>
      </c>
      <c r="B78" s="59"/>
      <c r="C78" s="20"/>
      <c r="D78" s="54">
        <f>[1]Main!C221</f>
        <v>0</v>
      </c>
      <c r="E78" s="54"/>
      <c r="F78" s="54">
        <f t="shared" si="1"/>
        <v>0</v>
      </c>
      <c r="G78" s="1"/>
      <c r="H78" s="57">
        <f>+SUM(D71:D78)</f>
        <v>2815683.48</v>
      </c>
      <c r="I78" s="30"/>
      <c r="J78" s="30"/>
    </row>
    <row r="79" spans="1:10" x14ac:dyDescent="0.2">
      <c r="A79" s="71" t="s">
        <v>81</v>
      </c>
      <c r="B79" s="59"/>
      <c r="C79" s="20"/>
      <c r="D79" s="54">
        <f>[1]Main!C279</f>
        <v>1295808</v>
      </c>
      <c r="E79" s="54">
        <v>0</v>
      </c>
      <c r="F79" s="54">
        <f t="shared" si="1"/>
        <v>1295808</v>
      </c>
      <c r="G79" s="1"/>
      <c r="H79" s="57">
        <f>+H77-H78</f>
        <v>0</v>
      </c>
      <c r="I79" s="30"/>
      <c r="J79" s="30"/>
    </row>
    <row r="80" spans="1:10" x14ac:dyDescent="0.2">
      <c r="A80" s="71" t="s">
        <v>82</v>
      </c>
      <c r="B80" s="59"/>
      <c r="C80" s="20"/>
      <c r="D80" s="54">
        <f>+[7]Main!I46+[7]Main!J46</f>
        <v>1010447.69</v>
      </c>
      <c r="E80" s="74">
        <f>[7]Main!J46</f>
        <v>579486.39</v>
      </c>
      <c r="F80" s="54">
        <f t="shared" si="1"/>
        <v>430961.3</v>
      </c>
      <c r="G80" s="1"/>
      <c r="H80" s="30"/>
      <c r="I80" s="30"/>
      <c r="J80" s="30"/>
    </row>
    <row r="81" spans="1:10" x14ac:dyDescent="0.2">
      <c r="A81" s="71" t="s">
        <v>83</v>
      </c>
      <c r="B81" s="59"/>
      <c r="C81" s="20"/>
      <c r="D81" s="54">
        <f>[1]Main!F279</f>
        <v>207657</v>
      </c>
      <c r="E81" s="54">
        <v>0</v>
      </c>
      <c r="F81" s="54">
        <f t="shared" si="1"/>
        <v>207657</v>
      </c>
      <c r="G81" s="1"/>
      <c r="H81" s="30"/>
      <c r="I81" s="30"/>
      <c r="J81" s="30"/>
    </row>
    <row r="82" spans="1:10" x14ac:dyDescent="0.2">
      <c r="A82" s="71" t="s">
        <v>84</v>
      </c>
      <c r="B82" s="59"/>
      <c r="C82" s="7"/>
      <c r="D82" s="54">
        <f>[1]Main!E279</f>
        <v>27597.25</v>
      </c>
      <c r="E82" s="54">
        <v>0</v>
      </c>
      <c r="F82" s="54">
        <f t="shared" si="1"/>
        <v>27597.25</v>
      </c>
      <c r="G82" s="1"/>
      <c r="H82" s="57" t="s">
        <v>49</v>
      </c>
      <c r="I82" s="30"/>
      <c r="J82" s="30"/>
    </row>
    <row r="83" spans="1:10" x14ac:dyDescent="0.2">
      <c r="A83" s="71" t="s">
        <v>85</v>
      </c>
      <c r="B83" s="59"/>
      <c r="C83" s="7"/>
      <c r="D83" s="54">
        <f>[1]Main!G279</f>
        <v>181908</v>
      </c>
      <c r="E83" s="54">
        <v>0</v>
      </c>
      <c r="F83" s="54">
        <f t="shared" si="1"/>
        <v>181908</v>
      </c>
      <c r="G83" s="1"/>
      <c r="H83" s="57">
        <f>+[1]Main!C508</f>
        <v>6854053.5599999996</v>
      </c>
      <c r="I83" s="57"/>
      <c r="J83" s="57"/>
    </row>
    <row r="84" spans="1:10" x14ac:dyDescent="0.2">
      <c r="A84" s="71" t="s">
        <v>86</v>
      </c>
      <c r="B84" s="59"/>
      <c r="C84" s="20"/>
      <c r="D84" s="54">
        <f>[1]Main!C337</f>
        <v>260000</v>
      </c>
      <c r="E84" s="54">
        <v>0</v>
      </c>
      <c r="F84" s="54">
        <f t="shared" si="1"/>
        <v>260000</v>
      </c>
      <c r="G84" s="1"/>
      <c r="H84" s="57">
        <f>+SUM(D79:D89)-E80</f>
        <v>6854053.5599999996</v>
      </c>
      <c r="I84" s="57"/>
      <c r="J84" s="57">
        <f>+H84-H83</f>
        <v>0</v>
      </c>
    </row>
    <row r="85" spans="1:10" x14ac:dyDescent="0.2">
      <c r="A85" s="71" t="s">
        <v>87</v>
      </c>
      <c r="C85" s="8"/>
      <c r="D85" s="76">
        <f>[1]Main!D337</f>
        <v>3924329.09</v>
      </c>
      <c r="E85" s="77">
        <v>0</v>
      </c>
      <c r="F85" s="77">
        <f t="shared" si="1"/>
        <v>3924329.09</v>
      </c>
      <c r="G85" s="5"/>
      <c r="H85" s="57">
        <f>+H83-H84</f>
        <v>0</v>
      </c>
      <c r="I85" s="57"/>
      <c r="J85" s="57"/>
    </row>
    <row r="86" spans="1:10" x14ac:dyDescent="0.2">
      <c r="A86" s="71" t="s">
        <v>88</v>
      </c>
      <c r="B86" s="59"/>
      <c r="C86" s="20"/>
      <c r="D86" s="54">
        <f>+[1]Main!$E337</f>
        <v>21468.959999999999</v>
      </c>
      <c r="E86" s="54">
        <v>0</v>
      </c>
      <c r="F86" s="54">
        <f>D86-E86</f>
        <v>21468.959999999999</v>
      </c>
      <c r="G86" s="4"/>
      <c r="H86" s="30"/>
      <c r="I86" s="30"/>
      <c r="J86" s="30"/>
    </row>
    <row r="87" spans="1:10" x14ac:dyDescent="0.2">
      <c r="A87" s="71" t="s">
        <v>89</v>
      </c>
      <c r="B87" s="59"/>
      <c r="C87" s="20"/>
      <c r="D87" s="54">
        <f>[1]Main!F337</f>
        <v>130977.93</v>
      </c>
      <c r="E87" s="54">
        <v>0</v>
      </c>
      <c r="F87" s="54">
        <f>D87-E87</f>
        <v>130977.93</v>
      </c>
      <c r="G87" s="4"/>
      <c r="H87" s="30"/>
      <c r="I87" s="30"/>
      <c r="J87" s="30"/>
    </row>
    <row r="88" spans="1:10" x14ac:dyDescent="0.2">
      <c r="A88" s="71" t="s">
        <v>90</v>
      </c>
      <c r="B88" s="59"/>
      <c r="C88" s="20"/>
      <c r="D88" s="54">
        <f>[1]Main!G337</f>
        <v>106000</v>
      </c>
      <c r="E88" s="54">
        <v>0</v>
      </c>
      <c r="F88" s="54">
        <f>D88-E88</f>
        <v>106000</v>
      </c>
      <c r="G88" s="1"/>
      <c r="H88" s="57" t="s">
        <v>50</v>
      </c>
      <c r="I88" s="30"/>
      <c r="J88" s="30"/>
    </row>
    <row r="89" spans="1:10" x14ac:dyDescent="0.2">
      <c r="A89" s="71" t="s">
        <v>93</v>
      </c>
      <c r="B89" s="59"/>
      <c r="C89" s="20"/>
      <c r="D89" s="54">
        <f>[1]Main!F394</f>
        <v>267346.03000000003</v>
      </c>
      <c r="E89" s="54">
        <v>0</v>
      </c>
      <c r="F89" s="54">
        <f>D89-E89</f>
        <v>267346.03000000003</v>
      </c>
      <c r="G89" s="1"/>
      <c r="H89" s="57"/>
      <c r="I89" s="30"/>
      <c r="J89" s="30"/>
    </row>
    <row r="90" spans="1:10" x14ac:dyDescent="0.2">
      <c r="A90" s="55" t="s">
        <v>30</v>
      </c>
      <c r="B90" s="78"/>
      <c r="C90" s="79"/>
      <c r="D90" s="64"/>
      <c r="E90" s="64"/>
      <c r="F90" s="64"/>
      <c r="G90" s="1"/>
      <c r="H90" s="57"/>
      <c r="I90" s="30"/>
      <c r="J90" s="30"/>
    </row>
    <row r="91" spans="1:10" x14ac:dyDescent="0.2">
      <c r="A91" s="71" t="s">
        <v>60</v>
      </c>
      <c r="B91" s="59"/>
      <c r="C91" s="20"/>
      <c r="D91" s="54">
        <f>[1]Main!C451</f>
        <v>135483.31</v>
      </c>
      <c r="E91" s="54">
        <v>0</v>
      </c>
      <c r="F91" s="54">
        <f>D91-E91</f>
        <v>135483.31</v>
      </c>
      <c r="G91" s="1"/>
      <c r="H91" s="57">
        <f>+[1]Main!G451</f>
        <v>232554.63</v>
      </c>
      <c r="I91" s="30"/>
      <c r="J91" s="30"/>
    </row>
    <row r="92" spans="1:10" x14ac:dyDescent="0.2">
      <c r="A92" s="71" t="s">
        <v>63</v>
      </c>
      <c r="B92" s="59"/>
      <c r="C92" s="20"/>
      <c r="D92" s="54">
        <f>[1]Main!D451</f>
        <v>17404.12</v>
      </c>
      <c r="E92" s="54">
        <v>0</v>
      </c>
      <c r="F92" s="54">
        <f>D92-E92</f>
        <v>17404.12</v>
      </c>
      <c r="G92" s="4"/>
      <c r="H92" s="57">
        <f>SUM(D91:D94)</f>
        <v>232554.63</v>
      </c>
      <c r="I92" s="30"/>
      <c r="J92" s="30"/>
    </row>
    <row r="93" spans="1:10" x14ac:dyDescent="0.2">
      <c r="A93" s="71" t="s">
        <v>91</v>
      </c>
      <c r="B93" s="59"/>
      <c r="C93" s="20"/>
      <c r="D93" s="54">
        <f>[1]Main!E451</f>
        <v>3843.4</v>
      </c>
      <c r="E93" s="54">
        <v>0</v>
      </c>
      <c r="F93" s="54">
        <f>D93-E93</f>
        <v>3843.4</v>
      </c>
      <c r="G93" s="4"/>
      <c r="H93" s="57">
        <f>+H91-H92</f>
        <v>0</v>
      </c>
      <c r="I93" s="30"/>
      <c r="J93" s="30"/>
    </row>
    <row r="94" spans="1:10" x14ac:dyDescent="0.2">
      <c r="A94" s="71" t="s">
        <v>92</v>
      </c>
      <c r="B94" s="59"/>
      <c r="C94" s="20"/>
      <c r="D94" s="54">
        <f>[1]Main!F451</f>
        <v>75823.8</v>
      </c>
      <c r="E94" s="54">
        <v>0</v>
      </c>
      <c r="F94" s="54">
        <f>D94-E94</f>
        <v>75823.8</v>
      </c>
      <c r="G94" s="1"/>
      <c r="H94" s="30"/>
      <c r="I94" s="30"/>
      <c r="J94" s="30"/>
    </row>
    <row r="95" spans="1:10" x14ac:dyDescent="0.2">
      <c r="A95" s="55" t="s">
        <v>31</v>
      </c>
      <c r="B95" s="78"/>
      <c r="C95" s="79"/>
      <c r="D95" s="64"/>
      <c r="E95" s="64"/>
      <c r="F95" s="64"/>
      <c r="G95" s="1"/>
      <c r="H95" s="30"/>
      <c r="I95" s="30"/>
      <c r="J95" s="30"/>
    </row>
    <row r="96" spans="1:10" x14ac:dyDescent="0.2">
      <c r="A96" s="58" t="s">
        <v>69</v>
      </c>
      <c r="B96" s="59"/>
      <c r="C96" s="20"/>
      <c r="D96" s="54">
        <f>+[1]Main!$G564</f>
        <v>12422819.800000001</v>
      </c>
      <c r="E96" s="54">
        <f>+[1]Main!$D564</f>
        <v>6033632.4699999997</v>
      </c>
      <c r="F96" s="54">
        <f>+D96-E96</f>
        <v>6389187.3300000001</v>
      </c>
      <c r="G96" s="1"/>
      <c r="H96" s="30"/>
      <c r="I96" s="30"/>
      <c r="J96" s="30"/>
    </row>
    <row r="97" spans="1:10" x14ac:dyDescent="0.2">
      <c r="A97" s="59" t="s">
        <v>68</v>
      </c>
      <c r="B97" s="59"/>
      <c r="C97" s="20"/>
      <c r="D97" s="54">
        <f>+[1]Main!$G619</f>
        <v>3465221.7</v>
      </c>
      <c r="E97" s="54">
        <f>+[1]Main!$D619</f>
        <v>2208099.71</v>
      </c>
      <c r="F97" s="54">
        <f>+D97-E97</f>
        <v>1257121.99</v>
      </c>
      <c r="G97" s="1"/>
      <c r="H97" s="30"/>
      <c r="I97" s="30"/>
      <c r="J97" s="30"/>
    </row>
    <row r="98" spans="1:10" ht="13.5" thickBot="1" x14ac:dyDescent="0.25">
      <c r="A98" s="80"/>
      <c r="B98" s="81"/>
      <c r="C98" s="82" t="s">
        <v>29</v>
      </c>
      <c r="D98" s="83">
        <f>SUM(D65:D97)</f>
        <v>99288869.859999999</v>
      </c>
      <c r="E98" s="83">
        <f>SUM(E65:E97)</f>
        <v>18067636.57</v>
      </c>
      <c r="F98" s="83">
        <f>SUM(F65:F97)</f>
        <v>81221233.290000007</v>
      </c>
      <c r="G98" s="1"/>
      <c r="H98" s="30"/>
      <c r="I98" s="30"/>
      <c r="J98" s="30"/>
    </row>
    <row r="99" spans="1:10" ht="13.5" thickTop="1" x14ac:dyDescent="0.2">
      <c r="A99" s="84"/>
      <c r="B99" s="59"/>
      <c r="C99" s="85"/>
      <c r="D99" s="86"/>
      <c r="E99" s="86"/>
      <c r="F99" s="87"/>
      <c r="G99" s="1"/>
      <c r="H99" s="30"/>
      <c r="I99" s="30"/>
      <c r="J99" s="30"/>
    </row>
    <row r="100" spans="1:10" x14ac:dyDescent="0.2">
      <c r="A100" s="88" t="s">
        <v>40</v>
      </c>
      <c r="B100" s="78"/>
      <c r="C100" s="89"/>
      <c r="D100" s="90"/>
      <c r="E100" s="91"/>
      <c r="F100" s="92" t="s">
        <v>36</v>
      </c>
      <c r="G100" s="6"/>
      <c r="H100" s="57" t="s">
        <v>51</v>
      </c>
      <c r="I100" s="30"/>
      <c r="J100" s="57" t="s">
        <v>7</v>
      </c>
    </row>
    <row r="101" spans="1:10" x14ac:dyDescent="0.2">
      <c r="A101" s="93" t="s">
        <v>33</v>
      </c>
      <c r="B101" s="94"/>
      <c r="C101" s="95"/>
      <c r="D101" s="96"/>
      <c r="E101" s="96"/>
      <c r="F101" s="91"/>
      <c r="G101" s="6"/>
      <c r="H101" s="30"/>
      <c r="I101" s="30"/>
      <c r="J101" s="30"/>
    </row>
    <row r="102" spans="1:10" x14ac:dyDescent="0.2">
      <c r="A102" s="59" t="s">
        <v>34</v>
      </c>
      <c r="B102" s="59"/>
      <c r="C102" s="22"/>
      <c r="D102" s="27"/>
      <c r="E102" s="27"/>
      <c r="F102" s="97">
        <f>+[8]Main!$C47</f>
        <v>0</v>
      </c>
      <c r="G102" s="5"/>
      <c r="H102" s="57">
        <f>+[1]Main!G675</f>
        <v>15888041.5</v>
      </c>
      <c r="I102" s="30"/>
      <c r="J102" s="57">
        <f>+[1]Main!E675+[1]Main!F675</f>
        <v>7646309.3200000003</v>
      </c>
    </row>
    <row r="103" spans="1:10" x14ac:dyDescent="0.2">
      <c r="A103" s="59" t="s">
        <v>66</v>
      </c>
      <c r="B103" s="59"/>
      <c r="C103" s="22"/>
      <c r="D103" s="27"/>
      <c r="E103" s="27"/>
      <c r="F103" s="97">
        <f>+[8]Main!$D47</f>
        <v>0</v>
      </c>
      <c r="G103" s="5"/>
      <c r="H103" s="57">
        <f>+D96+D97</f>
        <v>15888041.5</v>
      </c>
      <c r="I103" s="30"/>
      <c r="J103" s="57">
        <f>+F96+F97</f>
        <v>7646309.3200000003</v>
      </c>
    </row>
    <row r="104" spans="1:10" x14ac:dyDescent="0.2">
      <c r="A104" s="32" t="s">
        <v>65</v>
      </c>
      <c r="B104" s="32"/>
      <c r="C104" s="22"/>
      <c r="D104" s="28"/>
      <c r="E104" s="28"/>
      <c r="F104" s="97">
        <f>+[8]Main!$E47</f>
        <v>310759</v>
      </c>
      <c r="G104" s="1"/>
      <c r="H104" s="57">
        <f>+H102-H103</f>
        <v>0</v>
      </c>
      <c r="I104" s="30"/>
      <c r="J104" s="57">
        <f>+J102-J103</f>
        <v>0</v>
      </c>
    </row>
    <row r="105" spans="1:10" x14ac:dyDescent="0.2">
      <c r="A105" s="32" t="s">
        <v>67</v>
      </c>
      <c r="B105" s="32"/>
      <c r="C105" s="22"/>
      <c r="D105" s="28"/>
      <c r="E105" s="28"/>
      <c r="F105" s="97">
        <f>+[8]Main!$F47</f>
        <v>616976</v>
      </c>
      <c r="G105" s="1"/>
      <c r="H105" s="30"/>
      <c r="I105" s="30"/>
      <c r="J105" s="30"/>
    </row>
    <row r="106" spans="1:10" x14ac:dyDescent="0.2">
      <c r="A106" s="88" t="s">
        <v>35</v>
      </c>
      <c r="B106" s="78"/>
      <c r="C106" s="89"/>
      <c r="D106" s="90"/>
      <c r="E106" s="91"/>
      <c r="F106" s="54">
        <f>+[8]Main!$C105</f>
        <v>46763.39</v>
      </c>
      <c r="G106" s="1"/>
      <c r="H106" s="30"/>
      <c r="I106" s="30"/>
      <c r="J106" s="30"/>
    </row>
    <row r="107" spans="1:10" ht="13.5" thickBot="1" x14ac:dyDescent="0.25">
      <c r="A107" s="98"/>
      <c r="B107" s="99"/>
      <c r="C107" s="100" t="s">
        <v>29</v>
      </c>
      <c r="D107" s="101"/>
      <c r="E107" s="102"/>
      <c r="F107" s="103">
        <f>SUM(F102:F106)</f>
        <v>974498.39</v>
      </c>
      <c r="G107" s="1"/>
      <c r="H107" s="30"/>
      <c r="I107" s="30"/>
      <c r="J107" s="30"/>
    </row>
    <row r="108" spans="1:10" ht="13.5" thickBot="1" x14ac:dyDescent="0.25">
      <c r="A108" s="104"/>
      <c r="B108" s="105"/>
      <c r="C108" s="106" t="s">
        <v>53</v>
      </c>
      <c r="D108" s="107"/>
      <c r="E108" s="108"/>
      <c r="F108" s="109">
        <f>+F107+F98</f>
        <v>82195731.680000007</v>
      </c>
      <c r="G108" s="1"/>
      <c r="H108" s="57" t="s">
        <v>54</v>
      </c>
      <c r="I108" s="30"/>
      <c r="J108" s="30"/>
    </row>
    <row r="109" spans="1:10" x14ac:dyDescent="0.2">
      <c r="A109" s="11"/>
      <c r="B109" s="12"/>
      <c r="C109" s="9"/>
      <c r="D109" s="29"/>
      <c r="E109" s="29"/>
      <c r="F109" s="110"/>
      <c r="G109" s="1"/>
      <c r="H109" s="57">
        <f>+[8]Main!$G47</f>
        <v>927735</v>
      </c>
      <c r="I109" s="30"/>
      <c r="J109" s="30"/>
    </row>
    <row r="110" spans="1:10" x14ac:dyDescent="0.2">
      <c r="A110" s="11"/>
      <c r="B110" s="12"/>
      <c r="C110" s="9"/>
      <c r="D110" s="29"/>
      <c r="E110" s="29"/>
      <c r="F110" s="110"/>
      <c r="G110" s="1"/>
      <c r="H110" s="57">
        <f>SUM(F102:F105)</f>
        <v>927735</v>
      </c>
      <c r="I110" s="30"/>
      <c r="J110" s="30"/>
    </row>
    <row r="111" spans="1:10" x14ac:dyDescent="0.2">
      <c r="A111" s="1"/>
      <c r="B111" s="1"/>
      <c r="C111" s="7"/>
      <c r="D111" s="26"/>
      <c r="E111" s="26"/>
      <c r="F111" s="86">
        <f>+F107+F98</f>
        <v>82195731.680000007</v>
      </c>
      <c r="G111" s="1"/>
      <c r="H111" s="57">
        <f>+H109-H110</f>
        <v>0</v>
      </c>
      <c r="I111" s="30"/>
      <c r="J111" s="30"/>
    </row>
    <row r="112" spans="1:10" x14ac:dyDescent="0.2">
      <c r="A112" s="1"/>
      <c r="B112" s="1"/>
      <c r="C112" s="7"/>
      <c r="D112" s="26"/>
      <c r="E112" s="26"/>
      <c r="F112" s="86">
        <f>+[1]Main!$F791</f>
        <v>82195731.670000002</v>
      </c>
      <c r="G112" s="1"/>
      <c r="H112" s="30"/>
      <c r="I112" s="30"/>
      <c r="J112" s="30"/>
    </row>
    <row r="113" spans="1:10" x14ac:dyDescent="0.2">
      <c r="A113" s="1"/>
      <c r="B113" s="1"/>
      <c r="C113" s="7"/>
      <c r="D113" s="26"/>
      <c r="E113" s="86">
        <f>+E98+[1]Main!$E791</f>
        <v>0</v>
      </c>
      <c r="F113" s="86">
        <f>+F112-F111</f>
        <v>-0.01</v>
      </c>
      <c r="G113" s="1"/>
      <c r="H113" s="30"/>
      <c r="I113" s="30"/>
      <c r="J113" s="30"/>
    </row>
    <row r="114" spans="1:10" x14ac:dyDescent="0.2">
      <c r="A114" s="59"/>
      <c r="B114" s="59"/>
      <c r="C114" s="85"/>
      <c r="D114" s="86"/>
      <c r="E114" s="86"/>
      <c r="F114" s="86"/>
      <c r="G114" s="59"/>
      <c r="H114" s="57"/>
      <c r="I114" s="57"/>
      <c r="J114" s="57"/>
    </row>
    <row r="115" spans="1:10" x14ac:dyDescent="0.2">
      <c r="A115" s="59"/>
      <c r="B115" s="59"/>
      <c r="C115" s="85"/>
      <c r="D115" s="86"/>
      <c r="E115" s="86"/>
      <c r="F115" s="86"/>
      <c r="G115" s="59"/>
      <c r="H115" s="57"/>
      <c r="I115" s="57"/>
      <c r="J115" s="57"/>
    </row>
    <row r="116" spans="1:10" x14ac:dyDescent="0.2">
      <c r="A116" s="59"/>
      <c r="B116" s="59"/>
      <c r="C116" s="85"/>
      <c r="D116" s="86"/>
      <c r="E116" s="86"/>
      <c r="F116" s="86"/>
      <c r="G116" s="59"/>
      <c r="H116" s="111" t="s">
        <v>55</v>
      </c>
      <c r="I116" s="57"/>
      <c r="J116" s="57"/>
    </row>
    <row r="117" spans="1:10" x14ac:dyDescent="0.2">
      <c r="G117" s="59"/>
      <c r="H117" s="113"/>
      <c r="I117" s="112"/>
      <c r="J117" s="112"/>
    </row>
    <row r="118" spans="1:10" x14ac:dyDescent="0.2">
      <c r="G118" s="59"/>
      <c r="H118" s="112"/>
      <c r="I118" s="112"/>
      <c r="J118" s="112"/>
    </row>
    <row r="119" spans="1:10" x14ac:dyDescent="0.2">
      <c r="G119" s="59"/>
      <c r="H119" s="112"/>
      <c r="I119" s="112"/>
      <c r="J119" s="112"/>
    </row>
    <row r="120" spans="1:10" x14ac:dyDescent="0.2">
      <c r="G120" s="59"/>
      <c r="H120" s="112"/>
      <c r="I120" s="112"/>
      <c r="J120" s="112"/>
    </row>
    <row r="121" spans="1:10" x14ac:dyDescent="0.2">
      <c r="G121" s="59"/>
      <c r="H121" s="112"/>
      <c r="I121" s="112"/>
      <c r="J121" s="112"/>
    </row>
    <row r="122" spans="1:10" x14ac:dyDescent="0.2">
      <c r="G122" s="59"/>
      <c r="H122" s="71"/>
      <c r="I122" s="112"/>
      <c r="J122" s="112"/>
    </row>
  </sheetData>
  <mergeCells count="1">
    <mergeCell ref="D41:E41"/>
  </mergeCells>
  <phoneticPr fontId="0" type="noConversion"/>
  <printOptions horizontalCentered="1" verticalCentered="1"/>
  <pageMargins left="0.5" right="0.25" top="0.5" bottom="0.5" header="0.5" footer="0.5"/>
  <pageSetup scale="89" orientation="portrait" horizontalDpi="1200" r:id="rId1"/>
  <headerFooter alignWithMargins="0">
    <oddHeader>&amp;R&amp;8Current as of: &amp;D</oddHeader>
    <oddFooter>&amp;L&amp;8USOE, Finance and Statistics&amp;R&amp;8&amp;F</oddFooter>
  </headerFooter>
  <picture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9"/>
  <dimension ref="A1:J123"/>
  <sheetViews>
    <sheetView tabSelected="1" topLeftCell="A25" workbookViewId="0">
      <selection activeCell="C67" sqref="C67"/>
    </sheetView>
  </sheetViews>
  <sheetFormatPr defaultColWidth="18.28515625" defaultRowHeight="12.75" x14ac:dyDescent="0.2"/>
  <cols>
    <col min="1" max="1" width="27" style="75" customWidth="1"/>
    <col min="2" max="2" width="16.7109375" style="75" customWidth="1"/>
    <col min="3" max="3" width="15.85546875" style="75" customWidth="1"/>
    <col min="4" max="4" width="16.28515625" style="75" customWidth="1"/>
    <col min="5" max="5" width="15.5703125" style="75" customWidth="1"/>
    <col min="6" max="6" width="17.42578125" style="75" customWidth="1"/>
    <col min="7" max="7" width="5.7109375" style="75" customWidth="1"/>
    <col min="8" max="8" width="21.5703125" style="75" customWidth="1"/>
    <col min="9" max="9" width="5" style="75" customWidth="1"/>
    <col min="10" max="10" width="20.85546875" style="75" customWidth="1"/>
    <col min="11" max="16384" width="18.28515625" style="75"/>
  </cols>
  <sheetData>
    <row r="1" spans="1:10" x14ac:dyDescent="0.2">
      <c r="A1" s="8"/>
      <c r="B1" s="8"/>
      <c r="C1" s="8"/>
      <c r="D1" s="8"/>
      <c r="E1" s="8"/>
      <c r="F1" s="8"/>
      <c r="G1" s="8"/>
      <c r="H1" s="8"/>
      <c r="I1" s="8"/>
      <c r="J1" s="8"/>
    </row>
    <row r="2" spans="1:10" x14ac:dyDescent="0.2">
      <c r="A2" s="8"/>
      <c r="B2" s="8"/>
      <c r="C2" s="8"/>
      <c r="D2" s="8"/>
      <c r="E2" s="8"/>
      <c r="F2" s="8"/>
      <c r="G2" s="8"/>
      <c r="H2" s="8"/>
      <c r="I2" s="8"/>
      <c r="J2" s="8"/>
    </row>
    <row r="3" spans="1:10" x14ac:dyDescent="0.2">
      <c r="A3" s="8"/>
      <c r="B3" s="8"/>
      <c r="C3" s="8"/>
      <c r="D3" s="8"/>
      <c r="E3" s="8"/>
      <c r="F3" s="8"/>
      <c r="G3" s="8"/>
      <c r="H3" s="8"/>
      <c r="I3" s="8"/>
      <c r="J3" s="8"/>
    </row>
    <row r="4" spans="1:10" x14ac:dyDescent="0.2">
      <c r="A4" s="8"/>
      <c r="B4" s="8"/>
      <c r="C4" s="8"/>
      <c r="D4" s="8"/>
      <c r="E4" s="8"/>
      <c r="F4" s="8"/>
      <c r="G4" s="8"/>
      <c r="H4" s="8"/>
      <c r="I4" s="8"/>
      <c r="J4" s="8"/>
    </row>
    <row r="5" spans="1:10" x14ac:dyDescent="0.2">
      <c r="A5" s="8"/>
      <c r="B5" s="8"/>
      <c r="C5" s="8"/>
      <c r="D5" s="8"/>
      <c r="E5" s="8"/>
      <c r="F5" s="8"/>
      <c r="G5" s="8"/>
      <c r="H5" s="8"/>
      <c r="I5" s="8"/>
      <c r="J5" s="8"/>
    </row>
    <row r="6" spans="1:10" x14ac:dyDescent="0.2">
      <c r="A6" s="8"/>
      <c r="B6" s="8"/>
      <c r="C6" s="8"/>
      <c r="D6" s="8"/>
      <c r="E6" s="8"/>
      <c r="F6" s="8"/>
      <c r="G6" s="8"/>
      <c r="H6" s="8"/>
      <c r="I6" s="8"/>
      <c r="J6" s="8"/>
    </row>
    <row r="7" spans="1:10" x14ac:dyDescent="0.2">
      <c r="A7" s="8"/>
      <c r="B7" s="8"/>
      <c r="C7" s="8"/>
      <c r="D7" s="8"/>
      <c r="E7" s="8"/>
      <c r="F7" s="8"/>
      <c r="G7" s="8"/>
      <c r="H7" s="8"/>
      <c r="I7" s="8"/>
      <c r="J7" s="8"/>
    </row>
    <row r="8" spans="1:10" x14ac:dyDescent="0.2">
      <c r="A8" s="8"/>
      <c r="B8" s="8"/>
      <c r="C8" s="8"/>
      <c r="D8" s="8"/>
      <c r="E8" s="8"/>
      <c r="F8" s="8"/>
      <c r="G8" s="8"/>
      <c r="H8" s="8"/>
      <c r="I8" s="8"/>
      <c r="J8" s="8"/>
    </row>
    <row r="9" spans="1:10" x14ac:dyDescent="0.2">
      <c r="A9" s="8"/>
      <c r="B9" s="8"/>
      <c r="C9" s="8"/>
      <c r="D9" s="8"/>
      <c r="E9" s="8"/>
      <c r="F9" s="8"/>
      <c r="G9" s="8"/>
      <c r="H9" s="8"/>
      <c r="I9" s="8"/>
      <c r="J9" s="8"/>
    </row>
    <row r="10" spans="1:10" x14ac:dyDescent="0.2">
      <c r="A10" s="8"/>
      <c r="B10" s="15"/>
      <c r="C10" s="8"/>
      <c r="D10" s="8"/>
      <c r="E10" s="8"/>
      <c r="F10" s="8"/>
      <c r="G10" s="8"/>
      <c r="H10" s="8"/>
      <c r="I10" s="8"/>
      <c r="J10" s="8"/>
    </row>
    <row r="11" spans="1:10" x14ac:dyDescent="0.2">
      <c r="A11" s="8"/>
      <c r="B11" s="8"/>
      <c r="C11" s="8"/>
      <c r="D11" s="8"/>
      <c r="E11" s="8"/>
      <c r="F11" s="8"/>
      <c r="G11" s="8"/>
      <c r="H11" s="8"/>
      <c r="I11" s="8"/>
      <c r="J11" s="8"/>
    </row>
    <row r="12" spans="1:10" x14ac:dyDescent="0.2">
      <c r="A12" s="8"/>
      <c r="B12" s="8"/>
      <c r="C12" s="8"/>
      <c r="D12" s="8"/>
      <c r="E12" s="8"/>
      <c r="F12" s="8"/>
      <c r="G12" s="8"/>
      <c r="H12" s="8"/>
      <c r="I12" s="8"/>
      <c r="J12" s="8"/>
    </row>
    <row r="13" spans="1:10" x14ac:dyDescent="0.2">
      <c r="A13" s="8"/>
      <c r="B13" s="8"/>
      <c r="C13" s="8"/>
      <c r="D13" s="8"/>
      <c r="E13" s="8"/>
      <c r="F13" s="8"/>
      <c r="G13" s="8"/>
      <c r="H13" s="8"/>
      <c r="I13" s="8"/>
      <c r="J13" s="8"/>
    </row>
    <row r="14" spans="1:10" x14ac:dyDescent="0.2">
      <c r="A14" s="8"/>
      <c r="B14" s="8"/>
      <c r="C14" s="8"/>
      <c r="D14" s="8"/>
      <c r="E14" s="8"/>
      <c r="F14" s="8"/>
      <c r="G14" s="8"/>
      <c r="H14" s="8"/>
      <c r="I14" s="8"/>
      <c r="J14" s="8"/>
    </row>
    <row r="15" spans="1:10" x14ac:dyDescent="0.2">
      <c r="A15" s="8"/>
      <c r="B15" s="8"/>
      <c r="C15" s="8"/>
      <c r="D15" s="8"/>
      <c r="E15" s="8"/>
      <c r="F15" s="8"/>
      <c r="G15" s="8"/>
      <c r="H15" s="8"/>
      <c r="I15" s="8"/>
      <c r="J15" s="8"/>
    </row>
    <row r="16" spans="1:10" x14ac:dyDescent="0.2">
      <c r="A16" s="8"/>
      <c r="B16" s="8"/>
      <c r="C16" s="8"/>
      <c r="D16" s="8"/>
      <c r="E16" s="8"/>
      <c r="F16" s="8"/>
      <c r="G16" s="8"/>
      <c r="H16" s="8"/>
      <c r="I16" s="8"/>
      <c r="J16" s="8"/>
    </row>
    <row r="17" spans="1:10" x14ac:dyDescent="0.2">
      <c r="A17" s="8"/>
      <c r="B17" s="8"/>
      <c r="C17" s="8"/>
      <c r="D17" s="8"/>
      <c r="E17" s="8"/>
      <c r="F17" s="8"/>
      <c r="G17" s="8"/>
      <c r="H17" s="8"/>
      <c r="I17" s="8"/>
      <c r="J17" s="8"/>
    </row>
    <row r="18" spans="1:10" x14ac:dyDescent="0.2">
      <c r="A18" s="8"/>
      <c r="B18" s="8"/>
      <c r="C18" s="8"/>
      <c r="D18" s="8"/>
      <c r="E18" s="8"/>
      <c r="F18" s="8"/>
      <c r="G18" s="8"/>
      <c r="H18" s="8"/>
      <c r="I18" s="8"/>
      <c r="J18" s="8"/>
    </row>
    <row r="19" spans="1:10" x14ac:dyDescent="0.2">
      <c r="A19" s="8"/>
      <c r="B19" s="8"/>
      <c r="C19" s="8"/>
      <c r="D19" s="8"/>
      <c r="E19" s="8"/>
      <c r="F19" s="8"/>
      <c r="G19" s="8"/>
      <c r="H19" s="8"/>
      <c r="I19" s="8"/>
      <c r="J19" s="8"/>
    </row>
    <row r="20" spans="1:10" x14ac:dyDescent="0.2">
      <c r="A20" s="8"/>
      <c r="B20" s="8"/>
      <c r="C20" s="8"/>
      <c r="D20" s="8"/>
      <c r="E20" s="8"/>
      <c r="F20" s="8"/>
      <c r="G20" s="8"/>
      <c r="H20" s="8"/>
      <c r="I20" s="8"/>
      <c r="J20" s="8"/>
    </row>
    <row r="21" spans="1:10" x14ac:dyDescent="0.2">
      <c r="A21" s="8"/>
      <c r="B21" s="8"/>
      <c r="C21" s="8"/>
      <c r="D21" s="8"/>
      <c r="E21" s="8"/>
      <c r="F21" s="8"/>
      <c r="G21" s="8"/>
      <c r="H21" s="8"/>
      <c r="I21" s="8"/>
      <c r="J21" s="8"/>
    </row>
    <row r="22" spans="1:10" x14ac:dyDescent="0.2">
      <c r="A22" s="8"/>
      <c r="B22" s="8"/>
      <c r="C22" s="8"/>
      <c r="D22" s="8"/>
      <c r="E22" s="8"/>
      <c r="F22" s="8"/>
      <c r="G22" s="8"/>
      <c r="H22" s="8"/>
      <c r="I22" s="8"/>
      <c r="J22" s="8"/>
    </row>
    <row r="23" spans="1:10" x14ac:dyDescent="0.2">
      <c r="A23" s="8"/>
      <c r="B23" s="8"/>
      <c r="C23" s="8"/>
      <c r="D23" s="8"/>
      <c r="E23" s="8"/>
      <c r="F23" s="8"/>
      <c r="G23" s="8"/>
      <c r="H23" s="8"/>
      <c r="I23" s="8"/>
      <c r="J23" s="8"/>
    </row>
    <row r="24" spans="1:10" x14ac:dyDescent="0.2">
      <c r="A24" s="8"/>
      <c r="B24" s="8"/>
      <c r="C24" s="8"/>
      <c r="D24" s="8"/>
      <c r="E24" s="8"/>
      <c r="F24" s="8"/>
      <c r="G24" s="8"/>
      <c r="H24" s="8"/>
      <c r="I24" s="8"/>
      <c r="J24" s="8"/>
    </row>
    <row r="25" spans="1:10" x14ac:dyDescent="0.2">
      <c r="A25" s="8"/>
      <c r="B25" s="8"/>
      <c r="C25" s="8"/>
      <c r="D25" s="8"/>
      <c r="E25" s="8"/>
      <c r="F25" s="8"/>
      <c r="G25" s="8"/>
      <c r="H25" s="8"/>
      <c r="I25" s="8"/>
      <c r="J25" s="8"/>
    </row>
    <row r="26" spans="1:10" x14ac:dyDescent="0.2">
      <c r="A26" s="8"/>
      <c r="B26" s="8"/>
      <c r="C26" s="8"/>
      <c r="D26" s="8"/>
      <c r="E26" s="8"/>
      <c r="F26" s="8"/>
      <c r="G26" s="8"/>
      <c r="H26" s="8"/>
      <c r="I26" s="8"/>
      <c r="J26" s="8"/>
    </row>
    <row r="27" spans="1:10" x14ac:dyDescent="0.2">
      <c r="A27" s="8"/>
      <c r="B27" s="8"/>
      <c r="C27" s="8"/>
      <c r="D27" s="8"/>
      <c r="E27" s="8"/>
      <c r="F27" s="8"/>
      <c r="G27" s="8"/>
      <c r="H27" s="8"/>
      <c r="I27" s="8"/>
      <c r="J27" s="8"/>
    </row>
    <row r="28" spans="1:10" x14ac:dyDescent="0.2">
      <c r="A28" s="8"/>
      <c r="B28" s="8"/>
      <c r="C28" s="8"/>
      <c r="D28" s="8"/>
      <c r="E28" s="8"/>
      <c r="F28" s="8"/>
      <c r="G28" s="8"/>
      <c r="H28" s="8"/>
      <c r="I28" s="8"/>
      <c r="J28" s="8"/>
    </row>
    <row r="29" spans="1:10" x14ac:dyDescent="0.2">
      <c r="A29" s="8"/>
      <c r="B29" s="8"/>
      <c r="C29" s="8"/>
      <c r="D29" s="8"/>
      <c r="E29" s="8"/>
      <c r="F29" s="8"/>
      <c r="G29" s="8"/>
      <c r="H29" s="8"/>
      <c r="I29" s="8"/>
      <c r="J29" s="8"/>
    </row>
    <row r="30" spans="1:10" x14ac:dyDescent="0.2">
      <c r="A30" s="8"/>
      <c r="B30" s="8"/>
      <c r="C30" s="8"/>
      <c r="D30" s="8"/>
      <c r="E30" s="8"/>
      <c r="F30" s="8"/>
      <c r="G30" s="8"/>
      <c r="H30" s="8"/>
      <c r="I30" s="8"/>
      <c r="J30" s="8"/>
    </row>
    <row r="31" spans="1:10" x14ac:dyDescent="0.2">
      <c r="A31" s="8"/>
      <c r="B31" s="8"/>
      <c r="C31" s="8"/>
      <c r="D31" s="8"/>
      <c r="E31" s="8"/>
      <c r="F31" s="8"/>
      <c r="G31" s="8"/>
      <c r="H31" s="8"/>
      <c r="I31" s="8"/>
      <c r="J31" s="8"/>
    </row>
    <row r="32" spans="1:10" x14ac:dyDescent="0.2">
      <c r="A32" s="8"/>
      <c r="B32" s="8"/>
      <c r="C32" s="8"/>
      <c r="D32" s="8"/>
      <c r="E32" s="8"/>
      <c r="F32" s="8"/>
      <c r="G32" s="8"/>
      <c r="H32" s="8"/>
      <c r="I32" s="8"/>
      <c r="J32" s="8"/>
    </row>
    <row r="33" spans="1:10" x14ac:dyDescent="0.2">
      <c r="A33" s="8"/>
      <c r="B33" s="8"/>
      <c r="C33" s="8"/>
      <c r="D33" s="8"/>
      <c r="E33" s="8"/>
      <c r="F33" s="8"/>
      <c r="G33" s="8"/>
      <c r="H33" s="8"/>
      <c r="I33" s="8"/>
      <c r="J33" s="8"/>
    </row>
    <row r="34" spans="1:10" x14ac:dyDescent="0.2">
      <c r="A34" s="8"/>
      <c r="B34" s="8"/>
      <c r="C34" s="8"/>
      <c r="D34" s="8"/>
      <c r="E34" s="8"/>
      <c r="F34" s="8"/>
      <c r="G34" s="8"/>
      <c r="H34" s="8"/>
      <c r="I34" s="8"/>
      <c r="J34" s="8"/>
    </row>
    <row r="35" spans="1:10" x14ac:dyDescent="0.2">
      <c r="A35" s="8"/>
      <c r="B35" s="8"/>
      <c r="C35" s="8"/>
      <c r="D35" s="8"/>
      <c r="E35" s="8"/>
      <c r="F35" s="8"/>
      <c r="G35" s="8"/>
      <c r="H35" s="8"/>
      <c r="I35" s="8"/>
      <c r="J35" s="8"/>
    </row>
    <row r="36" spans="1:10" x14ac:dyDescent="0.2">
      <c r="A36" s="8"/>
      <c r="B36" s="8"/>
      <c r="C36" s="8"/>
      <c r="D36" s="8"/>
      <c r="E36" s="8"/>
      <c r="F36" s="8"/>
      <c r="G36" s="8"/>
      <c r="H36" s="8"/>
      <c r="I36" s="8"/>
      <c r="J36" s="8"/>
    </row>
    <row r="37" spans="1:10" x14ac:dyDescent="0.2">
      <c r="A37" s="8"/>
      <c r="B37" s="8"/>
      <c r="C37" s="8"/>
      <c r="D37" s="8"/>
      <c r="E37" s="8"/>
      <c r="F37" s="8"/>
      <c r="G37" s="8"/>
      <c r="H37" s="8"/>
      <c r="I37" s="8"/>
      <c r="J37" s="8"/>
    </row>
    <row r="38" spans="1:10" x14ac:dyDescent="0.2">
      <c r="A38" s="8"/>
      <c r="B38" s="8"/>
      <c r="C38" s="8"/>
      <c r="D38" s="8"/>
      <c r="E38" s="8"/>
      <c r="F38" s="8"/>
      <c r="G38" s="8"/>
      <c r="H38" s="8"/>
      <c r="I38" s="8"/>
      <c r="J38" s="8"/>
    </row>
    <row r="39" spans="1:10" x14ac:dyDescent="0.2">
      <c r="A39" s="32" t="s">
        <v>0</v>
      </c>
      <c r="B39" s="33">
        <v>3184</v>
      </c>
      <c r="C39" s="34" t="s">
        <v>1</v>
      </c>
      <c r="D39" s="35"/>
      <c r="E39" s="35"/>
      <c r="F39" s="35"/>
      <c r="G39" s="1"/>
      <c r="H39" s="30"/>
      <c r="I39" s="30"/>
      <c r="J39" s="30"/>
    </row>
    <row r="40" spans="1:10" x14ac:dyDescent="0.2">
      <c r="A40" s="32" t="s">
        <v>61</v>
      </c>
      <c r="B40" s="36">
        <f>+[1]Main!$C565</f>
        <v>1.6000000000000001E-3</v>
      </c>
      <c r="C40" s="34" t="s">
        <v>41</v>
      </c>
      <c r="D40" s="35"/>
      <c r="E40" s="35"/>
      <c r="F40" s="35"/>
      <c r="G40" s="1"/>
      <c r="H40" s="30"/>
      <c r="I40" s="30"/>
      <c r="J40" s="30"/>
    </row>
    <row r="41" spans="1:10" x14ac:dyDescent="0.2">
      <c r="A41" s="32" t="s">
        <v>62</v>
      </c>
      <c r="B41" s="36">
        <f>+[1]Main!$C620</f>
        <v>2.5000000000000001E-3</v>
      </c>
      <c r="C41" s="34" t="s">
        <v>95</v>
      </c>
      <c r="D41" s="35"/>
      <c r="E41" s="37"/>
      <c r="F41" s="35"/>
      <c r="G41" s="1"/>
      <c r="H41" s="30"/>
      <c r="I41" s="30"/>
      <c r="J41" s="30"/>
    </row>
    <row r="42" spans="1:10" x14ac:dyDescent="0.2">
      <c r="A42" s="38" t="s">
        <v>32</v>
      </c>
      <c r="B42" s="39">
        <f>[2]Sheet1!E47</f>
        <v>2094555816</v>
      </c>
      <c r="C42" s="21"/>
      <c r="D42" s="31"/>
      <c r="E42" s="31"/>
      <c r="F42" s="23"/>
      <c r="G42" s="1"/>
      <c r="H42" s="30"/>
      <c r="I42" s="30"/>
      <c r="J42" s="30"/>
    </row>
    <row r="43" spans="1:10" x14ac:dyDescent="0.2">
      <c r="A43" s="32" t="s">
        <v>2</v>
      </c>
      <c r="B43" s="40">
        <f>[2]Sheet1!F47</f>
        <v>0.96009999999999995</v>
      </c>
      <c r="C43" s="7"/>
      <c r="D43" s="41" t="s">
        <v>3</v>
      </c>
      <c r="E43" s="42" t="str">
        <f>+[3]main!B48</f>
        <v>Logan</v>
      </c>
      <c r="F43" s="43">
        <f>+[3]main!A48</f>
        <v>39</v>
      </c>
      <c r="G43" s="1"/>
      <c r="H43" s="30"/>
      <c r="I43" s="30"/>
      <c r="J43" s="30"/>
    </row>
    <row r="44" spans="1:10" x14ac:dyDescent="0.2">
      <c r="A44" s="32" t="s">
        <v>4</v>
      </c>
      <c r="B44" s="44">
        <f>[2]Sheet1!G47</f>
        <v>1.6750000000000001E-3</v>
      </c>
      <c r="C44" s="8"/>
      <c r="D44" s="24"/>
      <c r="E44" s="25"/>
      <c r="F44" s="24"/>
      <c r="G44" s="1"/>
      <c r="H44" s="30"/>
      <c r="I44" s="30"/>
      <c r="J44" s="30"/>
    </row>
    <row r="45" spans="1:10" x14ac:dyDescent="0.2">
      <c r="A45" s="32" t="s">
        <v>5</v>
      </c>
      <c r="B45" s="45">
        <f>[2]Sheet1!$C$103</f>
        <v>3861046</v>
      </c>
      <c r="C45" s="46"/>
      <c r="D45" s="47" t="s">
        <v>38</v>
      </c>
      <c r="E45" s="48" t="s">
        <v>7</v>
      </c>
      <c r="F45" s="47" t="s">
        <v>6</v>
      </c>
      <c r="G45" s="1"/>
      <c r="H45" s="30"/>
      <c r="I45" s="30"/>
      <c r="J45" s="30"/>
    </row>
    <row r="46" spans="1:10" x14ac:dyDescent="0.2">
      <c r="A46" s="32" t="s">
        <v>8</v>
      </c>
      <c r="B46" s="45">
        <f>+B45</f>
        <v>3861046</v>
      </c>
      <c r="C46" s="49"/>
      <c r="D46" s="50" t="s">
        <v>9</v>
      </c>
      <c r="E46" s="50" t="s">
        <v>37</v>
      </c>
      <c r="F46" s="50" t="s">
        <v>10</v>
      </c>
      <c r="G46" s="1"/>
      <c r="H46" s="30"/>
      <c r="I46" s="30"/>
      <c r="J46" s="30"/>
    </row>
    <row r="47" spans="1:10" x14ac:dyDescent="0.2">
      <c r="A47" s="32" t="s">
        <v>11</v>
      </c>
      <c r="B47" s="45">
        <v>0</v>
      </c>
      <c r="C47" s="51" t="s">
        <v>39</v>
      </c>
      <c r="D47" s="52" t="s">
        <v>12</v>
      </c>
      <c r="E47" s="52" t="s">
        <v>9</v>
      </c>
      <c r="F47" s="52" t="s">
        <v>9</v>
      </c>
      <c r="G47" s="1"/>
      <c r="H47" s="30"/>
      <c r="I47" s="30"/>
      <c r="J47" s="30"/>
    </row>
    <row r="48" spans="1:10" x14ac:dyDescent="0.2">
      <c r="A48" s="32" t="s">
        <v>70</v>
      </c>
      <c r="B48" s="45">
        <f>'[4]LRF FY17'!U45</f>
        <v>406350</v>
      </c>
      <c r="C48" s="53"/>
      <c r="D48" s="54"/>
      <c r="E48" s="54"/>
      <c r="F48" s="54" t="s">
        <v>14</v>
      </c>
      <c r="G48" s="1"/>
      <c r="H48" s="30"/>
      <c r="I48" s="30"/>
      <c r="J48" s="30"/>
    </row>
    <row r="49" spans="1:10" x14ac:dyDescent="0.2">
      <c r="A49" s="55" t="s">
        <v>13</v>
      </c>
      <c r="B49" s="56"/>
      <c r="C49" s="53"/>
      <c r="D49" s="54"/>
      <c r="E49" s="54"/>
      <c r="F49" s="54"/>
      <c r="G49" s="2"/>
      <c r="H49" s="30"/>
      <c r="I49" s="30"/>
      <c r="J49" s="30"/>
    </row>
    <row r="50" spans="1:10" x14ac:dyDescent="0.2">
      <c r="A50" s="55" t="s">
        <v>15</v>
      </c>
      <c r="B50" s="56"/>
      <c r="C50" s="53"/>
      <c r="D50" s="54"/>
      <c r="E50" s="54"/>
      <c r="F50" s="54"/>
      <c r="G50" s="2"/>
      <c r="H50" s="57" t="s">
        <v>43</v>
      </c>
      <c r="I50" s="30"/>
      <c r="J50" s="57" t="s">
        <v>45</v>
      </c>
    </row>
    <row r="51" spans="1:10" x14ac:dyDescent="0.2">
      <c r="A51" s="58" t="s">
        <v>16</v>
      </c>
      <c r="B51" s="59"/>
      <c r="C51" s="60">
        <f>[3]main!C222-[3]main!F164</f>
        <v>5553.201</v>
      </c>
      <c r="D51" s="61">
        <f>[3]main!E222-[3]main!H164</f>
        <v>17681392.629999999</v>
      </c>
      <c r="E51" s="62">
        <f>IF(B46&gt;D51,D51,B46)</f>
        <v>3861046</v>
      </c>
      <c r="F51" s="62">
        <f>D51-E51</f>
        <v>13820346.630000001</v>
      </c>
      <c r="G51" s="1"/>
      <c r="H51" s="57">
        <f>[3]main!H281</f>
        <v>19315221.829999998</v>
      </c>
      <c r="I51" s="30"/>
      <c r="J51" s="57">
        <f>'[5]Sheet 1'!E105</f>
        <v>24356857.899999999</v>
      </c>
    </row>
    <row r="52" spans="1:10" x14ac:dyDescent="0.2">
      <c r="A52" s="58" t="s">
        <v>17</v>
      </c>
      <c r="B52" s="59"/>
      <c r="C52" s="53">
        <f>[3]main!F164</f>
        <v>0</v>
      </c>
      <c r="D52" s="54">
        <f>[3]main!H164</f>
        <v>0</v>
      </c>
      <c r="E52" s="54">
        <f>IF(B45-SUM(E49:E51)&gt;D52,D52,B45-SUM(E49:E51))</f>
        <v>0</v>
      </c>
      <c r="F52" s="54">
        <f>D52-E52</f>
        <v>0</v>
      </c>
      <c r="G52" s="1"/>
      <c r="H52" s="57">
        <f>SUM(D51:D55)</f>
        <v>19315221.829999998</v>
      </c>
      <c r="I52" s="30"/>
      <c r="J52" s="57">
        <f>D66</f>
        <v>24356857.899999999</v>
      </c>
    </row>
    <row r="53" spans="1:10" x14ac:dyDescent="0.2">
      <c r="A53" s="58" t="s">
        <v>18</v>
      </c>
      <c r="B53" s="59"/>
      <c r="C53" s="53">
        <f>[3]main!F222</f>
        <v>507.137</v>
      </c>
      <c r="D53" s="54">
        <f>[3]main!H222</f>
        <v>1614725.2</v>
      </c>
      <c r="E53" s="54">
        <f>IF(B46-SUM(E51:E52)&gt;D53,D53,B46-SUM(E51:E52))</f>
        <v>0</v>
      </c>
      <c r="F53" s="54">
        <f>D53-E53</f>
        <v>1614725.2</v>
      </c>
      <c r="G53" s="1"/>
      <c r="H53" s="57">
        <f>+H51-H52</f>
        <v>0</v>
      </c>
      <c r="I53" s="30"/>
      <c r="J53" s="57">
        <f>+J51-J52</f>
        <v>0</v>
      </c>
    </row>
    <row r="54" spans="1:10" x14ac:dyDescent="0.2">
      <c r="A54" s="58" t="s">
        <v>19</v>
      </c>
      <c r="B54" s="59"/>
      <c r="C54" s="53">
        <f>[3]main!C281</f>
        <v>0</v>
      </c>
      <c r="D54" s="54">
        <f>[3]main!E281</f>
        <v>0</v>
      </c>
      <c r="E54" s="54">
        <f>IF(B46-SUM(E51:E53)&gt;D54,D54,B46-SUM(E51:E53))</f>
        <v>0</v>
      </c>
      <c r="F54" s="54">
        <f>D54-E54</f>
        <v>0</v>
      </c>
      <c r="G54" s="1"/>
      <c r="H54" s="30"/>
      <c r="I54" s="30"/>
      <c r="J54" s="30"/>
    </row>
    <row r="55" spans="1:10" x14ac:dyDescent="0.2">
      <c r="A55" s="58" t="s">
        <v>42</v>
      </c>
      <c r="B55" s="59"/>
      <c r="C55" s="53">
        <f>[3]main!C105</f>
        <v>6</v>
      </c>
      <c r="D55" s="54">
        <f>[3]main!E105</f>
        <v>19104</v>
      </c>
      <c r="E55" s="54">
        <f>IF(B46-SUM(E51:E54)&gt;D55,D55,B46-SUM(E51:E54))</f>
        <v>0</v>
      </c>
      <c r="F55" s="54">
        <f>D55-E55</f>
        <v>19104</v>
      </c>
      <c r="G55" s="1"/>
      <c r="H55" s="30"/>
      <c r="I55" s="30"/>
      <c r="J55" s="30"/>
    </row>
    <row r="56" spans="1:10" x14ac:dyDescent="0.2">
      <c r="A56" s="55" t="s">
        <v>20</v>
      </c>
      <c r="B56" s="56"/>
      <c r="C56" s="63"/>
      <c r="D56" s="64"/>
      <c r="E56" s="64"/>
      <c r="F56" s="64" t="s">
        <v>14</v>
      </c>
      <c r="G56" s="1"/>
      <c r="H56" s="57" t="s">
        <v>44</v>
      </c>
      <c r="I56" s="30"/>
      <c r="J56" s="30"/>
    </row>
    <row r="57" spans="1:10" x14ac:dyDescent="0.2">
      <c r="A57" s="58" t="s">
        <v>21</v>
      </c>
      <c r="B57" s="59"/>
      <c r="C57" s="53">
        <f>'[6]Sheet 1'!C47</f>
        <v>730.16300000000001</v>
      </c>
      <c r="D57" s="54">
        <f>'[6]Sheet 1'!E47</f>
        <v>2324838.0699999998</v>
      </c>
      <c r="E57" s="54">
        <f>IF(B46-SUM(E51:E56)&gt;D57,D57,B46-SUM(E51:E56))</f>
        <v>0</v>
      </c>
      <c r="F57" s="54">
        <f t="shared" ref="F57:F65" si="0">D57-E57</f>
        <v>2324838.0699999998</v>
      </c>
      <c r="G57" s="1"/>
      <c r="H57" s="57">
        <f>'[6]Sheet 1'!N163</f>
        <v>3241761</v>
      </c>
      <c r="I57" s="30"/>
      <c r="J57" s="30"/>
    </row>
    <row r="58" spans="1:10" x14ac:dyDescent="0.2">
      <c r="A58" s="59" t="s">
        <v>22</v>
      </c>
      <c r="B58" s="59"/>
      <c r="C58" s="53">
        <f>'[6]Sheet 1'!F47</f>
        <v>102.16</v>
      </c>
      <c r="D58" s="54">
        <f>'[6]Sheet 1'!H47</f>
        <v>325277.44</v>
      </c>
      <c r="E58" s="54">
        <f>IF(B46-SUM(E51:E57)&gt;D58,D58,B46-SUM(E51:E57))</f>
        <v>0</v>
      </c>
      <c r="F58" s="54">
        <f t="shared" si="0"/>
        <v>325277.44</v>
      </c>
      <c r="G58" s="1"/>
      <c r="H58" s="57">
        <f>SUM(D57:D63)</f>
        <v>3241761</v>
      </c>
      <c r="I58" s="30"/>
      <c r="J58" s="30"/>
    </row>
    <row r="59" spans="1:10" x14ac:dyDescent="0.2">
      <c r="A59" s="59" t="s">
        <v>23</v>
      </c>
      <c r="B59" s="59"/>
      <c r="C59" s="53">
        <f>'[6]Sheet 1'!C105</f>
        <v>160.22999999999999</v>
      </c>
      <c r="D59" s="54">
        <f>'[6]Sheet 1'!E105</f>
        <v>510172.32</v>
      </c>
      <c r="E59" s="54">
        <f>IF(B46-SUM(E51:E58)&gt;D59,D59,B46-SUM(E51:E58))</f>
        <v>0</v>
      </c>
      <c r="F59" s="54">
        <f t="shared" si="0"/>
        <v>510172.32</v>
      </c>
      <c r="G59" s="1"/>
      <c r="H59" s="57">
        <f>+H57-H58</f>
        <v>0</v>
      </c>
      <c r="I59" s="30"/>
      <c r="J59" s="30"/>
    </row>
    <row r="60" spans="1:10" x14ac:dyDescent="0.2">
      <c r="A60" s="58" t="s">
        <v>24</v>
      </c>
      <c r="B60" s="59"/>
      <c r="C60" s="53">
        <f>'[6]Sheet 1'!F105</f>
        <v>4.5289999999999999</v>
      </c>
      <c r="D60" s="54">
        <f>'[6]Sheet 1'!H105</f>
        <v>14420.37</v>
      </c>
      <c r="E60" s="54">
        <f>IF(B46-SUM(E51:E59)&gt;D60,D60,B46-SUM(E51:E59))</f>
        <v>0</v>
      </c>
      <c r="F60" s="54">
        <f t="shared" si="0"/>
        <v>14420.37</v>
      </c>
      <c r="G60" s="1"/>
      <c r="H60" s="30"/>
      <c r="I60" s="30"/>
      <c r="J60" s="30"/>
    </row>
    <row r="61" spans="1:10" x14ac:dyDescent="0.2">
      <c r="A61" s="59" t="s">
        <v>71</v>
      </c>
      <c r="B61" s="59"/>
      <c r="C61" s="53">
        <f>'[6]Sheet 1'!C163</f>
        <v>21.059000000000001</v>
      </c>
      <c r="D61" s="54">
        <f>'[6]Sheet 1'!E163</f>
        <v>67052.800000000003</v>
      </c>
      <c r="E61" s="54">
        <f>IF(B46-SUM(E51:E60)&gt;D61,D61,B46-SUM(E51:E60))</f>
        <v>0</v>
      </c>
      <c r="F61" s="54">
        <f t="shared" si="0"/>
        <v>67052.800000000003</v>
      </c>
      <c r="G61" s="1"/>
      <c r="H61" s="30"/>
      <c r="I61" s="30"/>
      <c r="J61" s="30"/>
    </row>
    <row r="62" spans="1:10" x14ac:dyDescent="0.2">
      <c r="A62" s="59" t="s">
        <v>57</v>
      </c>
      <c r="B62" s="59"/>
      <c r="C62" s="53">
        <f>'[6]Sheet 1'!F163</f>
        <v>0</v>
      </c>
      <c r="D62" s="54">
        <f>'[6]Sheet 1'!H163</f>
        <v>0</v>
      </c>
      <c r="E62" s="54">
        <f>IF(B47-SUM(E52:E61)&gt;D62,D62,B47-SUM(E52:E61))</f>
        <v>0</v>
      </c>
      <c r="F62" s="54">
        <f t="shared" si="0"/>
        <v>0</v>
      </c>
      <c r="G62" s="1"/>
      <c r="H62" s="30"/>
      <c r="I62" s="30"/>
      <c r="J62" s="30"/>
    </row>
    <row r="63" spans="1:10" x14ac:dyDescent="0.2">
      <c r="A63" s="59" t="s">
        <v>64</v>
      </c>
      <c r="B63" s="59"/>
      <c r="C63" s="53">
        <f>'[6]Sheet 1'!I163</f>
        <v>0</v>
      </c>
      <c r="D63" s="54">
        <f>'[6]Sheet 1'!K163</f>
        <v>0</v>
      </c>
      <c r="E63" s="54">
        <f>IF(B49-SUM(E53:E62)&gt;D63,D63,B49-SUM(E53:E62))</f>
        <v>0</v>
      </c>
      <c r="F63" s="54">
        <f t="shared" si="0"/>
        <v>0</v>
      </c>
      <c r="G63" s="1"/>
      <c r="H63" s="57" t="s">
        <v>46</v>
      </c>
      <c r="I63" s="30"/>
      <c r="J63" s="30"/>
    </row>
    <row r="64" spans="1:10" x14ac:dyDescent="0.2">
      <c r="A64" s="59" t="s">
        <v>58</v>
      </c>
      <c r="B64" s="59"/>
      <c r="C64" s="53">
        <f>'[6]Sheet 1'!C221</f>
        <v>199.62100000000001</v>
      </c>
      <c r="D64" s="54">
        <f>'[6]Sheet 1'!E221</f>
        <v>635592.03</v>
      </c>
      <c r="E64" s="54">
        <f>IF(B46-SUM(E51:E61)&gt;D64,D64,B46-SUM(E51:E61))</f>
        <v>0</v>
      </c>
      <c r="F64" s="54">
        <f t="shared" si="0"/>
        <v>635592.03</v>
      </c>
      <c r="G64" s="4"/>
      <c r="H64" s="57">
        <f>+'[6]Sheet 1'!E221</f>
        <v>635592.03</v>
      </c>
      <c r="I64" s="30"/>
      <c r="J64" s="30"/>
    </row>
    <row r="65" spans="1:10" x14ac:dyDescent="0.2">
      <c r="A65" s="58" t="s">
        <v>59</v>
      </c>
      <c r="B65" s="59"/>
      <c r="C65" s="53">
        <f>'[5]Sheet 1'!C47</f>
        <v>365.66699999999997</v>
      </c>
      <c r="D65" s="54">
        <f>'[5]Sheet 1'!E47</f>
        <v>1164283.04</v>
      </c>
      <c r="E65" s="54">
        <f>IF(B46-SUM(E51:E64)&gt;D65,D65,B46-SUM(E51:E64))</f>
        <v>0</v>
      </c>
      <c r="F65" s="54">
        <f t="shared" si="0"/>
        <v>1164283.04</v>
      </c>
      <c r="G65" s="5"/>
      <c r="H65" s="57">
        <f>+D64</f>
        <v>635592.03</v>
      </c>
      <c r="I65" s="30"/>
      <c r="J65" s="30"/>
    </row>
    <row r="66" spans="1:10" x14ac:dyDescent="0.2">
      <c r="A66" s="65" t="s">
        <v>28</v>
      </c>
      <c r="B66" s="56"/>
      <c r="C66" s="66">
        <f>SUM(C51:C65)</f>
        <v>7649.7669999999998</v>
      </c>
      <c r="D66" s="67">
        <f>SUM(D51:D65)</f>
        <v>24356857.899999999</v>
      </c>
      <c r="E66" s="67">
        <f>SUM(E51:E65)</f>
        <v>3861046</v>
      </c>
      <c r="F66" s="67">
        <f>SUM(F51:F65)</f>
        <v>20495811.899999999</v>
      </c>
      <c r="G66" s="1"/>
      <c r="H66" s="57">
        <f>+H64-H65</f>
        <v>0</v>
      </c>
      <c r="I66" s="30"/>
      <c r="J66" s="30"/>
    </row>
    <row r="67" spans="1:10" x14ac:dyDescent="0.2">
      <c r="A67" s="68" t="s">
        <v>26</v>
      </c>
      <c r="B67" s="56"/>
      <c r="C67" s="69"/>
      <c r="D67" s="54"/>
      <c r="E67" s="54"/>
      <c r="F67" s="54"/>
      <c r="G67" s="1"/>
      <c r="H67" s="57" t="s">
        <v>47</v>
      </c>
      <c r="I67" s="30"/>
      <c r="J67" s="57" t="s">
        <v>52</v>
      </c>
    </row>
    <row r="68" spans="1:10" x14ac:dyDescent="0.2">
      <c r="A68" s="58" t="s">
        <v>56</v>
      </c>
      <c r="B68" s="59"/>
      <c r="C68" s="20"/>
      <c r="D68" s="70">
        <f>[1]Main!F48</f>
        <v>70542.2</v>
      </c>
      <c r="E68" s="54">
        <f>IF($B46-SUM($E66)&gt;D68,D68,$B46-SUM($E66))</f>
        <v>0</v>
      </c>
      <c r="F68" s="54">
        <f t="shared" ref="F68:F86" si="1">D68-E68</f>
        <v>70542.2</v>
      </c>
      <c r="G68" s="1"/>
      <c r="H68" s="57">
        <f>[1]Main!G48</f>
        <v>920996.02</v>
      </c>
      <c r="I68" s="30"/>
      <c r="J68" s="57">
        <f>+[1]Main!D509</f>
        <v>4601048.99</v>
      </c>
    </row>
    <row r="69" spans="1:10" x14ac:dyDescent="0.2">
      <c r="A69" s="59" t="s">
        <v>25</v>
      </c>
      <c r="B69" s="59"/>
      <c r="C69" s="20"/>
      <c r="D69" s="70">
        <f>[1]Main!C48</f>
        <v>850453.82</v>
      </c>
      <c r="E69" s="54">
        <f>IF($B46-SUM($E66:E68)&gt;D69,D69,B46-SUM($E66:E68))</f>
        <v>0</v>
      </c>
      <c r="F69" s="54">
        <f t="shared" si="1"/>
        <v>850453.82</v>
      </c>
      <c r="G69" s="1"/>
      <c r="H69" s="57">
        <f>SUM(D68:D70)</f>
        <v>920996.02</v>
      </c>
      <c r="I69" s="30"/>
      <c r="J69" s="57">
        <f>SUM(D68:D95)-E81</f>
        <v>4601048.9800000004</v>
      </c>
    </row>
    <row r="70" spans="1:10" x14ac:dyDescent="0.2">
      <c r="A70" s="71" t="s">
        <v>27</v>
      </c>
      <c r="B70" s="59"/>
      <c r="C70" s="20"/>
      <c r="D70" s="70">
        <f>[1]Main!D48</f>
        <v>0</v>
      </c>
      <c r="E70" s="54">
        <f>IF($B46-SUM($E66:E69)&gt;D70,D70,$B46-SUM($E66:E69))</f>
        <v>0</v>
      </c>
      <c r="F70" s="54">
        <f>D70-E70</f>
        <v>0</v>
      </c>
      <c r="G70" s="1"/>
      <c r="H70" s="57">
        <f>+H68-H69</f>
        <v>0</v>
      </c>
      <c r="I70" s="30"/>
      <c r="J70" s="57">
        <f>+J68-J69</f>
        <v>0.01</v>
      </c>
    </row>
    <row r="71" spans="1:10" x14ac:dyDescent="0.2">
      <c r="A71" s="72" t="s">
        <v>72</v>
      </c>
      <c r="B71" s="59"/>
      <c r="C71" s="20"/>
      <c r="D71" s="70">
        <f>[1]Main!E48</f>
        <v>0</v>
      </c>
      <c r="E71" s="54">
        <f>IF($B47-SUM($E67:E70)&gt;D71,D71,$B47-SUM($E67:E70))</f>
        <v>0</v>
      </c>
      <c r="F71" s="54">
        <f>D71-E71</f>
        <v>0</v>
      </c>
      <c r="G71" s="1"/>
      <c r="H71" s="30"/>
      <c r="I71" s="30"/>
      <c r="J71" s="30"/>
    </row>
    <row r="72" spans="1:10" x14ac:dyDescent="0.2">
      <c r="A72" s="72" t="s">
        <v>73</v>
      </c>
      <c r="B72" s="59"/>
      <c r="C72" s="20"/>
      <c r="D72" s="54">
        <f>+[1]Main!$F164</f>
        <v>49801.13</v>
      </c>
      <c r="E72" s="54">
        <f>IF($B46-SUM($E66:E70)&gt;D72,D72,$B46-SUM($E66:E70))</f>
        <v>0</v>
      </c>
      <c r="F72" s="54">
        <f t="shared" si="1"/>
        <v>49801.13</v>
      </c>
      <c r="G72" s="1"/>
      <c r="H72" s="30"/>
      <c r="I72" s="30"/>
      <c r="J72" s="30"/>
    </row>
    <row r="73" spans="1:10" x14ac:dyDescent="0.2">
      <c r="A73" s="71" t="s">
        <v>74</v>
      </c>
      <c r="B73" s="59"/>
      <c r="C73" s="20"/>
      <c r="D73" s="54">
        <f>+[1]Main!$C106</f>
        <v>288079</v>
      </c>
      <c r="E73" s="54">
        <f>IF($B46-SUM($E66:E72)&gt;D73,D73,$B46-SUM($E66:E72))</f>
        <v>0</v>
      </c>
      <c r="F73" s="54">
        <f t="shared" si="1"/>
        <v>288079</v>
      </c>
      <c r="G73" s="1"/>
      <c r="H73" s="30"/>
      <c r="I73" s="30"/>
      <c r="J73" s="30"/>
    </row>
    <row r="74" spans="1:10" x14ac:dyDescent="0.2">
      <c r="A74" s="71" t="s">
        <v>75</v>
      </c>
      <c r="B74" s="59"/>
      <c r="C74" s="20"/>
      <c r="D74" s="54">
        <f>+[1]Main!$D106</f>
        <v>0</v>
      </c>
      <c r="E74" s="54">
        <f>IF($B46-SUM($E66:E73)&gt;D74,D74,$B46-SUM($E66:E73))</f>
        <v>0</v>
      </c>
      <c r="F74" s="54">
        <f t="shared" si="1"/>
        <v>0</v>
      </c>
      <c r="G74" s="1"/>
      <c r="H74" s="30"/>
      <c r="I74" s="30"/>
      <c r="J74" s="30"/>
    </row>
    <row r="75" spans="1:10" x14ac:dyDescent="0.2">
      <c r="A75" s="71" t="s">
        <v>76</v>
      </c>
      <c r="B75" s="59"/>
      <c r="C75" s="20"/>
      <c r="D75" s="54">
        <f>+[1]Main!$E106</f>
        <v>247422</v>
      </c>
      <c r="E75" s="54">
        <f>IF($B46-SUM($E66:E74)&gt;D75,D75,$B46-SUM($E66:E74))</f>
        <v>0</v>
      </c>
      <c r="F75" s="54">
        <f t="shared" si="1"/>
        <v>247422</v>
      </c>
      <c r="G75" s="1"/>
      <c r="H75" s="30"/>
      <c r="I75" s="30"/>
      <c r="J75" s="30"/>
    </row>
    <row r="76" spans="1:10" x14ac:dyDescent="0.2">
      <c r="A76" s="71" t="s">
        <v>77</v>
      </c>
      <c r="B76" s="59"/>
      <c r="C76" s="20"/>
      <c r="D76" s="54">
        <f>[1]Main!F106</f>
        <v>52578</v>
      </c>
      <c r="E76" s="54">
        <f>IF($B46-SUM($E66:E75)&gt;D76,D76,$B46-SUM($E66:E75))</f>
        <v>0</v>
      </c>
      <c r="F76" s="54">
        <f t="shared" si="1"/>
        <v>52578</v>
      </c>
      <c r="G76" s="1"/>
      <c r="H76" s="57" t="s">
        <v>48</v>
      </c>
      <c r="I76" s="30"/>
      <c r="J76" s="30"/>
    </row>
    <row r="77" spans="1:10" x14ac:dyDescent="0.2">
      <c r="A77" s="71" t="s">
        <v>79</v>
      </c>
      <c r="B77" s="59"/>
      <c r="C77" s="20"/>
      <c r="D77" s="54">
        <f>[1]Main!G106</f>
        <v>0</v>
      </c>
      <c r="E77" s="54">
        <f>IF($B46-SUM($E66:E76)&gt;D77,D77,$B46-SUM($E66:E76))</f>
        <v>0</v>
      </c>
      <c r="F77" s="54">
        <f t="shared" si="1"/>
        <v>0</v>
      </c>
      <c r="G77" s="1"/>
      <c r="H77" s="57"/>
      <c r="I77" s="30"/>
      <c r="J77" s="30"/>
    </row>
    <row r="78" spans="1:10" x14ac:dyDescent="0.2">
      <c r="A78" s="71" t="s">
        <v>78</v>
      </c>
      <c r="B78" s="59"/>
      <c r="C78" s="20"/>
      <c r="D78" s="54">
        <f>[1]Main!G164</f>
        <v>38098.660000000003</v>
      </c>
      <c r="E78" s="54">
        <f>IF($B46-SUM($E66:E77)&gt;D78,D78,$B46-SUM($E66:E77))</f>
        <v>0</v>
      </c>
      <c r="F78" s="54">
        <f t="shared" si="1"/>
        <v>38098.660000000003</v>
      </c>
      <c r="G78" s="1"/>
      <c r="H78" s="73">
        <f>+[1]Main!D222</f>
        <v>675978.79</v>
      </c>
      <c r="I78" s="30"/>
      <c r="J78" s="30"/>
    </row>
    <row r="79" spans="1:10" x14ac:dyDescent="0.2">
      <c r="A79" s="71" t="s">
        <v>80</v>
      </c>
      <c r="B79" s="59"/>
      <c r="C79" s="20"/>
      <c r="D79" s="54">
        <f>[1]Main!C222</f>
        <v>0</v>
      </c>
      <c r="E79" s="54"/>
      <c r="F79" s="54">
        <f t="shared" si="1"/>
        <v>0</v>
      </c>
      <c r="G79" s="1"/>
      <c r="H79" s="57">
        <f>+SUM(D72:D79)</f>
        <v>675978.79</v>
      </c>
      <c r="I79" s="30"/>
      <c r="J79" s="30"/>
    </row>
    <row r="80" spans="1:10" x14ac:dyDescent="0.2">
      <c r="A80" s="71" t="s">
        <v>81</v>
      </c>
      <c r="B80" s="59"/>
      <c r="C80" s="20"/>
      <c r="D80" s="54">
        <f>[1]Main!C280</f>
        <v>524254</v>
      </c>
      <c r="E80" s="54">
        <v>0</v>
      </c>
      <c r="F80" s="54">
        <f t="shared" si="1"/>
        <v>524254</v>
      </c>
      <c r="G80" s="1"/>
      <c r="H80" s="57">
        <f>+H78-H79</f>
        <v>0</v>
      </c>
      <c r="I80" s="30"/>
      <c r="J80" s="30"/>
    </row>
    <row r="81" spans="1:10" x14ac:dyDescent="0.2">
      <c r="A81" s="71" t="s">
        <v>82</v>
      </c>
      <c r="B81" s="59"/>
      <c r="C81" s="20"/>
      <c r="D81" s="54">
        <f>+[7]Main!I47+[7]Main!J47</f>
        <v>411991.35</v>
      </c>
      <c r="E81" s="74">
        <f>[7]Main!J47</f>
        <v>248020.16</v>
      </c>
      <c r="F81" s="54">
        <f t="shared" si="1"/>
        <v>163971.19</v>
      </c>
      <c r="G81" s="1"/>
      <c r="H81" s="30"/>
      <c r="I81" s="30"/>
      <c r="J81" s="30"/>
    </row>
    <row r="82" spans="1:10" x14ac:dyDescent="0.2">
      <c r="A82" s="71" t="s">
        <v>83</v>
      </c>
      <c r="B82" s="59"/>
      <c r="C82" s="20"/>
      <c r="D82" s="54">
        <f>[1]Main!F280</f>
        <v>120820</v>
      </c>
      <c r="E82" s="54">
        <v>0</v>
      </c>
      <c r="F82" s="54">
        <f t="shared" si="1"/>
        <v>120820</v>
      </c>
      <c r="G82" s="1"/>
      <c r="H82" s="30"/>
      <c r="I82" s="30"/>
      <c r="J82" s="30"/>
    </row>
    <row r="83" spans="1:10" x14ac:dyDescent="0.2">
      <c r="A83" s="71" t="s">
        <v>84</v>
      </c>
      <c r="B83" s="59"/>
      <c r="C83" s="7"/>
      <c r="D83" s="54">
        <f>[1]Main!E280</f>
        <v>11368.84</v>
      </c>
      <c r="E83" s="54">
        <v>0</v>
      </c>
      <c r="F83" s="54">
        <f t="shared" si="1"/>
        <v>11368.84</v>
      </c>
      <c r="G83" s="1"/>
      <c r="H83" s="57" t="s">
        <v>49</v>
      </c>
      <c r="I83" s="30"/>
      <c r="J83" s="30"/>
    </row>
    <row r="84" spans="1:10" x14ac:dyDescent="0.2">
      <c r="A84" s="71" t="s">
        <v>85</v>
      </c>
      <c r="B84" s="59"/>
      <c r="C84" s="7"/>
      <c r="D84" s="54">
        <f>[1]Main!G280</f>
        <v>73969</v>
      </c>
      <c r="E84" s="54">
        <v>0</v>
      </c>
      <c r="F84" s="54">
        <f t="shared" si="1"/>
        <v>73969</v>
      </c>
      <c r="G84" s="1"/>
      <c r="H84" s="57">
        <f>+[1]Main!C509</f>
        <v>2915578.11</v>
      </c>
      <c r="I84" s="57"/>
      <c r="J84" s="57"/>
    </row>
    <row r="85" spans="1:10" x14ac:dyDescent="0.2">
      <c r="A85" s="71" t="s">
        <v>86</v>
      </c>
      <c r="B85" s="59"/>
      <c r="C85" s="20"/>
      <c r="D85" s="54">
        <f>[1]Main!C338</f>
        <v>20000</v>
      </c>
      <c r="E85" s="54">
        <v>0</v>
      </c>
      <c r="F85" s="54">
        <f t="shared" si="1"/>
        <v>20000</v>
      </c>
      <c r="G85" s="1"/>
      <c r="H85" s="57">
        <f>+SUM(D80:D90)-E81</f>
        <v>2915578.11</v>
      </c>
      <c r="I85" s="57"/>
      <c r="J85" s="57">
        <f>+H85-H84</f>
        <v>0</v>
      </c>
    </row>
    <row r="86" spans="1:10" x14ac:dyDescent="0.2">
      <c r="A86" s="71" t="s">
        <v>87</v>
      </c>
      <c r="C86" s="8"/>
      <c r="D86" s="76">
        <f>[1]Main!D338</f>
        <v>1666592.23</v>
      </c>
      <c r="E86" s="77">
        <v>0</v>
      </c>
      <c r="F86" s="77">
        <f t="shared" si="1"/>
        <v>1666592.23</v>
      </c>
      <c r="G86" s="5"/>
      <c r="H86" s="57">
        <f>+H84-H85</f>
        <v>0</v>
      </c>
      <c r="I86" s="57"/>
      <c r="J86" s="57"/>
    </row>
    <row r="87" spans="1:10" x14ac:dyDescent="0.2">
      <c r="A87" s="71" t="s">
        <v>88</v>
      </c>
      <c r="B87" s="59"/>
      <c r="C87" s="20"/>
      <c r="D87" s="54">
        <f>+[1]Main!$E338</f>
        <v>7689.52</v>
      </c>
      <c r="E87" s="54">
        <v>0</v>
      </c>
      <c r="F87" s="54">
        <f>D87-E87</f>
        <v>7689.52</v>
      </c>
      <c r="G87" s="4"/>
      <c r="H87" s="30"/>
      <c r="I87" s="30"/>
      <c r="J87" s="30"/>
    </row>
    <row r="88" spans="1:10" x14ac:dyDescent="0.2">
      <c r="A88" s="71" t="s">
        <v>89</v>
      </c>
      <c r="B88" s="59"/>
      <c r="C88" s="20"/>
      <c r="D88" s="54">
        <f>[1]Main!F338</f>
        <v>48488.77</v>
      </c>
      <c r="E88" s="54">
        <v>0</v>
      </c>
      <c r="F88" s="54">
        <f>D88-E88</f>
        <v>48488.77</v>
      </c>
      <c r="G88" s="4"/>
      <c r="H88" s="30"/>
      <c r="I88" s="30"/>
      <c r="J88" s="30"/>
    </row>
    <row r="89" spans="1:10" x14ac:dyDescent="0.2">
      <c r="A89" s="71" t="s">
        <v>90</v>
      </c>
      <c r="B89" s="59"/>
      <c r="C89" s="20"/>
      <c r="D89" s="54">
        <f>[1]Main!G338</f>
        <v>170000</v>
      </c>
      <c r="E89" s="54">
        <v>0</v>
      </c>
      <c r="F89" s="54">
        <f>D89-E89</f>
        <v>170000</v>
      </c>
      <c r="G89" s="1"/>
      <c r="H89" s="57" t="s">
        <v>50</v>
      </c>
      <c r="I89" s="30"/>
      <c r="J89" s="30"/>
    </row>
    <row r="90" spans="1:10" x14ac:dyDescent="0.2">
      <c r="A90" s="71" t="s">
        <v>93</v>
      </c>
      <c r="B90" s="59"/>
      <c r="C90" s="20"/>
      <c r="D90" s="54">
        <f>[1]Main!F395</f>
        <v>108424.56</v>
      </c>
      <c r="E90" s="54">
        <v>0</v>
      </c>
      <c r="F90" s="54">
        <f>D90-E90</f>
        <v>108424.56</v>
      </c>
      <c r="G90" s="1"/>
      <c r="H90" s="57"/>
      <c r="I90" s="30"/>
      <c r="J90" s="30"/>
    </row>
    <row r="91" spans="1:10" x14ac:dyDescent="0.2">
      <c r="A91" s="55" t="s">
        <v>30</v>
      </c>
      <c r="B91" s="78"/>
      <c r="C91" s="79"/>
      <c r="D91" s="64"/>
      <c r="E91" s="64"/>
      <c r="F91" s="64"/>
      <c r="G91" s="1"/>
      <c r="H91" s="57"/>
      <c r="I91" s="30"/>
      <c r="J91" s="30"/>
    </row>
    <row r="92" spans="1:10" x14ac:dyDescent="0.2">
      <c r="A92" s="71" t="s">
        <v>60</v>
      </c>
      <c r="B92" s="59"/>
      <c r="C92" s="20"/>
      <c r="D92" s="54">
        <f>[1]Main!C452</f>
        <v>57736.58</v>
      </c>
      <c r="E92" s="54">
        <v>0</v>
      </c>
      <c r="F92" s="54">
        <f>D92-E92</f>
        <v>57736.58</v>
      </c>
      <c r="G92" s="1"/>
      <c r="H92" s="57">
        <f>+[1]Main!G452</f>
        <v>88496.06</v>
      </c>
      <c r="I92" s="30"/>
      <c r="J92" s="30"/>
    </row>
    <row r="93" spans="1:10" x14ac:dyDescent="0.2">
      <c r="A93" s="71" t="s">
        <v>63</v>
      </c>
      <c r="B93" s="59"/>
      <c r="C93" s="20"/>
      <c r="D93" s="54">
        <f>[1]Main!D452</f>
        <v>0</v>
      </c>
      <c r="E93" s="54">
        <v>0</v>
      </c>
      <c r="F93" s="54">
        <f>D93-E93</f>
        <v>0</v>
      </c>
      <c r="G93" s="4"/>
      <c r="H93" s="57">
        <f>SUM(D92:D95)</f>
        <v>88496.06</v>
      </c>
      <c r="I93" s="30"/>
      <c r="J93" s="30"/>
    </row>
    <row r="94" spans="1:10" x14ac:dyDescent="0.2">
      <c r="A94" s="71" t="s">
        <v>91</v>
      </c>
      <c r="B94" s="59"/>
      <c r="C94" s="20"/>
      <c r="D94" s="54">
        <f>[1]Main!E452</f>
        <v>0</v>
      </c>
      <c r="E94" s="54">
        <v>0</v>
      </c>
      <c r="F94" s="54">
        <f>D94-E94</f>
        <v>0</v>
      </c>
      <c r="G94" s="4"/>
      <c r="H94" s="57">
        <f>+H92-H93</f>
        <v>0</v>
      </c>
      <c r="I94" s="30"/>
      <c r="J94" s="30"/>
    </row>
    <row r="95" spans="1:10" x14ac:dyDescent="0.2">
      <c r="A95" s="71" t="s">
        <v>92</v>
      </c>
      <c r="B95" s="59"/>
      <c r="C95" s="20"/>
      <c r="D95" s="54">
        <f>[1]Main!F452</f>
        <v>30759.48</v>
      </c>
      <c r="E95" s="54">
        <v>0</v>
      </c>
      <c r="F95" s="54">
        <f>D95-E95</f>
        <v>30759.48</v>
      </c>
      <c r="G95" s="1"/>
      <c r="H95" s="30"/>
      <c r="I95" s="30"/>
      <c r="J95" s="30"/>
    </row>
    <row r="96" spans="1:10" x14ac:dyDescent="0.2">
      <c r="A96" s="55" t="s">
        <v>31</v>
      </c>
      <c r="B96" s="78"/>
      <c r="C96" s="79"/>
      <c r="D96" s="64"/>
      <c r="E96" s="64"/>
      <c r="F96" s="64"/>
      <c r="G96" s="1"/>
      <c r="H96" s="30"/>
      <c r="I96" s="30"/>
      <c r="J96" s="30"/>
    </row>
    <row r="97" spans="1:10" x14ac:dyDescent="0.2">
      <c r="A97" s="58" t="s">
        <v>69</v>
      </c>
      <c r="B97" s="59"/>
      <c r="C97" s="20"/>
      <c r="D97" s="54">
        <f>+[1]Main!$G565</f>
        <v>4714048.5199999996</v>
      </c>
      <c r="E97" s="54">
        <f>+[1]Main!$D565</f>
        <v>3688163.36</v>
      </c>
      <c r="F97" s="54">
        <f>+D97-E97</f>
        <v>1025885.16</v>
      </c>
      <c r="G97" s="1"/>
      <c r="H97" s="30"/>
      <c r="I97" s="30"/>
      <c r="J97" s="30"/>
    </row>
    <row r="98" spans="1:10" x14ac:dyDescent="0.2">
      <c r="A98" s="59" t="s">
        <v>68</v>
      </c>
      <c r="B98" s="59"/>
      <c r="C98" s="20"/>
      <c r="D98" s="54">
        <f>+[1]Main!$G620</f>
        <v>1178512.1299999999</v>
      </c>
      <c r="E98" s="54">
        <f>+[1]Main!$D620</f>
        <v>922040.84</v>
      </c>
      <c r="F98" s="54">
        <f>+D98-E98</f>
        <v>256471.29</v>
      </c>
      <c r="G98" s="1"/>
      <c r="H98" s="30"/>
      <c r="I98" s="30"/>
      <c r="J98" s="30"/>
    </row>
    <row r="99" spans="1:10" ht="13.5" thickBot="1" x14ac:dyDescent="0.25">
      <c r="A99" s="80"/>
      <c r="B99" s="81"/>
      <c r="C99" s="82" t="s">
        <v>29</v>
      </c>
      <c r="D99" s="83">
        <f>SUM(D66:D98)</f>
        <v>35098487.689999998</v>
      </c>
      <c r="E99" s="83">
        <f>SUM(E66:E98)</f>
        <v>8719270.3599999994</v>
      </c>
      <c r="F99" s="83">
        <f>SUM(F66:F98)</f>
        <v>26379217.329999998</v>
      </c>
      <c r="G99" s="1"/>
      <c r="H99" s="30"/>
      <c r="I99" s="30"/>
      <c r="J99" s="30"/>
    </row>
    <row r="100" spans="1:10" ht="13.5" thickTop="1" x14ac:dyDescent="0.2">
      <c r="A100" s="84"/>
      <c r="B100" s="59"/>
      <c r="C100" s="85"/>
      <c r="D100" s="86"/>
      <c r="E100" s="86"/>
      <c r="F100" s="87"/>
      <c r="G100" s="1"/>
      <c r="H100" s="30"/>
      <c r="I100" s="30"/>
      <c r="J100" s="30"/>
    </row>
    <row r="101" spans="1:10" x14ac:dyDescent="0.2">
      <c r="A101" s="88" t="s">
        <v>40</v>
      </c>
      <c r="B101" s="78"/>
      <c r="C101" s="89"/>
      <c r="D101" s="90"/>
      <c r="E101" s="91"/>
      <c r="F101" s="92" t="s">
        <v>36</v>
      </c>
      <c r="G101" s="6"/>
      <c r="H101" s="57" t="s">
        <v>51</v>
      </c>
      <c r="I101" s="30"/>
      <c r="J101" s="57" t="s">
        <v>7</v>
      </c>
    </row>
    <row r="102" spans="1:10" x14ac:dyDescent="0.2">
      <c r="A102" s="93" t="s">
        <v>33</v>
      </c>
      <c r="B102" s="94"/>
      <c r="C102" s="95"/>
      <c r="D102" s="96"/>
      <c r="E102" s="96"/>
      <c r="F102" s="91"/>
      <c r="G102" s="6"/>
      <c r="H102" s="30"/>
      <c r="I102" s="30"/>
      <c r="J102" s="30"/>
    </row>
    <row r="103" spans="1:10" x14ac:dyDescent="0.2">
      <c r="A103" s="59" t="s">
        <v>34</v>
      </c>
      <c r="B103" s="59"/>
      <c r="C103" s="22"/>
      <c r="D103" s="27"/>
      <c r="E103" s="27"/>
      <c r="F103" s="97">
        <f>+[8]Main!$C48</f>
        <v>0</v>
      </c>
      <c r="G103" s="5"/>
      <c r="H103" s="57">
        <f>+[1]Main!G676</f>
        <v>5892560.6500000004</v>
      </c>
      <c r="I103" s="30"/>
      <c r="J103" s="57">
        <f>+[1]Main!E676+[1]Main!F676</f>
        <v>1282356.45</v>
      </c>
    </row>
    <row r="104" spans="1:10" x14ac:dyDescent="0.2">
      <c r="A104" s="59" t="s">
        <v>66</v>
      </c>
      <c r="B104" s="59"/>
      <c r="C104" s="22"/>
      <c r="D104" s="27"/>
      <c r="E104" s="27"/>
      <c r="F104" s="97">
        <f>+[8]Main!$D48</f>
        <v>0</v>
      </c>
      <c r="G104" s="5"/>
      <c r="H104" s="57">
        <f>+D97+D98</f>
        <v>5892560.6500000004</v>
      </c>
      <c r="I104" s="30"/>
      <c r="J104" s="57">
        <f>+F97+F98</f>
        <v>1282356.45</v>
      </c>
    </row>
    <row r="105" spans="1:10" x14ac:dyDescent="0.2">
      <c r="A105" s="32" t="s">
        <v>65</v>
      </c>
      <c r="B105" s="32"/>
      <c r="C105" s="22"/>
      <c r="D105" s="28"/>
      <c r="E105" s="28"/>
      <c r="F105" s="97">
        <f>+[8]Main!$E48</f>
        <v>0</v>
      </c>
      <c r="G105" s="1"/>
      <c r="H105" s="57">
        <f>+H103-H104</f>
        <v>0</v>
      </c>
      <c r="I105" s="30"/>
      <c r="J105" s="57">
        <f>+J103-J104</f>
        <v>0</v>
      </c>
    </row>
    <row r="106" spans="1:10" x14ac:dyDescent="0.2">
      <c r="A106" s="32" t="s">
        <v>67</v>
      </c>
      <c r="B106" s="32"/>
      <c r="C106" s="22"/>
      <c r="D106" s="28"/>
      <c r="E106" s="28"/>
      <c r="F106" s="97">
        <f>+[8]Main!$F48</f>
        <v>0</v>
      </c>
      <c r="G106" s="1"/>
      <c r="H106" s="30"/>
      <c r="I106" s="30"/>
      <c r="J106" s="30"/>
    </row>
    <row r="107" spans="1:10" x14ac:dyDescent="0.2">
      <c r="A107" s="88" t="s">
        <v>35</v>
      </c>
      <c r="B107" s="78"/>
      <c r="C107" s="89"/>
      <c r="D107" s="90"/>
      <c r="E107" s="91"/>
      <c r="F107" s="54">
        <f>+[8]Main!$C106</f>
        <v>23358.959999999999</v>
      </c>
      <c r="G107" s="1"/>
      <c r="H107" s="30"/>
      <c r="I107" s="30"/>
      <c r="J107" s="30"/>
    </row>
    <row r="108" spans="1:10" ht="13.5" thickBot="1" x14ac:dyDescent="0.25">
      <c r="A108" s="98"/>
      <c r="B108" s="99"/>
      <c r="C108" s="100" t="s">
        <v>29</v>
      </c>
      <c r="D108" s="101"/>
      <c r="E108" s="102"/>
      <c r="F108" s="103">
        <f>SUM(F103:F107)</f>
        <v>23358.959999999999</v>
      </c>
      <c r="G108" s="1"/>
      <c r="H108" s="30"/>
      <c r="I108" s="30"/>
      <c r="J108" s="30"/>
    </row>
    <row r="109" spans="1:10" ht="13.5" thickBot="1" x14ac:dyDescent="0.25">
      <c r="A109" s="104"/>
      <c r="B109" s="105"/>
      <c r="C109" s="106" t="s">
        <v>53</v>
      </c>
      <c r="D109" s="107"/>
      <c r="E109" s="108"/>
      <c r="F109" s="109">
        <f>+F108+F99</f>
        <v>26402576.289999999</v>
      </c>
      <c r="G109" s="1"/>
      <c r="H109" s="57" t="s">
        <v>54</v>
      </c>
      <c r="I109" s="30"/>
      <c r="J109" s="30"/>
    </row>
    <row r="110" spans="1:10" x14ac:dyDescent="0.2">
      <c r="A110" s="11"/>
      <c r="B110" s="12"/>
      <c r="C110" s="9"/>
      <c r="D110" s="29"/>
      <c r="E110" s="29"/>
      <c r="F110" s="110"/>
      <c r="G110" s="1"/>
      <c r="H110" s="57">
        <f>+[8]Main!$G48</f>
        <v>0</v>
      </c>
      <c r="I110" s="30"/>
      <c r="J110" s="30"/>
    </row>
    <row r="111" spans="1:10" x14ac:dyDescent="0.2">
      <c r="A111" s="11"/>
      <c r="B111" s="12"/>
      <c r="C111" s="9"/>
      <c r="D111" s="29"/>
      <c r="E111" s="29"/>
      <c r="F111" s="110"/>
      <c r="G111" s="1"/>
      <c r="H111" s="57">
        <f>SUM(F103:F106)</f>
        <v>0</v>
      </c>
      <c r="I111" s="30"/>
      <c r="J111" s="30"/>
    </row>
    <row r="112" spans="1:10" x14ac:dyDescent="0.2">
      <c r="A112" s="1"/>
      <c r="B112" s="1"/>
      <c r="C112" s="7"/>
      <c r="D112" s="26"/>
      <c r="E112" s="26"/>
      <c r="F112" s="86">
        <f>+F108+F99</f>
        <v>26402576.289999999</v>
      </c>
      <c r="G112" s="1"/>
      <c r="H112" s="57">
        <f>+H110-H111</f>
        <v>0</v>
      </c>
      <c r="I112" s="30"/>
      <c r="J112" s="30"/>
    </row>
    <row r="113" spans="1:10" x14ac:dyDescent="0.2">
      <c r="A113" s="1"/>
      <c r="B113" s="1"/>
      <c r="C113" s="7"/>
      <c r="D113" s="26"/>
      <c r="E113" s="26"/>
      <c r="F113" s="86">
        <f>+[1]Main!$F792</f>
        <v>26402576.300000001</v>
      </c>
      <c r="G113" s="1"/>
      <c r="H113" s="30"/>
      <c r="I113" s="30"/>
      <c r="J113" s="30"/>
    </row>
    <row r="114" spans="1:10" x14ac:dyDescent="0.2">
      <c r="A114" s="1"/>
      <c r="B114" s="1"/>
      <c r="C114" s="7"/>
      <c r="D114" s="26"/>
      <c r="E114" s="86">
        <f>+E99+[1]Main!$E792</f>
        <v>0</v>
      </c>
      <c r="F114" s="86">
        <f>+F113-F112</f>
        <v>0.01</v>
      </c>
      <c r="G114" s="1"/>
      <c r="H114" s="30"/>
      <c r="I114" s="30"/>
      <c r="J114" s="30"/>
    </row>
    <row r="115" spans="1:10" x14ac:dyDescent="0.2">
      <c r="A115" s="59"/>
      <c r="B115" s="59"/>
      <c r="C115" s="85"/>
      <c r="D115" s="86"/>
      <c r="E115" s="86"/>
      <c r="F115" s="86"/>
      <c r="G115" s="59"/>
      <c r="H115" s="57"/>
      <c r="I115" s="57"/>
      <c r="J115" s="57"/>
    </row>
    <row r="116" spans="1:10" x14ac:dyDescent="0.2">
      <c r="A116" s="59"/>
      <c r="B116" s="59"/>
      <c r="C116" s="85"/>
      <c r="D116" s="86"/>
      <c r="E116" s="86"/>
      <c r="F116" s="86"/>
      <c r="G116" s="59"/>
      <c r="H116" s="57"/>
      <c r="I116" s="57"/>
      <c r="J116" s="57"/>
    </row>
    <row r="117" spans="1:10" x14ac:dyDescent="0.2">
      <c r="A117" s="59"/>
      <c r="B117" s="59"/>
      <c r="C117" s="85"/>
      <c r="D117" s="86"/>
      <c r="E117" s="86"/>
      <c r="F117" s="86"/>
      <c r="G117" s="59"/>
      <c r="H117" s="111" t="s">
        <v>55</v>
      </c>
      <c r="I117" s="57"/>
      <c r="J117" s="57"/>
    </row>
    <row r="118" spans="1:10" x14ac:dyDescent="0.2">
      <c r="G118" s="59"/>
      <c r="H118" s="113"/>
      <c r="I118" s="112"/>
      <c r="J118" s="112"/>
    </row>
    <row r="119" spans="1:10" x14ac:dyDescent="0.2">
      <c r="G119" s="59"/>
      <c r="H119" s="112"/>
      <c r="I119" s="112"/>
      <c r="J119" s="112"/>
    </row>
    <row r="120" spans="1:10" x14ac:dyDescent="0.2">
      <c r="G120" s="59"/>
      <c r="H120" s="112"/>
      <c r="I120" s="112"/>
      <c r="J120" s="112"/>
    </row>
    <row r="121" spans="1:10" x14ac:dyDescent="0.2">
      <c r="G121" s="59"/>
      <c r="H121" s="112"/>
      <c r="I121" s="112"/>
      <c r="J121" s="112"/>
    </row>
    <row r="122" spans="1:10" x14ac:dyDescent="0.2">
      <c r="G122" s="59"/>
      <c r="H122" s="112"/>
      <c r="I122" s="112"/>
      <c r="J122" s="112"/>
    </row>
    <row r="123" spans="1:10" x14ac:dyDescent="0.2">
      <c r="G123" s="59"/>
      <c r="H123" s="71"/>
      <c r="I123" s="112"/>
      <c r="J123" s="112"/>
    </row>
  </sheetData>
  <mergeCells count="1">
    <mergeCell ref="D42:E42"/>
  </mergeCells>
  <phoneticPr fontId="0" type="noConversion"/>
  <printOptions horizontalCentered="1" verticalCentered="1"/>
  <pageMargins left="0.5" right="0.25" top="0.5" bottom="0.5" header="0.5" footer="0.5"/>
  <pageSetup scale="89" orientation="portrait" horizontalDpi="1200" r:id="rId1"/>
  <headerFooter alignWithMargins="0">
    <oddHeader>&amp;R&amp;8Current as of: &amp;D</oddHeader>
    <oddFooter>&amp;L&amp;8USOE, Finance and Statistics&amp;R&amp;8&amp;F</oddFooter>
  </headerFooter>
  <picture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0"/>
  <dimension ref="A1:J124"/>
  <sheetViews>
    <sheetView topLeftCell="A61" workbookViewId="0">
      <selection activeCell="B47" sqref="B47"/>
    </sheetView>
  </sheetViews>
  <sheetFormatPr defaultColWidth="18.28515625" defaultRowHeight="12.75" x14ac:dyDescent="0.2"/>
  <cols>
    <col min="1" max="1" width="27" style="75" customWidth="1"/>
    <col min="2" max="2" width="16.7109375" style="75" customWidth="1"/>
    <col min="3" max="3" width="15.85546875" style="75" customWidth="1"/>
    <col min="4" max="4" width="16.28515625" style="75" customWidth="1"/>
    <col min="5" max="5" width="15.5703125" style="75" customWidth="1"/>
    <col min="6" max="6" width="17.42578125" style="75" customWidth="1"/>
    <col min="7" max="7" width="5.7109375" style="75" customWidth="1"/>
    <col min="8" max="8" width="21.5703125" style="75" customWidth="1"/>
    <col min="9" max="9" width="5" style="75" customWidth="1"/>
    <col min="10" max="10" width="20.85546875" style="75" customWidth="1"/>
    <col min="11" max="16384" width="18.28515625" style="75"/>
  </cols>
  <sheetData>
    <row r="1" spans="1:10" x14ac:dyDescent="0.2">
      <c r="A1" s="8"/>
      <c r="B1" s="8"/>
      <c r="C1" s="8"/>
      <c r="D1" s="8"/>
      <c r="E1" s="8"/>
      <c r="F1" s="8"/>
      <c r="G1" s="8"/>
      <c r="H1" s="8"/>
      <c r="I1" s="8"/>
      <c r="J1" s="8"/>
    </row>
    <row r="2" spans="1:10" x14ac:dyDescent="0.2">
      <c r="A2" s="8"/>
      <c r="B2" s="8"/>
      <c r="C2" s="8"/>
      <c r="D2" s="8"/>
      <c r="E2" s="8"/>
      <c r="F2" s="8"/>
      <c r="G2" s="8"/>
      <c r="H2" s="8"/>
      <c r="I2" s="8"/>
      <c r="J2" s="8"/>
    </row>
    <row r="3" spans="1:10" x14ac:dyDescent="0.2">
      <c r="A3" s="8"/>
      <c r="B3" s="8"/>
      <c r="C3" s="8"/>
      <c r="D3" s="8"/>
      <c r="E3" s="8"/>
      <c r="F3" s="8"/>
      <c r="G3" s="8"/>
      <c r="H3" s="8"/>
      <c r="I3" s="8"/>
      <c r="J3" s="8"/>
    </row>
    <row r="4" spans="1:10" x14ac:dyDescent="0.2">
      <c r="A4" s="8"/>
      <c r="B4" s="8"/>
      <c r="C4" s="8"/>
      <c r="D4" s="8"/>
      <c r="E4" s="8"/>
      <c r="F4" s="8"/>
      <c r="G4" s="8"/>
      <c r="H4" s="8"/>
      <c r="I4" s="8"/>
      <c r="J4" s="8"/>
    </row>
    <row r="5" spans="1:10" x14ac:dyDescent="0.2">
      <c r="A5" s="8"/>
      <c r="B5" s="8"/>
      <c r="C5" s="8"/>
      <c r="D5" s="8"/>
      <c r="E5" s="8"/>
      <c r="F5" s="8"/>
      <c r="G5" s="8"/>
      <c r="H5" s="8"/>
      <c r="I5" s="8"/>
      <c r="J5" s="8"/>
    </row>
    <row r="6" spans="1:10" x14ac:dyDescent="0.2">
      <c r="A6" s="8"/>
      <c r="B6" s="8"/>
      <c r="C6" s="8"/>
      <c r="D6" s="8"/>
      <c r="E6" s="8"/>
      <c r="F6" s="8"/>
      <c r="G6" s="8"/>
      <c r="H6" s="8"/>
      <c r="I6" s="8"/>
      <c r="J6" s="8"/>
    </row>
    <row r="7" spans="1:10" x14ac:dyDescent="0.2">
      <c r="A7" s="8"/>
      <c r="B7" s="8"/>
      <c r="C7" s="8"/>
      <c r="D7" s="8"/>
      <c r="E7" s="8"/>
      <c r="F7" s="8"/>
      <c r="G7" s="8"/>
      <c r="H7" s="8"/>
      <c r="I7" s="8"/>
      <c r="J7" s="8"/>
    </row>
    <row r="8" spans="1:10" x14ac:dyDescent="0.2">
      <c r="A8" s="8"/>
      <c r="B8" s="8"/>
      <c r="C8" s="8"/>
      <c r="D8" s="8"/>
      <c r="E8" s="8"/>
      <c r="F8" s="8"/>
      <c r="G8" s="8"/>
      <c r="H8" s="8"/>
      <c r="I8" s="8"/>
      <c r="J8" s="8"/>
    </row>
    <row r="9" spans="1:10" x14ac:dyDescent="0.2">
      <c r="A9" s="8"/>
      <c r="B9" s="8"/>
      <c r="C9" s="8"/>
      <c r="D9" s="8"/>
      <c r="E9" s="8"/>
      <c r="F9" s="8"/>
      <c r="G9" s="8"/>
      <c r="H9" s="8"/>
      <c r="I9" s="8"/>
      <c r="J9" s="8"/>
    </row>
    <row r="10" spans="1:10" x14ac:dyDescent="0.2">
      <c r="A10" s="8"/>
      <c r="B10" s="15"/>
      <c r="C10" s="8"/>
      <c r="D10" s="8"/>
      <c r="E10" s="8"/>
      <c r="F10" s="8"/>
      <c r="G10" s="8"/>
      <c r="H10" s="8"/>
      <c r="I10" s="8"/>
      <c r="J10" s="8"/>
    </row>
    <row r="11" spans="1:10" x14ac:dyDescent="0.2">
      <c r="A11" s="8"/>
      <c r="B11" s="8"/>
      <c r="C11" s="8"/>
      <c r="D11" s="8"/>
      <c r="E11" s="8"/>
      <c r="F11" s="8"/>
      <c r="G11" s="8"/>
      <c r="H11" s="8"/>
      <c r="I11" s="8"/>
      <c r="J11" s="8"/>
    </row>
    <row r="12" spans="1:10" x14ac:dyDescent="0.2">
      <c r="A12" s="8"/>
      <c r="B12" s="8"/>
      <c r="C12" s="8"/>
      <c r="D12" s="8"/>
      <c r="E12" s="8"/>
      <c r="F12" s="8"/>
      <c r="G12" s="8"/>
      <c r="H12" s="8"/>
      <c r="I12" s="8"/>
      <c r="J12" s="8"/>
    </row>
    <row r="13" spans="1:10" x14ac:dyDescent="0.2">
      <c r="A13" s="8"/>
      <c r="B13" s="8"/>
      <c r="C13" s="8"/>
      <c r="D13" s="8"/>
      <c r="E13" s="8"/>
      <c r="F13" s="8"/>
      <c r="G13" s="8"/>
      <c r="H13" s="8"/>
      <c r="I13" s="8"/>
      <c r="J13" s="8"/>
    </row>
    <row r="14" spans="1:10" x14ac:dyDescent="0.2">
      <c r="A14" s="8"/>
      <c r="B14" s="8"/>
      <c r="C14" s="8"/>
      <c r="D14" s="8"/>
      <c r="E14" s="8"/>
      <c r="F14" s="8"/>
      <c r="G14" s="8"/>
      <c r="H14" s="8"/>
      <c r="I14" s="8"/>
      <c r="J14" s="8"/>
    </row>
    <row r="15" spans="1:10" x14ac:dyDescent="0.2">
      <c r="A15" s="8"/>
      <c r="B15" s="8"/>
      <c r="C15" s="8"/>
      <c r="D15" s="8"/>
      <c r="E15" s="8"/>
      <c r="F15" s="8"/>
      <c r="G15" s="8"/>
      <c r="H15" s="8"/>
      <c r="I15" s="8"/>
      <c r="J15" s="8"/>
    </row>
    <row r="16" spans="1:10" x14ac:dyDescent="0.2">
      <c r="A16" s="8"/>
      <c r="B16" s="8"/>
      <c r="C16" s="8"/>
      <c r="D16" s="8"/>
      <c r="E16" s="8"/>
      <c r="F16" s="8"/>
      <c r="G16" s="8"/>
      <c r="H16" s="8"/>
      <c r="I16" s="8"/>
      <c r="J16" s="8"/>
    </row>
    <row r="17" spans="1:10" x14ac:dyDescent="0.2">
      <c r="A17" s="8"/>
      <c r="B17" s="8"/>
      <c r="C17" s="8"/>
      <c r="D17" s="8"/>
      <c r="E17" s="8"/>
      <c r="F17" s="8"/>
      <c r="G17" s="8"/>
      <c r="H17" s="8"/>
      <c r="I17" s="8"/>
      <c r="J17" s="8"/>
    </row>
    <row r="18" spans="1:10" x14ac:dyDescent="0.2">
      <c r="A18" s="8"/>
      <c r="B18" s="8"/>
      <c r="C18" s="8"/>
      <c r="D18" s="8"/>
      <c r="E18" s="8"/>
      <c r="F18" s="8"/>
      <c r="G18" s="8"/>
      <c r="H18" s="8"/>
      <c r="I18" s="8"/>
      <c r="J18" s="8"/>
    </row>
    <row r="19" spans="1:10" x14ac:dyDescent="0.2">
      <c r="A19" s="8"/>
      <c r="B19" s="8"/>
      <c r="C19" s="8"/>
      <c r="D19" s="8"/>
      <c r="E19" s="8"/>
      <c r="F19" s="8"/>
      <c r="G19" s="8"/>
      <c r="H19" s="8"/>
      <c r="I19" s="8"/>
      <c r="J19" s="8"/>
    </row>
    <row r="20" spans="1:10" x14ac:dyDescent="0.2">
      <c r="A20" s="8"/>
      <c r="B20" s="8"/>
      <c r="C20" s="8"/>
      <c r="D20" s="8"/>
      <c r="E20" s="8"/>
      <c r="F20" s="8"/>
      <c r="G20" s="8"/>
      <c r="H20" s="8"/>
      <c r="I20" s="8"/>
      <c r="J20" s="8"/>
    </row>
    <row r="21" spans="1:10" x14ac:dyDescent="0.2">
      <c r="A21" s="8"/>
      <c r="B21" s="8"/>
      <c r="C21" s="8"/>
      <c r="D21" s="8"/>
      <c r="E21" s="8"/>
      <c r="F21" s="8"/>
      <c r="G21" s="8"/>
      <c r="H21" s="8"/>
      <c r="I21" s="8"/>
      <c r="J21" s="8"/>
    </row>
    <row r="22" spans="1:10" x14ac:dyDescent="0.2">
      <c r="A22" s="8"/>
      <c r="B22" s="8"/>
      <c r="C22" s="8"/>
      <c r="D22" s="8"/>
      <c r="E22" s="8"/>
      <c r="F22" s="8"/>
      <c r="G22" s="8"/>
      <c r="H22" s="8"/>
      <c r="I22" s="8"/>
      <c r="J22" s="8"/>
    </row>
    <row r="23" spans="1:10" x14ac:dyDescent="0.2">
      <c r="A23" s="8"/>
      <c r="B23" s="8"/>
      <c r="C23" s="8"/>
      <c r="D23" s="8"/>
      <c r="E23" s="8"/>
      <c r="F23" s="8"/>
      <c r="G23" s="8"/>
      <c r="H23" s="8"/>
      <c r="I23" s="8"/>
      <c r="J23" s="8"/>
    </row>
    <row r="24" spans="1:10" x14ac:dyDescent="0.2">
      <c r="A24" s="8"/>
      <c r="B24" s="8"/>
      <c r="C24" s="8"/>
      <c r="D24" s="8"/>
      <c r="E24" s="8"/>
      <c r="F24" s="8"/>
      <c r="G24" s="8"/>
      <c r="H24" s="8"/>
      <c r="I24" s="8"/>
      <c r="J24" s="8"/>
    </row>
    <row r="25" spans="1:10" x14ac:dyDescent="0.2">
      <c r="A25" s="8"/>
      <c r="B25" s="8"/>
      <c r="C25" s="8"/>
      <c r="D25" s="8"/>
      <c r="E25" s="8"/>
      <c r="F25" s="8"/>
      <c r="G25" s="8"/>
      <c r="H25" s="8"/>
      <c r="I25" s="8"/>
      <c r="J25" s="8"/>
    </row>
    <row r="26" spans="1:10" x14ac:dyDescent="0.2">
      <c r="A26" s="8"/>
      <c r="B26" s="8"/>
      <c r="C26" s="8"/>
      <c r="D26" s="8"/>
      <c r="E26" s="8"/>
      <c r="F26" s="8"/>
      <c r="G26" s="8"/>
      <c r="H26" s="8"/>
      <c r="I26" s="8"/>
      <c r="J26" s="8"/>
    </row>
    <row r="27" spans="1:10" x14ac:dyDescent="0.2">
      <c r="A27" s="8"/>
      <c r="B27" s="8"/>
      <c r="C27" s="8"/>
      <c r="D27" s="8"/>
      <c r="E27" s="8"/>
      <c r="F27" s="8"/>
      <c r="G27" s="8"/>
      <c r="H27" s="8"/>
      <c r="I27" s="8"/>
      <c r="J27" s="8"/>
    </row>
    <row r="28" spans="1:10" x14ac:dyDescent="0.2">
      <c r="A28" s="8"/>
      <c r="B28" s="8"/>
      <c r="C28" s="8"/>
      <c r="D28" s="8"/>
      <c r="E28" s="8"/>
      <c r="F28" s="8"/>
      <c r="G28" s="8"/>
      <c r="H28" s="8"/>
      <c r="I28" s="8"/>
      <c r="J28" s="8"/>
    </row>
    <row r="29" spans="1:10" x14ac:dyDescent="0.2">
      <c r="A29" s="8"/>
      <c r="B29" s="8"/>
      <c r="C29" s="8"/>
      <c r="D29" s="8"/>
      <c r="E29" s="8"/>
      <c r="F29" s="8"/>
      <c r="G29" s="8"/>
      <c r="H29" s="8"/>
      <c r="I29" s="8"/>
      <c r="J29" s="8"/>
    </row>
    <row r="30" spans="1:10" x14ac:dyDescent="0.2">
      <c r="A30" s="8"/>
      <c r="B30" s="8"/>
      <c r="C30" s="8"/>
      <c r="D30" s="8"/>
      <c r="E30" s="8"/>
      <c r="F30" s="8"/>
      <c r="G30" s="8"/>
      <c r="H30" s="8"/>
      <c r="I30" s="8"/>
      <c r="J30" s="8"/>
    </row>
    <row r="31" spans="1:10" x14ac:dyDescent="0.2">
      <c r="A31" s="8"/>
      <c r="B31" s="8"/>
      <c r="C31" s="8"/>
      <c r="D31" s="8"/>
      <c r="E31" s="8"/>
      <c r="F31" s="8"/>
      <c r="G31" s="8"/>
      <c r="H31" s="8"/>
      <c r="I31" s="8"/>
      <c r="J31" s="8"/>
    </row>
    <row r="32" spans="1:10" x14ac:dyDescent="0.2">
      <c r="A32" s="8"/>
      <c r="B32" s="8"/>
      <c r="C32" s="8"/>
      <c r="D32" s="8"/>
      <c r="E32" s="8"/>
      <c r="F32" s="8"/>
      <c r="G32" s="8"/>
      <c r="H32" s="8"/>
      <c r="I32" s="8"/>
      <c r="J32" s="8"/>
    </row>
    <row r="33" spans="1:10" x14ac:dyDescent="0.2">
      <c r="A33" s="8"/>
      <c r="B33" s="8"/>
      <c r="C33" s="8"/>
      <c r="D33" s="8"/>
      <c r="E33" s="8"/>
      <c r="F33" s="8"/>
      <c r="G33" s="8"/>
      <c r="H33" s="8"/>
      <c r="I33" s="8"/>
      <c r="J33" s="8"/>
    </row>
    <row r="34" spans="1:10" x14ac:dyDescent="0.2">
      <c r="A34" s="8"/>
      <c r="B34" s="8"/>
      <c r="C34" s="8"/>
      <c r="D34" s="8"/>
      <c r="E34" s="8"/>
      <c r="F34" s="8"/>
      <c r="G34" s="8"/>
      <c r="H34" s="8"/>
      <c r="I34" s="8"/>
      <c r="J34" s="8"/>
    </row>
    <row r="35" spans="1:10" x14ac:dyDescent="0.2">
      <c r="A35" s="8"/>
      <c r="B35" s="8"/>
      <c r="C35" s="8"/>
      <c r="D35" s="8"/>
      <c r="E35" s="8"/>
      <c r="F35" s="8"/>
      <c r="G35" s="8"/>
      <c r="H35" s="8"/>
      <c r="I35" s="8"/>
      <c r="J35" s="8"/>
    </row>
    <row r="36" spans="1:10" x14ac:dyDescent="0.2">
      <c r="A36" s="8"/>
      <c r="B36" s="8"/>
      <c r="C36" s="8"/>
      <c r="D36" s="8"/>
      <c r="E36" s="8"/>
      <c r="F36" s="8"/>
      <c r="G36" s="8"/>
      <c r="H36" s="8"/>
      <c r="I36" s="8"/>
      <c r="J36" s="8"/>
    </row>
    <row r="37" spans="1:10" x14ac:dyDescent="0.2">
      <c r="A37" s="8"/>
      <c r="B37" s="8"/>
      <c r="C37" s="8"/>
      <c r="D37" s="8"/>
      <c r="E37" s="8"/>
      <c r="F37" s="8"/>
      <c r="G37" s="8"/>
      <c r="H37" s="8"/>
      <c r="I37" s="8"/>
      <c r="J37" s="8"/>
    </row>
    <row r="38" spans="1:10" x14ac:dyDescent="0.2">
      <c r="A38" s="8"/>
      <c r="B38" s="8"/>
      <c r="C38" s="8"/>
      <c r="D38" s="8"/>
      <c r="E38" s="8"/>
      <c r="F38" s="8"/>
      <c r="G38" s="8"/>
      <c r="H38" s="8"/>
      <c r="I38" s="8"/>
      <c r="J38" s="8"/>
    </row>
    <row r="39" spans="1:10" x14ac:dyDescent="0.2">
      <c r="A39" s="8"/>
      <c r="B39" s="8"/>
      <c r="C39" s="8"/>
      <c r="D39" s="8"/>
      <c r="E39" s="8"/>
      <c r="F39" s="8"/>
      <c r="G39" s="8"/>
      <c r="H39" s="8"/>
      <c r="I39" s="8"/>
      <c r="J39" s="8"/>
    </row>
    <row r="40" spans="1:10" x14ac:dyDescent="0.2">
      <c r="A40" s="32" t="s">
        <v>0</v>
      </c>
      <c r="B40" s="33">
        <v>3184</v>
      </c>
      <c r="C40" s="34" t="s">
        <v>1</v>
      </c>
      <c r="D40" s="35"/>
      <c r="E40" s="35"/>
      <c r="F40" s="35"/>
      <c r="G40" s="1"/>
      <c r="H40" s="30"/>
      <c r="I40" s="30"/>
      <c r="J40" s="30"/>
    </row>
    <row r="41" spans="1:10" x14ac:dyDescent="0.2">
      <c r="A41" s="32" t="s">
        <v>61</v>
      </c>
      <c r="B41" s="36">
        <f>+[1]Main!$C566</f>
        <v>1.786E-3</v>
      </c>
      <c r="C41" s="34" t="s">
        <v>41</v>
      </c>
      <c r="D41" s="35"/>
      <c r="E41" s="35"/>
      <c r="F41" s="35"/>
      <c r="G41" s="1"/>
      <c r="H41" s="30"/>
      <c r="I41" s="30"/>
      <c r="J41" s="30"/>
    </row>
    <row r="42" spans="1:10" x14ac:dyDescent="0.2">
      <c r="A42" s="32" t="s">
        <v>62</v>
      </c>
      <c r="B42" s="36">
        <f>+[1]Main!$C621</f>
        <v>9.2699999999999998E-4</v>
      </c>
      <c r="C42" s="34" t="s">
        <v>95</v>
      </c>
      <c r="D42" s="35"/>
      <c r="E42" s="37"/>
      <c r="F42" s="35"/>
      <c r="G42" s="1"/>
      <c r="H42" s="30"/>
      <c r="I42" s="30"/>
      <c r="J42" s="30"/>
    </row>
    <row r="43" spans="1:10" x14ac:dyDescent="0.2">
      <c r="A43" s="38" t="s">
        <v>32</v>
      </c>
      <c r="B43" s="39">
        <f>[2]Sheet1!E48</f>
        <v>3272694291</v>
      </c>
      <c r="C43" s="21"/>
      <c r="D43" s="31"/>
      <c r="E43" s="31"/>
      <c r="F43" s="23"/>
      <c r="G43" s="1"/>
      <c r="H43" s="30"/>
      <c r="I43" s="30"/>
      <c r="J43" s="30"/>
    </row>
    <row r="44" spans="1:10" x14ac:dyDescent="0.2">
      <c r="A44" s="32" t="s">
        <v>2</v>
      </c>
      <c r="B44" s="40">
        <f>[2]Sheet1!F48</f>
        <v>0.9738</v>
      </c>
      <c r="C44" s="7"/>
      <c r="D44" s="41" t="s">
        <v>3</v>
      </c>
      <c r="E44" s="42" t="str">
        <f>+[3]main!B49</f>
        <v>Murray</v>
      </c>
      <c r="F44" s="43">
        <f>+[3]main!A49</f>
        <v>40</v>
      </c>
      <c r="G44" s="1"/>
      <c r="H44" s="30"/>
      <c r="I44" s="30"/>
      <c r="J44" s="30"/>
    </row>
    <row r="45" spans="1:10" x14ac:dyDescent="0.2">
      <c r="A45" s="32" t="s">
        <v>4</v>
      </c>
      <c r="B45" s="44">
        <f>[2]Sheet1!G48</f>
        <v>1.6750000000000001E-3</v>
      </c>
      <c r="C45" s="8"/>
      <c r="D45" s="24"/>
      <c r="E45" s="25"/>
      <c r="F45" s="24"/>
      <c r="G45" s="1"/>
      <c r="H45" s="30"/>
      <c r="I45" s="30"/>
      <c r="J45" s="30"/>
    </row>
    <row r="46" spans="1:10" x14ac:dyDescent="0.2">
      <c r="A46" s="32" t="s">
        <v>5</v>
      </c>
      <c r="B46" s="45">
        <f>[2]Sheet1!$C$104</f>
        <v>5965650</v>
      </c>
      <c r="C46" s="46"/>
      <c r="D46" s="47" t="s">
        <v>38</v>
      </c>
      <c r="E46" s="48" t="s">
        <v>7</v>
      </c>
      <c r="F46" s="47" t="s">
        <v>6</v>
      </c>
      <c r="G46" s="1"/>
      <c r="H46" s="30"/>
      <c r="I46" s="30"/>
      <c r="J46" s="30"/>
    </row>
    <row r="47" spans="1:10" x14ac:dyDescent="0.2">
      <c r="A47" s="32" t="s">
        <v>8</v>
      </c>
      <c r="B47" s="45">
        <f>+B46</f>
        <v>5965650</v>
      </c>
      <c r="C47" s="49"/>
      <c r="D47" s="50" t="s">
        <v>9</v>
      </c>
      <c r="E47" s="50" t="s">
        <v>37</v>
      </c>
      <c r="F47" s="50" t="s">
        <v>10</v>
      </c>
      <c r="G47" s="1"/>
      <c r="H47" s="30"/>
      <c r="I47" s="30"/>
      <c r="J47" s="30"/>
    </row>
    <row r="48" spans="1:10" x14ac:dyDescent="0.2">
      <c r="A48" s="32" t="s">
        <v>11</v>
      </c>
      <c r="B48" s="45">
        <v>0</v>
      </c>
      <c r="C48" s="51" t="s">
        <v>39</v>
      </c>
      <c r="D48" s="52" t="s">
        <v>12</v>
      </c>
      <c r="E48" s="52" t="s">
        <v>9</v>
      </c>
      <c r="F48" s="52" t="s">
        <v>9</v>
      </c>
      <c r="G48" s="1"/>
      <c r="H48" s="30"/>
      <c r="I48" s="30"/>
      <c r="J48" s="30"/>
    </row>
    <row r="49" spans="1:10" x14ac:dyDescent="0.2">
      <c r="A49" s="32" t="s">
        <v>70</v>
      </c>
      <c r="B49" s="45">
        <f>'[4]LRF FY17'!U46</f>
        <v>143060</v>
      </c>
      <c r="C49" s="53"/>
      <c r="D49" s="54"/>
      <c r="E49" s="54"/>
      <c r="F49" s="54" t="s">
        <v>14</v>
      </c>
      <c r="G49" s="1"/>
      <c r="H49" s="30"/>
      <c r="I49" s="30"/>
      <c r="J49" s="30"/>
    </row>
    <row r="50" spans="1:10" x14ac:dyDescent="0.2">
      <c r="A50" s="55" t="s">
        <v>13</v>
      </c>
      <c r="B50" s="56"/>
      <c r="C50" s="53"/>
      <c r="D50" s="54"/>
      <c r="E50" s="54"/>
      <c r="F50" s="54"/>
      <c r="G50" s="2"/>
      <c r="H50" s="30"/>
      <c r="I50" s="30"/>
      <c r="J50" s="30"/>
    </row>
    <row r="51" spans="1:10" x14ac:dyDescent="0.2">
      <c r="A51" s="55" t="s">
        <v>15</v>
      </c>
      <c r="B51" s="56"/>
      <c r="C51" s="53"/>
      <c r="D51" s="54"/>
      <c r="E51" s="54"/>
      <c r="F51" s="54"/>
      <c r="G51" s="2"/>
      <c r="H51" s="57" t="s">
        <v>43</v>
      </c>
      <c r="I51" s="30"/>
      <c r="J51" s="57" t="s">
        <v>45</v>
      </c>
    </row>
    <row r="52" spans="1:10" x14ac:dyDescent="0.2">
      <c r="A52" s="58" t="s">
        <v>16</v>
      </c>
      <c r="B52" s="59"/>
      <c r="C52" s="60">
        <f>[3]main!C223-[3]main!F165</f>
        <v>6154.14</v>
      </c>
      <c r="D52" s="61">
        <f>[3]main!E223-[3]main!H165</f>
        <v>19594782.539999999</v>
      </c>
      <c r="E52" s="62">
        <f>IF(B47&gt;D52,D52,B47)</f>
        <v>5965650</v>
      </c>
      <c r="F52" s="62">
        <f>D52-E52</f>
        <v>13629132.539999999</v>
      </c>
      <c r="G52" s="1"/>
      <c r="H52" s="57">
        <f>[3]main!H282</f>
        <v>21587123.18</v>
      </c>
      <c r="I52" s="30"/>
      <c r="J52" s="57">
        <f>'[5]Sheet 1'!E106</f>
        <v>26541393.030000001</v>
      </c>
    </row>
    <row r="53" spans="1:10" x14ac:dyDescent="0.2">
      <c r="A53" s="58" t="s">
        <v>17</v>
      </c>
      <c r="B53" s="59"/>
      <c r="C53" s="53">
        <f>[3]main!F165</f>
        <v>0</v>
      </c>
      <c r="D53" s="54">
        <f>[3]main!H165</f>
        <v>0</v>
      </c>
      <c r="E53" s="54">
        <f>IF(B46-SUM(E50:E52)&gt;D53,D53,B46-SUM(E50:E52))</f>
        <v>0</v>
      </c>
      <c r="F53" s="54">
        <f>D53-E53</f>
        <v>0</v>
      </c>
      <c r="G53" s="1"/>
      <c r="H53" s="57">
        <f>SUM(D52:D56)</f>
        <v>21587123.18</v>
      </c>
      <c r="I53" s="30"/>
      <c r="J53" s="57">
        <f>D67</f>
        <v>26541393.030000001</v>
      </c>
    </row>
    <row r="54" spans="1:10" x14ac:dyDescent="0.2">
      <c r="A54" s="58" t="s">
        <v>18</v>
      </c>
      <c r="B54" s="59"/>
      <c r="C54" s="53">
        <f>[3]main!F223</f>
        <v>619.73500000000001</v>
      </c>
      <c r="D54" s="54">
        <f>[3]main!H223</f>
        <v>1973236.64</v>
      </c>
      <c r="E54" s="54">
        <f>IF(B47-SUM(E52:E53)&gt;D54,D54,B47-SUM(E52:E53))</f>
        <v>0</v>
      </c>
      <c r="F54" s="54">
        <f>D54-E54</f>
        <v>1973236.64</v>
      </c>
      <c r="G54" s="1"/>
      <c r="H54" s="57">
        <f>+H52-H53</f>
        <v>0</v>
      </c>
      <c r="I54" s="30"/>
      <c r="J54" s="57">
        <f>+J52-J53</f>
        <v>0</v>
      </c>
    </row>
    <row r="55" spans="1:10" x14ac:dyDescent="0.2">
      <c r="A55" s="58" t="s">
        <v>19</v>
      </c>
      <c r="B55" s="59"/>
      <c r="C55" s="53">
        <f>[3]main!C282</f>
        <v>0</v>
      </c>
      <c r="D55" s="54">
        <f>[3]main!E282</f>
        <v>0</v>
      </c>
      <c r="E55" s="54">
        <f>IF(B47-SUM(E52:E54)&gt;D55,D55,B47-SUM(E52:E54))</f>
        <v>0</v>
      </c>
      <c r="F55" s="54">
        <f>D55-E55</f>
        <v>0</v>
      </c>
      <c r="G55" s="1"/>
      <c r="H55" s="30"/>
      <c r="I55" s="30"/>
      <c r="J55" s="30"/>
    </row>
    <row r="56" spans="1:10" x14ac:dyDescent="0.2">
      <c r="A56" s="58" t="s">
        <v>42</v>
      </c>
      <c r="B56" s="59"/>
      <c r="C56" s="53">
        <f>[3]main!C106</f>
        <v>6</v>
      </c>
      <c r="D56" s="54">
        <f>[3]main!E106</f>
        <v>19104</v>
      </c>
      <c r="E56" s="54">
        <f>IF(B47-SUM(E52:E55)&gt;D56,D56,B47-SUM(E52:E55))</f>
        <v>0</v>
      </c>
      <c r="F56" s="54">
        <f>D56-E56</f>
        <v>19104</v>
      </c>
      <c r="G56" s="1"/>
      <c r="H56" s="30"/>
      <c r="I56" s="30"/>
      <c r="J56" s="30"/>
    </row>
    <row r="57" spans="1:10" x14ac:dyDescent="0.2">
      <c r="A57" s="55" t="s">
        <v>20</v>
      </c>
      <c r="B57" s="56"/>
      <c r="C57" s="63"/>
      <c r="D57" s="64"/>
      <c r="E57" s="64"/>
      <c r="F57" s="64" t="s">
        <v>14</v>
      </c>
      <c r="G57" s="1"/>
      <c r="H57" s="57" t="s">
        <v>44</v>
      </c>
      <c r="I57" s="30"/>
      <c r="J57" s="30"/>
    </row>
    <row r="58" spans="1:10" x14ac:dyDescent="0.2">
      <c r="A58" s="58" t="s">
        <v>21</v>
      </c>
      <c r="B58" s="59"/>
      <c r="C58" s="53">
        <f>'[6]Sheet 1'!C48</f>
        <v>653.85699999999997</v>
      </c>
      <c r="D58" s="54">
        <f>'[6]Sheet 1'!E48</f>
        <v>2081881.75</v>
      </c>
      <c r="E58" s="54">
        <f>IF(B47-SUM(E52:E57)&gt;D58,D58,B47-SUM(E52:E57))</f>
        <v>0</v>
      </c>
      <c r="F58" s="54">
        <f t="shared" ref="F58:F66" si="0">D58-E58</f>
        <v>2081881.75</v>
      </c>
      <c r="G58" s="1"/>
      <c r="H58" s="57">
        <f>'[6]Sheet 1'!N164</f>
        <v>2747262.1</v>
      </c>
      <c r="I58" s="30"/>
      <c r="J58" s="30"/>
    </row>
    <row r="59" spans="1:10" x14ac:dyDescent="0.2">
      <c r="A59" s="59" t="s">
        <v>22</v>
      </c>
      <c r="B59" s="59"/>
      <c r="C59" s="53">
        <f>'[6]Sheet 1'!F48</f>
        <v>109.04</v>
      </c>
      <c r="D59" s="54">
        <f>'[6]Sheet 1'!H48</f>
        <v>347183.35999999999</v>
      </c>
      <c r="E59" s="54">
        <f>IF(B47-SUM(E52:E58)&gt;D59,D59,B47-SUM(E52:E58))</f>
        <v>0</v>
      </c>
      <c r="F59" s="54">
        <f t="shared" si="0"/>
        <v>347183.35999999999</v>
      </c>
      <c r="G59" s="1"/>
      <c r="H59" s="57">
        <f>SUM(D58:D64)</f>
        <v>2747262.1</v>
      </c>
      <c r="I59" s="30"/>
      <c r="J59" s="30"/>
    </row>
    <row r="60" spans="1:10" x14ac:dyDescent="0.2">
      <c r="A60" s="59" t="s">
        <v>23</v>
      </c>
      <c r="B60" s="59"/>
      <c r="C60" s="53">
        <f>'[6]Sheet 1'!C106</f>
        <v>77.91</v>
      </c>
      <c r="D60" s="54">
        <f>'[6]Sheet 1'!E106</f>
        <v>248065.44</v>
      </c>
      <c r="E60" s="54">
        <f>IF(B47-SUM(E52:E59)&gt;D60,D60,B47-SUM(E52:E59))</f>
        <v>0</v>
      </c>
      <c r="F60" s="54">
        <f t="shared" si="0"/>
        <v>248065.44</v>
      </c>
      <c r="G60" s="1"/>
      <c r="H60" s="57">
        <f>+H58-H59</f>
        <v>0</v>
      </c>
      <c r="I60" s="30"/>
      <c r="J60" s="30"/>
    </row>
    <row r="61" spans="1:10" x14ac:dyDescent="0.2">
      <c r="A61" s="58" t="s">
        <v>24</v>
      </c>
      <c r="B61" s="59"/>
      <c r="C61" s="53">
        <f>'[6]Sheet 1'!F106</f>
        <v>3.9820000000000002</v>
      </c>
      <c r="D61" s="54">
        <f>'[6]Sheet 1'!H106</f>
        <v>12679.15</v>
      </c>
      <c r="E61" s="54">
        <f>IF(B47-SUM(E52:E60)&gt;D61,D61,B47-SUM(E52:E60))</f>
        <v>0</v>
      </c>
      <c r="F61" s="54">
        <f t="shared" si="0"/>
        <v>12679.15</v>
      </c>
      <c r="G61" s="1"/>
      <c r="H61" s="30"/>
      <c r="I61" s="30"/>
      <c r="J61" s="30"/>
    </row>
    <row r="62" spans="1:10" x14ac:dyDescent="0.2">
      <c r="A62" s="59" t="s">
        <v>71</v>
      </c>
      <c r="B62" s="59"/>
      <c r="C62" s="53">
        <f>'[6]Sheet 1'!C164</f>
        <v>18.044</v>
      </c>
      <c r="D62" s="54">
        <f>'[6]Sheet 1'!E164</f>
        <v>57452.4</v>
      </c>
      <c r="E62" s="54">
        <f>IF(B47-SUM(E52:E61)&gt;D62,D62,B47-SUM(E52:E61))</f>
        <v>0</v>
      </c>
      <c r="F62" s="54">
        <f t="shared" si="0"/>
        <v>57452.4</v>
      </c>
      <c r="G62" s="1"/>
      <c r="H62" s="30"/>
      <c r="I62" s="30"/>
      <c r="J62" s="30"/>
    </row>
    <row r="63" spans="1:10" x14ac:dyDescent="0.2">
      <c r="A63" s="59" t="s">
        <v>57</v>
      </c>
      <c r="B63" s="59"/>
      <c r="C63" s="53">
        <f>'[6]Sheet 1'!F164</f>
        <v>0</v>
      </c>
      <c r="D63" s="54">
        <f>'[6]Sheet 1'!H164</f>
        <v>0</v>
      </c>
      <c r="E63" s="54">
        <f>IF(B48-SUM(E53:E62)&gt;D63,D63,B48-SUM(E53:E62))</f>
        <v>0</v>
      </c>
      <c r="F63" s="54">
        <f t="shared" si="0"/>
        <v>0</v>
      </c>
      <c r="G63" s="1"/>
      <c r="H63" s="30"/>
      <c r="I63" s="30"/>
      <c r="J63" s="30"/>
    </row>
    <row r="64" spans="1:10" x14ac:dyDescent="0.2">
      <c r="A64" s="59" t="s">
        <v>64</v>
      </c>
      <c r="B64" s="59"/>
      <c r="C64" s="53">
        <f>'[6]Sheet 1'!I164</f>
        <v>0</v>
      </c>
      <c r="D64" s="54">
        <f>'[6]Sheet 1'!K164</f>
        <v>0</v>
      </c>
      <c r="E64" s="54">
        <f>IF(B50-SUM(E54:E63)&gt;D64,D64,B50-SUM(E54:E63))</f>
        <v>0</v>
      </c>
      <c r="F64" s="54">
        <f t="shared" si="0"/>
        <v>0</v>
      </c>
      <c r="G64" s="1"/>
      <c r="H64" s="57" t="s">
        <v>46</v>
      </c>
      <c r="I64" s="30"/>
      <c r="J64" s="30"/>
    </row>
    <row r="65" spans="1:10" x14ac:dyDescent="0.2">
      <c r="A65" s="59" t="s">
        <v>58</v>
      </c>
      <c r="B65" s="59"/>
      <c r="C65" s="53">
        <f>'[6]Sheet 1'!C222</f>
        <v>295.04000000000002</v>
      </c>
      <c r="D65" s="54">
        <f>'[6]Sheet 1'!E222</f>
        <v>939407.86</v>
      </c>
      <c r="E65" s="54">
        <f>IF(B47-SUM(E52:E62)&gt;D65,D65,B47-SUM(E52:E62))</f>
        <v>0</v>
      </c>
      <c r="F65" s="54">
        <f t="shared" si="0"/>
        <v>939407.86</v>
      </c>
      <c r="G65" s="4"/>
      <c r="H65" s="57">
        <f>+'[6]Sheet 1'!E222</f>
        <v>939407.86</v>
      </c>
      <c r="I65" s="30"/>
      <c r="J65" s="30"/>
    </row>
    <row r="66" spans="1:10" x14ac:dyDescent="0.2">
      <c r="A66" s="58" t="s">
        <v>59</v>
      </c>
      <c r="B66" s="59"/>
      <c r="C66" s="53">
        <f>'[5]Sheet 1'!C48</f>
        <v>398.11599999999999</v>
      </c>
      <c r="D66" s="54">
        <f>'[5]Sheet 1'!E48</f>
        <v>1267599.8899999999</v>
      </c>
      <c r="E66" s="54">
        <f>IF(B47-SUM(E52:E65)&gt;D66,D66,B47-SUM(E52:E65))</f>
        <v>0</v>
      </c>
      <c r="F66" s="54">
        <f t="shared" si="0"/>
        <v>1267599.8899999999</v>
      </c>
      <c r="G66" s="5"/>
      <c r="H66" s="57">
        <f>+D65</f>
        <v>939407.86</v>
      </c>
      <c r="I66" s="30"/>
      <c r="J66" s="30"/>
    </row>
    <row r="67" spans="1:10" x14ac:dyDescent="0.2">
      <c r="A67" s="65" t="s">
        <v>28</v>
      </c>
      <c r="B67" s="56"/>
      <c r="C67" s="66">
        <f>SUM(C52:C66)</f>
        <v>8335.8639999999996</v>
      </c>
      <c r="D67" s="67">
        <f>SUM(D52:D66)</f>
        <v>26541393.030000001</v>
      </c>
      <c r="E67" s="67">
        <f>SUM(E52:E66)</f>
        <v>5965650</v>
      </c>
      <c r="F67" s="67">
        <f>SUM(F52:F66)</f>
        <v>20575743.030000001</v>
      </c>
      <c r="G67" s="1"/>
      <c r="H67" s="57">
        <f>+H65-H66</f>
        <v>0</v>
      </c>
      <c r="I67" s="30"/>
      <c r="J67" s="30"/>
    </row>
    <row r="68" spans="1:10" x14ac:dyDescent="0.2">
      <c r="A68" s="68" t="s">
        <v>26</v>
      </c>
      <c r="B68" s="56"/>
      <c r="C68" s="69"/>
      <c r="D68" s="54"/>
      <c r="E68" s="54"/>
      <c r="F68" s="54"/>
      <c r="G68" s="1"/>
      <c r="H68" s="57" t="s">
        <v>47</v>
      </c>
      <c r="I68" s="30"/>
      <c r="J68" s="57" t="s">
        <v>52</v>
      </c>
    </row>
    <row r="69" spans="1:10" x14ac:dyDescent="0.2">
      <c r="A69" s="58" t="s">
        <v>56</v>
      </c>
      <c r="B69" s="59"/>
      <c r="C69" s="20"/>
      <c r="D69" s="70">
        <f>[1]Main!F49</f>
        <v>76874</v>
      </c>
      <c r="E69" s="54">
        <f>IF($B47-SUM($E67)&gt;D69,D69,$B47-SUM($E67))</f>
        <v>0</v>
      </c>
      <c r="F69" s="54">
        <f t="shared" ref="F69:F87" si="1">D69-E69</f>
        <v>76874</v>
      </c>
      <c r="G69" s="1"/>
      <c r="H69" s="57">
        <f>[1]Main!G49</f>
        <v>460694.21</v>
      </c>
      <c r="I69" s="30"/>
      <c r="J69" s="57">
        <f>+[1]Main!D510</f>
        <v>3975380.22</v>
      </c>
    </row>
    <row r="70" spans="1:10" x14ac:dyDescent="0.2">
      <c r="A70" s="59" t="s">
        <v>25</v>
      </c>
      <c r="B70" s="59"/>
      <c r="C70" s="20"/>
      <c r="D70" s="70">
        <f>[1]Main!C49</f>
        <v>383820.21</v>
      </c>
      <c r="E70" s="54">
        <f>IF($B47-SUM($E67:E69)&gt;D70,D70,B47-SUM($E67:E69))</f>
        <v>0</v>
      </c>
      <c r="F70" s="54">
        <f t="shared" si="1"/>
        <v>383820.21</v>
      </c>
      <c r="G70" s="1"/>
      <c r="H70" s="57">
        <f>SUM(D69:D71)</f>
        <v>460694.21</v>
      </c>
      <c r="I70" s="30"/>
      <c r="J70" s="57">
        <f>SUM(D69:D96)-E82</f>
        <v>3975380.22</v>
      </c>
    </row>
    <row r="71" spans="1:10" x14ac:dyDescent="0.2">
      <c r="A71" s="71" t="s">
        <v>27</v>
      </c>
      <c r="B71" s="59"/>
      <c r="C71" s="20"/>
      <c r="D71" s="70">
        <f>[1]Main!D49</f>
        <v>0</v>
      </c>
      <c r="E71" s="54">
        <f>IF($B47-SUM($E67:E70)&gt;D71,D71,$B47-SUM($E67:E70))</f>
        <v>0</v>
      </c>
      <c r="F71" s="54">
        <f>D71-E71</f>
        <v>0</v>
      </c>
      <c r="G71" s="1"/>
      <c r="H71" s="57">
        <f>+H69-H70</f>
        <v>0</v>
      </c>
      <c r="I71" s="30"/>
      <c r="J71" s="57">
        <f>+J69-J70</f>
        <v>0</v>
      </c>
    </row>
    <row r="72" spans="1:10" x14ac:dyDescent="0.2">
      <c r="A72" s="72" t="s">
        <v>72</v>
      </c>
      <c r="B72" s="59"/>
      <c r="C72" s="20"/>
      <c r="D72" s="70">
        <f>[1]Main!E49</f>
        <v>0</v>
      </c>
      <c r="E72" s="54">
        <f>IF($B48-SUM($E68:E71)&gt;D72,D72,$B48-SUM($E68:E71))</f>
        <v>0</v>
      </c>
      <c r="F72" s="54">
        <f>D72-E72</f>
        <v>0</v>
      </c>
      <c r="G72" s="1"/>
      <c r="H72" s="30"/>
      <c r="I72" s="30"/>
      <c r="J72" s="30"/>
    </row>
    <row r="73" spans="1:10" x14ac:dyDescent="0.2">
      <c r="A73" s="72" t="s">
        <v>73</v>
      </c>
      <c r="B73" s="59"/>
      <c r="C73" s="20"/>
      <c r="D73" s="54">
        <f>+[1]Main!$F165</f>
        <v>47926.720000000001</v>
      </c>
      <c r="E73" s="54">
        <f>IF($B47-SUM($E67:E71)&gt;D73,D73,$B47-SUM($E67:E71))</f>
        <v>0</v>
      </c>
      <c r="F73" s="54">
        <f t="shared" si="1"/>
        <v>47926.720000000001</v>
      </c>
      <c r="G73" s="1"/>
      <c r="H73" s="30"/>
      <c r="I73" s="30"/>
      <c r="J73" s="30"/>
    </row>
    <row r="74" spans="1:10" x14ac:dyDescent="0.2">
      <c r="A74" s="71" t="s">
        <v>74</v>
      </c>
      <c r="B74" s="59"/>
      <c r="C74" s="20"/>
      <c r="D74" s="54">
        <f>+[1]Main!$C107</f>
        <v>205505</v>
      </c>
      <c r="E74" s="54">
        <f>IF($B47-SUM($E67:E73)&gt;D74,D74,$B47-SUM($E67:E73))</f>
        <v>0</v>
      </c>
      <c r="F74" s="54">
        <f t="shared" si="1"/>
        <v>205505</v>
      </c>
      <c r="G74" s="1"/>
      <c r="H74" s="30"/>
      <c r="I74" s="30"/>
      <c r="J74" s="30"/>
    </row>
    <row r="75" spans="1:10" x14ac:dyDescent="0.2">
      <c r="A75" s="71" t="s">
        <v>75</v>
      </c>
      <c r="B75" s="59"/>
      <c r="C75" s="20"/>
      <c r="D75" s="54">
        <f>+[1]Main!$D107</f>
        <v>1193.8800000000001</v>
      </c>
      <c r="E75" s="54">
        <f>IF($B47-SUM($E67:E74)&gt;D75,D75,$B47-SUM($E67:E74))</f>
        <v>0</v>
      </c>
      <c r="F75" s="54">
        <f t="shared" si="1"/>
        <v>1193.8800000000001</v>
      </c>
      <c r="G75" s="1"/>
      <c r="H75" s="30"/>
      <c r="I75" s="30"/>
      <c r="J75" s="30"/>
    </row>
    <row r="76" spans="1:10" x14ac:dyDescent="0.2">
      <c r="A76" s="71" t="s">
        <v>76</v>
      </c>
      <c r="B76" s="59"/>
      <c r="C76" s="20"/>
      <c r="D76" s="54">
        <f>+[1]Main!$E107</f>
        <v>38558</v>
      </c>
      <c r="E76" s="54">
        <f>IF($B47-SUM($E67:E75)&gt;D76,D76,$B47-SUM($E67:E75))</f>
        <v>0</v>
      </c>
      <c r="F76" s="54">
        <f t="shared" si="1"/>
        <v>38558</v>
      </c>
      <c r="G76" s="1"/>
      <c r="H76" s="30"/>
      <c r="I76" s="30"/>
      <c r="J76" s="30"/>
    </row>
    <row r="77" spans="1:10" x14ac:dyDescent="0.2">
      <c r="A77" s="71" t="s">
        <v>77</v>
      </c>
      <c r="B77" s="59"/>
      <c r="C77" s="20"/>
      <c r="D77" s="54">
        <f>[1]Main!F107</f>
        <v>34641</v>
      </c>
      <c r="E77" s="54">
        <f>IF($B47-SUM($E67:E76)&gt;D77,D77,$B47-SUM($E67:E76))</f>
        <v>0</v>
      </c>
      <c r="F77" s="54">
        <f t="shared" si="1"/>
        <v>34641</v>
      </c>
      <c r="G77" s="1"/>
      <c r="H77" s="57" t="s">
        <v>48</v>
      </c>
      <c r="I77" s="30"/>
      <c r="J77" s="30"/>
    </row>
    <row r="78" spans="1:10" x14ac:dyDescent="0.2">
      <c r="A78" s="71" t="s">
        <v>79</v>
      </c>
      <c r="B78" s="59"/>
      <c r="C78" s="20"/>
      <c r="D78" s="54">
        <f>[1]Main!G107</f>
        <v>0</v>
      </c>
      <c r="E78" s="54">
        <f>IF($B47-SUM($E67:E77)&gt;D78,D78,$B47-SUM($E67:E77))</f>
        <v>0</v>
      </c>
      <c r="F78" s="54">
        <f t="shared" si="1"/>
        <v>0</v>
      </c>
      <c r="G78" s="1"/>
      <c r="H78" s="57"/>
      <c r="I78" s="30"/>
      <c r="J78" s="30"/>
    </row>
    <row r="79" spans="1:10" x14ac:dyDescent="0.2">
      <c r="A79" s="71" t="s">
        <v>78</v>
      </c>
      <c r="B79" s="59"/>
      <c r="C79" s="20"/>
      <c r="D79" s="54">
        <f>[1]Main!G165</f>
        <v>85319.58</v>
      </c>
      <c r="E79" s="54">
        <f>IF($B47-SUM($E67:E78)&gt;D79,D79,$B47-SUM($E67:E78))</f>
        <v>0</v>
      </c>
      <c r="F79" s="54">
        <f t="shared" si="1"/>
        <v>85319.58</v>
      </c>
      <c r="G79" s="1"/>
      <c r="H79" s="73">
        <f>+[1]Main!D223</f>
        <v>413144.18</v>
      </c>
      <c r="I79" s="30"/>
      <c r="J79" s="30"/>
    </row>
    <row r="80" spans="1:10" x14ac:dyDescent="0.2">
      <c r="A80" s="71" t="s">
        <v>80</v>
      </c>
      <c r="B80" s="59"/>
      <c r="C80" s="20"/>
      <c r="D80" s="54">
        <f>[1]Main!C223</f>
        <v>0</v>
      </c>
      <c r="E80" s="54"/>
      <c r="F80" s="54">
        <f t="shared" si="1"/>
        <v>0</v>
      </c>
      <c r="G80" s="1"/>
      <c r="H80" s="57">
        <f>+SUM(D73:D80)</f>
        <v>413144.18</v>
      </c>
      <c r="I80" s="30"/>
      <c r="J80" s="30"/>
    </row>
    <row r="81" spans="1:10" x14ac:dyDescent="0.2">
      <c r="A81" s="71" t="s">
        <v>81</v>
      </c>
      <c r="B81" s="59"/>
      <c r="C81" s="20"/>
      <c r="D81" s="54">
        <f>[1]Main!C281</f>
        <v>562391</v>
      </c>
      <c r="E81" s="54">
        <v>0</v>
      </c>
      <c r="F81" s="54">
        <f t="shared" si="1"/>
        <v>562391</v>
      </c>
      <c r="G81" s="1"/>
      <c r="H81" s="57">
        <f>+H79-H80</f>
        <v>0</v>
      </c>
      <c r="I81" s="30"/>
      <c r="J81" s="30"/>
    </row>
    <row r="82" spans="1:10" x14ac:dyDescent="0.2">
      <c r="A82" s="71" t="s">
        <v>82</v>
      </c>
      <c r="B82" s="59"/>
      <c r="C82" s="20"/>
      <c r="D82" s="54">
        <f>+[7]Main!I48+[7]Main!J48</f>
        <v>453679.53</v>
      </c>
      <c r="E82" s="74">
        <f>[7]Main!J48</f>
        <v>336161.1</v>
      </c>
      <c r="F82" s="54">
        <f t="shared" si="1"/>
        <v>117518.43</v>
      </c>
      <c r="G82" s="1"/>
      <c r="H82" s="30"/>
      <c r="I82" s="30"/>
      <c r="J82" s="30"/>
    </row>
    <row r="83" spans="1:10" x14ac:dyDescent="0.2">
      <c r="A83" s="71" t="s">
        <v>83</v>
      </c>
      <c r="B83" s="59"/>
      <c r="C83" s="20"/>
      <c r="D83" s="54">
        <f>[1]Main!F281</f>
        <v>90021</v>
      </c>
      <c r="E83" s="54">
        <v>0</v>
      </c>
      <c r="F83" s="54">
        <f t="shared" si="1"/>
        <v>90021</v>
      </c>
      <c r="G83" s="1"/>
      <c r="H83" s="30"/>
      <c r="I83" s="30"/>
      <c r="J83" s="30"/>
    </row>
    <row r="84" spans="1:10" x14ac:dyDescent="0.2">
      <c r="A84" s="71" t="s">
        <v>84</v>
      </c>
      <c r="B84" s="59"/>
      <c r="C84" s="7"/>
      <c r="D84" s="54">
        <f>[1]Main!E281</f>
        <v>12406.46</v>
      </c>
      <c r="E84" s="54">
        <v>0</v>
      </c>
      <c r="F84" s="54">
        <f t="shared" si="1"/>
        <v>12406.46</v>
      </c>
      <c r="G84" s="1"/>
      <c r="H84" s="57" t="s">
        <v>49</v>
      </c>
      <c r="I84" s="30"/>
      <c r="J84" s="30"/>
    </row>
    <row r="85" spans="1:10" x14ac:dyDescent="0.2">
      <c r="A85" s="71" t="s">
        <v>85</v>
      </c>
      <c r="B85" s="59"/>
      <c r="C85" s="7"/>
      <c r="D85" s="54">
        <f>[1]Main!G281</f>
        <v>35941</v>
      </c>
      <c r="E85" s="54">
        <v>0</v>
      </c>
      <c r="F85" s="54">
        <f t="shared" si="1"/>
        <v>35941</v>
      </c>
      <c r="G85" s="1"/>
      <c r="H85" s="57">
        <f>+[1]Main!C510</f>
        <v>3009268.33</v>
      </c>
      <c r="I85" s="57"/>
      <c r="J85" s="57"/>
    </row>
    <row r="86" spans="1:10" x14ac:dyDescent="0.2">
      <c r="A86" s="71" t="s">
        <v>86</v>
      </c>
      <c r="B86" s="59"/>
      <c r="C86" s="20"/>
      <c r="D86" s="54">
        <f>[1]Main!C339</f>
        <v>182000</v>
      </c>
      <c r="E86" s="54">
        <v>0</v>
      </c>
      <c r="F86" s="54">
        <f t="shared" si="1"/>
        <v>182000</v>
      </c>
      <c r="G86" s="1"/>
      <c r="H86" s="57">
        <f>+SUM(D81:D91)-E82</f>
        <v>3009268.33</v>
      </c>
      <c r="I86" s="57"/>
      <c r="J86" s="57">
        <f>+H86-H85</f>
        <v>0</v>
      </c>
    </row>
    <row r="87" spans="1:10" x14ac:dyDescent="0.2">
      <c r="A87" s="71" t="s">
        <v>87</v>
      </c>
      <c r="C87" s="8"/>
      <c r="D87" s="76">
        <f>[1]Main!D339</f>
        <v>1712874.11</v>
      </c>
      <c r="E87" s="77">
        <v>0</v>
      </c>
      <c r="F87" s="77">
        <f t="shared" si="1"/>
        <v>1712874.11</v>
      </c>
      <c r="G87" s="5"/>
      <c r="H87" s="57">
        <f>+H85-H86</f>
        <v>0</v>
      </c>
      <c r="I87" s="57"/>
      <c r="J87" s="57"/>
    </row>
    <row r="88" spans="1:10" x14ac:dyDescent="0.2">
      <c r="A88" s="71" t="s">
        <v>88</v>
      </c>
      <c r="B88" s="59"/>
      <c r="C88" s="20"/>
      <c r="D88" s="54">
        <f>+[1]Main!$E339</f>
        <v>8692.42</v>
      </c>
      <c r="E88" s="54">
        <v>0</v>
      </c>
      <c r="F88" s="54">
        <f>D88-E88</f>
        <v>8692.42</v>
      </c>
      <c r="G88" s="4"/>
      <c r="H88" s="30"/>
      <c r="I88" s="30"/>
      <c r="J88" s="30"/>
    </row>
    <row r="89" spans="1:10" x14ac:dyDescent="0.2">
      <c r="A89" s="71" t="s">
        <v>89</v>
      </c>
      <c r="B89" s="59"/>
      <c r="C89" s="20"/>
      <c r="D89" s="54">
        <f>[1]Main!F339</f>
        <v>46984.08</v>
      </c>
      <c r="E89" s="54">
        <v>0</v>
      </c>
      <c r="F89" s="54">
        <f>D89-E89</f>
        <v>46984.08</v>
      </c>
      <c r="G89" s="4"/>
      <c r="H89" s="30"/>
      <c r="I89" s="30"/>
      <c r="J89" s="30"/>
    </row>
    <row r="90" spans="1:10" x14ac:dyDescent="0.2">
      <c r="A90" s="71" t="s">
        <v>90</v>
      </c>
      <c r="B90" s="59"/>
      <c r="C90" s="20"/>
      <c r="D90" s="54">
        <f>[1]Main!G339</f>
        <v>124160</v>
      </c>
      <c r="E90" s="54">
        <v>0</v>
      </c>
      <c r="F90" s="54">
        <f>D90-E90</f>
        <v>124160</v>
      </c>
      <c r="G90" s="1"/>
      <c r="H90" s="57" t="s">
        <v>50</v>
      </c>
      <c r="I90" s="30"/>
      <c r="J90" s="30"/>
    </row>
    <row r="91" spans="1:10" x14ac:dyDescent="0.2">
      <c r="A91" s="71" t="s">
        <v>93</v>
      </c>
      <c r="B91" s="59"/>
      <c r="C91" s="20"/>
      <c r="D91" s="54">
        <f>[1]Main!F396</f>
        <v>116279.83</v>
      </c>
      <c r="E91" s="54">
        <v>0</v>
      </c>
      <c r="F91" s="54">
        <f>D91-E91</f>
        <v>116279.83</v>
      </c>
      <c r="G91" s="1"/>
      <c r="H91" s="57"/>
      <c r="I91" s="30"/>
      <c r="J91" s="30"/>
    </row>
    <row r="92" spans="1:10" x14ac:dyDescent="0.2">
      <c r="A92" s="55" t="s">
        <v>30</v>
      </c>
      <c r="B92" s="78"/>
      <c r="C92" s="79"/>
      <c r="D92" s="64"/>
      <c r="E92" s="64"/>
      <c r="F92" s="64"/>
      <c r="G92" s="1"/>
      <c r="H92" s="57"/>
      <c r="I92" s="30"/>
      <c r="J92" s="30"/>
    </row>
    <row r="93" spans="1:10" x14ac:dyDescent="0.2">
      <c r="A93" s="71" t="s">
        <v>60</v>
      </c>
      <c r="B93" s="59"/>
      <c r="C93" s="20"/>
      <c r="D93" s="54">
        <f>[1]Main!C453</f>
        <v>59286.55</v>
      </c>
      <c r="E93" s="54">
        <v>0</v>
      </c>
      <c r="F93" s="54">
        <f>D93-E93</f>
        <v>59286.55</v>
      </c>
      <c r="G93" s="1"/>
      <c r="H93" s="57">
        <f>+[1]Main!G453</f>
        <v>92273.5</v>
      </c>
      <c r="I93" s="30"/>
      <c r="J93" s="30"/>
    </row>
    <row r="94" spans="1:10" x14ac:dyDescent="0.2">
      <c r="A94" s="71" t="s">
        <v>63</v>
      </c>
      <c r="B94" s="59"/>
      <c r="C94" s="20"/>
      <c r="D94" s="54">
        <f>[1]Main!D453</f>
        <v>0</v>
      </c>
      <c r="E94" s="54">
        <v>0</v>
      </c>
      <c r="F94" s="54">
        <f>D94-E94</f>
        <v>0</v>
      </c>
      <c r="G94" s="4"/>
      <c r="H94" s="57">
        <f>SUM(D93:D96)</f>
        <v>92273.5</v>
      </c>
      <c r="I94" s="30"/>
      <c r="J94" s="30"/>
    </row>
    <row r="95" spans="1:10" x14ac:dyDescent="0.2">
      <c r="A95" s="71" t="s">
        <v>91</v>
      </c>
      <c r="B95" s="59"/>
      <c r="C95" s="20"/>
      <c r="D95" s="54">
        <f>[1]Main!E453</f>
        <v>0</v>
      </c>
      <c r="E95" s="54">
        <v>0</v>
      </c>
      <c r="F95" s="54">
        <f>D95-E95</f>
        <v>0</v>
      </c>
      <c r="G95" s="4"/>
      <c r="H95" s="57">
        <f>+H93-H94</f>
        <v>0</v>
      </c>
      <c r="I95" s="30"/>
      <c r="J95" s="30"/>
    </row>
    <row r="96" spans="1:10" x14ac:dyDescent="0.2">
      <c r="A96" s="71" t="s">
        <v>92</v>
      </c>
      <c r="B96" s="59"/>
      <c r="C96" s="20"/>
      <c r="D96" s="54">
        <f>[1]Main!F453</f>
        <v>32986.949999999997</v>
      </c>
      <c r="E96" s="54">
        <v>0</v>
      </c>
      <c r="F96" s="54">
        <f>D96-E96</f>
        <v>32986.949999999997</v>
      </c>
      <c r="G96" s="1"/>
      <c r="H96" s="30"/>
      <c r="I96" s="30"/>
      <c r="J96" s="30"/>
    </row>
    <row r="97" spans="1:10" x14ac:dyDescent="0.2">
      <c r="A97" s="55" t="s">
        <v>31</v>
      </c>
      <c r="B97" s="78"/>
      <c r="C97" s="79"/>
      <c r="D97" s="64"/>
      <c r="E97" s="64"/>
      <c r="F97" s="64"/>
      <c r="G97" s="1"/>
      <c r="H97" s="30"/>
      <c r="I97" s="30"/>
      <c r="J97" s="30"/>
    </row>
    <row r="98" spans="1:10" x14ac:dyDescent="0.2">
      <c r="A98" s="58" t="s">
        <v>69</v>
      </c>
      <c r="B98" s="59"/>
      <c r="C98" s="20"/>
      <c r="D98" s="54">
        <f>+[1]Main!$G566</f>
        <v>5698530.9900000002</v>
      </c>
      <c r="E98" s="54">
        <f>+[1]Main!$D566</f>
        <v>5698530.9900000002</v>
      </c>
      <c r="F98" s="54">
        <f>+D98-E98</f>
        <v>0</v>
      </c>
      <c r="G98" s="1"/>
      <c r="H98" s="30"/>
      <c r="I98" s="30"/>
      <c r="J98" s="30"/>
    </row>
    <row r="99" spans="1:10" x14ac:dyDescent="0.2">
      <c r="A99" s="59" t="s">
        <v>68</v>
      </c>
      <c r="B99" s="59"/>
      <c r="C99" s="20"/>
      <c r="D99" s="54">
        <f>+[1]Main!$G621</f>
        <v>1424632.75</v>
      </c>
      <c r="E99" s="54">
        <f>+[1]Main!$D621</f>
        <v>1424632.75</v>
      </c>
      <c r="F99" s="54">
        <f>+D99-E99</f>
        <v>0</v>
      </c>
      <c r="G99" s="1"/>
      <c r="H99" s="30"/>
      <c r="I99" s="30"/>
      <c r="J99" s="30"/>
    </row>
    <row r="100" spans="1:10" ht="13.5" thickBot="1" x14ac:dyDescent="0.25">
      <c r="A100" s="80"/>
      <c r="B100" s="81"/>
      <c r="C100" s="82" t="s">
        <v>29</v>
      </c>
      <c r="D100" s="83">
        <f>SUM(D67:D99)</f>
        <v>37976098.090000004</v>
      </c>
      <c r="E100" s="83">
        <f>SUM(E67:E99)</f>
        <v>13424974.84</v>
      </c>
      <c r="F100" s="83">
        <f>SUM(F67:F99)</f>
        <v>24551123.25</v>
      </c>
      <c r="G100" s="1"/>
      <c r="H100" s="30"/>
      <c r="I100" s="30"/>
      <c r="J100" s="30"/>
    </row>
    <row r="101" spans="1:10" ht="13.5" thickTop="1" x14ac:dyDescent="0.2">
      <c r="A101" s="84"/>
      <c r="B101" s="59"/>
      <c r="C101" s="85"/>
      <c r="D101" s="86"/>
      <c r="E101" s="86"/>
      <c r="F101" s="87"/>
      <c r="G101" s="1"/>
      <c r="H101" s="30"/>
      <c r="I101" s="30"/>
      <c r="J101" s="30"/>
    </row>
    <row r="102" spans="1:10" x14ac:dyDescent="0.2">
      <c r="A102" s="88" t="s">
        <v>40</v>
      </c>
      <c r="B102" s="78"/>
      <c r="C102" s="89"/>
      <c r="D102" s="90"/>
      <c r="E102" s="91"/>
      <c r="F102" s="92" t="s">
        <v>36</v>
      </c>
      <c r="G102" s="6"/>
      <c r="H102" s="57" t="s">
        <v>51</v>
      </c>
      <c r="I102" s="30"/>
      <c r="J102" s="57" t="s">
        <v>7</v>
      </c>
    </row>
    <row r="103" spans="1:10" x14ac:dyDescent="0.2">
      <c r="A103" s="93" t="s">
        <v>33</v>
      </c>
      <c r="B103" s="94"/>
      <c r="C103" s="95"/>
      <c r="D103" s="96"/>
      <c r="E103" s="96"/>
      <c r="F103" s="91"/>
      <c r="G103" s="6"/>
      <c r="H103" s="30"/>
      <c r="I103" s="30"/>
      <c r="J103" s="30"/>
    </row>
    <row r="104" spans="1:10" x14ac:dyDescent="0.2">
      <c r="A104" s="59" t="s">
        <v>34</v>
      </c>
      <c r="B104" s="59"/>
      <c r="C104" s="22"/>
      <c r="D104" s="27"/>
      <c r="E104" s="27"/>
      <c r="F104" s="97">
        <f>+[8]Main!$C49</f>
        <v>0</v>
      </c>
      <c r="G104" s="5"/>
      <c r="H104" s="57">
        <f>+[1]Main!G677</f>
        <v>7123163.7400000002</v>
      </c>
      <c r="I104" s="30"/>
      <c r="J104" s="57">
        <f>+[1]Main!E677+[1]Main!F677</f>
        <v>0</v>
      </c>
    </row>
    <row r="105" spans="1:10" x14ac:dyDescent="0.2">
      <c r="A105" s="59" t="s">
        <v>66</v>
      </c>
      <c r="B105" s="59"/>
      <c r="C105" s="22"/>
      <c r="D105" s="27"/>
      <c r="E105" s="27"/>
      <c r="F105" s="97">
        <f>+[8]Main!$D49</f>
        <v>0</v>
      </c>
      <c r="G105" s="5"/>
      <c r="H105" s="57">
        <f>+D98+D99</f>
        <v>7123163.7400000002</v>
      </c>
      <c r="I105" s="30"/>
      <c r="J105" s="57">
        <f>+F98+F99</f>
        <v>0</v>
      </c>
    </row>
    <row r="106" spans="1:10" x14ac:dyDescent="0.2">
      <c r="A106" s="32" t="s">
        <v>65</v>
      </c>
      <c r="B106" s="32"/>
      <c r="C106" s="22"/>
      <c r="D106" s="28"/>
      <c r="E106" s="28"/>
      <c r="F106" s="97">
        <f>+[8]Main!$E49</f>
        <v>8269</v>
      </c>
      <c r="G106" s="1"/>
      <c r="H106" s="57">
        <f>+H104-H105</f>
        <v>0</v>
      </c>
      <c r="I106" s="30"/>
      <c r="J106" s="57">
        <f>+J104-J105</f>
        <v>0</v>
      </c>
    </row>
    <row r="107" spans="1:10" x14ac:dyDescent="0.2">
      <c r="A107" s="32" t="s">
        <v>67</v>
      </c>
      <c r="B107" s="32"/>
      <c r="C107" s="22"/>
      <c r="D107" s="28"/>
      <c r="E107" s="28"/>
      <c r="F107" s="97">
        <f>+[8]Main!$F49</f>
        <v>16417</v>
      </c>
      <c r="G107" s="1"/>
      <c r="H107" s="30"/>
      <c r="I107" s="30"/>
      <c r="J107" s="30"/>
    </row>
    <row r="108" spans="1:10" x14ac:dyDescent="0.2">
      <c r="A108" s="88" t="s">
        <v>35</v>
      </c>
      <c r="B108" s="78"/>
      <c r="C108" s="89"/>
      <c r="D108" s="90"/>
      <c r="E108" s="91"/>
      <c r="F108" s="54">
        <f>+[8]Main!$C107</f>
        <v>24514.81</v>
      </c>
      <c r="G108" s="1"/>
      <c r="H108" s="30"/>
      <c r="I108" s="30"/>
      <c r="J108" s="30"/>
    </row>
    <row r="109" spans="1:10" ht="13.5" thickBot="1" x14ac:dyDescent="0.25">
      <c r="A109" s="98"/>
      <c r="B109" s="99"/>
      <c r="C109" s="100" t="s">
        <v>29</v>
      </c>
      <c r="D109" s="101"/>
      <c r="E109" s="102"/>
      <c r="F109" s="103">
        <f>SUM(F104:F108)</f>
        <v>49200.81</v>
      </c>
      <c r="G109" s="1"/>
      <c r="H109" s="30"/>
      <c r="I109" s="30"/>
      <c r="J109" s="30"/>
    </row>
    <row r="110" spans="1:10" ht="13.5" thickBot="1" x14ac:dyDescent="0.25">
      <c r="A110" s="104"/>
      <c r="B110" s="105"/>
      <c r="C110" s="106" t="s">
        <v>53</v>
      </c>
      <c r="D110" s="107"/>
      <c r="E110" s="108"/>
      <c r="F110" s="109">
        <f>+F109+F100</f>
        <v>24600324.059999999</v>
      </c>
      <c r="G110" s="1"/>
      <c r="H110" s="57" t="s">
        <v>54</v>
      </c>
      <c r="I110" s="30"/>
      <c r="J110" s="30"/>
    </row>
    <row r="111" spans="1:10" x14ac:dyDescent="0.2">
      <c r="A111" s="11"/>
      <c r="B111" s="12"/>
      <c r="C111" s="9"/>
      <c r="D111" s="29"/>
      <c r="E111" s="29"/>
      <c r="F111" s="110"/>
      <c r="G111" s="1"/>
      <c r="H111" s="57">
        <f>+[8]Main!$G49</f>
        <v>24686</v>
      </c>
      <c r="I111" s="30"/>
      <c r="J111" s="30"/>
    </row>
    <row r="112" spans="1:10" x14ac:dyDescent="0.2">
      <c r="A112" s="11"/>
      <c r="B112" s="12"/>
      <c r="C112" s="9"/>
      <c r="D112" s="29"/>
      <c r="E112" s="29"/>
      <c r="F112" s="110"/>
      <c r="G112" s="1"/>
      <c r="H112" s="57">
        <f>SUM(F104:F107)</f>
        <v>24686</v>
      </c>
      <c r="I112" s="30"/>
      <c r="J112" s="30"/>
    </row>
    <row r="113" spans="1:10" x14ac:dyDescent="0.2">
      <c r="A113" s="1"/>
      <c r="B113" s="1"/>
      <c r="C113" s="7"/>
      <c r="D113" s="26"/>
      <c r="E113" s="26"/>
      <c r="F113" s="86">
        <f>+F109+F100</f>
        <v>24600324.059999999</v>
      </c>
      <c r="G113" s="1"/>
      <c r="H113" s="57">
        <f>+H111-H112</f>
        <v>0</v>
      </c>
      <c r="I113" s="30"/>
      <c r="J113" s="30"/>
    </row>
    <row r="114" spans="1:10" x14ac:dyDescent="0.2">
      <c r="A114" s="1"/>
      <c r="B114" s="1"/>
      <c r="C114" s="7"/>
      <c r="D114" s="26"/>
      <c r="E114" s="26"/>
      <c r="F114" s="86">
        <f>+[1]Main!$F793</f>
        <v>24600324.059999999</v>
      </c>
      <c r="G114" s="1"/>
      <c r="H114" s="30"/>
      <c r="I114" s="30"/>
      <c r="J114" s="30"/>
    </row>
    <row r="115" spans="1:10" x14ac:dyDescent="0.2">
      <c r="A115" s="1"/>
      <c r="B115" s="1"/>
      <c r="C115" s="7"/>
      <c r="D115" s="26"/>
      <c r="E115" s="86">
        <f>+E100+[1]Main!$E793</f>
        <v>0</v>
      </c>
      <c r="F115" s="86">
        <f>+F114-F113</f>
        <v>0</v>
      </c>
      <c r="G115" s="1"/>
      <c r="H115" s="30"/>
      <c r="I115" s="30"/>
      <c r="J115" s="30"/>
    </row>
    <row r="116" spans="1:10" x14ac:dyDescent="0.2">
      <c r="A116" s="59"/>
      <c r="B116" s="59"/>
      <c r="C116" s="85"/>
      <c r="D116" s="86"/>
      <c r="E116" s="86"/>
      <c r="F116" s="86"/>
      <c r="G116" s="59"/>
      <c r="H116" s="57"/>
      <c r="I116" s="57"/>
      <c r="J116" s="57"/>
    </row>
    <row r="117" spans="1:10" x14ac:dyDescent="0.2">
      <c r="A117" s="59"/>
      <c r="B117" s="59"/>
      <c r="C117" s="85"/>
      <c r="D117" s="86"/>
      <c r="E117" s="86"/>
      <c r="F117" s="86"/>
      <c r="G117" s="59"/>
      <c r="H117" s="57"/>
      <c r="I117" s="57"/>
      <c r="J117" s="57"/>
    </row>
    <row r="118" spans="1:10" x14ac:dyDescent="0.2">
      <c r="A118" s="59"/>
      <c r="B118" s="59"/>
      <c r="C118" s="85"/>
      <c r="D118" s="86"/>
      <c r="E118" s="86"/>
      <c r="F118" s="86"/>
      <c r="G118" s="59"/>
      <c r="H118" s="111" t="s">
        <v>55</v>
      </c>
      <c r="I118" s="57"/>
      <c r="J118" s="57"/>
    </row>
    <row r="119" spans="1:10" x14ac:dyDescent="0.2">
      <c r="G119" s="59"/>
      <c r="H119" s="113"/>
      <c r="I119" s="112"/>
      <c r="J119" s="112"/>
    </row>
    <row r="120" spans="1:10" x14ac:dyDescent="0.2">
      <c r="G120" s="59"/>
      <c r="H120" s="112"/>
      <c r="I120" s="112"/>
      <c r="J120" s="112"/>
    </row>
    <row r="121" spans="1:10" x14ac:dyDescent="0.2">
      <c r="G121" s="59"/>
      <c r="H121" s="112"/>
      <c r="I121" s="112"/>
      <c r="J121" s="112"/>
    </row>
    <row r="122" spans="1:10" x14ac:dyDescent="0.2">
      <c r="G122" s="59"/>
      <c r="H122" s="112"/>
      <c r="I122" s="112"/>
      <c r="J122" s="112"/>
    </row>
    <row r="123" spans="1:10" x14ac:dyDescent="0.2">
      <c r="G123" s="59"/>
      <c r="H123" s="112"/>
      <c r="I123" s="112"/>
      <c r="J123" s="112"/>
    </row>
    <row r="124" spans="1:10" x14ac:dyDescent="0.2">
      <c r="G124" s="59"/>
      <c r="H124" s="71"/>
      <c r="I124" s="112"/>
      <c r="J124" s="112"/>
    </row>
  </sheetData>
  <mergeCells count="1">
    <mergeCell ref="D43:E43"/>
  </mergeCells>
  <phoneticPr fontId="0" type="noConversion"/>
  <printOptions horizontalCentered="1" verticalCentered="1"/>
  <pageMargins left="0.5" right="0.25" top="0.5" bottom="0.5" header="0.5" footer="0.5"/>
  <pageSetup scale="89" orientation="portrait" horizontalDpi="1200" r:id="rId1"/>
  <headerFooter alignWithMargins="0">
    <oddHeader>&amp;R&amp;8Current as of: &amp;D</oddHeader>
    <oddFooter>&amp;L&amp;8USOE, Finance and Statistics&amp;R&amp;8&amp;F</oddFooter>
  </headerFooter>
  <picture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:J125"/>
  <sheetViews>
    <sheetView topLeftCell="A61" workbookViewId="0">
      <selection activeCell="B48" sqref="B48"/>
    </sheetView>
  </sheetViews>
  <sheetFormatPr defaultColWidth="9.140625" defaultRowHeight="12.75" x14ac:dyDescent="0.2"/>
  <cols>
    <col min="1" max="1" width="27" style="75" customWidth="1"/>
    <col min="2" max="2" width="16.7109375" style="75" customWidth="1"/>
    <col min="3" max="3" width="15.85546875" style="75" customWidth="1"/>
    <col min="4" max="4" width="16.28515625" style="75" customWidth="1"/>
    <col min="5" max="5" width="15.5703125" style="75" customWidth="1"/>
    <col min="6" max="6" width="17.42578125" style="75" customWidth="1"/>
    <col min="7" max="7" width="5.7109375" style="75" customWidth="1"/>
    <col min="8" max="8" width="21.5703125" style="75" customWidth="1"/>
    <col min="9" max="9" width="5" style="75" customWidth="1"/>
    <col min="10" max="10" width="20.85546875" style="75" customWidth="1"/>
    <col min="11" max="16384" width="9.140625" style="75"/>
  </cols>
  <sheetData>
    <row r="1" spans="1:10" x14ac:dyDescent="0.2">
      <c r="A1" s="8"/>
      <c r="B1" s="8"/>
      <c r="C1" s="8"/>
      <c r="D1" s="8"/>
      <c r="E1" s="8"/>
      <c r="F1" s="8"/>
      <c r="G1" s="8"/>
      <c r="H1" s="8"/>
      <c r="I1" s="8"/>
      <c r="J1" s="8"/>
    </row>
    <row r="2" spans="1:10" x14ac:dyDescent="0.2">
      <c r="A2" s="8"/>
      <c r="B2" s="8"/>
      <c r="C2" s="8"/>
      <c r="D2" s="8"/>
      <c r="E2" s="8"/>
      <c r="F2" s="8"/>
      <c r="G2" s="8"/>
      <c r="H2" s="8"/>
      <c r="I2" s="8"/>
      <c r="J2" s="8"/>
    </row>
    <row r="3" spans="1:10" x14ac:dyDescent="0.2">
      <c r="A3" s="8"/>
      <c r="B3" s="8"/>
      <c r="C3" s="8"/>
      <c r="D3" s="8"/>
      <c r="E3" s="8"/>
      <c r="F3" s="8"/>
      <c r="G3" s="8"/>
      <c r="H3" s="8"/>
      <c r="I3" s="8"/>
      <c r="J3" s="8"/>
    </row>
    <row r="4" spans="1:10" x14ac:dyDescent="0.2">
      <c r="A4" s="8"/>
      <c r="B4" s="8"/>
      <c r="C4" s="8"/>
      <c r="D4" s="8"/>
      <c r="E4" s="8"/>
      <c r="F4" s="8"/>
      <c r="G4" s="8"/>
      <c r="H4" s="8"/>
      <c r="I4" s="8"/>
      <c r="J4" s="8"/>
    </row>
    <row r="5" spans="1:10" x14ac:dyDescent="0.2">
      <c r="A5" s="8"/>
      <c r="B5" s="8"/>
      <c r="C5" s="8"/>
      <c r="D5" s="8"/>
      <c r="E5" s="8"/>
      <c r="F5" s="8"/>
      <c r="G5" s="8"/>
      <c r="H5" s="8"/>
      <c r="I5" s="8"/>
      <c r="J5" s="8"/>
    </row>
    <row r="6" spans="1:10" x14ac:dyDescent="0.2">
      <c r="A6" s="8"/>
      <c r="B6" s="8"/>
      <c r="C6" s="8"/>
      <c r="D6" s="8"/>
      <c r="E6" s="8"/>
      <c r="F6" s="8"/>
      <c r="G6" s="8"/>
      <c r="H6" s="8"/>
      <c r="I6" s="8"/>
      <c r="J6" s="8"/>
    </row>
    <row r="7" spans="1:10" x14ac:dyDescent="0.2">
      <c r="A7" s="8"/>
      <c r="B7" s="8"/>
      <c r="C7" s="8"/>
      <c r="D7" s="8"/>
      <c r="E7" s="8"/>
      <c r="F7" s="8"/>
      <c r="G7" s="8"/>
      <c r="H7" s="8"/>
      <c r="I7" s="8"/>
      <c r="J7" s="8"/>
    </row>
    <row r="8" spans="1:10" x14ac:dyDescent="0.2">
      <c r="A8" s="8"/>
      <c r="B8" s="8"/>
      <c r="C8" s="8"/>
      <c r="D8" s="8"/>
      <c r="E8" s="8"/>
      <c r="F8" s="8"/>
      <c r="G8" s="8"/>
      <c r="H8" s="8"/>
      <c r="I8" s="8"/>
      <c r="J8" s="8"/>
    </row>
    <row r="9" spans="1:10" x14ac:dyDescent="0.2">
      <c r="A9" s="8"/>
      <c r="B9" s="8"/>
      <c r="C9" s="8"/>
      <c r="D9" s="8"/>
      <c r="E9" s="8"/>
      <c r="F9" s="8"/>
      <c r="G9" s="8"/>
      <c r="H9" s="8"/>
      <c r="I9" s="8"/>
      <c r="J9" s="8"/>
    </row>
    <row r="10" spans="1:10" x14ac:dyDescent="0.2">
      <c r="A10" s="8"/>
      <c r="B10" s="8"/>
      <c r="C10" s="8"/>
      <c r="D10" s="8"/>
      <c r="E10" s="8"/>
      <c r="F10" s="8"/>
      <c r="G10" s="8"/>
      <c r="H10" s="8"/>
      <c r="I10" s="8"/>
      <c r="J10" s="8"/>
    </row>
    <row r="11" spans="1:10" x14ac:dyDescent="0.2">
      <c r="A11" s="8"/>
      <c r="B11" s="8"/>
      <c r="C11" s="8"/>
      <c r="D11" s="8"/>
      <c r="E11" s="8"/>
      <c r="F11" s="8"/>
      <c r="G11" s="8"/>
      <c r="H11" s="8"/>
      <c r="I11" s="8"/>
      <c r="J11" s="8"/>
    </row>
    <row r="12" spans="1:10" x14ac:dyDescent="0.2">
      <c r="A12" s="8"/>
      <c r="B12" s="8"/>
      <c r="C12" s="8"/>
      <c r="D12" s="8"/>
      <c r="E12" s="8"/>
      <c r="F12" s="8"/>
      <c r="G12" s="8"/>
      <c r="H12" s="8"/>
      <c r="I12" s="8"/>
      <c r="J12" s="8"/>
    </row>
    <row r="13" spans="1:10" x14ac:dyDescent="0.2">
      <c r="A13" s="8"/>
      <c r="B13" s="8"/>
      <c r="C13" s="8"/>
      <c r="D13" s="8"/>
      <c r="E13" s="8"/>
      <c r="F13" s="8"/>
      <c r="G13" s="8"/>
      <c r="H13" s="8"/>
      <c r="I13" s="8"/>
      <c r="J13" s="8"/>
    </row>
    <row r="14" spans="1:10" x14ac:dyDescent="0.2">
      <c r="A14" s="8"/>
      <c r="B14" s="8"/>
      <c r="C14" s="8"/>
      <c r="D14" s="8"/>
      <c r="E14" s="8"/>
      <c r="F14" s="8"/>
      <c r="G14" s="8"/>
      <c r="H14" s="8"/>
      <c r="I14" s="8"/>
      <c r="J14" s="8"/>
    </row>
    <row r="15" spans="1:10" x14ac:dyDescent="0.2">
      <c r="A15" s="8"/>
      <c r="B15" s="8"/>
      <c r="C15" s="8"/>
      <c r="D15" s="8"/>
      <c r="E15" s="8"/>
      <c r="F15" s="8"/>
      <c r="G15" s="8"/>
      <c r="H15" s="8"/>
      <c r="I15" s="8"/>
      <c r="J15" s="8"/>
    </row>
    <row r="16" spans="1:10" x14ac:dyDescent="0.2">
      <c r="A16" s="8"/>
      <c r="B16" s="8"/>
      <c r="C16" s="8"/>
      <c r="D16" s="8"/>
      <c r="E16" s="8"/>
      <c r="F16" s="8"/>
      <c r="G16" s="8"/>
      <c r="H16" s="8"/>
      <c r="I16" s="8"/>
      <c r="J16" s="8"/>
    </row>
    <row r="17" spans="1:10" x14ac:dyDescent="0.2">
      <c r="A17" s="8"/>
      <c r="B17" s="8"/>
      <c r="C17" s="8"/>
      <c r="D17" s="8"/>
      <c r="E17" s="8"/>
      <c r="F17" s="8"/>
      <c r="G17" s="8"/>
      <c r="H17" s="8"/>
      <c r="I17" s="8"/>
      <c r="J17" s="8"/>
    </row>
    <row r="18" spans="1:10" x14ac:dyDescent="0.2">
      <c r="A18" s="8"/>
      <c r="B18" s="8"/>
      <c r="C18" s="8"/>
      <c r="D18" s="8"/>
      <c r="E18" s="8"/>
      <c r="F18" s="8"/>
      <c r="G18" s="8"/>
      <c r="H18" s="8"/>
      <c r="I18" s="8"/>
      <c r="J18" s="8"/>
    </row>
    <row r="19" spans="1:10" x14ac:dyDescent="0.2">
      <c r="A19" s="8"/>
      <c r="B19" s="8"/>
      <c r="C19" s="8"/>
      <c r="D19" s="8"/>
      <c r="E19" s="8"/>
      <c r="F19" s="8"/>
      <c r="G19" s="8"/>
      <c r="H19" s="8"/>
      <c r="I19" s="8"/>
      <c r="J19" s="8"/>
    </row>
    <row r="20" spans="1:10" x14ac:dyDescent="0.2">
      <c r="A20" s="8"/>
      <c r="B20" s="8"/>
      <c r="C20" s="8"/>
      <c r="D20" s="8"/>
      <c r="E20" s="8"/>
      <c r="F20" s="8"/>
      <c r="G20" s="8"/>
      <c r="H20" s="8"/>
      <c r="I20" s="8"/>
      <c r="J20" s="8"/>
    </row>
    <row r="21" spans="1:10" x14ac:dyDescent="0.2">
      <c r="A21" s="8"/>
      <c r="B21" s="8"/>
      <c r="C21" s="8"/>
      <c r="D21" s="8"/>
      <c r="E21" s="8"/>
      <c r="F21" s="8"/>
      <c r="G21" s="8"/>
      <c r="H21" s="8"/>
      <c r="I21" s="8"/>
      <c r="J21" s="8"/>
    </row>
    <row r="22" spans="1:10" x14ac:dyDescent="0.2">
      <c r="A22" s="8"/>
      <c r="B22" s="8"/>
      <c r="C22" s="8"/>
      <c r="D22" s="8"/>
      <c r="E22" s="8"/>
      <c r="F22" s="8"/>
      <c r="G22" s="8"/>
      <c r="H22" s="8"/>
      <c r="I22" s="8"/>
      <c r="J22" s="8"/>
    </row>
    <row r="23" spans="1:10" x14ac:dyDescent="0.2">
      <c r="A23" s="8"/>
      <c r="B23" s="8"/>
      <c r="C23" s="8"/>
      <c r="D23" s="8"/>
      <c r="E23" s="8"/>
      <c r="F23" s="8"/>
      <c r="G23" s="8"/>
      <c r="H23" s="8"/>
      <c r="I23" s="8"/>
      <c r="J23" s="8"/>
    </row>
    <row r="24" spans="1:10" x14ac:dyDescent="0.2">
      <c r="A24" s="8"/>
      <c r="B24" s="8"/>
      <c r="C24" s="8"/>
      <c r="D24" s="8"/>
      <c r="E24" s="8"/>
      <c r="F24" s="8"/>
      <c r="G24" s="8"/>
      <c r="H24" s="8"/>
      <c r="I24" s="8"/>
      <c r="J24" s="8"/>
    </row>
    <row r="25" spans="1:10" x14ac:dyDescent="0.2">
      <c r="A25" s="8"/>
      <c r="B25" s="8"/>
      <c r="C25" s="8"/>
      <c r="D25" s="8"/>
      <c r="E25" s="8"/>
      <c r="F25" s="8"/>
      <c r="G25" s="8"/>
      <c r="H25" s="8"/>
      <c r="I25" s="8"/>
      <c r="J25" s="8"/>
    </row>
    <row r="26" spans="1:10" x14ac:dyDescent="0.2">
      <c r="A26" s="8"/>
      <c r="B26" s="8"/>
      <c r="C26" s="8"/>
      <c r="D26" s="8"/>
      <c r="E26" s="8"/>
      <c r="F26" s="8"/>
      <c r="G26" s="8"/>
      <c r="H26" s="8"/>
      <c r="I26" s="8"/>
      <c r="J26" s="8"/>
    </row>
    <row r="27" spans="1:10" x14ac:dyDescent="0.2">
      <c r="A27" s="8"/>
      <c r="B27" s="8"/>
      <c r="C27" s="8"/>
      <c r="D27" s="8"/>
      <c r="E27" s="8"/>
      <c r="F27" s="8"/>
      <c r="G27" s="8"/>
      <c r="H27" s="8"/>
      <c r="I27" s="8"/>
      <c r="J27" s="8"/>
    </row>
    <row r="28" spans="1:10" x14ac:dyDescent="0.2">
      <c r="A28" s="8"/>
      <c r="B28" s="8"/>
      <c r="C28" s="8"/>
      <c r="D28" s="8"/>
      <c r="E28" s="8"/>
      <c r="F28" s="8"/>
      <c r="G28" s="8"/>
      <c r="H28" s="8"/>
      <c r="I28" s="8"/>
      <c r="J28" s="8"/>
    </row>
    <row r="29" spans="1:10" x14ac:dyDescent="0.2">
      <c r="A29" s="8"/>
      <c r="B29" s="8"/>
      <c r="C29" s="8"/>
      <c r="D29" s="8"/>
      <c r="E29" s="8"/>
      <c r="F29" s="8"/>
      <c r="G29" s="8"/>
      <c r="H29" s="8"/>
      <c r="I29" s="8"/>
      <c r="J29" s="8"/>
    </row>
    <row r="30" spans="1:10" x14ac:dyDescent="0.2">
      <c r="A30" s="8"/>
      <c r="B30" s="8"/>
      <c r="C30" s="8"/>
      <c r="D30" s="8"/>
      <c r="E30" s="8"/>
      <c r="F30" s="8"/>
      <c r="G30" s="8"/>
      <c r="H30" s="8"/>
      <c r="I30" s="8"/>
      <c r="J30" s="8"/>
    </row>
    <row r="31" spans="1:10" x14ac:dyDescent="0.2">
      <c r="A31" s="8"/>
      <c r="B31" s="8"/>
      <c r="C31" s="8"/>
      <c r="D31" s="8"/>
      <c r="E31" s="8"/>
      <c r="F31" s="8"/>
      <c r="G31" s="8"/>
      <c r="H31" s="8"/>
      <c r="I31" s="8"/>
      <c r="J31" s="8"/>
    </row>
    <row r="32" spans="1:10" x14ac:dyDescent="0.2">
      <c r="A32" s="8"/>
      <c r="B32" s="8"/>
      <c r="C32" s="8"/>
      <c r="D32" s="8"/>
      <c r="E32" s="8"/>
      <c r="F32" s="8"/>
      <c r="G32" s="8"/>
      <c r="H32" s="8"/>
      <c r="I32" s="8"/>
      <c r="J32" s="8"/>
    </row>
    <row r="33" spans="1:10" x14ac:dyDescent="0.2">
      <c r="A33" s="8"/>
      <c r="B33" s="8"/>
      <c r="C33" s="8"/>
      <c r="D33" s="8"/>
      <c r="E33" s="8"/>
      <c r="F33" s="8"/>
      <c r="G33" s="8"/>
      <c r="H33" s="8"/>
      <c r="I33" s="8"/>
      <c r="J33" s="8"/>
    </row>
    <row r="34" spans="1:10" x14ac:dyDescent="0.2">
      <c r="A34" s="8"/>
      <c r="B34" s="8"/>
      <c r="C34" s="8"/>
      <c r="D34" s="8"/>
      <c r="E34" s="8"/>
      <c r="F34" s="8"/>
      <c r="G34" s="8"/>
      <c r="H34" s="8"/>
      <c r="I34" s="8"/>
      <c r="J34" s="8"/>
    </row>
    <row r="35" spans="1:10" x14ac:dyDescent="0.2">
      <c r="A35" s="8"/>
      <c r="B35" s="8"/>
      <c r="C35" s="8"/>
      <c r="D35" s="8"/>
      <c r="E35" s="8"/>
      <c r="F35" s="8"/>
      <c r="G35" s="8"/>
      <c r="H35" s="8"/>
      <c r="I35" s="8"/>
      <c r="J35" s="8"/>
    </row>
    <row r="36" spans="1:10" x14ac:dyDescent="0.2">
      <c r="A36" s="8"/>
      <c r="B36" s="8"/>
      <c r="C36" s="8"/>
      <c r="D36" s="8"/>
      <c r="E36" s="8"/>
      <c r="F36" s="8"/>
      <c r="G36" s="8"/>
      <c r="H36" s="8"/>
      <c r="I36" s="8"/>
      <c r="J36" s="8"/>
    </row>
    <row r="37" spans="1:10" x14ac:dyDescent="0.2">
      <c r="A37" s="8"/>
      <c r="B37" s="8"/>
      <c r="C37" s="8"/>
      <c r="D37" s="8"/>
      <c r="E37" s="8"/>
      <c r="F37" s="8"/>
      <c r="G37" s="8"/>
      <c r="H37" s="8"/>
      <c r="I37" s="8"/>
      <c r="J37" s="8"/>
    </row>
    <row r="38" spans="1:10" x14ac:dyDescent="0.2">
      <c r="A38" s="8"/>
      <c r="B38" s="8"/>
      <c r="C38" s="8"/>
      <c r="D38" s="8"/>
      <c r="E38" s="8"/>
      <c r="F38" s="8"/>
      <c r="G38" s="8"/>
      <c r="H38" s="8"/>
      <c r="I38" s="8"/>
      <c r="J38" s="8"/>
    </row>
    <row r="39" spans="1:10" x14ac:dyDescent="0.2">
      <c r="A39" s="8"/>
      <c r="B39" s="8"/>
      <c r="C39" s="8"/>
      <c r="D39" s="8"/>
      <c r="E39" s="8"/>
      <c r="F39" s="8"/>
      <c r="G39" s="8"/>
      <c r="H39" s="8"/>
      <c r="I39" s="8"/>
      <c r="J39" s="8"/>
    </row>
    <row r="40" spans="1:10" x14ac:dyDescent="0.2">
      <c r="A40" s="8"/>
      <c r="B40" s="8"/>
      <c r="C40" s="8"/>
      <c r="D40" s="8"/>
      <c r="E40" s="8"/>
      <c r="F40" s="8"/>
      <c r="G40" s="8"/>
      <c r="H40" s="8"/>
      <c r="I40" s="8"/>
      <c r="J40" s="8"/>
    </row>
    <row r="41" spans="1:10" x14ac:dyDescent="0.2">
      <c r="A41" s="32" t="s">
        <v>0</v>
      </c>
      <c r="B41" s="33">
        <v>3184</v>
      </c>
      <c r="C41" s="34" t="s">
        <v>1</v>
      </c>
      <c r="D41" s="35"/>
      <c r="E41" s="35"/>
      <c r="F41" s="35"/>
      <c r="G41" s="1"/>
      <c r="H41" s="30"/>
      <c r="I41" s="30"/>
      <c r="J41" s="30"/>
    </row>
    <row r="42" spans="1:10" x14ac:dyDescent="0.2">
      <c r="A42" s="32" t="s">
        <v>61</v>
      </c>
      <c r="B42" s="36">
        <f>+[1]Main!$C567</f>
        <v>1.6000000000000001E-3</v>
      </c>
      <c r="C42" s="34" t="s">
        <v>41</v>
      </c>
      <c r="D42" s="35"/>
      <c r="E42" s="35"/>
      <c r="F42" s="35"/>
      <c r="G42" s="1"/>
      <c r="H42" s="30"/>
      <c r="I42" s="30"/>
      <c r="J42" s="30"/>
    </row>
    <row r="43" spans="1:10" x14ac:dyDescent="0.2">
      <c r="A43" s="32" t="s">
        <v>62</v>
      </c>
      <c r="B43" s="36">
        <f>+[1]Main!$C622</f>
        <v>1.2489999999999999E-3</v>
      </c>
      <c r="C43" s="34" t="s">
        <v>95</v>
      </c>
      <c r="D43" s="35"/>
      <c r="E43" s="37"/>
      <c r="F43" s="35"/>
      <c r="G43" s="1"/>
      <c r="H43" s="30"/>
      <c r="I43" s="30"/>
      <c r="J43" s="30"/>
    </row>
    <row r="44" spans="1:10" x14ac:dyDescent="0.2">
      <c r="A44" s="38" t="s">
        <v>32</v>
      </c>
      <c r="B44" s="39">
        <f>[2]Sheet1!E49</f>
        <v>18001243363</v>
      </c>
      <c r="C44" s="21"/>
      <c r="D44" s="31"/>
      <c r="E44" s="31"/>
      <c r="F44" s="23"/>
      <c r="G44" s="1"/>
      <c r="H44" s="30"/>
      <c r="I44" s="30"/>
      <c r="J44" s="30"/>
    </row>
    <row r="45" spans="1:10" x14ac:dyDescent="0.2">
      <c r="A45" s="32" t="s">
        <v>2</v>
      </c>
      <c r="B45" s="40">
        <f>[2]Sheet1!F49</f>
        <v>0.96970000000000001</v>
      </c>
      <c r="C45" s="7"/>
      <c r="D45" s="41" t="s">
        <v>3</v>
      </c>
      <c r="E45" s="42" t="str">
        <f>+[3]main!B50</f>
        <v>Canyons</v>
      </c>
      <c r="F45" s="43" t="str">
        <f>+[3]main!A50</f>
        <v>42</v>
      </c>
      <c r="G45" s="1"/>
      <c r="H45" s="30"/>
      <c r="I45" s="30"/>
      <c r="J45" s="30"/>
    </row>
    <row r="46" spans="1:10" x14ac:dyDescent="0.2">
      <c r="A46" s="32" t="s">
        <v>4</v>
      </c>
      <c r="B46" s="44">
        <f>[2]Sheet1!G49</f>
        <v>1.6750000000000001E-3</v>
      </c>
      <c r="C46" s="8"/>
      <c r="D46" s="24"/>
      <c r="E46" s="25"/>
      <c r="F46" s="24"/>
      <c r="G46" s="1"/>
      <c r="H46" s="30"/>
      <c r="I46" s="30"/>
      <c r="J46" s="30"/>
    </row>
    <row r="47" spans="1:10" x14ac:dyDescent="0.2">
      <c r="A47" s="32" t="s">
        <v>5</v>
      </c>
      <c r="B47" s="45">
        <f>[2]Sheet1!$C$105</f>
        <v>33273321</v>
      </c>
      <c r="C47" s="46"/>
      <c r="D47" s="47" t="s">
        <v>38</v>
      </c>
      <c r="E47" s="48" t="s">
        <v>7</v>
      </c>
      <c r="F47" s="47" t="s">
        <v>6</v>
      </c>
      <c r="G47" s="1"/>
      <c r="H47" s="30"/>
      <c r="I47" s="30"/>
      <c r="J47" s="30"/>
    </row>
    <row r="48" spans="1:10" x14ac:dyDescent="0.2">
      <c r="A48" s="32" t="s">
        <v>8</v>
      </c>
      <c r="B48" s="45">
        <f>+B47</f>
        <v>33273321</v>
      </c>
      <c r="C48" s="49"/>
      <c r="D48" s="50" t="s">
        <v>9</v>
      </c>
      <c r="E48" s="50" t="s">
        <v>37</v>
      </c>
      <c r="F48" s="50" t="s">
        <v>10</v>
      </c>
      <c r="G48" s="1"/>
      <c r="H48" s="30"/>
      <c r="I48" s="30"/>
      <c r="J48" s="30"/>
    </row>
    <row r="49" spans="1:10" x14ac:dyDescent="0.2">
      <c r="A49" s="32" t="s">
        <v>11</v>
      </c>
      <c r="B49" s="45">
        <v>0</v>
      </c>
      <c r="C49" s="51" t="s">
        <v>39</v>
      </c>
      <c r="D49" s="52" t="s">
        <v>12</v>
      </c>
      <c r="E49" s="52" t="s">
        <v>9</v>
      </c>
      <c r="F49" s="52" t="s">
        <v>9</v>
      </c>
      <c r="G49" s="1"/>
      <c r="H49" s="30"/>
      <c r="I49" s="30"/>
      <c r="J49" s="30"/>
    </row>
    <row r="50" spans="1:10" x14ac:dyDescent="0.2">
      <c r="A50" s="32" t="s">
        <v>70</v>
      </c>
      <c r="B50" s="45">
        <f>'[4]LRF FY17'!U47</f>
        <v>1714967</v>
      </c>
      <c r="C50" s="53"/>
      <c r="D50" s="54"/>
      <c r="E50" s="54"/>
      <c r="F50" s="54" t="s">
        <v>14</v>
      </c>
      <c r="G50" s="1"/>
      <c r="H50" s="30"/>
      <c r="I50" s="30"/>
      <c r="J50" s="30"/>
    </row>
    <row r="51" spans="1:10" x14ac:dyDescent="0.2">
      <c r="A51" s="55" t="s">
        <v>13</v>
      </c>
      <c r="B51" s="56"/>
      <c r="C51" s="53"/>
      <c r="D51" s="54"/>
      <c r="E51" s="54"/>
      <c r="F51" s="54"/>
      <c r="G51" s="2"/>
      <c r="H51" s="30"/>
      <c r="I51" s="30"/>
      <c r="J51" s="30"/>
    </row>
    <row r="52" spans="1:10" x14ac:dyDescent="0.2">
      <c r="A52" s="55" t="s">
        <v>15</v>
      </c>
      <c r="B52" s="56"/>
      <c r="C52" s="53"/>
      <c r="D52" s="54"/>
      <c r="E52" s="54"/>
      <c r="F52" s="54"/>
      <c r="G52" s="2"/>
      <c r="H52" s="57" t="s">
        <v>43</v>
      </c>
      <c r="I52" s="30"/>
      <c r="J52" s="57" t="s">
        <v>45</v>
      </c>
    </row>
    <row r="53" spans="1:10" x14ac:dyDescent="0.2">
      <c r="A53" s="58" t="s">
        <v>16</v>
      </c>
      <c r="B53" s="59"/>
      <c r="C53" s="60">
        <f>[3]main!C224-[3]main!F166</f>
        <v>32189.364000000001</v>
      </c>
      <c r="D53" s="61">
        <f>[3]main!E224-[3]main!H166</f>
        <v>102490935.84999999</v>
      </c>
      <c r="E53" s="62">
        <f>IF(B48&gt;D53,D53,B48)</f>
        <v>33273321</v>
      </c>
      <c r="F53" s="62">
        <f>D53-E53</f>
        <v>69217614.849999994</v>
      </c>
      <c r="G53" s="1"/>
      <c r="H53" s="57">
        <f>[3]main!H283</f>
        <v>111337218.31</v>
      </c>
      <c r="I53" s="30"/>
      <c r="J53" s="57">
        <f>'[5]Sheet 1'!E107</f>
        <v>137571237.66</v>
      </c>
    </row>
    <row r="54" spans="1:10" x14ac:dyDescent="0.2">
      <c r="A54" s="58" t="s">
        <v>17</v>
      </c>
      <c r="B54" s="59"/>
      <c r="C54" s="53">
        <f>[3]main!F166</f>
        <v>0</v>
      </c>
      <c r="D54" s="54">
        <f>[3]main!H166</f>
        <v>0</v>
      </c>
      <c r="E54" s="54">
        <f>IF(B47-SUM(E51:E53)&gt;D54,D54,B47-SUM(E51:E53))</f>
        <v>0</v>
      </c>
      <c r="F54" s="54">
        <f>D54-E54</f>
        <v>0</v>
      </c>
      <c r="G54" s="1"/>
      <c r="H54" s="57">
        <f>SUM(D53:D57)</f>
        <v>111337218.31</v>
      </c>
      <c r="I54" s="30"/>
      <c r="J54" s="57">
        <f>D68</f>
        <v>137571237.66</v>
      </c>
    </row>
    <row r="55" spans="1:10" x14ac:dyDescent="0.2">
      <c r="A55" s="58" t="s">
        <v>18</v>
      </c>
      <c r="B55" s="59"/>
      <c r="C55" s="53">
        <f>[3]main!F224</f>
        <v>2765.355</v>
      </c>
      <c r="D55" s="54">
        <f>[3]main!H224</f>
        <v>8804890.4600000009</v>
      </c>
      <c r="E55" s="54">
        <f>IF(B48-SUM(E53:E54)&gt;D55,D55,B48-SUM(E53:E54))</f>
        <v>0</v>
      </c>
      <c r="F55" s="54">
        <f>D55-E55</f>
        <v>8804890.4600000009</v>
      </c>
      <c r="G55" s="1"/>
      <c r="H55" s="57">
        <f>+H53-H54</f>
        <v>0</v>
      </c>
      <c r="I55" s="30"/>
      <c r="J55" s="57">
        <f>+J53-J54</f>
        <v>0</v>
      </c>
    </row>
    <row r="56" spans="1:10" x14ac:dyDescent="0.2">
      <c r="A56" s="58" t="s">
        <v>19</v>
      </c>
      <c r="B56" s="59"/>
      <c r="C56" s="53">
        <f>[3]main!C283</f>
        <v>0</v>
      </c>
      <c r="D56" s="54">
        <f>[3]main!E283</f>
        <v>0</v>
      </c>
      <c r="E56" s="54">
        <f>IF(B48-SUM(E53:E55)&gt;D56,D56,B48-SUM(E53:E55))</f>
        <v>0</v>
      </c>
      <c r="F56" s="54">
        <f>D56-E56</f>
        <v>0</v>
      </c>
      <c r="G56" s="1"/>
      <c r="H56" s="30"/>
      <c r="I56" s="30"/>
      <c r="J56" s="30"/>
    </row>
    <row r="57" spans="1:10" x14ac:dyDescent="0.2">
      <c r="A57" s="58" t="s">
        <v>42</v>
      </c>
      <c r="B57" s="59"/>
      <c r="C57" s="53">
        <f>[3]main!C107</f>
        <v>13</v>
      </c>
      <c r="D57" s="54">
        <f>[3]main!E107</f>
        <v>41392</v>
      </c>
      <c r="E57" s="54">
        <f>IF(B48-SUM(E53:E56)&gt;D57,D57,B48-SUM(E53:E56))</f>
        <v>0</v>
      </c>
      <c r="F57" s="54">
        <f>D57-E57</f>
        <v>41392</v>
      </c>
      <c r="G57" s="1"/>
      <c r="H57" s="30"/>
      <c r="I57" s="30"/>
      <c r="J57" s="30"/>
    </row>
    <row r="58" spans="1:10" x14ac:dyDescent="0.2">
      <c r="A58" s="55" t="s">
        <v>20</v>
      </c>
      <c r="B58" s="56"/>
      <c r="C58" s="63"/>
      <c r="D58" s="64"/>
      <c r="E58" s="64"/>
      <c r="F58" s="64" t="s">
        <v>14</v>
      </c>
      <c r="G58" s="1"/>
      <c r="H58" s="57" t="s">
        <v>44</v>
      </c>
      <c r="I58" s="30"/>
      <c r="J58" s="30"/>
    </row>
    <row r="59" spans="1:10" x14ac:dyDescent="0.2">
      <c r="A59" s="58" t="s">
        <v>21</v>
      </c>
      <c r="B59" s="59"/>
      <c r="C59" s="53">
        <f>'[6]Sheet 1'!C49</f>
        <v>3444.6909999999998</v>
      </c>
      <c r="D59" s="54">
        <f>'[6]Sheet 1'!E49</f>
        <v>10967896.140000001</v>
      </c>
      <c r="E59" s="54">
        <f>IF(B48-SUM(E53:E58)&gt;D59,D59,B48-SUM(E53:E58))</f>
        <v>0</v>
      </c>
      <c r="F59" s="54">
        <f t="shared" ref="F59:F67" si="0">D59-E59</f>
        <v>10967896.140000001</v>
      </c>
      <c r="G59" s="1"/>
      <c r="H59" s="57">
        <f>'[6]Sheet 1'!N165</f>
        <v>15472134.27</v>
      </c>
      <c r="I59" s="30"/>
      <c r="J59" s="30"/>
    </row>
    <row r="60" spans="1:10" x14ac:dyDescent="0.2">
      <c r="A60" s="59" t="s">
        <v>22</v>
      </c>
      <c r="B60" s="59"/>
      <c r="C60" s="53">
        <f>'[6]Sheet 1'!F49</f>
        <v>711.23</v>
      </c>
      <c r="D60" s="54">
        <f>'[6]Sheet 1'!H49</f>
        <v>2264556.3199999998</v>
      </c>
      <c r="E60" s="54">
        <f>IF(B48-SUM(E53:E59)&gt;D60,D60,B48-SUM(E53:E59))</f>
        <v>0</v>
      </c>
      <c r="F60" s="54">
        <f t="shared" si="0"/>
        <v>2264556.3199999998</v>
      </c>
      <c r="G60" s="1"/>
      <c r="H60" s="57">
        <f>SUM(D59:D65)</f>
        <v>15472134.27</v>
      </c>
      <c r="I60" s="30"/>
      <c r="J60" s="30"/>
    </row>
    <row r="61" spans="1:10" x14ac:dyDescent="0.2">
      <c r="A61" s="59" t="s">
        <v>23</v>
      </c>
      <c r="B61" s="59"/>
      <c r="C61" s="53">
        <f>'[6]Sheet 1'!C107</f>
        <v>502.74</v>
      </c>
      <c r="D61" s="54">
        <f>'[6]Sheet 1'!E107</f>
        <v>1600724.16</v>
      </c>
      <c r="E61" s="54">
        <f>IF(B48-SUM(E53:E60)&gt;D61,D61,B48-SUM(E53:E60))</f>
        <v>0</v>
      </c>
      <c r="F61" s="54">
        <f t="shared" si="0"/>
        <v>1600724.16</v>
      </c>
      <c r="G61" s="1"/>
      <c r="H61" s="57">
        <f>+H59-H60</f>
        <v>0</v>
      </c>
      <c r="I61" s="30"/>
      <c r="J61" s="30"/>
    </row>
    <row r="62" spans="1:10" x14ac:dyDescent="0.2">
      <c r="A62" s="58" t="s">
        <v>24</v>
      </c>
      <c r="B62" s="59"/>
      <c r="C62" s="53">
        <f>'[6]Sheet 1'!F107</f>
        <v>16.795000000000002</v>
      </c>
      <c r="D62" s="54">
        <f>'[6]Sheet 1'!H107</f>
        <v>53475.51</v>
      </c>
      <c r="E62" s="54">
        <f>IF(B48-SUM(E53:E61)&gt;D62,D62,B48-SUM(E53:E61))</f>
        <v>0</v>
      </c>
      <c r="F62" s="54">
        <f t="shared" si="0"/>
        <v>53475.51</v>
      </c>
      <c r="G62" s="1"/>
      <c r="H62" s="30"/>
      <c r="I62" s="30"/>
      <c r="J62" s="30"/>
    </row>
    <row r="63" spans="1:10" x14ac:dyDescent="0.2">
      <c r="A63" s="59" t="s">
        <v>71</v>
      </c>
      <c r="B63" s="59"/>
      <c r="C63" s="53">
        <f>'[6]Sheet 1'!C165</f>
        <v>157.91999999999999</v>
      </c>
      <c r="D63" s="54">
        <f>'[6]Sheet 1'!E165</f>
        <v>502818.79</v>
      </c>
      <c r="E63" s="54">
        <f>IF(B48-SUM(E53:E62)&gt;D63,D63,B48-SUM(E53:E62))</f>
        <v>0</v>
      </c>
      <c r="F63" s="54">
        <f t="shared" si="0"/>
        <v>502818.79</v>
      </c>
      <c r="G63" s="1"/>
      <c r="H63" s="30"/>
      <c r="I63" s="30"/>
      <c r="J63" s="30"/>
    </row>
    <row r="64" spans="1:10" x14ac:dyDescent="0.2">
      <c r="A64" s="59" t="s">
        <v>57</v>
      </c>
      <c r="B64" s="59"/>
      <c r="C64" s="53">
        <f>'[6]Sheet 1'!F165</f>
        <v>0</v>
      </c>
      <c r="D64" s="54">
        <f>'[6]Sheet 1'!H165</f>
        <v>0</v>
      </c>
      <c r="E64" s="54">
        <f>IF(B49-SUM(E54:E63)&gt;D64,D64,B49-SUM(E54:E63))</f>
        <v>0</v>
      </c>
      <c r="F64" s="54">
        <f t="shared" si="0"/>
        <v>0</v>
      </c>
      <c r="G64" s="1"/>
      <c r="H64" s="30"/>
      <c r="I64" s="30"/>
      <c r="J64" s="30"/>
    </row>
    <row r="65" spans="1:10" x14ac:dyDescent="0.2">
      <c r="A65" s="59" t="s">
        <v>64</v>
      </c>
      <c r="B65" s="59"/>
      <c r="C65" s="53">
        <f>'[6]Sheet 1'!I165</f>
        <v>25.962</v>
      </c>
      <c r="D65" s="54">
        <f>'[6]Sheet 1'!K165</f>
        <v>82663.350000000006</v>
      </c>
      <c r="E65" s="54">
        <f>IF(B51-SUM(E55:E64)&gt;D65,D65,B51-SUM(E55:E64))</f>
        <v>0</v>
      </c>
      <c r="F65" s="54">
        <f t="shared" si="0"/>
        <v>82663.350000000006</v>
      </c>
      <c r="G65" s="1"/>
      <c r="H65" s="57" t="s">
        <v>46</v>
      </c>
      <c r="I65" s="30"/>
      <c r="J65" s="30"/>
    </row>
    <row r="66" spans="1:10" x14ac:dyDescent="0.2">
      <c r="A66" s="59" t="s">
        <v>58</v>
      </c>
      <c r="B66" s="59"/>
      <c r="C66" s="53">
        <f>'[6]Sheet 1'!C223</f>
        <v>1339.414</v>
      </c>
      <c r="D66" s="54">
        <f>'[6]Sheet 1'!E223</f>
        <v>4264695.13</v>
      </c>
      <c r="E66" s="54">
        <f>IF(B48-SUM(E53:E63)&gt;D66,D66,B48-SUM(E53:E63))</f>
        <v>0</v>
      </c>
      <c r="F66" s="54">
        <f t="shared" si="0"/>
        <v>4264695.13</v>
      </c>
      <c r="G66" s="4"/>
      <c r="H66" s="57">
        <f>+'[6]Sheet 1'!E223</f>
        <v>4264695.13</v>
      </c>
      <c r="I66" s="30"/>
      <c r="J66" s="30"/>
    </row>
    <row r="67" spans="1:10" x14ac:dyDescent="0.2">
      <c r="A67" s="58" t="s">
        <v>59</v>
      </c>
      <c r="B67" s="59"/>
      <c r="C67" s="53">
        <f>'[5]Sheet 1'!C49</f>
        <v>2040.575</v>
      </c>
      <c r="D67" s="54">
        <f>'[5]Sheet 1'!E49</f>
        <v>6497189.9500000002</v>
      </c>
      <c r="E67" s="54">
        <f>IF(B48-SUM(E53:E66)&gt;D67,D67,B48-SUM(E53:E66))</f>
        <v>0</v>
      </c>
      <c r="F67" s="54">
        <f t="shared" si="0"/>
        <v>6497189.9500000002</v>
      </c>
      <c r="G67" s="5"/>
      <c r="H67" s="57">
        <f>+D66</f>
        <v>4264695.13</v>
      </c>
      <c r="I67" s="30"/>
      <c r="J67" s="30"/>
    </row>
    <row r="68" spans="1:10" x14ac:dyDescent="0.2">
      <c r="A68" s="65" t="s">
        <v>28</v>
      </c>
      <c r="B68" s="56"/>
      <c r="C68" s="66">
        <f>SUM(C53:C67)</f>
        <v>43207.046000000002</v>
      </c>
      <c r="D68" s="67">
        <f>SUM(D53:D67)</f>
        <v>137571237.66</v>
      </c>
      <c r="E68" s="67">
        <f>SUM(E53:E67)</f>
        <v>33273321</v>
      </c>
      <c r="F68" s="67">
        <f>SUM(F53:F67)</f>
        <v>104297916.66</v>
      </c>
      <c r="G68" s="1"/>
      <c r="H68" s="57">
        <f>+H66-H67</f>
        <v>0</v>
      </c>
      <c r="I68" s="30"/>
      <c r="J68" s="30"/>
    </row>
    <row r="69" spans="1:10" x14ac:dyDescent="0.2">
      <c r="A69" s="68" t="s">
        <v>26</v>
      </c>
      <c r="B69" s="56"/>
      <c r="C69" s="69"/>
      <c r="D69" s="54"/>
      <c r="E69" s="54"/>
      <c r="F69" s="54"/>
      <c r="G69" s="1"/>
      <c r="H69" s="57" t="s">
        <v>47</v>
      </c>
      <c r="I69" s="30"/>
      <c r="J69" s="57" t="s">
        <v>52</v>
      </c>
    </row>
    <row r="70" spans="1:10" x14ac:dyDescent="0.2">
      <c r="A70" s="58" t="s">
        <v>56</v>
      </c>
      <c r="B70" s="59"/>
      <c r="C70" s="20"/>
      <c r="D70" s="70">
        <f>[1]Main!F50</f>
        <v>398625.85</v>
      </c>
      <c r="E70" s="54">
        <f>IF($B48-SUM($E68)&gt;D70,D70,$B48-SUM($E68))</f>
        <v>0</v>
      </c>
      <c r="F70" s="54">
        <f t="shared" ref="F70:F88" si="1">D70-E70</f>
        <v>398625.85</v>
      </c>
      <c r="G70" s="1"/>
      <c r="H70" s="57">
        <f>[1]Main!G50</f>
        <v>4414402.28</v>
      </c>
      <c r="I70" s="30"/>
      <c r="J70" s="57">
        <f>+[1]Main!D511</f>
        <v>23628027.649999999</v>
      </c>
    </row>
    <row r="71" spans="1:10" x14ac:dyDescent="0.2">
      <c r="A71" s="59" t="s">
        <v>25</v>
      </c>
      <c r="B71" s="59"/>
      <c r="C71" s="20"/>
      <c r="D71" s="70">
        <f>[1]Main!C50</f>
        <v>4015776.43</v>
      </c>
      <c r="E71" s="54">
        <f>IF($B48-SUM($E68:E70)&gt;D71,D71,B48-SUM($E68:E70))</f>
        <v>0</v>
      </c>
      <c r="F71" s="54">
        <f t="shared" si="1"/>
        <v>4015776.43</v>
      </c>
      <c r="G71" s="1"/>
      <c r="H71" s="57">
        <f>SUM(D70:D72)</f>
        <v>4414402.28</v>
      </c>
      <c r="I71" s="30"/>
      <c r="J71" s="57">
        <f>SUM(D70:D97)-E83</f>
        <v>23628027.66</v>
      </c>
    </row>
    <row r="72" spans="1:10" x14ac:dyDescent="0.2">
      <c r="A72" s="71" t="s">
        <v>27</v>
      </c>
      <c r="B72" s="59"/>
      <c r="C72" s="20"/>
      <c r="D72" s="70">
        <f>[1]Main!D50</f>
        <v>0</v>
      </c>
      <c r="E72" s="54">
        <f>IF($B48-SUM($E68:E71)&gt;D72,D72,$B48-SUM($E68:E71))</f>
        <v>0</v>
      </c>
      <c r="F72" s="54">
        <f>D72-E72</f>
        <v>0</v>
      </c>
      <c r="G72" s="1"/>
      <c r="H72" s="57">
        <f>+H70-H71</f>
        <v>0</v>
      </c>
      <c r="I72" s="30"/>
      <c r="J72" s="57">
        <f>+J70-J71</f>
        <v>-0.01</v>
      </c>
    </row>
    <row r="73" spans="1:10" x14ac:dyDescent="0.2">
      <c r="A73" s="72" t="s">
        <v>72</v>
      </c>
      <c r="B73" s="59"/>
      <c r="C73" s="20"/>
      <c r="D73" s="70">
        <f>[1]Main!E50</f>
        <v>0</v>
      </c>
      <c r="E73" s="54">
        <f>IF($B49-SUM($E69:E72)&gt;D73,D73,$B49-SUM($E69:E72))</f>
        <v>0</v>
      </c>
      <c r="F73" s="54">
        <f>D73-E73</f>
        <v>0</v>
      </c>
      <c r="G73" s="1"/>
      <c r="H73" s="30"/>
      <c r="I73" s="30"/>
      <c r="J73" s="30"/>
    </row>
    <row r="74" spans="1:10" x14ac:dyDescent="0.2">
      <c r="A74" s="72" t="s">
        <v>73</v>
      </c>
      <c r="B74" s="59"/>
      <c r="C74" s="20"/>
      <c r="D74" s="54">
        <f>+[1]Main!$F166</f>
        <v>369013.72</v>
      </c>
      <c r="E74" s="54">
        <f>IF($B48-SUM($E68:E72)&gt;D74,D74,$B48-SUM($E68:E72))</f>
        <v>0</v>
      </c>
      <c r="F74" s="54">
        <f t="shared" si="1"/>
        <v>369013.72</v>
      </c>
      <c r="G74" s="1"/>
      <c r="H74" s="30"/>
      <c r="I74" s="30"/>
      <c r="J74" s="30"/>
    </row>
    <row r="75" spans="1:10" x14ac:dyDescent="0.2">
      <c r="A75" s="71" t="s">
        <v>74</v>
      </c>
      <c r="B75" s="59"/>
      <c r="C75" s="20"/>
      <c r="D75" s="54">
        <f>+[1]Main!$C108</f>
        <v>1100806</v>
      </c>
      <c r="E75" s="54">
        <f>IF($B48-SUM($E68:E74)&gt;D75,D75,$B48-SUM($E68:E74))</f>
        <v>0</v>
      </c>
      <c r="F75" s="54">
        <f t="shared" si="1"/>
        <v>1100806</v>
      </c>
      <c r="G75" s="1"/>
      <c r="H75" s="30"/>
      <c r="I75" s="30"/>
      <c r="J75" s="30"/>
    </row>
    <row r="76" spans="1:10" x14ac:dyDescent="0.2">
      <c r="A76" s="71" t="s">
        <v>75</v>
      </c>
      <c r="B76" s="59"/>
      <c r="C76" s="20"/>
      <c r="D76" s="54">
        <f>+[1]Main!$D108</f>
        <v>79637</v>
      </c>
      <c r="E76" s="54">
        <f>IF($B48-SUM($E68:E75)&gt;D76,D76,$B48-SUM($E68:E75))</f>
        <v>0</v>
      </c>
      <c r="F76" s="54">
        <f t="shared" si="1"/>
        <v>79637</v>
      </c>
      <c r="G76" s="1"/>
      <c r="H76" s="30"/>
      <c r="I76" s="30"/>
      <c r="J76" s="30"/>
    </row>
    <row r="77" spans="1:10" x14ac:dyDescent="0.2">
      <c r="A77" s="71" t="s">
        <v>76</v>
      </c>
      <c r="B77" s="59"/>
      <c r="C77" s="20"/>
      <c r="D77" s="54">
        <f>+[1]Main!$E108</f>
        <v>658576</v>
      </c>
      <c r="E77" s="54">
        <f>IF($B48-SUM($E68:E76)&gt;D77,D77,$B48-SUM($E68:E76))</f>
        <v>0</v>
      </c>
      <c r="F77" s="54">
        <f t="shared" si="1"/>
        <v>658576</v>
      </c>
      <c r="G77" s="1"/>
      <c r="H77" s="30"/>
      <c r="I77" s="30"/>
      <c r="J77" s="30"/>
    </row>
    <row r="78" spans="1:10" x14ac:dyDescent="0.2">
      <c r="A78" s="71" t="s">
        <v>77</v>
      </c>
      <c r="B78" s="59"/>
      <c r="C78" s="20"/>
      <c r="D78" s="54">
        <f>[1]Main!F108</f>
        <v>1333161</v>
      </c>
      <c r="E78" s="54">
        <f>IF($B48-SUM($E68:E77)&gt;D78,D78,$B48-SUM($E68:E77))</f>
        <v>0</v>
      </c>
      <c r="F78" s="54">
        <f t="shared" si="1"/>
        <v>1333161</v>
      </c>
      <c r="G78" s="1"/>
      <c r="H78" s="57" t="s">
        <v>48</v>
      </c>
      <c r="I78" s="30"/>
      <c r="J78" s="30"/>
    </row>
    <row r="79" spans="1:10" x14ac:dyDescent="0.2">
      <c r="A79" s="71" t="s">
        <v>79</v>
      </c>
      <c r="B79" s="59"/>
      <c r="C79" s="20"/>
      <c r="D79" s="54">
        <f>[1]Main!G108</f>
        <v>0</v>
      </c>
      <c r="E79" s="54">
        <f>IF($B48-SUM($E68:E78)&gt;D79,D79,$B48-SUM($E68:E78))</f>
        <v>0</v>
      </c>
      <c r="F79" s="54">
        <f t="shared" si="1"/>
        <v>0</v>
      </c>
      <c r="G79" s="1"/>
      <c r="H79" s="57"/>
      <c r="I79" s="30"/>
      <c r="J79" s="30"/>
    </row>
    <row r="80" spans="1:10" x14ac:dyDescent="0.2">
      <c r="A80" s="71" t="s">
        <v>78</v>
      </c>
      <c r="B80" s="59"/>
      <c r="C80" s="20"/>
      <c r="D80" s="54">
        <f>[1]Main!G166</f>
        <v>175897</v>
      </c>
      <c r="E80" s="54">
        <f>IF($B48-SUM($E68:E79)&gt;D80,D80,$B48-SUM($E68:E79))</f>
        <v>0</v>
      </c>
      <c r="F80" s="54">
        <f t="shared" si="1"/>
        <v>175897</v>
      </c>
      <c r="G80" s="1"/>
      <c r="H80" s="73">
        <f>+[1]Main!D224</f>
        <v>3737090.72</v>
      </c>
      <c r="I80" s="30"/>
      <c r="J80" s="30"/>
    </row>
    <row r="81" spans="1:10" x14ac:dyDescent="0.2">
      <c r="A81" s="71" t="s">
        <v>80</v>
      </c>
      <c r="B81" s="59"/>
      <c r="C81" s="20"/>
      <c r="D81" s="54">
        <f>[1]Main!C224</f>
        <v>20000</v>
      </c>
      <c r="E81" s="54"/>
      <c r="F81" s="54">
        <f t="shared" si="1"/>
        <v>20000</v>
      </c>
      <c r="G81" s="1"/>
      <c r="H81" s="57">
        <f>+SUM(D74:D81)</f>
        <v>3737090.72</v>
      </c>
      <c r="I81" s="30"/>
      <c r="J81" s="30"/>
    </row>
    <row r="82" spans="1:10" x14ac:dyDescent="0.2">
      <c r="A82" s="71" t="s">
        <v>81</v>
      </c>
      <c r="B82" s="59"/>
      <c r="C82" s="20"/>
      <c r="D82" s="54">
        <f>[1]Main!C282</f>
        <v>2479523</v>
      </c>
      <c r="E82" s="54">
        <v>0</v>
      </c>
      <c r="F82" s="54">
        <f t="shared" si="1"/>
        <v>2479523</v>
      </c>
      <c r="G82" s="1"/>
      <c r="H82" s="57">
        <f>+H80-H81</f>
        <v>0</v>
      </c>
      <c r="I82" s="30"/>
      <c r="J82" s="30"/>
    </row>
    <row r="83" spans="1:10" x14ac:dyDescent="0.2">
      <c r="A83" s="71" t="s">
        <v>82</v>
      </c>
      <c r="B83" s="59"/>
      <c r="C83" s="20"/>
      <c r="D83" s="54">
        <f>+[7]Main!I49+[7]Main!J49</f>
        <v>2117875.04</v>
      </c>
      <c r="E83" s="74">
        <f>[7]Main!J49</f>
        <v>1653259.12</v>
      </c>
      <c r="F83" s="54">
        <f t="shared" si="1"/>
        <v>464615.92</v>
      </c>
      <c r="G83" s="1"/>
      <c r="H83" s="30"/>
      <c r="I83" s="30"/>
      <c r="J83" s="30"/>
    </row>
    <row r="84" spans="1:10" x14ac:dyDescent="0.2">
      <c r="A84" s="71" t="s">
        <v>83</v>
      </c>
      <c r="B84" s="59"/>
      <c r="C84" s="20"/>
      <c r="D84" s="54">
        <f>[1]Main!F282</f>
        <v>287615</v>
      </c>
      <c r="E84" s="54">
        <v>0</v>
      </c>
      <c r="F84" s="54">
        <f t="shared" si="1"/>
        <v>287615</v>
      </c>
      <c r="G84" s="1"/>
      <c r="H84" s="30"/>
      <c r="I84" s="30"/>
      <c r="J84" s="30"/>
    </row>
    <row r="85" spans="1:10" x14ac:dyDescent="0.2">
      <c r="A85" s="71" t="s">
        <v>84</v>
      </c>
      <c r="B85" s="59"/>
      <c r="C85" s="7"/>
      <c r="D85" s="54">
        <f>[1]Main!E282</f>
        <v>49256.11</v>
      </c>
      <c r="E85" s="54">
        <v>0</v>
      </c>
      <c r="F85" s="54">
        <f t="shared" si="1"/>
        <v>49256.11</v>
      </c>
      <c r="G85" s="1"/>
      <c r="H85" s="57" t="s">
        <v>49</v>
      </c>
      <c r="I85" s="30"/>
      <c r="J85" s="30"/>
    </row>
    <row r="86" spans="1:10" x14ac:dyDescent="0.2">
      <c r="A86" s="71" t="s">
        <v>85</v>
      </c>
      <c r="B86" s="59"/>
      <c r="C86" s="85"/>
      <c r="D86" s="54">
        <f>[1]Main!G282</f>
        <v>524089</v>
      </c>
      <c r="E86" s="54">
        <v>0</v>
      </c>
      <c r="F86" s="54">
        <f t="shared" si="1"/>
        <v>524089</v>
      </c>
      <c r="G86" s="59"/>
      <c r="H86" s="57">
        <f>+[1]Main!C511</f>
        <v>14934214.75</v>
      </c>
      <c r="I86" s="57"/>
      <c r="J86" s="57"/>
    </row>
    <row r="87" spans="1:10" x14ac:dyDescent="0.2">
      <c r="A87" s="71" t="s">
        <v>86</v>
      </c>
      <c r="B87" s="59"/>
      <c r="C87" s="117"/>
      <c r="D87" s="54">
        <f>[1]Main!C340</f>
        <v>447000</v>
      </c>
      <c r="E87" s="54">
        <v>0</v>
      </c>
      <c r="F87" s="54">
        <f t="shared" si="1"/>
        <v>447000</v>
      </c>
      <c r="G87" s="59"/>
      <c r="H87" s="57">
        <f>+SUM(D82:D92)-E83</f>
        <v>14934214.75</v>
      </c>
      <c r="I87" s="57"/>
      <c r="J87" s="57">
        <f>+H87-H86</f>
        <v>0</v>
      </c>
    </row>
    <row r="88" spans="1:10" x14ac:dyDescent="0.2">
      <c r="A88" s="71" t="s">
        <v>87</v>
      </c>
      <c r="D88" s="76">
        <f>[1]Main!D340</f>
        <v>9600856.5600000005</v>
      </c>
      <c r="E88" s="77">
        <v>0</v>
      </c>
      <c r="F88" s="77">
        <f t="shared" si="1"/>
        <v>9600856.5600000005</v>
      </c>
      <c r="G88" s="118"/>
      <c r="H88" s="57">
        <f>+H86-H87</f>
        <v>0</v>
      </c>
      <c r="I88" s="57"/>
      <c r="J88" s="57"/>
    </row>
    <row r="89" spans="1:10" x14ac:dyDescent="0.2">
      <c r="A89" s="71" t="s">
        <v>88</v>
      </c>
      <c r="B89" s="59"/>
      <c r="C89" s="117"/>
      <c r="D89" s="54">
        <f>+[1]Main!$E340</f>
        <v>44517.61</v>
      </c>
      <c r="E89" s="54">
        <v>0</v>
      </c>
      <c r="F89" s="54">
        <f>D89-E89</f>
        <v>44517.61</v>
      </c>
      <c r="G89" s="115"/>
      <c r="H89" s="57"/>
      <c r="I89" s="57"/>
      <c r="J89" s="57"/>
    </row>
    <row r="90" spans="1:10" x14ac:dyDescent="0.2">
      <c r="A90" s="71" t="s">
        <v>89</v>
      </c>
      <c r="B90" s="59"/>
      <c r="C90" s="117"/>
      <c r="D90" s="54">
        <f>[1]Main!F340</f>
        <v>335579.49</v>
      </c>
      <c r="E90" s="54">
        <v>0</v>
      </c>
      <c r="F90" s="54">
        <f>D90-E90</f>
        <v>335579.49</v>
      </c>
      <c r="G90" s="115"/>
      <c r="H90" s="57"/>
      <c r="I90" s="57"/>
      <c r="J90" s="57"/>
    </row>
    <row r="91" spans="1:10" x14ac:dyDescent="0.2">
      <c r="A91" s="71" t="s">
        <v>90</v>
      </c>
      <c r="B91" s="59"/>
      <c r="C91" s="117"/>
      <c r="D91" s="54">
        <f>[1]Main!G340</f>
        <v>190000</v>
      </c>
      <c r="E91" s="54">
        <v>0</v>
      </c>
      <c r="F91" s="54">
        <f>D91-E91</f>
        <v>190000</v>
      </c>
      <c r="G91" s="59"/>
      <c r="H91" s="57" t="s">
        <v>50</v>
      </c>
      <c r="I91" s="57"/>
      <c r="J91" s="57"/>
    </row>
    <row r="92" spans="1:10" x14ac:dyDescent="0.2">
      <c r="A92" s="71" t="s">
        <v>93</v>
      </c>
      <c r="B92" s="59"/>
      <c r="C92" s="117"/>
      <c r="D92" s="54">
        <f>[1]Main!F397</f>
        <v>511162.06</v>
      </c>
      <c r="E92" s="54">
        <v>0</v>
      </c>
      <c r="F92" s="54">
        <f>D92-E92</f>
        <v>511162.06</v>
      </c>
      <c r="G92" s="59"/>
      <c r="H92" s="57"/>
      <c r="I92" s="57"/>
      <c r="J92" s="57"/>
    </row>
    <row r="93" spans="1:10" x14ac:dyDescent="0.2">
      <c r="A93" s="55" t="s">
        <v>30</v>
      </c>
      <c r="B93" s="78"/>
      <c r="C93" s="69"/>
      <c r="D93" s="54"/>
      <c r="E93" s="54"/>
      <c r="F93" s="54"/>
      <c r="G93" s="59"/>
      <c r="H93" s="57"/>
      <c r="I93" s="57"/>
      <c r="J93" s="57"/>
    </row>
    <row r="94" spans="1:10" x14ac:dyDescent="0.2">
      <c r="A94" s="71" t="s">
        <v>60</v>
      </c>
      <c r="B94" s="59"/>
      <c r="C94" s="117"/>
      <c r="D94" s="54">
        <f>[1]Main!C454</f>
        <v>330092.19</v>
      </c>
      <c r="E94" s="54">
        <v>0</v>
      </c>
      <c r="F94" s="54">
        <f>D94-E94</f>
        <v>330092.19</v>
      </c>
      <c r="G94" s="59"/>
      <c r="H94" s="57">
        <f>+[1]Main!G454</f>
        <v>542319.91</v>
      </c>
      <c r="I94" s="57"/>
      <c r="J94" s="57"/>
    </row>
    <row r="95" spans="1:10" x14ac:dyDescent="0.2">
      <c r="A95" s="71" t="s">
        <v>63</v>
      </c>
      <c r="B95" s="59"/>
      <c r="C95" s="117"/>
      <c r="D95" s="54">
        <f>[1]Main!D454</f>
        <v>65398.22</v>
      </c>
      <c r="E95" s="54">
        <v>0</v>
      </c>
      <c r="F95" s="54">
        <f>D95-E95</f>
        <v>65398.22</v>
      </c>
      <c r="G95" s="115"/>
      <c r="H95" s="57">
        <f>SUM(D94:D97)</f>
        <v>542319.91</v>
      </c>
      <c r="I95" s="57"/>
      <c r="J95" s="57"/>
    </row>
    <row r="96" spans="1:10" x14ac:dyDescent="0.2">
      <c r="A96" s="71" t="s">
        <v>91</v>
      </c>
      <c r="B96" s="59"/>
      <c r="C96" s="117"/>
      <c r="D96" s="54">
        <f>[1]Main!E454</f>
        <v>1868.4</v>
      </c>
      <c r="E96" s="54">
        <v>0</v>
      </c>
      <c r="F96" s="54">
        <f>D96-E96</f>
        <v>1868.4</v>
      </c>
      <c r="G96" s="115"/>
      <c r="H96" s="57">
        <f>+H94-H95</f>
        <v>0</v>
      </c>
      <c r="I96" s="57"/>
      <c r="J96" s="57"/>
    </row>
    <row r="97" spans="1:10" x14ac:dyDescent="0.2">
      <c r="A97" s="71" t="s">
        <v>92</v>
      </c>
      <c r="B97" s="59"/>
      <c r="C97" s="117"/>
      <c r="D97" s="54">
        <f>[1]Main!F454</f>
        <v>144961.1</v>
      </c>
      <c r="E97" s="54">
        <v>0</v>
      </c>
      <c r="F97" s="54">
        <f>D97-E97</f>
        <v>144961.1</v>
      </c>
      <c r="G97" s="59"/>
      <c r="H97" s="57"/>
      <c r="I97" s="57"/>
      <c r="J97" s="57"/>
    </row>
    <row r="98" spans="1:10" x14ac:dyDescent="0.2">
      <c r="A98" s="55" t="s">
        <v>31</v>
      </c>
      <c r="B98" s="78"/>
      <c r="C98" s="69"/>
      <c r="D98" s="54"/>
      <c r="E98" s="54"/>
      <c r="F98" s="54"/>
      <c r="G98" s="59"/>
      <c r="H98" s="57"/>
      <c r="I98" s="57"/>
      <c r="J98" s="57"/>
    </row>
    <row r="99" spans="1:10" x14ac:dyDescent="0.2">
      <c r="A99" s="58" t="s">
        <v>69</v>
      </c>
      <c r="B99" s="59"/>
      <c r="C99" s="117"/>
      <c r="D99" s="54">
        <f>+[1]Main!$G567</f>
        <v>31783470.739999998</v>
      </c>
      <c r="E99" s="54">
        <f>+[1]Main!$D567</f>
        <v>31783470.739999998</v>
      </c>
      <c r="F99" s="54">
        <f>+D99-E99</f>
        <v>0</v>
      </c>
      <c r="G99" s="59"/>
      <c r="H99" s="57"/>
      <c r="I99" s="57"/>
      <c r="J99" s="57"/>
    </row>
    <row r="100" spans="1:10" x14ac:dyDescent="0.2">
      <c r="A100" s="59" t="s">
        <v>68</v>
      </c>
      <c r="B100" s="59"/>
      <c r="C100" s="117"/>
      <c r="D100" s="54">
        <f>+[1]Main!$G622</f>
        <v>7945867.6900000004</v>
      </c>
      <c r="E100" s="54">
        <f>+[1]Main!$D622</f>
        <v>7945867.6900000004</v>
      </c>
      <c r="F100" s="54">
        <f>+D100-E100</f>
        <v>0</v>
      </c>
      <c r="G100" s="59"/>
      <c r="H100" s="57"/>
      <c r="I100" s="57"/>
      <c r="J100" s="57"/>
    </row>
    <row r="101" spans="1:10" ht="13.5" thickBot="1" x14ac:dyDescent="0.25">
      <c r="A101" s="80"/>
      <c r="B101" s="81"/>
      <c r="C101" s="82" t="s">
        <v>29</v>
      </c>
      <c r="D101" s="83">
        <f>SUM(D68:D100)</f>
        <v>202581862.87</v>
      </c>
      <c r="E101" s="83">
        <f>SUM(E68:E100)</f>
        <v>74655918.549999997</v>
      </c>
      <c r="F101" s="83">
        <f>SUM(F68:F100)</f>
        <v>127925944.31999999</v>
      </c>
      <c r="G101" s="59"/>
      <c r="H101" s="57"/>
      <c r="I101" s="57"/>
      <c r="J101" s="57"/>
    </row>
    <row r="102" spans="1:10" ht="13.5" thickTop="1" x14ac:dyDescent="0.2">
      <c r="A102" s="84"/>
      <c r="B102" s="59"/>
      <c r="C102" s="85"/>
      <c r="D102" s="86"/>
      <c r="E102" s="86"/>
      <c r="F102" s="87"/>
      <c r="G102" s="59"/>
      <c r="H102" s="57"/>
      <c r="I102" s="57"/>
      <c r="J102" s="57"/>
    </row>
    <row r="103" spans="1:10" x14ac:dyDescent="0.2">
      <c r="A103" s="88" t="s">
        <v>40</v>
      </c>
      <c r="B103" s="78"/>
      <c r="C103" s="119"/>
      <c r="D103" s="120"/>
      <c r="E103" s="121"/>
      <c r="F103" s="92" t="s">
        <v>36</v>
      </c>
      <c r="G103" s="122"/>
      <c r="H103" s="57" t="s">
        <v>51</v>
      </c>
      <c r="I103" s="57"/>
      <c r="J103" s="57" t="s">
        <v>7</v>
      </c>
    </row>
    <row r="104" spans="1:10" x14ac:dyDescent="0.2">
      <c r="A104" s="93" t="s">
        <v>33</v>
      </c>
      <c r="B104" s="94"/>
      <c r="C104" s="123"/>
      <c r="D104" s="124"/>
      <c r="E104" s="124"/>
      <c r="F104" s="121"/>
      <c r="G104" s="122"/>
      <c r="H104" s="57"/>
      <c r="I104" s="57"/>
      <c r="J104" s="57"/>
    </row>
    <row r="105" spans="1:10" x14ac:dyDescent="0.2">
      <c r="A105" s="59" t="s">
        <v>34</v>
      </c>
      <c r="B105" s="59"/>
      <c r="C105" s="125"/>
      <c r="D105" s="126"/>
      <c r="E105" s="126"/>
      <c r="F105" s="97">
        <f>+[8]Main!$C50</f>
        <v>0</v>
      </c>
      <c r="G105" s="118"/>
      <c r="H105" s="57">
        <f>+[1]Main!G678</f>
        <v>39729338.43</v>
      </c>
      <c r="I105" s="57"/>
      <c r="J105" s="57">
        <f>+[1]Main!E678+[1]Main!F678</f>
        <v>0</v>
      </c>
    </row>
    <row r="106" spans="1:10" x14ac:dyDescent="0.2">
      <c r="A106" s="59" t="s">
        <v>66</v>
      </c>
      <c r="B106" s="59"/>
      <c r="C106" s="125"/>
      <c r="D106" s="126"/>
      <c r="E106" s="126"/>
      <c r="F106" s="97">
        <f>+[8]Main!$D50</f>
        <v>0</v>
      </c>
      <c r="G106" s="118"/>
      <c r="H106" s="57">
        <f>+D99+D100</f>
        <v>39729338.43</v>
      </c>
      <c r="I106" s="57"/>
      <c r="J106" s="57">
        <f>+F99+F100</f>
        <v>0</v>
      </c>
    </row>
    <row r="107" spans="1:10" x14ac:dyDescent="0.2">
      <c r="A107" s="32" t="s">
        <v>65</v>
      </c>
      <c r="B107" s="32"/>
      <c r="C107" s="125"/>
      <c r="D107" s="127"/>
      <c r="E107" s="127"/>
      <c r="F107" s="97">
        <f>+[8]Main!$E50</f>
        <v>41457</v>
      </c>
      <c r="G107" s="59"/>
      <c r="H107" s="57">
        <f>+H105-H106</f>
        <v>0</v>
      </c>
      <c r="I107" s="57"/>
      <c r="J107" s="57">
        <f>+J105-J106</f>
        <v>0</v>
      </c>
    </row>
    <row r="108" spans="1:10" x14ac:dyDescent="0.2">
      <c r="A108" s="32" t="s">
        <v>67</v>
      </c>
      <c r="B108" s="32"/>
      <c r="C108" s="125"/>
      <c r="D108" s="127"/>
      <c r="E108" s="127"/>
      <c r="F108" s="97">
        <f>+[8]Main!$F50</f>
        <v>82308</v>
      </c>
      <c r="G108" s="59"/>
      <c r="H108" s="57"/>
      <c r="I108" s="57"/>
      <c r="J108" s="57"/>
    </row>
    <row r="109" spans="1:10" x14ac:dyDescent="0.2">
      <c r="A109" s="88" t="s">
        <v>35</v>
      </c>
      <c r="B109" s="78"/>
      <c r="C109" s="119"/>
      <c r="D109" s="120"/>
      <c r="E109" s="121"/>
      <c r="F109" s="54">
        <f>+[8]Main!$C108</f>
        <v>82670.28</v>
      </c>
      <c r="G109" s="59"/>
      <c r="H109" s="57"/>
      <c r="I109" s="57"/>
      <c r="J109" s="57"/>
    </row>
    <row r="110" spans="1:10" ht="13.5" thickBot="1" x14ac:dyDescent="0.25">
      <c r="A110" s="98"/>
      <c r="B110" s="99"/>
      <c r="C110" s="100" t="s">
        <v>29</v>
      </c>
      <c r="D110" s="101"/>
      <c r="E110" s="128"/>
      <c r="F110" s="103">
        <f>SUM(F105:F109)</f>
        <v>206435.28</v>
      </c>
      <c r="G110" s="59"/>
      <c r="H110" s="57"/>
      <c r="I110" s="57"/>
      <c r="J110" s="57"/>
    </row>
    <row r="111" spans="1:10" ht="13.5" thickBot="1" x14ac:dyDescent="0.25">
      <c r="A111" s="104"/>
      <c r="B111" s="105"/>
      <c r="C111" s="106" t="s">
        <v>53</v>
      </c>
      <c r="D111" s="107"/>
      <c r="E111" s="107"/>
      <c r="F111" s="109">
        <f>+F110+F101</f>
        <v>128132379.59999999</v>
      </c>
      <c r="G111" s="59"/>
      <c r="H111" s="57" t="s">
        <v>54</v>
      </c>
      <c r="I111" s="57"/>
      <c r="J111" s="57"/>
    </row>
    <row r="112" spans="1:10" x14ac:dyDescent="0.2">
      <c r="A112" s="129"/>
      <c r="B112" s="130"/>
      <c r="C112" s="131"/>
      <c r="D112" s="132"/>
      <c r="E112" s="132"/>
      <c r="F112" s="110"/>
      <c r="G112" s="59"/>
      <c r="H112" s="57">
        <f>+[8]Main!$G50</f>
        <v>123765</v>
      </c>
      <c r="I112" s="57"/>
      <c r="J112" s="57"/>
    </row>
    <row r="113" spans="1:10" x14ac:dyDescent="0.2">
      <c r="A113" s="129"/>
      <c r="B113" s="130"/>
      <c r="C113" s="131"/>
      <c r="D113" s="132"/>
      <c r="E113" s="132"/>
      <c r="F113" s="110"/>
      <c r="G113" s="59"/>
      <c r="H113" s="57">
        <f>SUM(F105:F108)</f>
        <v>123765</v>
      </c>
      <c r="I113" s="57"/>
      <c r="J113" s="57"/>
    </row>
    <row r="114" spans="1:10" x14ac:dyDescent="0.2">
      <c r="A114" s="59"/>
      <c r="B114" s="59"/>
      <c r="C114" s="85"/>
      <c r="D114" s="86"/>
      <c r="E114" s="86"/>
      <c r="F114" s="86">
        <f>+F110+F101</f>
        <v>128132379.59999999</v>
      </c>
      <c r="G114" s="59"/>
      <c r="H114" s="57">
        <f>+H112-H113</f>
        <v>0</v>
      </c>
      <c r="I114" s="57"/>
      <c r="J114" s="57"/>
    </row>
    <row r="115" spans="1:10" x14ac:dyDescent="0.2">
      <c r="A115" s="59"/>
      <c r="B115" s="59"/>
      <c r="C115" s="85"/>
      <c r="D115" s="86"/>
      <c r="E115" s="86"/>
      <c r="F115" s="86">
        <f>+[1]Main!$F794</f>
        <v>128132379.59</v>
      </c>
      <c r="G115" s="59"/>
      <c r="H115" s="57"/>
      <c r="I115" s="57"/>
      <c r="J115" s="57"/>
    </row>
    <row r="116" spans="1:10" x14ac:dyDescent="0.2">
      <c r="A116" s="59"/>
      <c r="B116" s="59"/>
      <c r="C116" s="85"/>
      <c r="D116" s="86"/>
      <c r="E116" s="86">
        <f>+E101+[1]Main!$E794</f>
        <v>0</v>
      </c>
      <c r="F116" s="86">
        <f>+F115-F114</f>
        <v>-0.01</v>
      </c>
      <c r="G116" s="59"/>
      <c r="H116" s="57"/>
      <c r="I116" s="57"/>
      <c r="J116" s="57"/>
    </row>
    <row r="117" spans="1:10" x14ac:dyDescent="0.2">
      <c r="A117" s="59"/>
      <c r="B117" s="59"/>
      <c r="C117" s="85"/>
      <c r="D117" s="86"/>
      <c r="E117" s="86"/>
      <c r="F117" s="86"/>
      <c r="G117" s="59"/>
      <c r="H117" s="57"/>
      <c r="I117" s="57"/>
      <c r="J117" s="57"/>
    </row>
    <row r="118" spans="1:10" x14ac:dyDescent="0.2">
      <c r="A118" s="59"/>
      <c r="B118" s="59"/>
      <c r="C118" s="85"/>
      <c r="D118" s="86"/>
      <c r="E118" s="86"/>
      <c r="F118" s="86"/>
      <c r="G118" s="59"/>
      <c r="H118" s="57"/>
      <c r="I118" s="57"/>
      <c r="J118" s="57"/>
    </row>
    <row r="119" spans="1:10" x14ac:dyDescent="0.2">
      <c r="A119" s="59"/>
      <c r="B119" s="59"/>
      <c r="C119" s="85"/>
      <c r="D119" s="86"/>
      <c r="E119" s="86"/>
      <c r="F119" s="86"/>
      <c r="G119" s="59"/>
      <c r="H119" s="111" t="s">
        <v>55</v>
      </c>
      <c r="I119" s="57"/>
      <c r="J119" s="57"/>
    </row>
    <row r="120" spans="1:10" x14ac:dyDescent="0.2">
      <c r="G120" s="59"/>
      <c r="H120" s="113"/>
      <c r="I120" s="112"/>
      <c r="J120" s="112"/>
    </row>
    <row r="121" spans="1:10" x14ac:dyDescent="0.2">
      <c r="G121" s="59"/>
      <c r="H121" s="112"/>
      <c r="I121" s="112"/>
      <c r="J121" s="112"/>
    </row>
    <row r="122" spans="1:10" ht="12" customHeight="1" x14ac:dyDescent="0.2">
      <c r="G122" s="59"/>
      <c r="H122" s="112"/>
      <c r="I122" s="112"/>
      <c r="J122" s="112"/>
    </row>
    <row r="123" spans="1:10" x14ac:dyDescent="0.2">
      <c r="G123" s="59"/>
      <c r="H123" s="112"/>
      <c r="I123" s="112"/>
      <c r="J123" s="112"/>
    </row>
    <row r="124" spans="1:10" x14ac:dyDescent="0.2">
      <c r="G124" s="59"/>
      <c r="H124" s="112"/>
      <c r="I124" s="112"/>
      <c r="J124" s="112"/>
    </row>
    <row r="125" spans="1:10" x14ac:dyDescent="0.2">
      <c r="G125" s="59"/>
      <c r="H125" s="71"/>
      <c r="I125" s="112"/>
      <c r="J125" s="112"/>
    </row>
  </sheetData>
  <mergeCells count="1">
    <mergeCell ref="D44:E44"/>
  </mergeCells>
  <printOptions horizontalCentered="1" verticalCentered="1"/>
  <pageMargins left="0.5" right="0.25" top="0.5" bottom="0.5" header="0.5" footer="0.5"/>
  <pageSetup scale="89" orientation="portrait" horizontalDpi="1200" verticalDpi="0" r:id="rId1"/>
  <headerFooter alignWithMargins="0">
    <oddHeader>&amp;R&amp;8Current as of: &amp;D</oddHeader>
    <oddFooter>&amp;L&amp;8USOE, Finance and Statistics&amp;R&amp;8&amp;F</oddFooter>
  </headerFooter>
  <picture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</vt:i4>
      </vt:variant>
      <vt:variant>
        <vt:lpstr>Named Ranges</vt:lpstr>
      </vt:variant>
      <vt:variant>
        <vt:i4>41</vt:i4>
      </vt:variant>
    </vt:vector>
  </HeadingPairs>
  <TitlesOfParts>
    <vt:vector size="82" baseType="lpstr">
      <vt:lpstr>Alpine</vt:lpstr>
      <vt:lpstr>Beaver</vt:lpstr>
      <vt:lpstr>Box Elder</vt:lpstr>
      <vt:lpstr>Cache</vt:lpstr>
      <vt:lpstr>Carbon</vt:lpstr>
      <vt:lpstr>Daggett</vt:lpstr>
      <vt:lpstr>Davis</vt:lpstr>
      <vt:lpstr>Duchesne</vt:lpstr>
      <vt:lpstr>Emery</vt:lpstr>
      <vt:lpstr>Garfield</vt:lpstr>
      <vt:lpstr>Grand</vt:lpstr>
      <vt:lpstr>Granite</vt:lpstr>
      <vt:lpstr>Iron</vt:lpstr>
      <vt:lpstr>Jordan</vt:lpstr>
      <vt:lpstr>Juab</vt:lpstr>
      <vt:lpstr>Kane</vt:lpstr>
      <vt:lpstr>Millard</vt:lpstr>
      <vt:lpstr>Morgan</vt:lpstr>
      <vt:lpstr>Nebo</vt:lpstr>
      <vt:lpstr>No Sanpete</vt:lpstr>
      <vt:lpstr>No Summit</vt:lpstr>
      <vt:lpstr>Park City</vt:lpstr>
      <vt:lpstr>Piute</vt:lpstr>
      <vt:lpstr>Rich</vt:lpstr>
      <vt:lpstr>San Juan</vt:lpstr>
      <vt:lpstr>Sevier</vt:lpstr>
      <vt:lpstr>So Sanpet</vt:lpstr>
      <vt:lpstr>So Summit</vt:lpstr>
      <vt:lpstr>Tintic</vt:lpstr>
      <vt:lpstr>Tooele</vt:lpstr>
      <vt:lpstr>Uintah</vt:lpstr>
      <vt:lpstr>Wasatch</vt:lpstr>
      <vt:lpstr>Washington</vt:lpstr>
      <vt:lpstr>Wayne</vt:lpstr>
      <vt:lpstr>Weber</vt:lpstr>
      <vt:lpstr>Salt Lake </vt:lpstr>
      <vt:lpstr>Ogden</vt:lpstr>
      <vt:lpstr>Provo</vt:lpstr>
      <vt:lpstr>Logan</vt:lpstr>
      <vt:lpstr>Murray</vt:lpstr>
      <vt:lpstr>Canyons</vt:lpstr>
      <vt:lpstr>Alpine!Print_Area</vt:lpstr>
      <vt:lpstr>Beaver!Print_Area</vt:lpstr>
      <vt:lpstr>'Box Elder'!Print_Area</vt:lpstr>
      <vt:lpstr>Cache!Print_Area</vt:lpstr>
      <vt:lpstr>Canyons!Print_Area</vt:lpstr>
      <vt:lpstr>Carbon!Print_Area</vt:lpstr>
      <vt:lpstr>Daggett!Print_Area</vt:lpstr>
      <vt:lpstr>Davis!Print_Area</vt:lpstr>
      <vt:lpstr>Duchesne!Print_Area</vt:lpstr>
      <vt:lpstr>Emery!Print_Area</vt:lpstr>
      <vt:lpstr>Garfield!Print_Area</vt:lpstr>
      <vt:lpstr>Grand!Print_Area</vt:lpstr>
      <vt:lpstr>Granite!Print_Area</vt:lpstr>
      <vt:lpstr>Iron!Print_Area</vt:lpstr>
      <vt:lpstr>Jordan!Print_Area</vt:lpstr>
      <vt:lpstr>Juab!Print_Area</vt:lpstr>
      <vt:lpstr>Kane!Print_Area</vt:lpstr>
      <vt:lpstr>Logan!Print_Area</vt:lpstr>
      <vt:lpstr>Millard!Print_Area</vt:lpstr>
      <vt:lpstr>Morgan!Print_Area</vt:lpstr>
      <vt:lpstr>Murray!Print_Area</vt:lpstr>
      <vt:lpstr>Nebo!Print_Area</vt:lpstr>
      <vt:lpstr>'No Sanpete'!Print_Area</vt:lpstr>
      <vt:lpstr>'No Summit'!Print_Area</vt:lpstr>
      <vt:lpstr>Ogden!Print_Area</vt:lpstr>
      <vt:lpstr>'Park City'!Print_Area</vt:lpstr>
      <vt:lpstr>Piute!Print_Area</vt:lpstr>
      <vt:lpstr>Provo!Print_Area</vt:lpstr>
      <vt:lpstr>Rich!Print_Area</vt:lpstr>
      <vt:lpstr>'Salt Lake '!Print_Area</vt:lpstr>
      <vt:lpstr>'San Juan'!Print_Area</vt:lpstr>
      <vt:lpstr>Sevier!Print_Area</vt:lpstr>
      <vt:lpstr>'So Sanpet'!Print_Area</vt:lpstr>
      <vt:lpstr>'So Summit'!Print_Area</vt:lpstr>
      <vt:lpstr>Tintic!Print_Area</vt:lpstr>
      <vt:lpstr>Tooele!Print_Area</vt:lpstr>
      <vt:lpstr>Uintah!Print_Area</vt:lpstr>
      <vt:lpstr>Wasatch!Print_Area</vt:lpstr>
      <vt:lpstr>Washington!Print_Area</vt:lpstr>
      <vt:lpstr>Wayne!Print_Area</vt:lpstr>
      <vt:lpstr>Weber!Print_Area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USOE Staff</dc:creator>
  <cp:lastModifiedBy>Grayson</cp:lastModifiedBy>
  <cp:lastPrinted>2016-02-01T23:10:50Z</cp:lastPrinted>
  <dcterms:created xsi:type="dcterms:W3CDTF">2005-03-16T22:10:01Z</dcterms:created>
  <dcterms:modified xsi:type="dcterms:W3CDTF">2021-12-09T05:12:38Z</dcterms:modified>
</cp:coreProperties>
</file>